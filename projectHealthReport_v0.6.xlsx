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 sheetId="1" r:id="rId4"/>
    <sheet state="visible" name="ProjectHealth" sheetId="2" r:id="rId5"/>
    <sheet state="visible" name="Sheet10" sheetId="3" r:id="rId6"/>
    <sheet state="visible" name="testmo-export-repository" sheetId="4" r:id="rId7"/>
    <sheet state="visible" name="Sheet11" sheetId="5" r:id="rId8"/>
    <sheet state="visible" name="buildReport" sheetId="6" r:id="rId9"/>
    <sheet state="visible" name="instructions" sheetId="7" r:id="rId10"/>
  </sheets>
  <definedNames>
    <definedName name="status">buildReport!$I$3:$I$1000</definedName>
    <definedName name="fixVersion">JIRA!$R$2:$R$1000</definedName>
    <definedName name="Issue_Type">JIRA!$A$2:$A$1000</definedName>
    <definedName name="impact_of_failure">buildReport!$E$3:$E$1000</definedName>
    <definedName name="linked_ID">buildReport!$K$3:$K$1000</definedName>
    <definedName name="Likelihood_of_failure">buildReport!$F$3:$F$1000</definedName>
    <definedName name="jira_priority">JIRA!$D$2:$D$1000</definedName>
    <definedName name="issue_ID">JIRA!$B$2:$B$1000</definedName>
    <definedName name="release">buildReport!$J$3:$J$1000</definedName>
    <definedName name="jira_status">JIRA!$E$2:$E$1000</definedName>
    <definedName name="Automation_status">buildReport!$H$3:$H$1000</definedName>
    <definedName name="can_be_automated">buildReport!$G$3:$G$1000</definedName>
    <definedName hidden="1" localSheetId="0" name="_xlnm._FilterDatabase">JIRA!$A$1:$Z$1000</definedName>
    <definedName hidden="1" localSheetId="2" name="_xlnm._FilterDatabase">Sheet10!$B$3:$F$16</definedName>
    <definedName hidden="1" localSheetId="3" name="_xlnm._FilterDatabase">'testmo-export-repository'!$A$1:$AE$1000</definedName>
    <definedName hidden="1" localSheetId="4" name="_xlnm._FilterDatabase">Sheet11!$A$1:$Z$3439</definedName>
  </definedNames>
  <calcPr/>
</workbook>
</file>

<file path=xl/sharedStrings.xml><?xml version="1.0" encoding="utf-8"?>
<sst xmlns="http://schemas.openxmlformats.org/spreadsheetml/2006/main" count="46087" uniqueCount="4788">
  <si>
    <t>Issue Type</t>
  </si>
  <si>
    <t>Key</t>
  </si>
  <si>
    <t>Summary</t>
  </si>
  <si>
    <t>Priority</t>
  </si>
  <si>
    <t>Status</t>
  </si>
  <si>
    <t>Created</t>
  </si>
  <si>
    <t>Linked Issues</t>
  </si>
  <si>
    <t>Project</t>
  </si>
  <si>
    <t>Sport</t>
  </si>
  <si>
    <t>Squad</t>
  </si>
  <si>
    <t>Components</t>
  </si>
  <si>
    <t>Test event date</t>
  </si>
  <si>
    <t>customfield_10436</t>
  </si>
  <si>
    <t>customfield_10416</t>
  </si>
  <si>
    <t>customfield_10494</t>
  </si>
  <si>
    <t>Links</t>
  </si>
  <si>
    <t>Status Category Changed</t>
  </si>
  <si>
    <t>Fix versions</t>
  </si>
  <si>
    <t>Labels</t>
  </si>
  <si>
    <t>Software Release</t>
  </si>
  <si>
    <t>Release date</t>
  </si>
  <si>
    <t>Bug</t>
  </si>
  <si>
    <t>NBA are reporting that the last record of `processed.pose.clean` files are truncated.</t>
  </si>
  <si>
    <t>P3 - Medium</t>
  </si>
  <si>
    <t>In Progress</t>
  </si>
  <si>
    <t>Basketball &amp; Baseball Data Platform</t>
  </si>
  <si>
    <t/>
  </si>
  <si>
    <t>[no field found]</t>
  </si>
  <si>
    <t>Basketball</t>
  </si>
  <si>
    <t>Story</t>
  </si>
  <si>
    <t>Interpret new 'heave' event from NGSS</t>
  </si>
  <si>
    <t>Backlog</t>
  </si>
  <si>
    <t>Basketball;Feature</t>
  </si>
  <si>
    <t>Live Event feed numbering</t>
  </si>
  <si>
    <t>P2 - High</t>
  </si>
  <si>
    <t>Done</t>
  </si>
  <si>
    <t>2.42</t>
  </si>
  <si>
    <t>NBA to Access Status Update API via a Key</t>
  </si>
  <si>
    <t>Basketball;DevOps;Feature</t>
  </si>
  <si>
    <t>SFG cannot authenticate with Dynamo DB in AWS</t>
  </si>
  <si>
    <t>P1 - Highest</t>
  </si>
  <si>
    <t>Closed</t>
  </si>
  <si>
    <t>Status Update API updates not showing in DynamoDB</t>
  </si>
  <si>
    <t>2.41</t>
  </si>
  <si>
    <t>Add Clock Events To Combine Events Feed &amp; Join With NGSS Events</t>
  </si>
  <si>
    <t>To Test</t>
  </si>
  <si>
    <t>Add Clock Stop/Start Events to Live Events Feed</t>
  </si>
  <si>
    <t>Starter project for Eden</t>
  </si>
  <si>
    <t>P5 - Lowest</t>
  </si>
  <si>
    <t>Add Chance To Score data to Officiating Events Feed</t>
  </si>
  <si>
    <t>Allow scopes in the JWT to grant authorisation</t>
  </si>
  <si>
    <t>Basket centre is not being reporting in processed feeds</t>
  </si>
  <si>
    <t>Basketball;TechDebt</t>
  </si>
  <si>
    <t>Add arenaId to OpenAPI Spec</t>
  </si>
  <si>
    <t>Test Stream 2nd Game taking a long time to start publishing</t>
  </si>
  <si>
    <t>Convert radians to degrees</t>
  </si>
  <si>
    <t>Basketball;Feature;Improvement</t>
  </si>
  <si>
    <t>Resend Updated List of 23/24 Games</t>
  </si>
  <si>
    <t>Basketball;CustomerRaised;Feature</t>
  </si>
  <si>
    <t>Cater for ReboundDeflection Event</t>
  </si>
  <si>
    <t>Repush required radio button cannot be deselected</t>
  </si>
  <si>
    <t>Basketball;Feature;Frontend</t>
  </si>
  <si>
    <t>update cors configuration in status update api</t>
  </si>
  <si>
    <t>Add Team Logos</t>
  </si>
  <si>
    <t>2.41 FE</t>
  </si>
  <si>
    <t>Upgrade BskDP Spring Boot Version</t>
  </si>
  <si>
    <t>In Review</t>
  </si>
  <si>
    <t>AWS Region not set correctly for SFG &amp; LFG</t>
  </si>
  <si>
    <t>Basketball;DevOps</t>
  </si>
  <si>
    <t>PMEG rebound logic not behaving the same as LFG</t>
  </si>
  <si>
    <t>Basketball;Improvement</t>
  </si>
  <si>
    <t>Output backboard touches to the Officiating Events feed</t>
  </si>
  <si>
    <t>Ignore new events for the Live Events feed</t>
  </si>
  <si>
    <t>Change test stream games</t>
  </si>
  <si>
    <t>Basketball;CustomerRaised</t>
  </si>
  <si>
    <t>Add ball spin to Officiating and Live feeds</t>
  </si>
  <si>
    <t>Lambda for PMEG data to NBA S3</t>
  </si>
  <si>
    <t>Write lambdas to copy over processed data to NBA S3</t>
  </si>
  <si>
    <t>Use 404 not found responses for status update api</t>
  </si>
  <si>
    <t xml:space="preserve">Error group not removed when user selects clear all. </t>
  </si>
  <si>
    <t>2.37</t>
  </si>
  <si>
    <t>Extricate Test Stream from Release Process</t>
  </si>
  <si>
    <t>NGSS data is not saving to S3 in prod</t>
  </si>
  <si>
    <t>P4 - Low</t>
  </si>
  <si>
    <t>Nearest frame time for post process events</t>
  </si>
  <si>
    <t>Rebounds from NGSS are being removed from PGCE</t>
  </si>
  <si>
    <t>Use gameClockRunning field in index file to better filter for pose backfilling</t>
  </si>
  <si>
    <t>Rework using dribbles to match shots</t>
  </si>
  <si>
    <t>Build TimeInput Component</t>
  </si>
  <si>
    <t>Build SelectPill Component</t>
  </si>
  <si>
    <t>gameActive to true if null for SFG from-feeds</t>
  </si>
  <si>
    <t>Link Post Process Officiating Events to Live Officiating Events</t>
  </si>
  <si>
    <t>Integrate Status Update Frontend to API</t>
  </si>
  <si>
    <t>Handle events with no classification in PMEG event store</t>
  </si>
  <si>
    <t>Data platform end to end testing environment</t>
  </si>
  <si>
    <t xml:space="preserve">Complete SFG Adaptation </t>
  </si>
  <si>
    <t>2.40</t>
  </si>
  <si>
    <t>Add Capability to Feed Messages into SFG from an SQS Queue</t>
  </si>
  <si>
    <t>Write Message Producers</t>
  </si>
  <si>
    <t>Write a Message Location Service</t>
  </si>
  <si>
    <t>Write Alternate Deduplication Logic</t>
  </si>
  <si>
    <t>Add warning message when LFG current game id doesn't correspond to current day</t>
  </si>
  <si>
    <t>Basketball;InternalCustomer</t>
  </si>
  <si>
    <t>Pair data from multiple NGSS events to single HEI event on fouls</t>
  </si>
  <si>
    <t>Handle slow internet connection on SFG uploads in GL</t>
  </si>
  <si>
    <t>Update Dashboard Filter Component</t>
  </si>
  <si>
    <t>NGSS Client is populating home and away team lists with same players</t>
  </si>
  <si>
    <t>2.38.2</t>
  </si>
  <si>
    <t>Run 23/24 Games Through PMEG</t>
  </si>
  <si>
    <t>Generate Index Files</t>
  </si>
  <si>
    <t>Move Data and Add Timestamp</t>
  </si>
  <si>
    <t>Post game combined events feed skipping event numbers</t>
  </si>
  <si>
    <t>Don't allow shot and subsequent rebound to match same event</t>
  </si>
  <si>
    <t>2.39</t>
  </si>
  <si>
    <t>PMEG event backfill not responding the same as LFG</t>
  </si>
  <si>
    <t>PMEG not finding pose backfill when event is recorded during long break in play</t>
  </si>
  <si>
    <t>Fix saving live ngss websocket messages</t>
  </si>
  <si>
    <t>Format Old Files Into 1000 Line Format</t>
  </si>
  <si>
    <t>Create API Spec Document</t>
  </si>
  <si>
    <t>Identify Games that need Reformatting</t>
  </si>
  <si>
    <t>Populate Game Status Update Modal</t>
  </si>
  <si>
    <t>Create Game Status Update Modal</t>
  </si>
  <si>
    <t>Create Game Status Update Page</t>
  </si>
  <si>
    <t>Create Game Card Component</t>
  </si>
  <si>
    <t>CLONE - Last touch details in bson moved</t>
  </si>
  <si>
    <t>BasketballFramerateAnalyser error when data is uploaded via cyberduck</t>
  </si>
  <si>
    <t>Automate Copying of G League games from S3 to Azure</t>
  </si>
  <si>
    <t>Improve logging for live ngss events s3 output</t>
  </si>
  <si>
    <t>Don't allow inactive players to be paired with jersey numbers from tracking</t>
  </si>
  <si>
    <t>2.38.1</t>
  </si>
  <si>
    <t>Remove push branches from CI pipeline</t>
  </si>
  <si>
    <t>2.38</t>
  </si>
  <si>
    <t>SFG: Teams data missing from output json for non NGSS games</t>
  </si>
  <si>
    <t>Should not default AWS Endpoint for production in LFG config</t>
  </si>
  <si>
    <t>Foul drawn message from NGSS on missed shots being backfilled into Hawkeye event but also creating new event</t>
  </si>
  <si>
    <t>SFG log message to print how long upload process took</t>
  </si>
  <si>
    <t xml:space="preserve">Component test environment setup </t>
  </si>
  <si>
    <t>Pose backfill not working for event 660 in game 0022400007</t>
  </si>
  <si>
    <t>Create DD alert for missing post game combined events</t>
  </si>
  <si>
    <t>2.38;2.39</t>
  </si>
  <si>
    <t>SFG &amp; LFG need to write a process file on startup for Configurator</t>
  </si>
  <si>
    <t>SFG &amp; LFG require the AWS region to be available when launching.</t>
  </si>
  <si>
    <t>Remove inactive players from dashboard</t>
  </si>
  <si>
    <t>Reprocessing Manager fails when selecting season</t>
  </si>
  <si>
    <t>SFG not reading all the events from all_events folder</t>
  </si>
  <si>
    <t>2.35.2</t>
  </si>
  <si>
    <t>Period = 9 in post game combined events feed</t>
  </si>
  <si>
    <t>Pose backfilling has issues working when the clock is not running</t>
  </si>
  <si>
    <t>Normal event matching/backfilling not working all the time when events exists</t>
  </si>
  <si>
    <t xml:space="preserve">Pose backfill selectively not applied </t>
  </si>
  <si>
    <t>Change reconnect policy on Websocket when game not active</t>
  </si>
  <si>
    <t xml:space="preserve">Make a tool to check framerates </t>
  </si>
  <si>
    <t>2.36</t>
  </si>
  <si>
    <t>When there are errors uploading to Azure from SFG, the number of files expected to be uploaded is showing as negative</t>
  </si>
  <si>
    <t>Last touch details in bson moved</t>
  </si>
  <si>
    <t>Add log message to PMEG that says how many events weren't backfilled</t>
  </si>
  <si>
    <t>HE Observability call returns NBA keys</t>
  </si>
  <si>
    <t>Live Events and Officiating Events feedNumber restart from 1 if LFG is restarted</t>
  </si>
  <si>
    <t>Include extra "heInformation" when matched on "contestingPlayer"</t>
  </si>
  <si>
    <t>Add in clean feeds for test stream</t>
  </si>
  <si>
    <t>Listen for updates on turnovers in live workflow</t>
  </si>
  <si>
    <t>Pose backfill turnovers in post game combined events</t>
  </si>
  <si>
    <t>Possession not populating on first possession of game</t>
  </si>
  <si>
    <t>Test bridge that can consume from RabbitMQ</t>
  </si>
  <si>
    <t>Reprocessing PGCE feed: onCourt doesn't work on pose backfilled events</t>
  </si>
  <si>
    <t>Killing application from Configurator does not kill instance of LFG/SFG</t>
  </si>
  <si>
    <t>Store information around matching/backfilling</t>
  </si>
  <si>
    <t>Add ball spin to delayed.pose.complete feed</t>
  </si>
  <si>
    <t>Allow for players to be assigned to home or away teams in SFG without NGSS</t>
  </si>
  <si>
    <t>Add functionality for Clippers new arena</t>
  </si>
  <si>
    <t>API test framework.</t>
  </si>
  <si>
    <t>Relaunch from Configurator doesn't kill+launch applications after system tray addition</t>
  </si>
  <si>
    <t>PMCEF API access</t>
  </si>
  <si>
    <t>Investigate if we can manually backfill events</t>
  </si>
  <si>
    <t>NPE in EventFeedAssembler when EventPerson does not contain any data</t>
  </si>
  <si>
    <t>LFG Redundancy Load Testing</t>
  </si>
  <si>
    <t>Start automated failover</t>
  </si>
  <si>
    <t>Throttle feed delivery after failover</t>
  </si>
  <si>
    <t>Investigate suitable location to run tests</t>
  </si>
  <si>
    <t>Dedicated Spring Profiles for QA</t>
  </si>
  <si>
    <t>Set up network for failover testing</t>
  </si>
  <si>
    <t>Build &amp; implement rules for delayed and event data failover</t>
  </si>
  <si>
    <t>Update configurator for failover work</t>
  </si>
  <si>
    <t>Build distributed maps for failover</t>
  </si>
  <si>
    <t>Build &amp; Implement rules for Live Data failover</t>
  </si>
  <si>
    <t>Create API for Ops to select which LFG to use</t>
  </si>
  <si>
    <t>Create plan for when to switch over during failover instance</t>
  </si>
  <si>
    <t>Investigate Hazelcast for LFG redundancy project</t>
  </si>
  <si>
    <t xml:space="preserve">LFG log message to detect when tracking skips frames </t>
  </si>
  <si>
    <t>Additional Support for non-game events</t>
  </si>
  <si>
    <t>Convert saved files in S3 into batched format</t>
  </si>
  <si>
    <t>Remove Clean feeds from S3 storage</t>
  </si>
  <si>
    <t>Upload reports not searching Azure or HE S3 correctly</t>
  </si>
  <si>
    <t>Observability API configuration fix</t>
  </si>
  <si>
    <t>ObservabilityAPI PUT and DELETE endpoints should be restricted to Hawkeye users</t>
  </si>
  <si>
    <t>SFG &amp; LFG Refactors</t>
  </si>
  <si>
    <t>Test reporting</t>
  </si>
  <si>
    <t>SIT environment</t>
  </si>
  <si>
    <t>Consume and validate data</t>
  </si>
  <si>
    <t>test data utility</t>
  </si>
  <si>
    <t>Pilot automation framework</t>
  </si>
  <si>
    <t>Store feeds in Serverless Redis before S3 upload</t>
  </si>
  <si>
    <t>Players detail section not filled in for section of feeds due to error on communicating with NGSS</t>
  </si>
  <si>
    <t>Filter possible tracked players using onCourt when 2+ players on the same team have the same jersey number</t>
  </si>
  <si>
    <t>Create new homepage for observability dashboard</t>
  </si>
  <si>
    <t>Method to convert stored data in Azure from single file format to chunked format</t>
  </si>
  <si>
    <t>Basketball Data platform</t>
  </si>
  <si>
    <t>release</t>
  </si>
  <si>
    <t>As at</t>
  </si>
  <si>
    <t>Project Health</t>
  </si>
  <si>
    <t>release readiness</t>
  </si>
  <si>
    <t>Automation</t>
  </si>
  <si>
    <t>test execution</t>
  </si>
  <si>
    <t>bugs raised</t>
  </si>
  <si>
    <t>tech debt</t>
  </si>
  <si>
    <t>Risk profile counts</t>
  </si>
  <si>
    <t>Release</t>
  </si>
  <si>
    <t>open bugs</t>
  </si>
  <si>
    <t>Impact of failure</t>
  </si>
  <si>
    <t>Minor</t>
  </si>
  <si>
    <t>Visible</t>
  </si>
  <si>
    <t>Interruption</t>
  </si>
  <si>
    <t>Total</t>
  </si>
  <si>
    <t>Likelihood of failure</t>
  </si>
  <si>
    <t>Very likely</t>
  </si>
  <si>
    <t>Quite likely</t>
  </si>
  <si>
    <t>Unlikely</t>
  </si>
  <si>
    <t xml:space="preserve">P5 - Lowest       </t>
  </si>
  <si>
    <t>Automation coverage</t>
  </si>
  <si>
    <t>Test execution</t>
  </si>
  <si>
    <t>Issue ID</t>
  </si>
  <si>
    <t>Test cases</t>
  </si>
  <si>
    <t>competed</t>
  </si>
  <si>
    <t>development</t>
  </si>
  <si>
    <t>tests</t>
  </si>
  <si>
    <t>bugs</t>
  </si>
  <si>
    <t>﻿"Case ID"</t>
  </si>
  <si>
    <t>Case</t>
  </si>
  <si>
    <t>Configurations</t>
  </si>
  <si>
    <t>Created at</t>
  </si>
  <si>
    <t>Created by</t>
  </si>
  <si>
    <t>Description</t>
  </si>
  <si>
    <t>Estimate</t>
  </si>
  <si>
    <t>Expected</t>
  </si>
  <si>
    <t>Folder</t>
  </si>
  <si>
    <t>Forecast</t>
  </si>
  <si>
    <t>Issues</t>
  </si>
  <si>
    <t>State</t>
  </si>
  <si>
    <t>Status (latest)</t>
  </si>
  <si>
    <t>Status date</t>
  </si>
  <si>
    <t>Steps (Expected)</t>
  </si>
  <si>
    <t>Steps (Step)</t>
  </si>
  <si>
    <t>Tags</t>
  </si>
  <si>
    <t>Template</t>
  </si>
  <si>
    <t>Updated at</t>
  </si>
  <si>
    <t>Updated by</t>
  </si>
  <si>
    <t>Automation status</t>
  </si>
  <si>
    <t>can be automated</t>
  </si>
  <si>
    <t>complexity</t>
  </si>
  <si>
    <t>create new datadog metrics so we can set up automated alerts</t>
  </si>
  <si>
    <t>2024-04-29T06:40:29.651Z</t>
  </si>
  <si>
    <t>Matthew East</t>
  </si>
  <si>
    <t>BAS-474 Create new metrics for reporting on number of files sent</t>
  </si>
  <si>
    <t>BAS-474</t>
  </si>
  <si>
    <t>High</t>
  </si>
  <si>
    <t>Active</t>
  </si>
  <si>
    <t>Passed</t>
  </si>
  <si>
    <t>2025-01-22T11:08:25.359Z</t>
  </si>
  <si>
    <t>Gherkin syntax</t>
  </si>
  <si>
    <t>2025-01-22T08:28:24.023Z</t>
  </si>
  <si>
    <t>No</t>
  </si>
  <si>
    <t>Yes</t>
  </si>
  <si>
    <t>Low</t>
  </si>
  <si>
    <t>Endpoint for starting feed generation - success</t>
  </si>
  <si>
    <t>2024-07-30T08:00:49.587Z</t>
  </si>
  <si>
    <t>&lt;p&gt;Given: SFG is running&lt;br /&gt;and: request json contains gameID &lt;br /&gt;and request json contains tracking Path&lt;br /&gt;and game took place in last 48 hour window&lt;br /&gt;When  endpoint put request sent to endpoint&lt;br /&gt;Then 200 status is returned&lt;br /&gt;&lt;br /&gt;&lt;strong&gt;examples&lt;/strong&gt;&lt;/p&gt;&lt;figure class="table"&gt;&lt;table&gt;&lt;tbody&gt;&lt;tr&gt;&lt;td&gt;request perimeters&lt;/td&gt;&lt;td&gt;included&lt;/td&gt;&lt;td&gt;valid&lt;/td&gt;&lt;td&gt;response&lt;/td&gt;&lt;/tr&gt;&lt;tr&gt;&lt;td&gt;gameID&lt;/td&gt;&lt;td&gt;TRUE&lt;/td&gt;&lt;td&gt;TRUE&lt;/td&gt;&lt;td&gt;200&lt;/td&gt;&lt;/tr&gt;&lt;tr&gt;&lt;td&gt;tracking path&lt;/td&gt;&lt;td&gt;TRUE&lt;/td&gt;&lt;td&gt;TRUE&lt;/td&gt;&lt;td&gt;200&lt;/td&gt;&lt;/tr&gt;&lt;tr&gt;&lt;td&gt;events path&lt;/td&gt;&lt;td&gt;TRUE&lt;/td&gt;&lt;td&gt;TRUE&lt;/td&gt;&lt;td&gt;200&lt;/td&gt;&lt;/tr&gt;&lt;tr&gt;&lt;td&gt;offset&lt;/td&gt;&lt;td&gt;TRUE&lt;/td&gt;&lt;td&gt;TRUE&lt;/td&gt;&lt;td&gt;200&lt;/td&gt;&lt;/tr&gt;&lt;tr&gt;&lt;td&gt;force&lt;/td&gt;&lt;td&gt;FALSE&lt;/td&gt;&lt;td&gt;n/a&lt;/td&gt;&lt;td&gt;200&lt;/td&gt;&lt;/tr&gt;&lt;tr&gt;&lt;td&gt;force&lt;/td&gt;&lt;td&gt;TRUE&lt;/td&gt;&lt;td&gt;n/a&lt;/td&gt;&lt;td&gt;200&lt;/td&gt;&lt;/tr&gt;&lt;/tbody&gt;&lt;/table&gt;&lt;/figure&gt;&lt;p&gt;&lt;br /&gt; &lt;/p&gt;&lt;p&gt;endpoint&lt;br /&gt;http://localhost:9229/scrubbedFeedGenerator/scrubbed/start&lt;/p&gt;</t>
  </si>
  <si>
    <t>BAS-123  Scrubbed feed generator API</t>
  </si>
  <si>
    <t>BAS-121</t>
  </si>
  <si>
    <t>2025-01-22T08:32:24.903Z</t>
  </si>
  <si>
    <t>Normal</t>
  </si>
  <si>
    <t>request json bad request</t>
  </si>
  <si>
    <t>2024-07-30T08:01:17.298Z</t>
  </si>
  <si>
    <t>&lt;p&gt;Given SFG is running&lt;br /&gt;and request json excludes &amp;lt;parameter&amp;gt;&lt;br /&gt;and parameter is &amp;lt;valid&amp;gt;&lt;br /&gt;when put request is sent to endpoint&lt;br /&gt;then status 400 is returned&lt;br /&gt; &lt;/p&gt;&lt;figure class="table"&gt;&lt;table&gt;&lt;tbody&gt;&lt;tr&gt;&lt;td&gt;request permeteres&lt;/td&gt;&lt;td&gt;included&lt;/td&gt;&lt;td&gt;valid&lt;/td&gt;&lt;td&gt;response&lt;/td&gt;&lt;/tr&gt;&lt;tr&gt;&lt;td&gt;gameID&lt;/td&gt;&lt;td&gt;FALSE&lt;/td&gt;&lt;td&gt;N/a&lt;/td&gt;&lt;td&gt;400&lt;/td&gt;&lt;/tr&gt;&lt;tr&gt;&lt;td&gt;tracking path&lt;/td&gt;&lt;td&gt;FALSE&lt;/td&gt;&lt;td&gt;N/a&lt;/td&gt;&lt;td&gt;400&lt;/td&gt;&lt;/tr&gt;&lt;tr&gt;&lt;td&gt;events path&lt;/td&gt;&lt;td&gt;FALSE&lt;/td&gt;&lt;td&gt;N/a&lt;/td&gt;&lt;td&gt;400&lt;/td&gt;&lt;/tr&gt;&lt;tr&gt;&lt;td&gt;force&lt;/td&gt;&lt;td&gt;FALSE&lt;/td&gt;&lt;td&gt;FALSE&lt;/td&gt;&lt;td&gt;400&lt;/td&gt;&lt;/tr&gt;&lt;tr&gt;&lt;td&gt;gameID&lt;/td&gt;&lt;td&gt;TRUE&lt;/td&gt;&lt;td&gt;FALSE&lt;/td&gt;&lt;td&gt;400&lt;/td&gt;&lt;/tr&gt;&lt;tr&gt;&lt;td&gt;tracking path&lt;/td&gt;&lt;td&gt;TRUE&lt;/td&gt;&lt;td&gt;FALSE&lt;/td&gt;&lt;td&gt;400&lt;/td&gt;&lt;/tr&gt;&lt;tr&gt;&lt;td&gt;events path&lt;/td&gt;&lt;td&gt;TRUE&lt;/td&gt;&lt;td&gt;FALSE&lt;/td&gt;&lt;td&gt;400&lt;/td&gt;&lt;/tr&gt;&lt;/tbody&gt;&lt;/table&gt;&lt;/figure&gt;&lt;p&gt;&lt;br /&gt;&lt;br /&gt;&lt;br /&gt; &lt;/p&gt;</t>
  </si>
  <si>
    <t>2025-01-22T08:33:35.113Z</t>
  </si>
  <si>
    <t>SFG Scrubbed feeds</t>
  </si>
  <si>
    <t>2024-07-30T15:18:29.475Z</t>
  </si>
  <si>
    <t>&lt;p&gt;Given SFG is running&lt;br /&gt;and put request has returned 200 response&lt;br /&gt;when SFG reads data from directory&lt;br /&gt;Then feed is assembled&lt;br /&gt;&lt;br /&gt;examples&lt;br /&gt;feed&lt;br /&gt;processed.pose.clean&lt;br /&gt;processed.pose.complete&lt;/p&gt;</t>
  </si>
  <si>
    <t>BAS-125 Assemble scrubbed pose feeds</t>
  </si>
  <si>
    <t>2025-01-22T08:34:30.908Z</t>
  </si>
  <si>
    <t>validate feed data processed.pose.clean</t>
  </si>
  <si>
    <t>2024-07-31T12:56:45.304Z</t>
  </si>
  <si>
    <t>2025-01-22T08:34:59.020Z</t>
  </si>
  <si>
    <t>validate feed data processed.pose.complete</t>
  </si>
  <si>
    <t>2024-07-31T12:57:53.689Z</t>
  </si>
  <si>
    <t>2025-01-22T08:35:33.654Z</t>
  </si>
  <si>
    <t>validate feed data processed.events.complete</t>
  </si>
  <si>
    <t>2024-07-31T12:58:06.666Z</t>
  </si>
  <si>
    <t>2025-01-22T08:35:54.333Z</t>
  </si>
  <si>
    <t>validate feed data processed.events.clean</t>
  </si>
  <si>
    <t>2024-07-31T12:58:20.542Z</t>
  </si>
  <si>
    <t>2025-01-22T08:36:21.667Z</t>
  </si>
  <si>
    <t>SFG Write feeds to disk</t>
  </si>
  <si>
    <t>2024-07-30T15:26:05.246Z</t>
  </si>
  <si>
    <t>&lt;p&gt;Given SFG is running&lt;br /&gt;and put request returns 200 response&lt;br /&gt;and output to disk is set in config &lt;br /&gt;and assemblers have consumed bson data&lt;br /&gt;Then feed is output to disk location &lt;/p&gt;</t>
  </si>
  <si>
    <t>BAS-126 Output scrubbed feeds to disk</t>
  </si>
  <si>
    <t>2025-01-22T08:36:55.131Z</t>
  </si>
  <si>
    <t>SFG write to disk false</t>
  </si>
  <si>
    <t>2024-07-30T15:31:34.840Z</t>
  </si>
  <si>
    <t>&lt;p&gt;Given SFG is running&lt;br /&gt;and put request returns 200 response&lt;br /&gt;and output to disk is set to false in config &lt;br /&gt;and assemblers have consumed bson data&lt;br /&gt;Then feed is not output disk location&lt;/p&gt;</t>
  </si>
  <si>
    <t>2025-01-22T08:37:10.692Z</t>
  </si>
  <si>
    <t>Get and populate game details</t>
  </si>
  <si>
    <t>2024-07-31T06:36:10.906Z</t>
  </si>
  <si>
    <t>&lt;p&gt;Given SFG is running&lt;br /&gt;and 200 response returned from endpoint&lt;br /&gt;when SFG send get request to NGSS API &amp;lt;endpoint&amp;gt;&lt;br /&gt;then data returned is used to populate game details&lt;br /&gt; &lt;/p&gt;&lt;figure class="table"&gt;&lt;table&gt;&lt;tbody&gt;&lt;tr&gt;&lt;td&gt;endpoint&lt;/td&gt;&lt;/tr&gt;&lt;tr&gt;&lt;td&gt;/leagues/00/seasons?Format=json&amp;amp;limit=0&lt;/td&gt;&lt;/tr&gt;&lt;tr&gt;&lt;td&gt;/Games/0022301113/officials?Format=json&lt;/td&gt;&lt;/tr&gt;&lt;tr&gt;&lt;td&gt;/Games/0022301113/rosters?Format=json&lt;/td&gt;&lt;/tr&gt;&lt;tr&gt;&lt;td&gt;/Games/0022301113?Format=json&lt;/td&gt;&lt;/tr&gt;&lt;tr&gt;&lt;td&gt;leagues/00/seasons?Format=json&amp;amp;limit=0&lt;/td&gt;&lt;/tr&gt;&lt;tr&gt;&lt;td&gt;/Games/0022301113/officials?Format=json&lt;/td&gt;&lt;/tr&gt;&lt;tr&gt;&lt;td&gt;/Games/0022301113/rosters?Format=json&lt;/td&gt;&lt;/tr&gt;&lt;/tbody&gt;&lt;/table&gt;&lt;/figure&gt;</t>
  </si>
  <si>
    <t>BAS-124 Populate game details from scrubbed API game id</t>
  </si>
  <si>
    <t>2025-01-22T08:37:39.933Z</t>
  </si>
  <si>
    <t>end to end SFG</t>
  </si>
  <si>
    <t>2025-01-22T08:38:13.754Z</t>
  </si>
  <si>
    <t>BAS-122  Setup Scrubbed Feed Generator module</t>
  </si>
  <si>
    <t>2025-01-22T08:38:29.485Z</t>
  </si>
  <si>
    <t>write feed to Azure</t>
  </si>
  <si>
    <t>2024-07-31T08:06:28.665Z</t>
  </si>
  <si>
    <t>&lt;p&gt;&lt;strong&gt;Given&lt;/strong&gt; SFG is running&lt;br /&gt;and put request to start endpoint returned success code&lt;br /&gt;&lt;strong&gt;When&lt;/strong&gt; data is processed by SFG&lt;br /&gt;&lt;strong&gt;Then&lt;/strong&gt; feeds are output to Azure&lt;br /&gt;&lt;br /&gt;feeds.&lt;br /&gt;Processed.events.clean&lt;br /&gt;Processed.events.complete&lt;br /&gt;Processed.pose.clean&lt;br /&gt;Processed.pose.ccomplete&lt;/p&gt;&lt;p&gt;&lt;br /&gt; &lt;/p&gt;</t>
  </si>
  <si>
    <t>BAS-127  Output scrubbed feeds to Azure storage</t>
  </si>
  <si>
    <t>2025-01-22T08:38:46.527Z</t>
  </si>
  <si>
    <t>Write feeds to S3</t>
  </si>
  <si>
    <t>2024-07-31T08:34:01.466Z</t>
  </si>
  <si>
    <t>&lt;p&gt;GIven SFG is running&lt;br /&gt;And put request returns success code&lt;br /&gt;and SFG has processed feed data&lt;br /&gt;Then feeds are output to S3&lt;br /&gt;&lt;br /&gt;feeds&lt;br /&gt; &lt;/p&gt;</t>
  </si>
  <si>
    <t>BAS-128  Output scrubbed feeds to S3</t>
  </si>
  <si>
    <t>2025-01-22T08:39:22.013Z</t>
  </si>
  <si>
    <t>Get status - queued</t>
  </si>
  <si>
    <t>2024-07-31T08:47:18.755Z</t>
  </si>
  <si>
    <t>&lt;p&gt;Given SFG is running&lt;br /&gt;and user has send request to endpoint scrubbed/start&lt;br /&gt;When  get request sent to endpoint  /status&lt;br /&gt;Then status "queued" is returned in response &lt;/p&gt;</t>
  </si>
  <si>
    <t>BAS-129  Scrubbed progress metrics</t>
  </si>
  <si>
    <t>2025-01-22T08:40:01.593Z</t>
  </si>
  <si>
    <t>Get status - in progress</t>
  </si>
  <si>
    <t>2024-07-31T09:19:31.874Z</t>
  </si>
  <si>
    <t>&lt;p&gt;Given SFG is running&lt;br /&gt;and scrubbed/batch request has returned status 200 ok&lt;br /&gt;when get request is sent to /status endpoint&lt;br /&gt;Then status is returned as state "in progress" with timestamp&lt;/p&gt;</t>
  </si>
  <si>
    <t>2025-01-22T08:40:16.389Z</t>
  </si>
  <si>
    <t>get status - finished</t>
  </si>
  <si>
    <t>2024-07-31T09:29:46.563Z</t>
  </si>
  <si>
    <t>&lt;p&gt;Given SFG is running&lt;br /&gt;and scrubbed/ batch endpoint has returned code 200&lt;br /&gt;and scrubbed/ finish endpoint has returned code 200&lt;br /&gt;and all files have have finished processing&lt;br /&gt;when get request is sent to endpoint /status&lt;br /&gt;&lt;br /&gt;Then status is returned state is equal to "finished&lt;br /&gt;and started timestamp is true&lt;br /&gt;and finished timestamp is true&lt;/p&gt;</t>
  </si>
  <si>
    <t>2025-01-22T08:40:35.861Z</t>
  </si>
  <si>
    <t>scrubbed status - progress 1</t>
  </si>
  <si>
    <t>2024-07-31T09:22:47.309Z</t>
  </si>
  <si>
    <t>&lt;p&gt;Given SFG is running&lt;br /&gt;and scrubbed/ batch endpoint has returned code 200&lt;br /&gt;and scrubbed/ finish endpoint has returned code 200&lt;br /&gt;and all files have have finished processing&lt;br /&gt;when get request is sent to endpoint /status&lt;br /&gt;Then progress is returned for &amp;lt;target&amp;gt; &amp;lt;message type&amp;gt; &amp;lt;name&amp;gt; &lt;br /&gt;and total should equal attempted &lt;br /&gt;and total should equal succeeded&lt;br /&gt;and failed should equal 0&lt;br /&gt;and skipped should = 0&lt;br /&gt; &lt;/p&gt;&lt;figure class="table"&gt;&lt;table&gt;&lt;tbody&gt;&lt;tr&gt;&lt;td&gt; &lt;/td&gt;&lt;td&gt;HEI&lt;/td&gt;&lt;td&gt;NBA&lt;/td&gt;&lt;td&gt;2S&lt;/td&gt;&lt;td&gt;Local&lt;/td&gt;&lt;/tr&gt;&lt;tr&gt;&lt;td&gt;processed.events.complete&lt;/td&gt;&lt;td&gt;S3&lt;/td&gt;&lt;td&gt;Azure&lt;/td&gt;&lt;td&gt; &lt;/td&gt;&lt;td&gt; &lt;/td&gt;&lt;/tr&gt;&lt;tr&gt;&lt;td&gt;processed.events.clean&lt;/td&gt;&lt;td&gt;S3&lt;/td&gt;&lt;td&gt;Azure&lt;/td&gt;&lt;td&gt; &lt;/td&gt;&lt;td&gt; &lt;/td&gt;&lt;/tr&gt;&lt;tr&gt;&lt;td&gt;processed.pose.complete&lt;/td&gt;&lt;td&gt;S3&lt;/td&gt;&lt;td&gt;Azure&lt;/td&gt;&lt;td&gt;S3&lt;/td&gt;&lt;td&gt;Disk&lt;/td&gt;&lt;/tr&gt;&lt;tr&gt;&lt;td&gt;processed.pose.clean&lt;/td&gt;&lt;td&gt;S3&lt;/td&gt;&lt;td&gt;Azure&lt;/td&gt;&lt;td&gt; &lt;/td&gt;&lt;td&gt;Disk&lt;/td&gt;&lt;/tr&gt;&lt;/tbody&gt;&lt;/table&gt;&lt;/figure&gt;</t>
  </si>
  <si>
    <t>2025-01-22T08:41:06.179Z</t>
  </si>
  <si>
    <t>silently Ignore frames missing with zero tracking data</t>
  </si>
  <si>
    <t>2024-07-31T10:46:54.268Z</t>
  </si>
  <si>
    <t>&lt;p&gt;Given SFG is running&lt;br /&gt;and bson file does not contain &amp;lt;samples&amp;gt;&lt;br /&gt;and &amp;lt;gameClock&amp;gt; is equal to false&lt;br /&gt;when frame is processed by SFG&lt;br /&gt;then error message is no sent to log&lt;br /&gt;and counter is incremented by 1&lt;br /&gt;&lt;br /&gt; &lt;/p&gt;&lt;figure class="table"&gt;&lt;table&gt;&lt;tbody&gt;&lt;tr&gt;&lt;td&gt; &lt;/td&gt;&lt;td&gt;Scenario 1&lt;/td&gt;&lt;td&gt;Scenario 2&lt;/td&gt;&lt;td&gt;Scenario 3&lt;/td&gt;&lt;td&gt;Scenario 4&lt;/td&gt;&lt;/tr&gt;&lt;tr&gt;&lt;td&gt;ballSamples&lt;/td&gt;&lt;td&gt;Null&lt;/td&gt;&lt;td&gt;Null&lt;/td&gt;&lt;td&gt;Null&lt;/td&gt;&lt;td&gt;Null&lt;/td&gt;&lt;/tr&gt;&lt;tr&gt;&lt;td&gt;peopleSamples&lt;/td&gt;&lt;td&gt;Null&lt;/td&gt;&lt;td&gt;Null&lt;/td&gt;&lt;td&gt;Null&lt;/td&gt;&lt;td&gt;Null&lt;/td&gt;&lt;/tr&gt;&lt;tr&gt;&lt;td&gt;officialsSamples&lt;/td&gt;&lt;td&gt;Null&lt;/td&gt;&lt;td&gt;Null&lt;/td&gt;&lt;td&gt;Null&lt;/td&gt;&lt;td&gt;Null&lt;/td&gt;&lt;/tr&gt;&lt;tr&gt;&lt;td&gt;GameClock&lt;/td&gt;&lt;td&gt;TRUE&lt;/td&gt;&lt;td&gt;FALSE&lt;/td&gt;&lt;td&gt;TRUE&lt;/td&gt;&lt;td&gt;FALSE&lt;/td&gt;&lt;/tr&gt;&lt;tr&gt;&lt;td&gt;Shotclock&lt;/td&gt;&lt;td&gt;TRUE&lt;/td&gt;&lt;td&gt;TRUE&lt;/td&gt;&lt;td&gt;FALSE&lt;/td&gt;&lt;td&gt;FALSE&lt;/td&gt;&lt;/tr&gt;&lt;tr&gt;&lt;td&gt;error message?&lt;/td&gt;&lt;td&gt;log&lt;/td&gt;&lt;td&gt;log&lt;/td&gt;&lt;td&gt;log&lt;/td&gt;&lt;td&gt;no log&lt;/td&gt;&lt;/tr&gt;&lt;/tbody&gt;&lt;/table&gt;&lt;/figure&gt;</t>
  </si>
  <si>
    <t>BAS-164  Frames with no tracking data are being reported as errors</t>
  </si>
  <si>
    <t>2025-01-22T08:42:13.693Z</t>
  </si>
  <si>
    <t>run batch queue game</t>
  </si>
  <si>
    <t>2024-07-24T15:39:32.305Z</t>
  </si>
  <si>
    <t>&lt;p&gt;Given SFG is running&lt;br /&gt;and game took place in 48 hour window&lt;br /&gt;When put request sent to endpoint scrubbed/stat&lt;br /&gt;then status code 200 is returned&lt;br /&gt;and game status is queued &lt;/p&gt;</t>
  </si>
  <si>
    <t>BAS-183  Scrubbed chunked uploads</t>
  </si>
  <si>
    <t>2025-01-22T08:42:44.576Z</t>
  </si>
  <si>
    <t>run batch queue game - bad request</t>
  </si>
  <si>
    <t>2024-07-31T12:28:49.496Z</t>
  </si>
  <si>
    <t>&lt;p&gt;Given SFG is running&lt;br /&gt;and game took place in 48 hour window&lt;br /&gt;When put request sent to endpoint scrubbed/stat&lt;br /&gt;then status code 200 is returned&lt;br /&gt;and game status is queued &lt;br /&gt;&lt;br /&gt; &lt;/p&gt;&lt;figure class="table"&gt;&lt;table&gt;&lt;tbody&gt;&lt;tr&gt;&lt;td&gt;request permeteres&lt;/td&gt;&lt;td&gt;included&lt;/td&gt;&lt;td&gt;valid&lt;/td&gt;&lt;td&gt;response&lt;/td&gt;&lt;/tr&gt;&lt;tr&gt;&lt;td&gt;gameID&lt;/td&gt;&lt;td&gt;FALSE&lt;/td&gt;&lt;td&gt;N/a&lt;/td&gt;&lt;td&gt;400&lt;/td&gt;&lt;/tr&gt;&lt;tr&gt;&lt;td&gt;tracking path&lt;/td&gt;&lt;td&gt;FALSE&lt;/td&gt;&lt;td&gt;N/a&lt;/td&gt;&lt;td&gt;400&lt;/td&gt;&lt;/tr&gt;&lt;tr&gt;&lt;td&gt;events path&lt;/td&gt;&lt;td&gt;FALSE&lt;/td&gt;&lt;td&gt;N/a&lt;/td&gt;&lt;td&gt;400&lt;/td&gt;&lt;/tr&gt;&lt;tr&gt;&lt;td&gt;force&lt;/td&gt;&lt;td&gt;FALSE&lt;/td&gt;&lt;td&gt;FALSE&lt;/td&gt;&lt;td&gt;400&lt;/td&gt;&lt;/tr&gt;&lt;tr&gt;&lt;td&gt;gameID&lt;/td&gt;&lt;td&gt;TRUE&lt;/td&gt;&lt;td&gt;FALSE&lt;/td&gt;&lt;td&gt;400&lt;/td&gt;&lt;/tr&gt;&lt;tr&gt;&lt;td&gt;tracking path&lt;/td&gt;&lt;td&gt;TRUE&lt;/td&gt;&lt;td&gt;FALSE&lt;/td&gt;&lt;td&gt;400&lt;/td&gt;&lt;/tr&gt;&lt;tr&gt;&lt;td&gt;events path&lt;/td&gt;&lt;td&gt;TRUE&lt;/td&gt;&lt;td&gt;FALSE&lt;/td&gt;&lt;td&gt;400&lt;/td&gt;&lt;/tr&gt;&lt;/tbody&gt;&lt;/table&gt;&lt;/figure&gt;</t>
  </si>
  <si>
    <t>2025-01-22T08:43:06.750Z</t>
  </si>
  <si>
    <t>run batched upload</t>
  </si>
  <si>
    <t>2024-07-31T12:33:12.112Z</t>
  </si>
  <si>
    <t>&lt;p&gt;&lt;strong&gt;Given&lt;/strong&gt; SFG is running&lt;br /&gt;and game is in queued state&lt;br /&gt;&lt;strong&gt;when&lt;/strong&gt; put  request /batch sent to endpoint&lt;br /&gt;&lt;strong&gt;then&lt;/strong&gt; status code 200 is returned &lt;br /&gt;and all files in directory are processed in SFG&lt;br /&gt;&lt;br /&gt;request json&lt;br /&gt;{&lt;/p&gt;&lt;p&gt;    "gameId": "0022301113",  &lt;/p&gt;&lt;p&gt;    "trackingPath": "C:/Users/MatthewEast/work/DataPlatforms/java-backend-automation-pilot/inputData/SFG/BSONS_0022301113_2024-04-050000_HOU_GSW_+500_V11/tracking/1215",  &lt;/p&gt;&lt;p&gt;    "trackingEventPath": "C:/Users/MatthewEast/work/DataPlatforms/java-backend-automation-pilot/inputData/SFG/BSONS_0022301113_2024-04-050000_HOU_GSW_+500_V11/events/1215",  &lt;/p&gt;&lt;p&gt;    "trackingOffset": "Z"&lt;/p&gt;&lt;p&gt;}&lt;/p&gt;</t>
  </si>
  <si>
    <t>2025-01-22T08:43:28.986Z</t>
  </si>
  <si>
    <t>finish batch</t>
  </si>
  <si>
    <t>2024-07-31T12:40:45.995Z</t>
  </si>
  <si>
    <t>Case (text)</t>
  </si>
  <si>
    <t>validate order of batch</t>
  </si>
  <si>
    <t>2024-07-31T12:42:18.829Z</t>
  </si>
  <si>
    <t>2025-01-22T08:43:57.465Z</t>
  </si>
  <si>
    <t>Scrubbed chunks - monitoring metrics</t>
  </si>
  <si>
    <t>2024-07-31T12:43:33.844Z</t>
  </si>
  <si>
    <t>2025-01-22T08:44:17.354Z</t>
  </si>
  <si>
    <t>Notification that scrubbing is complete</t>
  </si>
  <si>
    <t>2024-07-31T12:43:45.825Z</t>
  </si>
  <si>
    <t>2025-01-22T08:44:43.094Z</t>
  </si>
  <si>
    <t>BAS-579 Provide a status endpoint for OPs status</t>
  </si>
  <si>
    <t>2024-07-08T07:28:42.581Z</t>
  </si>
  <si>
    <t>&lt;p&gt;Given SFG is running&lt;br /&gt;And request body contains accepted json&lt;br /&gt;When get request is made to API endpoint &amp;lt;URI&amp;gt; &lt;br /&gt;Then correct API status returned&lt;/p&gt;&lt;p&gt;request json | API status&lt;br /&gt;True                   | 200  &lt;br /&gt;Fale                   | 400&lt;br /&gt; &lt;/p&gt;</t>
  </si>
  <si>
    <t>BAS-579 Provide a status endpoint for OPs</t>
  </si>
  <si>
    <t>BAS-579</t>
  </si>
  <si>
    <t>2024-07-11T15:49:52.052Z</t>
  </si>
  <si>
    <t>2025-01-22T11:06:10.894Z</t>
  </si>
  <si>
    <t>BAS-579 Provide a status endpoint for OPs active outputs</t>
  </si>
  <si>
    <t>2024-07-08T08:14:36.864Z</t>
  </si>
  <si>
    <t>&lt;p&gt;Given  SFG is running&lt;br /&gt;and  &amp;lt;active outputs&amp;gt; are &amp;lt;running&amp;gt;&lt;br /&gt;and  user sends get request to endpoint uri&lt;br /&gt;Then feed details for each active output is returned &lt;/p&gt;&lt;p&gt;active output                                  | running    | Active output&lt;br /&gt;processed.pose.clean                |  True          | True&lt;br /&gt;processed.pose.complete       |  True          | True&lt;br /&gt;Combined.events.clean           |  True          | True&lt;br /&gt;Combined.events.complete  |  True          | True&lt;br /&gt;processed.pose.clean                |  False          | False&lt;br /&gt;processed.pose.complete       |  False          | False&lt;br /&gt;Combined.events.clean           |  False          | False&lt;br /&gt;Combined.events.complete  |  False         | False&lt;/p&gt;</t>
  </si>
  <si>
    <t>2024-07-11T15:49:56.204Z</t>
  </si>
  <si>
    <t>2025-01-22T08:45:39.547Z</t>
  </si>
  <si>
    <t>BAS-579 Provide a status endpoint for OPs health check status</t>
  </si>
  <si>
    <t>2024-07-08T08:44:32.243Z</t>
  </si>
  <si>
    <t>&lt;p&gt;Given SFG is running&lt;br /&gt;and &amp;lt;service&amp;gt; status is &amp;lt;status&amp;gt;&lt;br /&gt;When get request is sent to endpoint URI "/scrubbed/env"&lt;br /&gt;Then correct health check status is returned&lt;br /&gt;&lt;br /&gt;service | status | health check status&lt;br /&gt;Azure   |  up        |  Active&lt;br /&gt;S3          |  up        | Active &lt;br /&gt;Azure  |  down |  Inactive&lt;br /&gt;S3          |  down |  Inactive&lt;/p&gt;</t>
  </si>
  <si>
    <t>2024-07-11T15:50:00.015Z</t>
  </si>
  <si>
    <t>2025-01-22T08:46:02.956Z</t>
  </si>
  <si>
    <t>BAS-579 Provide a status endpoint for OPs arenaID</t>
  </si>
  <si>
    <t>2024-07-08T08:44:54.802Z</t>
  </si>
  <si>
    <t>&lt;p&gt;GIven SFG is running&lt;br /&gt;and gameID is set&lt;br /&gt;When get request is sent to URI&lt;br /&gt;Then the correct arena ID is returned for the game&lt;/p&gt;</t>
  </si>
  <si>
    <t>2025-01-22T09:17:49.140Z</t>
  </si>
  <si>
    <t>2025-01-22T08:46:24.999Z</t>
  </si>
  <si>
    <t>BAS-515 Simplified config</t>
  </si>
  <si>
    <t>2024-07-08T09:30:30.455Z</t>
  </si>
  <si>
    <t>&lt;p&gt;Given config contains arenaID &lt;br /&gt;and config contains encrypted credentials &lt;br /&gt;When &amp;lt;service&amp;gt; is started&lt;br /&gt;Then service runs without error&lt;br /&gt;&lt;br /&gt;service&lt;br /&gt;LFG&lt;br /&gt;SFG&lt;/p&gt;</t>
  </si>
  <si>
    <t>BAS -515 Create new encrypted configurations for SFG &amp; LFG</t>
  </si>
  <si>
    <t>BAS-515</t>
  </si>
  <si>
    <t>2024-07-15T11:41:00.151Z</t>
  </si>
  <si>
    <t>2025-01-22T08:47:00.842Z</t>
  </si>
  <si>
    <t>New API endpoint</t>
  </si>
  <si>
    <t>2024-07-08T12:05:23.626Z</t>
  </si>
  <si>
    <t>&lt;p&gt;Given SFG is running&lt;br /&gt;When I send post request to endpoint "scrubbed/start/session"&lt;br /&gt;Then status code 201 is returned&lt;/p&gt;</t>
  </si>
  <si>
    <t>BAS-606   Scrubbed output for non-game events</t>
  </si>
  <si>
    <t>BAS-606</t>
  </si>
  <si>
    <t>2024-07-16T14:54:42.975Z</t>
  </si>
  <si>
    <t>2025-01-22T08:47:34.977Z</t>
  </si>
  <si>
    <t>Run data as single request</t>
  </si>
  <si>
    <t>2024-07-08T12:06:21.792Z</t>
  </si>
  <si>
    <t>&lt;p&gt;Given SFG is running&lt;br /&gt;And data is stored in a single directory (not batched)&lt;br /&gt;When send post request to SFG&lt;br /&gt;Then output process is completed&lt;/p&gt;</t>
  </si>
  <si>
    <t>2024-07-16T14:54:47.004Z</t>
  </si>
  <si>
    <t>2025-01-22T08:48:12.309Z</t>
  </si>
  <si>
    <t>Json request body</t>
  </si>
  <si>
    <t>2024-07-08T12:06:42.781Z</t>
  </si>
  <si>
    <t>&lt;p&gt;Given SFG is running&lt;br /&gt;And request json contains all &amp;lt;mandatory data&amp;gt;&lt;br /&gt;When post request is send to endpoint&lt;br /&gt;Then  &amp;lt;status code&amp;gt; is returned&lt;br /&gt;&lt;br /&gt;mandatory fields | completed&lt;br /&gt;True                            | 202&lt;br /&gt;false                           | 400 &lt;/p&gt;</t>
  </si>
  <si>
    <t>2024-07-16T14:54:51.207Z</t>
  </si>
  <si>
    <t>2025-01-22T08:48:37.830Z</t>
  </si>
  <si>
    <t>request ID</t>
  </si>
  <si>
    <t>2024-07-08T12:06:52.800Z</t>
  </si>
  <si>
    <t>2024-07-16T14:54:55.672Z</t>
  </si>
  <si>
    <t>2025-01-22T08:49:42.091Z</t>
  </si>
  <si>
    <t>game active filtering</t>
  </si>
  <si>
    <t>2024-07-08T12:07:16.703Z</t>
  </si>
  <si>
    <t>&lt;p&gt;Given SFG is running&lt;br /&gt;and BSON contains game active field &amp;lt;isActive&amp;gt;&lt;br /&gt;When data is processed&lt;br /&gt;Then json data is produced &lt;br /&gt;&lt;br /&gt;is Active&lt;br /&gt;True&lt;br /&gt;False&lt;/p&gt;</t>
  </si>
  <si>
    <t>2024-07-16T14:54:59.191Z</t>
  </si>
  <si>
    <t>2025-01-22T08:52:11.205Z</t>
  </si>
  <si>
    <t>output data path format</t>
  </si>
  <si>
    <t>2024-07-08T12:07:30.440Z</t>
  </si>
  <si>
    <t>&lt;p&gt;Given BSON data is consumed in SFG&lt;br /&gt;When JSON data is output to disc&lt;br /&gt;Then JSON data matches is written to path &lt;br /&gt; &lt;/p&gt;&lt;p&gt;{seasonYear}/{leagueCode}_{leagueName}/{arenaId}_{arenaName}/{sessionName}/{YYYY-MM-DD}/{messageType}&lt;/p&gt;</t>
  </si>
  <si>
    <t>2024-07-16T14:55:01.814Z</t>
  </si>
  <si>
    <t>2025-01-22T08:52:18.424Z</t>
  </si>
  <si>
    <t>batch data</t>
  </si>
  <si>
    <t>2024-07-08T12:07:55.059Z</t>
  </si>
  <si>
    <t>&lt;p&gt;Given SFG is consuming Bson data&lt;br /&gt;When  data is output to disk&lt;br /&gt;Then data is batched containing 1000 json lines per files&lt;/p&gt;</t>
  </si>
  <si>
    <t>2024-07-16T14:55:04.899Z</t>
  </si>
  <si>
    <t>2025-01-22T08:52:26.329Z</t>
  </si>
  <si>
    <t>data accuracy validation</t>
  </si>
  <si>
    <t>2024-07-08T13:10:02.110Z</t>
  </si>
  <si>
    <t>&lt;p&gt;Given bson data is consumed via SFG&lt;br /&gt;and API call includes session and player details&lt;br /&gt;When json data is compared again source data&lt;br /&gt;Then all fields are populated as expected, containing accurate data &lt;/p&gt;</t>
  </si>
  <si>
    <t>2024-07-16T14:55:08.157Z</t>
  </si>
  <si>
    <t>2025-01-22T08:52:38.616Z</t>
  </si>
  <si>
    <t>Already subscribed message - Info</t>
  </si>
  <si>
    <t>2024-07-08T14:42:43.249Z</t>
  </si>
  <si>
    <t>&lt;p&gt;Given SFG has started &lt;br /&gt;When a new quarter starts processing &lt;br /&gt;Then message is written out at  info level  "Already subscribed for game 0042300202" NOT an error&lt;/p&gt;</t>
  </si>
  <si>
    <t>BAS-619  Convert "Already subscribed for game x" error</t>
  </si>
  <si>
    <t>BAS-619</t>
  </si>
  <si>
    <t>2024-07-10T10:33:53.297Z</t>
  </si>
  <si>
    <t>2025-01-22T08:53:05.861Z</t>
  </si>
  <si>
    <t>Already subscribed for game message</t>
  </si>
  <si>
    <t>2024-07-08T14:48:17.056Z</t>
  </si>
  <si>
    <t>&lt;p&gt;Given SFG has started &lt;br /&gt;When a new quarter starts processing &lt;br /&gt;Then message is written out at  info level  "Already subscribed for game xxxx" &lt;br /&gt;NOT an error&lt;/p&gt;</t>
  </si>
  <si>
    <t>2024-07-15T11:41:26.272Z</t>
  </si>
  <si>
    <t>2025-01-22T08:53:15.999Z</t>
  </si>
  <si>
    <t>Add string prefix to be set on log messages</t>
  </si>
  <si>
    <t>2024-07-08T14:51:26.664Z</t>
  </si>
  <si>
    <t>BAS-592   Easier querying for SFG upload log message</t>
  </si>
  <si>
    <t>BAS-592</t>
  </si>
  <si>
    <t>2025-01-22T08:53:42.334Z</t>
  </si>
  <si>
    <t>Datadog metric for messages sent</t>
  </si>
  <si>
    <t>2024-07-08T14:53:19.813Z</t>
  </si>
  <si>
    <t>BAS-474   Create new metrics for reporting on number of files sent</t>
  </si>
  <si>
    <t>2024-07-15T11:41:35.359Z</t>
  </si>
  <si>
    <t>2025-01-22T08:54:30.808Z</t>
  </si>
  <si>
    <t>metric in datadog for number of messages</t>
  </si>
  <si>
    <t>2024-08-02T12:24:03.848Z</t>
  </si>
  <si>
    <t>&lt;p&gt;&lt;strong&gt;Given&lt;/strong&gt; SFG is running&lt;br /&gt;and files have been processed&lt;br /&gt;When dataDog is viewed&lt;br /&gt;&lt;strong&gt;Then &lt;/strong&gt;metric with number of files send to NBA  displays total number of files processed. &lt;/p&gt;</t>
  </si>
  <si>
    <t>BAS-471  Report on number of files sent by SFG to NBA</t>
  </si>
  <si>
    <t>2025-01-22T08:55:04.419Z</t>
  </si>
  <si>
    <t>Alert NBA when post-match feeds have been uploaded to Azure</t>
  </si>
  <si>
    <t>2024-10-21T10:51:10.862Z</t>
  </si>
  <si>
    <t>BAS-760   Alert NBA when Azure uploads of processed feeds are complete</t>
  </si>
  <si>
    <t>2025-01-22T08:55:28.154Z</t>
  </si>
  <si>
    <t>Add multiple players to put request</t>
  </si>
  <si>
    <t>2025-01-21T10:31:23.713Z</t>
  </si>
  <si>
    <t>BAS-733   Allow for players to be assigned to home or away teams in SFG without NGSS</t>
  </si>
  <si>
    <t>BAS-733</t>
  </si>
  <si>
    <t>2025-02-05T13:59:16.550Z</t>
  </si>
  <si>
    <t>2025-02-03T16:58:22.363Z</t>
  </si>
  <si>
    <t>add player team ID to put request</t>
  </si>
  <si>
    <t>2025-01-21T10:31:38.344Z</t>
  </si>
  <si>
    <t>2025-02-05T13:59:20.267Z</t>
  </si>
  <si>
    <t>2025-02-03T16:58:27.777Z</t>
  </si>
  <si>
    <t>Players output to json</t>
  </si>
  <si>
    <t>2025-01-21T10:31:50.733Z</t>
  </si>
  <si>
    <t>2025-02-05T13:59:25.369Z</t>
  </si>
  <si>
    <t>2025-02-03T16:58:33.398Z</t>
  </si>
  <si>
    <t>teams output to json</t>
  </si>
  <si>
    <t>2025-01-21T10:32:03.722Z</t>
  </si>
  <si>
    <t>2025-02-07T14:12:42.870Z</t>
  </si>
  <si>
    <t>2025-02-03T16:58:40.966Z</t>
  </si>
  <si>
    <t>Pose backfill selectively not applied</t>
  </si>
  <si>
    <t>2025-01-22T14:49:39.645Z</t>
  </si>
  <si>
    <t>BAS-838  Pose backfill selectively not applied</t>
  </si>
  <si>
    <t>BAS-838</t>
  </si>
  <si>
    <t>2025-02-03T10:44:04.923Z</t>
  </si>
  <si>
    <t>2025-01-27T15:16:58.092Z</t>
  </si>
  <si>
    <t>2025-01-22T14:53:08.987Z</t>
  </si>
  <si>
    <t>BAS-844  Reprocessing Manager fails when selecting season</t>
  </si>
  <si>
    <t>BAS-844</t>
  </si>
  <si>
    <t>2025-01-27T12:36:45.150Z</t>
  </si>
  <si>
    <t>2025-01-27T15:17:16.143Z</t>
  </si>
  <si>
    <t>find the frame time which is closest to the timeUTC</t>
  </si>
  <si>
    <t>2025-01-22T15:29:34.593Z</t>
  </si>
  <si>
    <t>BAS-964  Pose backfill not working for event 660 in game 0022400007</t>
  </si>
  <si>
    <t>BAS-964</t>
  </si>
  <si>
    <t>2025-02-03T10:44:17.692Z</t>
  </si>
  <si>
    <t>2025-01-27T15:17:54.954Z</t>
  </si>
  <si>
    <t>launch4J configuration will have a new parameter added to it</t>
  </si>
  <si>
    <t>2025-01-22T15:23:33.710Z</t>
  </si>
  <si>
    <t>BAS-957  SFG need to write a process file on startup for Configurator</t>
  </si>
  <si>
    <t>BAS-957</t>
  </si>
  <si>
    <t>2025-01-28T11:04:31.956Z</t>
  </si>
  <si>
    <t>2025-01-27T15:13:43.792Z</t>
  </si>
  <si>
    <t>When SFG is launched it will create a file named ProcessInfo.json in the directory it was launched from</t>
  </si>
  <si>
    <t>2025-01-28T11:04:37.507Z</t>
  </si>
  <si>
    <t>2025-01-27T15:13:52.628Z</t>
  </si>
  <si>
    <t>f this file exists then SFG should refuse to launch and issue an appropriate error message.</t>
  </si>
  <si>
    <t>2025-01-28T14:15:01.379Z</t>
  </si>
  <si>
    <t>2025-01-27T15:14:01.882Z</t>
  </si>
  <si>
    <t>ProcessInfo.json</t>
  </si>
  <si>
    <t>2025-01-28T12:46:06.928Z</t>
  </si>
  <si>
    <t>2025-01-27T15:14:11.025Z</t>
  </si>
  <si>
    <t>LFG PMEG Pose backfill BAD_PASS</t>
  </si>
  <si>
    <t>2025-04-01T13:21:49.977Z</t>
  </si>
  <si>
    <t>BAS-807 Pose backfill turnovers in post game combined events</t>
  </si>
  <si>
    <t>BAS-807</t>
  </si>
  <si>
    <t>LFG PMEG Pose backfill LOST_BALL</t>
  </si>
  <si>
    <t>LFG PMEG Pose backfill OUT_OF_BOUNDS</t>
  </si>
  <si>
    <t>match the turnover to a tracking event</t>
  </si>
  <si>
    <t>BAS-808 Listen for updates on turnovers in live workflow</t>
  </si>
  <si>
    <t>BAS-808</t>
  </si>
  <si>
    <t>delete the existing ngss only event</t>
  </si>
  <si>
    <t>BAS-824 Last touch details in bson moved</t>
  </si>
  <si>
    <t>SFG send final box message</t>
  </si>
  <si>
    <t>&lt;p&gt;Given: Game has ended&lt;br /&gt;When: Stats crew send finalbox message to NGSS&lt;br /&gt;Then: service is disconnected from websocket &lt;/p&gt;</t>
  </si>
  <si>
    <t>BAS-836 Change reconnect policy on Websocket when game not active</t>
  </si>
  <si>
    <t>BAS-836</t>
  </si>
  <si>
    <t>2025-04-17T07:13:36.771Z</t>
  </si>
  <si>
    <t>SFG Pose backfill BAD_PASS</t>
  </si>
  <si>
    <t>2025-02-13T10:06:01.611Z</t>
  </si>
  <si>
    <t>2025-02-18T12:48:38.586Z</t>
  </si>
  <si>
    <t>2025-02-14T08:09:52.843Z</t>
  </si>
  <si>
    <t>SFG Pose backfill LOST_BALL</t>
  </si>
  <si>
    <t>2025-02-13T10:06:23.927Z</t>
  </si>
  <si>
    <t>2025-02-18T12:48:42.975Z</t>
  </si>
  <si>
    <t>2025-02-14T08:10:02.270Z</t>
  </si>
  <si>
    <t>SFG Pose backfill OUT_OF_BOUNDS</t>
  </si>
  <si>
    <t>2025-02-13T10:08:16.427Z</t>
  </si>
  <si>
    <t>2025-02-18T12:48:46.110Z</t>
  </si>
  <si>
    <t>2025-02-14T08:10:10.407Z</t>
  </si>
  <si>
    <t>SFG Pose backfill when NGSS event sent during break in play</t>
  </si>
  <si>
    <t>2025-04-01T13:36:59.141Z</t>
  </si>
  <si>
    <t>&lt;p&gt;Given: Game clock has stopped&lt;br /&gt;When: NGSS event is sent after a delay&lt;br /&gt;Then: POSE data is back filled to match event&lt;br /&gt; &lt;/p&gt;</t>
  </si>
  <si>
    <t>BAS-1073 PMEG not finding pose backfill when event is recorded during long break in play</t>
  </si>
  <si>
    <t>BAS-1073</t>
  </si>
  <si>
    <t>2025-04-16T14:02:18.185Z</t>
  </si>
  <si>
    <t>2025-04-01T13:38:17.726Z</t>
  </si>
  <si>
    <t>Ngss messages saved to S3</t>
  </si>
  <si>
    <t>2025-04-08T13:54:24.601Z</t>
  </si>
  <si>
    <t>&lt;p&gt;Given: SFG is running&lt;br /&gt;When: raw-admin  finalbox ngss event message is received&lt;br /&gt;Then: NGSS events are saved to S3&lt;/p&gt;</t>
  </si>
  <si>
    <t>BAS-1070 Fix saving live ngss websocket messages</t>
  </si>
  <si>
    <t>BAS-1070</t>
  </si>
  <si>
    <t>2025-04-16T14:02:23.817Z</t>
  </si>
  <si>
    <t>2025-04-08T13:56:13.284Z</t>
  </si>
  <si>
    <t>Initial events that exist in multiple other refined events and have the same type, player and timestamp also have the same UUID</t>
  </si>
  <si>
    <t>2024-10-21T10:47:28.474Z</t>
  </si>
  <si>
    <t>BAS-727 Modify how we handle duplicated events</t>
  </si>
  <si>
    <t>2025-01-20T15:45:20.466Z</t>
  </si>
  <si>
    <t>There aren’t any standalone event messages which have the same type, player and timestamp</t>
  </si>
  <si>
    <t>2024-10-21T10:47:45.857Z</t>
  </si>
  <si>
    <t>2025-01-20T15:45:57.005Z</t>
  </si>
  <si>
    <t>BAS-748 Not parsing Throw-OutOfBounds events properly</t>
  </si>
  <si>
    <t>2024-10-16T11:06:26.926Z</t>
  </si>
  <si>
    <t>BAS-666 Combined Events Completeness</t>
  </si>
  <si>
    <t>BAS-748</t>
  </si>
  <si>
    <t>2025-01-21T10:22:14.031Z</t>
  </si>
  <si>
    <t>2024-10-16T11:13:54.224Z</t>
  </si>
  <si>
    <t>Pull together meeting to discuss options</t>
  </si>
  <si>
    <t>2024-10-16T11:10:09.091Z</t>
  </si>
  <si>
    <t>BAS-675  Understand where to pull pose data from for backfilling</t>
  </si>
  <si>
    <t>BAS-675</t>
  </si>
  <si>
    <t>2025-01-22T09:16:49.969Z</t>
  </si>
  <si>
    <t>bas-675</t>
  </si>
  <si>
    <t>2025-01-20T15:46:33.654Z</t>
  </si>
  <si>
    <t>Investigate the best way to search for the right data</t>
  </si>
  <si>
    <t>2024-10-16T11:10:14.660Z</t>
  </si>
  <si>
    <t>2025-01-22T09:16:53.639Z</t>
  </si>
  <si>
    <t>2025-01-22T15:39:04.700Z</t>
  </si>
  <si>
    <t>Decision on how to index pose data</t>
  </si>
  <si>
    <t>2024-10-16T11:10:19.949Z</t>
  </si>
  <si>
    <t>2025-01-22T09:16:56.909Z</t>
  </si>
  <si>
    <t>2024-10-16T11:12:31.368Z</t>
  </si>
  <si>
    <t>Implement what has been decided above</t>
  </si>
  <si>
    <t>2024-10-16T11:10:24.791Z</t>
  </si>
  <si>
    <t>2025-01-22T09:17:00.370Z</t>
  </si>
  <si>
    <t>2024-10-16T11:12:41.535Z</t>
  </si>
  <si>
    <t>create a new event in the Combined Events feeds (both live and post match)</t>
  </si>
  <si>
    <t>2024-10-16T11:15:33.895Z</t>
  </si>
  <si>
    <t>BAS-719  parse jumpBall events to find players involved</t>
  </si>
  <si>
    <t>BAS-719</t>
  </si>
  <si>
    <t>2025-01-22T09:17:05.457Z</t>
  </si>
  <si>
    <t>2025-01-20T15:46:59.195Z</t>
  </si>
  <si>
    <t>A player is related to this new event, with their pose data listed in the events[0].people section</t>
  </si>
  <si>
    <t>2024-10-16T11:16:03.722Z</t>
  </si>
  <si>
    <t>2025-01-22T09:17:09.198Z</t>
  </si>
  <si>
    <t>2024-10-16T11:16:15.427Z</t>
  </si>
  <si>
    <t>events[0].officials should not exist</t>
  </si>
  <si>
    <t>2024-10-16T11:16:41.926Z</t>
  </si>
  <si>
    <t>2025-01-22T09:17:12.658Z</t>
  </si>
  <si>
    <t>2024-10-16T11:16:55.492Z</t>
  </si>
  <si>
    <t>improve the quality of the pose backfilling</t>
  </si>
  <si>
    <t>2024-10-16T11:17:56.362Z</t>
  </si>
  <si>
    <t>BAS-680 Improve pose backfilling model</t>
  </si>
  <si>
    <t>BAS-680</t>
  </si>
  <si>
    <t>2025-01-22T09:17:17.628Z</t>
  </si>
  <si>
    <t>2024-10-16T11:18:10.064Z</t>
  </si>
  <si>
    <t>BAS-561   Add nearest frame number to events</t>
  </si>
  <si>
    <t>2024-08-05T08:52:48.088Z</t>
  </si>
  <si>
    <t>&lt;p&gt;Given LFG is running&lt;br /&gt;When an &amp;lt;event&amp;gt; is generated&lt;br /&gt;Then nearestFrameTIme filed is populated with UTC time from pose feed in summary&lt;br /&gt;and nearestFrameNumber is populated from pose feed in summary&lt;/p&gt;</t>
  </si>
  <si>
    <t>BAS-628  Summer 2024 feed changes</t>
  </si>
  <si>
    <t>BAS-561</t>
  </si>
  <si>
    <t>2025-01-21T10:22:19.965Z</t>
  </si>
  <si>
    <t>2024-08-05T09:00:20.987Z</t>
  </si>
  <si>
    <t>BAS-631 Include CloseInBounds into the Officiating Events feed</t>
  </si>
  <si>
    <t>2024-08-05T08:54:04.832Z</t>
  </si>
  <si>
    <t>2025-01-21T10:22:23.334Z</t>
  </si>
  <si>
    <t>create new message in the Live Events queue - LFG message not set</t>
  </si>
  <si>
    <t>2024-08-05T10:03:40.183Z</t>
  </si>
  <si>
    <t>&lt;p&gt;Given LFG is running&lt;br /&gt;and game is about to end&lt;br /&gt;and game status is &amp;lt;active&amp;gt;&lt;br /&gt;When operator sends request to API&lt;br /&gt;Then status code 400 is returned&lt;br /&gt;and last frame not set &lt;br /&gt;&lt;br /&gt; &lt;/p&gt;</t>
  </si>
  <si>
    <t>BAS-614  Include game over message in Live Events feed</t>
  </si>
  <si>
    <t>BAS-614</t>
  </si>
  <si>
    <t>2025-01-22T09:17:26.043Z</t>
  </si>
  <si>
    <t>create new message in the Live Events queue - LFG message set</t>
  </si>
  <si>
    <t>2024-08-05T08:53:43.814Z</t>
  </si>
  <si>
    <t>&lt;p&gt;Given LFG is running&lt;br /&gt;and game is about to end&lt;br /&gt;and game status is &amp;lt;finished&amp;gt;&lt;br /&gt;When operator sends request to API&lt;br /&gt;Then status code 200 is returned&lt;br /&gt;and last frame set &lt;br /&gt;&lt;br /&gt;Given LFG is running&lt;br /&gt;and game is about to end&lt;br /&gt;and game status is &amp;lt;active&amp;gt;&lt;br /&gt;and force "true" &lt;br /&gt;When operator sends request to API&lt;br /&gt;Then status code 200 is returned&lt;br /&gt;and last frame is set &lt;br /&gt;&lt;br /&gt; &lt;/p&gt;</t>
  </si>
  <si>
    <t>2025-01-22T09:17:29.509Z</t>
  </si>
  <si>
    <t>2024-08-05T10:04:45.864Z</t>
  </si>
  <si>
    <t>dd a new field in the live combined events feed</t>
  </si>
  <si>
    <t>2024-10-21T10:52:06.265Z</t>
  </si>
  <si>
    <t>BAS-709  Add message counter to live combined events feed</t>
  </si>
  <si>
    <t>BAS-489 set last frame</t>
  </si>
  <si>
    <t>2024-07-08T09:57:26.278Z</t>
  </si>
  <si>
    <t>&lt;p&gt;Given LFG is running&lt;br /&gt;and game status is &amp;lt;game status&amp;gt;&lt;br /&gt;and time end actual  filed value is &amp;lt;Time end actual &amp;gt;&lt;br /&gt;When user sends request to API&lt;br /&gt;Then lastframe filed is &amp;lt;set&amp;gt;&lt;br /&gt;&lt;br /&gt;game status | time end actual | set&lt;br /&gt; finished             | true                        | True&lt;br /&gt; finished             | NUL L                   | True&lt;br /&gt; active                 | true                        | True&lt;br /&gt;active                 | NULL                    | False&lt;/p&gt;</t>
  </si>
  <si>
    <t>BAS-489   update logic to use gameActive status for TrackingStopped API</t>
  </si>
  <si>
    <t>BAS-489</t>
  </si>
  <si>
    <t>2024-07-16T14:55:28.737Z</t>
  </si>
  <si>
    <t>2024-07-08T10:05:34.958Z</t>
  </si>
  <si>
    <t>match NGSS events entered after timeActual by adding a 2 second window</t>
  </si>
  <si>
    <t>2024-04-29T06:59:52.014Z</t>
  </si>
  <si>
    <t>BAS-552 Combined events - Match NGSS events ahead</t>
  </si>
  <si>
    <t>BAS-552</t>
  </si>
  <si>
    <t>2025-01-21T09:03:45.279Z</t>
  </si>
  <si>
    <t>Add contestingPlayer into feed model</t>
  </si>
  <si>
    <t>2024-04-29T07:08:30.683Z</t>
  </si>
  <si>
    <t>BAS-559 Use the new "ContestingPlayer" player role provided by tracking to backfill touches for blocks, steals and rebounds</t>
  </si>
  <si>
    <t>BAS-559</t>
  </si>
  <si>
    <t>2024-04-29T07:14:10.049Z</t>
  </si>
  <si>
    <t>Pass on the player contesting information within the live events feed</t>
  </si>
  <si>
    <t>2024-04-29T07:08:39.103Z</t>
  </si>
  <si>
    <t>2024-04-29T07:14:18.586Z</t>
  </si>
  <si>
    <t>record will exist as an extra player in the events[0].eventDetails[n].people[n] array where the roleInEvent will be “contestingPlayer”</t>
  </si>
  <si>
    <t>2024-04-29T07:09:12.097Z</t>
  </si>
  <si>
    <t>2024-04-29T07:14:26.732Z</t>
  </si>
  <si>
    <t>Match to NGSS block, steal or rebound that we cannot match to Hawkeye data through the touch events</t>
  </si>
  <si>
    <t>2024-04-29T07:10:17.098Z</t>
  </si>
  <si>
    <t>2024-04-29T07:14:35.271Z</t>
  </si>
  <si>
    <t>only match within time window</t>
  </si>
  <si>
    <t>2024-04-29T07:10:38.158Z</t>
  </si>
  <si>
    <t>2024-04-29T07:14:49.951Z</t>
  </si>
  <si>
    <t>Match the NGSS data with that event</t>
  </si>
  <si>
    <t>2024-04-29T07:10:47.443Z</t>
  </si>
  <si>
    <t>2024-04-29T07:14:57.357Z</t>
  </si>
  <si>
    <t>Use the tracking data from the contesting player in the combined events feed</t>
  </si>
  <si>
    <t>2024-04-29T07:10:57.043Z</t>
  </si>
  <si>
    <t>2024-04-29T07:15:09.672Z</t>
  </si>
  <si>
    <t>Include their roleInEvent as contestingPlayer</t>
  </si>
  <si>
    <t>2024-04-29T07:11:11.378Z</t>
  </si>
  <si>
    <t>2024-04-29T07:15:19.172Z</t>
  </si>
  <si>
    <t>Live &amp; deplayed feed batch every 1000 files before sending to S3</t>
  </si>
  <si>
    <t>2024-04-29T06:54:56.377Z</t>
  </si>
  <si>
    <t>BAS-538 Batched delivery for live &amp; delayed feeds</t>
  </si>
  <si>
    <t>BAS-538</t>
  </si>
  <si>
    <t>2024-04-29T06:55:09.862Z</t>
  </si>
  <si>
    <t>The centre of each basket from a single frame at tip-off is applied into all feeds for the remainder of the entire game</t>
  </si>
  <si>
    <t>2024-04-29T06:45:36.876Z</t>
  </si>
  <si>
    <t>BAS-523 Add Centre of Basket co-ordinates to pose, fast &amp; event feed</t>
  </si>
  <si>
    <t>BAS-523</t>
  </si>
  <si>
    <t>2024-04-29T06:49:15.864Z</t>
  </si>
  <si>
    <t>The value for each basket is taken from the first frame we get through from Tracking where gameActive is true</t>
  </si>
  <si>
    <t>2024-04-29T06:45:46.016Z</t>
  </si>
  <si>
    <t>2024-04-29T06:49:28.919Z</t>
  </si>
  <si>
    <t>The value for each basket is stored and made available in all feeds - including events, even though this information is not sent from Tracking in Event BSONs</t>
  </si>
  <si>
    <t>2024-04-29T06:46:00.638Z</t>
  </si>
  <si>
    <t>2024-04-29T06:49:37.894Z</t>
  </si>
  <si>
    <t>Add a new basketInformation array into the details object according to the code snippet below to expose this data to customers via our feeds</t>
  </si>
  <si>
    <t>2024-04-29T06:46:24.833Z</t>
  </si>
  <si>
    <t>This array should not exist in frames sent before the first gameActive == true instance and always exist after</t>
  </si>
  <si>
    <t>2024-04-29T06:46:36.517Z</t>
  </si>
  <si>
    <t>2024-04-29T06:49:48.504Z</t>
  </si>
  <si>
    <t>There should always be two objects contained within basketInformation when it is present</t>
  </si>
  <si>
    <t>2024-04-29T06:46:44.215Z</t>
  </si>
  <si>
    <t>2024-04-29T06:49:58.259Z</t>
  </si>
  <si>
    <t>One for each basket - only one can be false and only one can be true</t>
  </si>
  <si>
    <t>2024-04-29T06:46:50.967Z</t>
  </si>
  <si>
    <t>2024-04-29T06:50:06.313Z</t>
  </si>
  <si>
    <t>Within each basket object there should be two items:</t>
  </si>
  <si>
    <t>2024-04-29T06:46:58.422Z</t>
  </si>
  <si>
    <t>2024-04-29T06:50:14.971Z</t>
  </si>
  <si>
    <t>positiveX - a boolean field that represents the basket for the given object (ie. the positive x basket will be identifiable by “positiveX”: true)</t>
  </si>
  <si>
    <t>2024-04-29T06:47:07.782Z</t>
  </si>
  <si>
    <t>2024-04-29T06:51:45.893Z</t>
  </si>
  <si>
    <t>centre - an array with the X, Y, Z components of the position from the basketCentre field provided in the TrackingFrame</t>
  </si>
  <si>
    <t>2024-04-29T06:47:16.244Z</t>
  </si>
  <si>
    <t>2024-04-29T06:50:33.309Z</t>
  </si>
  <si>
    <t>Should be included in Fast, Pose, Live Events, Combined Events, Officiating frame-by-frame and Officiating Events</t>
  </si>
  <si>
    <t>2024-04-29T06:47:48.089Z</t>
  </si>
  <si>
    <t>2024-04-29T06:50:40.669Z</t>
  </si>
  <si>
    <t>Do not show basketInformation array until gameActive=True</t>
  </si>
  <si>
    <t>2024-04-29T06:48:09.450Z</t>
  </si>
  <si>
    <t>2024-04-29T06:50:49.080Z</t>
  </si>
  <si>
    <t>Match live events to NGSS event - shots</t>
  </si>
  <si>
    <t>2024-03-18T15:45:58.788Z</t>
  </si>
  <si>
    <t>BAS-498 Match NGSS events with initial events in throw-steals and throw-deflections</t>
  </si>
  <si>
    <t>BAS-498</t>
  </si>
  <si>
    <t>2024-10-16T10:47:23.699Z</t>
  </si>
  <si>
    <t>only 2 players combined event pass</t>
  </si>
  <si>
    <t>2024-08-07T08:19:34.015Z</t>
  </si>
  <si>
    <t>BAS-560  Include passer, receiver and deflector on passes and deflections in the Combined Events feed with new playerAction field</t>
  </si>
  <si>
    <t>2024-08-07T08:19:58.874Z</t>
  </si>
  <si>
    <t>2 or more players combined event pass</t>
  </si>
  <si>
    <t>2024-08-07T08:19:52.516Z</t>
  </si>
  <si>
    <t>use same UUID</t>
  </si>
  <si>
    <t>2024-08-07T08:20:41.061Z</t>
  </si>
  <si>
    <t>use the same summary.possession</t>
  </si>
  <si>
    <t>2024-08-07T08:20:57.821Z</t>
  </si>
  <si>
    <t>2025-01-22T15:14:14.414Z</t>
  </si>
  <si>
    <t>BAS-957  LFG need to write a process file on startup for Configurator</t>
  </si>
  <si>
    <t>2025-01-28T11:33:08.047Z</t>
  </si>
  <si>
    <t>2025-01-27T15:14:25.646Z</t>
  </si>
  <si>
    <t>When LFG is launched it will create a file named ProcessInfo.json in the directory it was launched from</t>
  </si>
  <si>
    <t>2025-01-22T15:15:03.605Z</t>
  </si>
  <si>
    <t>2025-01-28T11:33:12.089Z</t>
  </si>
  <si>
    <t>2025-01-27T15:14:35.905Z</t>
  </si>
  <si>
    <t>f this file exists then LFG should refuse to launch and issue an appropriate error message.</t>
  </si>
  <si>
    <t>2025-01-22T15:15:16.402Z</t>
  </si>
  <si>
    <t>2025-01-28T14:14:56.700Z</t>
  </si>
  <si>
    <t>2025-01-27T15:14:43.747Z</t>
  </si>
  <si>
    <t>2025-01-22T15:15:28.614Z</t>
  </si>
  <si>
    <t>2025-01-28T12:46:14.368Z</t>
  </si>
  <si>
    <t>2025-01-27T15:14:53.182Z</t>
  </si>
  <si>
    <t>2025-02-13T10:11:05.142Z</t>
  </si>
  <si>
    <t>2025-02-17T10:22:14.415Z</t>
  </si>
  <si>
    <t>2025-02-14T08:10:27.797Z</t>
  </si>
  <si>
    <t>2025-02-17T10:22:17.596Z</t>
  </si>
  <si>
    <t>2025-02-14T08:10:37.638Z</t>
  </si>
  <si>
    <t>2025-02-17T10:22:20.872Z</t>
  </si>
  <si>
    <t>2025-02-14T08:10:45.474Z</t>
  </si>
  <si>
    <t>2025-02-13T10:21:37.583Z</t>
  </si>
  <si>
    <t>2025-02-19T13:21:18.513Z</t>
  </si>
  <si>
    <t>2025-02-14T08:12:10.531Z</t>
  </si>
  <si>
    <t>2025-02-13T10:21:53.839Z</t>
  </si>
  <si>
    <t>2025-02-19T13:21:21.959Z</t>
  </si>
  <si>
    <t>2025-02-14T08:12:05.076Z</t>
  </si>
  <si>
    <t>2025-02-13T10:37:39.168Z</t>
  </si>
  <si>
    <t>2025-04-16T14:01:45.995Z</t>
  </si>
  <si>
    <t>2025-02-14T08:12:18.879Z</t>
  </si>
  <si>
    <t>LFG send final box message</t>
  </si>
  <si>
    <t>2025-04-01T13:19:11.099Z</t>
  </si>
  <si>
    <t>2025-04-17T08:02:47.843Z</t>
  </si>
  <si>
    <t>2025-04-17T07:14:08.850Z</t>
  </si>
  <si>
    <t>LFG Pose backfill when NGSS event sent during break in play</t>
  </si>
  <si>
    <t>2025-04-01T13:33:17.666Z</t>
  </si>
  <si>
    <t>2025-04-16T14:02:32.534Z</t>
  </si>
  <si>
    <t>2025-04-01T13:38:02.094Z</t>
  </si>
  <si>
    <t>Do not allow contesting players from a shot that has already been matched to an NGSS shot be used as the pairing</t>
  </si>
  <si>
    <t>2025-04-08T13:58:13.113Z</t>
  </si>
  <si>
    <t>BAS-1075 Don't allow shot and subsequent rebound to match same event</t>
  </si>
  <si>
    <t>BAS-1075</t>
  </si>
  <si>
    <t>2025-04-16T14:02:46.064Z</t>
  </si>
  <si>
    <t>2025-04-08T13:59:40.478Z</t>
  </si>
  <si>
    <t>Ball orientation added to clean feed</t>
  </si>
  <si>
    <t>2025-07-10T07:55:18.832Z</t>
  </si>
  <si>
    <t>BAS-742 - Add ball spin to delayed.pose.complete feed</t>
  </si>
  <si>
    <t>BAS-742</t>
  </si>
  <si>
    <t>2025-07-10T07:56:19.462Z</t>
  </si>
  <si>
    <t>Values we get from tracking should be multiplied by (180/pi)</t>
  </si>
  <si>
    <t>2025-09-29T10:55:41.473Z</t>
  </si>
  <si>
    <t>2025-09-30T13:30:47.217Z</t>
  </si>
  <si>
    <t>BAS-1316 Convert radians to degrees</t>
  </si>
  <si>
    <t>BAS-1316</t>
  </si>
  <si>
    <t>2025-09-30T13:32:36.665Z</t>
  </si>
  <si>
    <t>Fast feed spec validation</t>
  </si>
  <si>
    <t>2025-07-29T07:28:52.193Z</t>
  </si>
  <si>
    <t>BAS-13 Feed models - Fast &amp; Pose feed</t>
  </si>
  <si>
    <t>non-free throw event and recovered jumpball event Eestrict pose backfilling to frames where gameClockRunning is true</t>
  </si>
  <si>
    <t>2025-09-26T09:51:10.077Z</t>
  </si>
  <si>
    <t>BAS-1175 Use gameClockRunning field in index file to better filter for pose backfilling</t>
  </si>
  <si>
    <t>BAS-1175</t>
  </si>
  <si>
    <t>2025-09-26T09:53:40.183Z</t>
  </si>
  <si>
    <t>"2.41"</t>
  </si>
  <si>
    <t>free throws + jumpball events (non-recovered subTypes) Restrict pose backfilling to frames where gameClockRunning is false</t>
  </si>
  <si>
    <t>2025-09-26T09:51:51.627Z</t>
  </si>
  <si>
    <t>2025-09-26T09:54:03.868Z</t>
  </si>
  <si>
    <t>Add new initial event type from tracking in Live Events Feed</t>
  </si>
  <si>
    <t>2025-09-29T10:53:48.166Z</t>
  </si>
  <si>
    <t>BAS-1337 Add Clock Stop/Start Events to Live Events Feed</t>
  </si>
  <si>
    <t>BAS-1337</t>
  </si>
  <si>
    <t>2025-09-30T13:28:31.264Z</t>
  </si>
  <si>
    <t>Add new event type classifications for Clock in Live Events Feed</t>
  </si>
  <si>
    <t>2025-09-29T10:53:59.950Z</t>
  </si>
  <si>
    <t>2025-09-30T13:29:11.123Z</t>
  </si>
  <si>
    <t>pair multiple NGSS events to the same clock stop event</t>
  </si>
  <si>
    <t>2025-10-17T08:17:07.051Z</t>
  </si>
  <si>
    <t>BAS-1339 Clock Stop/Start Events</t>
  </si>
  <si>
    <t>NGSS foul events paired to clock stop events</t>
  </si>
  <si>
    <t>2025-10-17T08:17:45.786Z</t>
  </si>
  <si>
    <t>&lt;p&gt;foul, subtype = any of personal, offensive or technical&lt;/p&gt;&lt;p&gt;type = foul, subtype = drawn&lt;br /&gt; &lt;/p&gt;</t>
  </si>
  <si>
    <t>2025-10-17T08:18:21.456Z</t>
  </si>
  <si>
    <t>match turn overs to clock stop events</t>
  </si>
  <si>
    <t>2025-10-17T08:23:19.229Z</t>
  </si>
  <si>
    <t>remove the way we match traveling and outofbounds</t>
  </si>
  <si>
    <t>2025-10-17T08:24:19.149Z</t>
  </si>
  <si>
    <t>remove apiVersion  field from events block PGCEF</t>
  </si>
  <si>
    <t>2024-04-29T06:29:09.423Z</t>
  </si>
  <si>
    <t>BAS-421 PGCEF: Remove repeated fields</t>
  </si>
  <si>
    <t>BAS-421</t>
  </si>
  <si>
    <t>2024-04-29T06:33:03.580Z</t>
  </si>
  <si>
    <t>remove software field from events block PGCEF</t>
  </si>
  <si>
    <t>2024-04-29T06:30:46.105Z</t>
  </si>
  <si>
    <t>2024-04-29T06:33:17.630Z</t>
  </si>
  <si>
    <t>remove version from events block PGCEF</t>
  </si>
  <si>
    <t>2024-04-29T06:34:02.616Z</t>
  </si>
  <si>
    <t>2024-04-29T06:34:24.788Z</t>
  </si>
  <si>
    <t>Add APIVersion toto level of events feed PGCEF</t>
  </si>
  <si>
    <t>2024-04-29T06:35:07.922Z</t>
  </si>
  <si>
    <t>2024-04-29T06:36:26.093Z</t>
  </si>
  <si>
    <t>Add software filed to top level of events feed PGCEF</t>
  </si>
  <si>
    <t>2024-04-29T06:35:32.607Z</t>
  </si>
  <si>
    <t>2024-04-29T06:36:16.552Z</t>
  </si>
  <si>
    <t>add version to top level of events feed PGCEF</t>
  </si>
  <si>
    <t>2024-04-29T06:35:54.093Z</t>
  </si>
  <si>
    <t>2024-04-29T06:36:07.337Z</t>
  </si>
  <si>
    <t>Remove all events in the post-game Combined Events feed before the NGSS game start event is sent</t>
  </si>
  <si>
    <t>2024-04-29T06:37:26.173Z</t>
  </si>
  <si>
    <t>BAS-423 PGCEF: Remove events which take place before a game starts</t>
  </si>
  <si>
    <t>BAS-423</t>
  </si>
  <si>
    <t>2024-04-29T06:37:43.701Z</t>
  </si>
  <si>
    <t>Remove all events in the post-game Combined Events feed after the NGSS game end event is sent</t>
  </si>
  <si>
    <t>2024-04-29T06:37:54.783Z</t>
  </si>
  <si>
    <t>2024-04-29T06:38:12.730Z</t>
  </si>
  <si>
    <t>Add gameId to PMEG logs</t>
  </si>
  <si>
    <t>2025-02-13T13:20:37.415Z</t>
  </si>
  <si>
    <t>BAS-825 Maintenance</t>
  </si>
  <si>
    <t>BAS-1004</t>
  </si>
  <si>
    <t>2025-02-13T13:21:21.094Z</t>
  </si>
  <si>
    <t>2.28</t>
  </si>
  <si>
    <t>Pose backfill BAD_PASS</t>
  </si>
  <si>
    <t>2025-02-13T10:14:48.081Z</t>
  </si>
  <si>
    <t>2025-02-18T12:48:19.633Z</t>
  </si>
  <si>
    <t>2025-02-14T08:22:56.130Z</t>
  </si>
  <si>
    <t>Pose backflil LOST_BALL</t>
  </si>
  <si>
    <t>2025-02-18T12:48:22.377Z</t>
  </si>
  <si>
    <t>2025-02-14T08:23:08.608Z</t>
  </si>
  <si>
    <t>Pose backfill OUT_OF_BOUNDS</t>
  </si>
  <si>
    <t>2025-02-18T12:48:25.559Z</t>
  </si>
  <si>
    <t>2025-02-14T08:23:15.614Z</t>
  </si>
  <si>
    <t>Include a measure of how many times pose backfilling failed in the process report</t>
  </si>
  <si>
    <t>2025-02-13T10:26:04.630Z</t>
  </si>
  <si>
    <t>BAS-821   Add log message to PMEG that says how many events weren't backfilled</t>
  </si>
  <si>
    <t>BAS-821</t>
  </si>
  <si>
    <t>2025-02-18T13:00:48.542Z</t>
  </si>
  <si>
    <t>2025-02-14T08:23:25.184Z</t>
  </si>
  <si>
    <t>For each pose backfilling attempt log out what is being done and if the attempt was successful or not</t>
  </si>
  <si>
    <t>2025-02-13T10:26:21.864Z</t>
  </si>
  <si>
    <t>2025-02-18T13:00:53.021Z</t>
  </si>
  <si>
    <t>2025-02-14T08:23:33.744Z</t>
  </si>
  <si>
    <t>Include the type of ngss event in the already existing info log</t>
  </si>
  <si>
    <t>2025-02-13T10:26:39.485Z</t>
  </si>
  <si>
    <t>2025-02-18T13:01:04.319Z</t>
  </si>
  <si>
    <t>2025-02-14T08:23:40.771Z</t>
  </si>
  <si>
    <t>On successful pose backfill  info log message to include the event number/type and the frame time/number used</t>
  </si>
  <si>
    <t>2025-02-13T10:27:13.219Z</t>
  </si>
  <si>
    <t>2025-02-18T13:01:08.332Z</t>
  </si>
  <si>
    <t>2025-02-14T08:23:52.826Z</t>
  </si>
  <si>
    <t>On unsuccessful pose backfill  warning or error log message to include the event number/type and if we failed to match</t>
  </si>
  <si>
    <t>2025-02-13T10:27:22.078Z</t>
  </si>
  <si>
    <t>2025-02-18T13:01:11.747Z</t>
  </si>
  <si>
    <t>2025-02-14T08:23:58.955Z</t>
  </si>
  <si>
    <t>Create an alert on datadog</t>
  </si>
  <si>
    <t>2025-02-13T13:16:03.486Z</t>
  </si>
  <si>
    <t>BAS-959  Create DD alert for missing post game combined events</t>
  </si>
  <si>
    <t>BAS-959</t>
  </si>
  <si>
    <t>2025-02-19T08:08:44.687Z</t>
  </si>
  <si>
    <t>2025-02-19T08:07:15.521Z</t>
  </si>
  <si>
    <t>link alert to #bkdp-alerts on slack</t>
  </si>
  <si>
    <t>2025-02-19T08:07:20.983Z</t>
  </si>
  <si>
    <t>2025-02-19T08:07:35.084Z</t>
  </si>
  <si>
    <t>add gameId to PMEG logs</t>
  </si>
  <si>
    <t>2025-02-14T08:24:30.884Z</t>
  </si>
  <si>
    <t>BAS-1004 Add gameId to PMEG logs</t>
  </si>
  <si>
    <t>2025-02-18T13:45:05.096Z</t>
  </si>
  <si>
    <t>2025-02-14T08:25:06.825Z</t>
  </si>
  <si>
    <t>PMEG Pose backfill when NGSS event sent during break in play</t>
  </si>
  <si>
    <t>2025-04-01T13:37:31.068Z</t>
  </si>
  <si>
    <t>2025-04-16T14:07:11.711Z</t>
  </si>
  <si>
    <t>2025-04-01T13:37:49.814Z</t>
  </si>
  <si>
    <t>Implement Feed Details model</t>
  </si>
  <si>
    <t>2024-04-19T06:49:58.909Z</t>
  </si>
  <si>
    <t>BAS-447 LFG - Feed Details</t>
  </si>
  <si>
    <t>2024-10-16T11:00:57.010Z</t>
  </si>
  <si>
    <t>Change RabbitManagement to support new queues and routing</t>
  </si>
  <si>
    <t>2024-04-19T06:50:09.218Z</t>
  </si>
  <si>
    <t>2024-04-22T08:05:12.074Z</t>
  </si>
  <si>
    <t>Build &amp; output feed details model to RMQ</t>
  </si>
  <si>
    <t>2024-04-19T06:50:16.502Z</t>
  </si>
  <si>
    <t>2024-04-29T06:18:48.125Z</t>
  </si>
  <si>
    <t>Create new module in BasketballDataPlatform</t>
  </si>
  <si>
    <t>2024-04-22T07:39:23.002Z</t>
  </si>
  <si>
    <t>BAS-448 Observability API - Service Skeleton</t>
  </si>
  <si>
    <t>2024-04-22T08:05:26.397Z</t>
  </si>
  <si>
    <t>Create base Spring Boot service</t>
  </si>
  <si>
    <t>2024-04-22T07:39:33.684Z</t>
  </si>
  <si>
    <t>2024-04-22T08:05:29.229Z</t>
  </si>
  <si>
    <t>Create response mode</t>
  </si>
  <si>
    <t>2024-04-22T07:40:06.081Z</t>
  </si>
  <si>
    <t>2024-04-29T06:18:56.969Z</t>
  </si>
  <si>
    <t>Add new case Find / implement a client which is able to query the API</t>
  </si>
  <si>
    <t>2024-04-22T07:43:38.557Z</t>
  </si>
  <si>
    <t>BAS-449  Observability API - RMQ Admin API</t>
  </si>
  <si>
    <t>2024-04-29T06:19:02.411Z</t>
  </si>
  <si>
    <t>Consume feed details from RMQ</t>
  </si>
  <si>
    <t>2024-04-22T07:42:21.888Z</t>
  </si>
  <si>
    <t>BAS-450 Observability API - Consume, Store &amp; Query feed details</t>
  </si>
  <si>
    <t>2024-04-22T08:05:55.138Z</t>
  </si>
  <si>
    <t>Store feed details in Redis (this just covers running Redis locally, a DevOps task will exist for adding it to the AWS deployment)</t>
  </si>
  <si>
    <t>2024-04-22T07:42:29.930Z</t>
  </si>
  <si>
    <t>2024-04-22T08:06:00.930Z</t>
  </si>
  <si>
    <t>Query feed details from Redis</t>
  </si>
  <si>
    <t>2024-04-22T07:42:37.830Z</t>
  </si>
  <si>
    <t>2024-04-22T08:06:05.662Z</t>
  </si>
  <si>
    <t>May want to consider locking</t>
  </si>
  <si>
    <t>2024-04-22T07:42:44.019Z</t>
  </si>
  <si>
    <t>2024-04-29T06:19:10.202Z</t>
  </si>
  <si>
    <t>No need for a historical view, just point in time</t>
  </si>
  <si>
    <t>2024-04-22T07:42:50.170Z</t>
  </si>
  <si>
    <t>2024-04-22T08:06:14.519Z</t>
  </si>
  <si>
    <t>return a response with no feed status populated</t>
  </si>
  <si>
    <t>2024-04-22T07:44:35.559Z</t>
  </si>
  <si>
    <t>BAS-451 Observability API - Active Games API</t>
  </si>
  <si>
    <t>2024-04-22T08:06:24.068Z</t>
  </si>
  <si>
    <t>Build up the response required by the API and return it in the active games.</t>
  </si>
  <si>
    <t>2024-04-22T07:46:14.773Z</t>
  </si>
  <si>
    <t>BAS-452   Observability API - Build response &amp; wire up with API</t>
  </si>
  <si>
    <t>2025-01-22T09:16:10.065Z</t>
  </si>
  <si>
    <t>Create list of users</t>
  </si>
  <si>
    <t>2024-04-22T07:48:07.600Z</t>
  </si>
  <si>
    <t>BAS-4592 Observability API security</t>
  </si>
  <si>
    <t>2025-01-22T09:16:15.933Z</t>
  </si>
  <si>
    <t>Create passwords</t>
  </si>
  <si>
    <t>2024-04-22T07:48:12.891Z</t>
  </si>
  <si>
    <t>2025-01-22T09:16:19.439Z</t>
  </si>
  <si>
    <t>BAS-1224 Use 404 not found responses for status update api</t>
  </si>
  <si>
    <t>2025-07-07T09:41:22.805Z</t>
  </si>
  <si>
    <t>Status update API</t>
  </si>
  <si>
    <t>BAS-1143 Integrate Status Update Frontend to API</t>
  </si>
  <si>
    <t>2025-07-07T09:44:58.238Z</t>
  </si>
  <si>
    <t>Bson input</t>
  </si>
  <si>
    <t>2024-09-18T09:14:26.329Z</t>
  </si>
  <si>
    <t>BAS-706 SFG to include metadata on S3 uploads (PMEG)</t>
  </si>
  <si>
    <t>BAS-706</t>
  </si>
  <si>
    <t>2025-01-21T10:22:36.587Z</t>
  </si>
  <si>
    <t>2024-09-18T09:15:39.059Z</t>
  </si>
  <si>
    <t>Software versions</t>
  </si>
  <si>
    <t>2024-09-18T09:14:33.329Z</t>
  </si>
  <si>
    <t>2025-01-21T10:22:40.059Z</t>
  </si>
  <si>
    <t>add metadata to PMEG</t>
  </si>
  <si>
    <t>2024-10-16T11:22:06.616Z</t>
  </si>
  <si>
    <t>BAS-707 PMEG to include metadata on S3 uploads (PMEG)</t>
  </si>
  <si>
    <t>BAS-707</t>
  </si>
  <si>
    <t>2025-01-21T10:22:47.610Z</t>
  </si>
  <si>
    <t>2024-10-16T11:22:20.005Z</t>
  </si>
  <si>
    <t>Remove duplicate events</t>
  </si>
  <si>
    <t>2024-07-08T13:52:42.975Z</t>
  </si>
  <si>
    <t>&lt;p&gt;Given bson data contains duplicate event&lt;br /&gt;and multiple bsons have the same &amp;lt;millisecond timestamp&amp;gt;&lt;br /&gt;and multiple bsons have the same &amp;lt;event classification&amp;gt;&lt;br /&gt;and event is t &amp;lt;matched to NGSS event&amp;gt;&lt;br /&gt;When data is processed&lt;br /&gt;Then any &amp;lt;duplicated data&amp;gt; is removed from feed. &lt;br /&gt;&lt;br /&gt;millisecond timestamp | event classification | matched to NGSS even | duplicated |&lt;br /&gt;True                                         |  True                                |      False                                     | True              |&lt;br /&gt;True                                         |  True                                |      True                                      | false              |&lt;br /&gt;True                                         |  False                               |      False                                    | false              |&lt;br /&gt;False                                       |  True                                 |      False                                    | false              |&lt;br /&gt;&lt;br /&gt;&lt;br /&gt; &lt;/p&gt;</t>
  </si>
  <si>
    <t>BAS-625   Remove duplicate pass events from PGCE workflow for SR reprocessing</t>
  </si>
  <si>
    <t>BAS-625</t>
  </si>
  <si>
    <t>2024-10-16T11:38:27.007Z</t>
  </si>
  <si>
    <t>2024-07-08T14:12:51.231Z</t>
  </si>
  <si>
    <t>Trigger Alert</t>
  </si>
  <si>
    <t>2024-10-14T15:11:22.065Z</t>
  </si>
  <si>
    <t>BAS-760  Alert NBA when Azure uploads of processed feeds are complete</t>
  </si>
  <si>
    <t>BAS-760</t>
  </si>
  <si>
    <t>2025-01-21T10:23:11.967Z</t>
  </si>
  <si>
    <t>2024-10-14T15:11:53.435Z</t>
  </si>
  <si>
    <t>Take in the root level directory and the location of SFG.</t>
  </si>
  <si>
    <t>2024-04-15T06:51:14.528Z</t>
  </si>
  <si>
    <t>BAS-533 Reprocessing phase 1 script</t>
  </si>
  <si>
    <t>2024-04-29T06:21:24.753Z</t>
  </si>
  <si>
    <t>2025-01-22T09:20:17.667Z</t>
  </si>
  <si>
    <t>Reprocessing</t>
  </si>
  <si>
    <t>For every game Unzip the latest set of scrubbed bson</t>
  </si>
  <si>
    <t>2024-04-15T06:52:40.066Z</t>
  </si>
  <si>
    <t>2024-04-29T06:21:31.842Z</t>
  </si>
  <si>
    <t>2025-01-22T09:20:46.277Z</t>
  </si>
  <si>
    <t>Send the frame and event locations to SFG via the API</t>
  </si>
  <si>
    <t>2024-04-15T06:52:59.501Z</t>
  </si>
  <si>
    <t>2024-04-29T06:21:37.980Z</t>
  </si>
  <si>
    <t>2025-01-22T09:21:11.196Z</t>
  </si>
  <si>
    <t>Poll SFG to monitor progress until the processing either succeeds or fails.</t>
  </si>
  <si>
    <t>2024-04-15T06:53:17.320Z</t>
  </si>
  <si>
    <t>2025-01-20T08:40:36.504Z</t>
  </si>
  <si>
    <t>2025-01-22T09:21:49.483Z</t>
  </si>
  <si>
    <t>Clean up the unzipped bsons.</t>
  </si>
  <si>
    <t>2024-04-15T06:53:25.821Z</t>
  </si>
  <si>
    <t>2024-04-29T06:21:45.950Z</t>
  </si>
  <si>
    <t>2025-01-22T09:22:17.798Z</t>
  </si>
  <si>
    <t>logging</t>
  </si>
  <si>
    <t>2024-04-15T06:53:43.429Z</t>
  </si>
  <si>
    <t>2025-01-20T08:40:44.140Z</t>
  </si>
  <si>
    <t>2025-01-22T09:22:39.325Z</t>
  </si>
  <si>
    <t>Reprocess zip files with version &gt;9</t>
  </si>
  <si>
    <t>2024-07-08T14:37:12.845Z</t>
  </si>
  <si>
    <t>&lt;p&gt;Given there are multiple zip files for the same game in a directory&lt;br /&gt;and the latest version number  is greater than 9 &lt;br /&gt;When reprocessing is started&lt;br /&gt;Then the latest version is processed. &lt;/p&gt;</t>
  </si>
  <si>
    <t>BAS-586   Take the latest reprocessing BSON zip</t>
  </si>
  <si>
    <t>BAS-586</t>
  </si>
  <si>
    <t>2024-07-15T11:40:30.265Z</t>
  </si>
  <si>
    <t>2025-01-22T09:23:11.094Z</t>
  </si>
  <si>
    <t>Extract time data from game and write to csv</t>
  </si>
  <si>
    <t>2025-02-13T10:53:40.155Z</t>
  </si>
  <si>
    <t>BAS-835 Make a tool to check framerates</t>
  </si>
  <si>
    <t>BAS-835</t>
  </si>
  <si>
    <t>2025-02-14T08:26:09.360Z</t>
  </si>
  <si>
    <t>Software Object</t>
  </si>
  <si>
    <t>2025-03-26T09:52:12.905Z</t>
  </si>
  <si>
    <t>&lt;pre&gt;&lt;code class="editor-plain language-plain code-block"&gt;{
    ...
    "software": {
        "name": "BasketballLiveFeedGenerator",
        "version": "2.9.0"
    },
    ...
}&lt;/code&gt;&lt;/pre&gt;</t>
  </si>
  <si>
    <t>combined.events.clean</t>
  </si>
  <si>
    <t>2025-03-26T09:53:40.524Z</t>
  </si>
  <si>
    <t>createdAtDateTime is ISO time</t>
  </si>
  <si>
    <t>2025-05-27T08:11:26.676Z</t>
  </si>
  <si>
    <t>&lt;p&gt;Given: game is in progress&lt;br /&gt;When:  time stamp is created&lt;br /&gt;Then: createdAtDate filed is in ISO format&lt;/p&gt;</t>
  </si>
  <si>
    <t>createdAtDateTime</t>
  </si>
  <si>
    <t>2025-05-27T08:25:48.895Z</t>
  </si>
  <si>
    <t>Game status list page</t>
  </si>
  <si>
    <t>2025-05-14T08:05:15.486Z</t>
  </si>
  <si>
    <t>BAS-1050  Create Game Status Update Page</t>
  </si>
  <si>
    <t>Game status list</t>
  </si>
  <si>
    <t>2025-05-14T08:06:40.520Z</t>
  </si>
  <si>
    <t>Icon added to navigation in the left hand menu</t>
  </si>
  <si>
    <t>2025-05-14T08:07:23.372Z</t>
  </si>
  <si>
    <t>Linked issues</t>
  </si>
  <si>
    <t>New Feature</t>
  </si>
  <si>
    <t>NHL Tracking | Classification Metrics In Tracking Control</t>
  </si>
  <si>
    <t>Open</t>
  </si>
  <si>
    <t>Hawk Report</t>
  </si>
  <si>
    <t>Ice Hockey</t>
  </si>
  <si>
    <t>TrackingControlUI</t>
  </si>
  <si>
    <t>NHL Tracking | Ability to Sort Lineups by Jersey Numbers Instead of Alphanumerically</t>
  </si>
  <si>
    <t>NHL Tracking | Add DebugViewer to Appstream</t>
  </si>
  <si>
    <t>NHL Tracking | Ability to Take Classification References From Top Down View in TrackingControl</t>
  </si>
  <si>
    <t>NHL Tracking | When Switching Tabs in TrackingControl, Feeds Should Remain At Live Rather than Paused</t>
  </si>
  <si>
    <t>NHL Tracking | Ability to Pop Out Game Tabs in Appstream</t>
  </si>
  <si>
    <t xml:space="preserve">NHL Tracking | Viewing/Reading Data - JSON File from Stored DynamoDB tables </t>
  </si>
  <si>
    <t xml:space="preserve">NHL Tracking | Calibration Models not Populating - Potential Triton Issue Resulting in Need to Respin Orbitals </t>
  </si>
  <si>
    <t>NHL Tracking | Stick Data Not Appearing in Multiple Frames</t>
  </si>
  <si>
    <t>NHL Tracking | Multiple Players with Missing Jersey Numbers</t>
  </si>
  <si>
    <t>Issues with inferred bat data</t>
  </si>
  <si>
    <t>Baseball</t>
  </si>
  <si>
    <t>MulticamAnalysis</t>
  </si>
  <si>
    <t>2 BMCC Crashes in Same System (Not PP Queue Related)</t>
  </si>
  <si>
    <t>Work in progress</t>
  </si>
  <si>
    <t>Unable to Archive Cvids through RemoteFS network Pathway</t>
  </si>
  <si>
    <t>Aussie Rules Football;Football;Horse Racing;Rugby</t>
  </si>
  <si>
    <t>DokanSetup or RemoteFIle System;SMARTArchiver;SMARTViewer</t>
  </si>
  <si>
    <t>Unable to pull cvid data through RemoteFS to Slave Replay Out &amp; FPS is limited in Slave Replay Viewer when pulling cvid data through RemoteFS</t>
  </si>
  <si>
    <t>Aussie Rules Football;Football;Rugby</t>
  </si>
  <si>
    <t>Slave Replay Output</t>
  </si>
  <si>
    <t>PSL Format needs to be created</t>
  </si>
  <si>
    <t>Cricket</t>
  </si>
  <si>
    <t>CricketTimeKeeper</t>
  </si>
  <si>
    <t>AOT - Tracked player off pitch contributing to 10/11 attckers in offside incident</t>
  </si>
  <si>
    <t>Football</t>
  </si>
  <si>
    <t>Error processing scorecard status with SMT data</t>
  </si>
  <si>
    <t>Broadcast Systems;Golf</t>
  </si>
  <si>
    <t>GolfDataServer</t>
  </si>
  <si>
    <t>GDS Requests for AWS Images</t>
  </si>
  <si>
    <t>BMCA crash</t>
  </si>
  <si>
    <t>On Hold</t>
  </si>
  <si>
    <t>BPP crash on the same server as control, seems to also crash MCC</t>
  </si>
  <si>
    <t>MulticamAnalysis;MulticamPostProcess</t>
  </si>
  <si>
    <t>Improvements to CPU usage for on prem BCPP</t>
  </si>
  <si>
    <t>BaseballCloudPostProcess</t>
  </si>
  <si>
    <t>Improve BCPP processing time</t>
  </si>
  <si>
    <t>Create ComputeCore DLL for AMD CPUs to improve BCPP CPU usage</t>
  </si>
  <si>
    <t>BkPP gives touch too early</t>
  </si>
  <si>
    <t>MulticamPostProcess</t>
  </si>
  <si>
    <t>Losing the "pencil" &amp; "three dots" after clicking the expand button in Elastic bookmark panel</t>
  </si>
  <si>
    <t>Motorsport;Rugby</t>
  </si>
  <si>
    <t>SMARTElastic;SMARTViewer</t>
  </si>
  <si>
    <t>Plugin for stype / Mosys integration</t>
  </si>
  <si>
    <t>Cricket;Tennis</t>
  </si>
  <si>
    <t>HawkVR</t>
  </si>
  <si>
    <t>Camera Names.Ini not updated with correct heading</t>
  </si>
  <si>
    <t>Broadcast Systems</t>
  </si>
  <si>
    <t>SMARTMultiViewer</t>
  </si>
  <si>
    <t>"BallBoundary" events do not include clock data in output from Data Platform Sender</t>
  </si>
  <si>
    <t>BMCA Crash</t>
  </si>
  <si>
    <t>Missing hit_data packets because BTC frames dropping from BTC when hit complete is sent</t>
  </si>
  <si>
    <t xml:space="preserve">SAOOD to return VRDraw </t>
  </si>
  <si>
    <t>Session name in VRControl to populate automatically from SMARTConfiguator</t>
  </si>
  <si>
    <t>VRControl</t>
  </si>
  <si>
    <t>Ability to disable individual key and fills in SMARTViewer</t>
  </si>
  <si>
    <t>SMARTViewer</t>
  </si>
  <si>
    <t>Add a logging feature to RabbitZMQ for non-delivered messages</t>
  </si>
  <si>
    <t>BaseballCloudPostProcess;BaseballDataPlatform</t>
  </si>
  <si>
    <t>Add "Redundant Task, Not Processed" option to BMCC</t>
  </si>
  <si>
    <t>Have more than 1 RabbitZmq consumer per Live CPP queue</t>
  </si>
  <si>
    <t>Return PP results to Control Main and Control Spare</t>
  </si>
  <si>
    <t>NHl Cloud PH&amp;S | Specific User Account Slowly Drifting Further Behind Live</t>
  </si>
  <si>
    <t>SAOOD - App crashing when using direct connection from OMCC1 to SAOOD1</t>
  </si>
  <si>
    <t>BMCC Crash - 4/13/2025</t>
  </si>
  <si>
    <t>Adding a 'Test Audio' button to the testing side-panel that will play an 'AudioTest.wav' audio file</t>
  </si>
  <si>
    <t>Tennis</t>
  </si>
  <si>
    <t>RTTDataBridge</t>
  </si>
  <si>
    <t>OMCC1 &amp; OMCC2 crashing at exactly the same time (3 matches in one weekend)</t>
  </si>
  <si>
    <t>Baseball Reprocessing Dashboard Update</t>
  </si>
  <si>
    <t>BaseballDataPlatform</t>
  </si>
  <si>
    <t>BkPP - Chance to Score projection goes through backboard</t>
  </si>
  <si>
    <t>Option to disable the "Do you want to save your smartfile?" prompt when closing configurator</t>
  </si>
  <si>
    <t>Horse Racing;Motorsport</t>
  </si>
  <si>
    <t>SMARTConfigurator</t>
  </si>
  <si>
    <t xml:space="preserve">MLB not receiving pitch_refined data for pitches </t>
  </si>
  <si>
    <t>FIFA Club World Cup Balls</t>
  </si>
  <si>
    <t>.CSV OMCC Export Ticket</t>
  </si>
  <si>
    <t>AOT - Add logic for when sub frame decision is different to decision on frame</t>
  </si>
  <si>
    <t>Layouts Panel Not Updating With Active Layout</t>
  </si>
  <si>
    <t>Incorrect touch points for Goaltending Events</t>
  </si>
  <si>
    <t>Ball position jitter causing fluctuating up/down determinations</t>
  </si>
  <si>
    <t>GroundControl not sending session ID to BaseballDataConverter</t>
  </si>
  <si>
    <t>GroundControl</t>
  </si>
  <si>
    <t>Elastic Panel - Dropdowns Will Scroll When The Mouse Scroll Wheel Is Used</t>
  </si>
  <si>
    <t>No Ball Panel Track Selection Issues</t>
  </si>
  <si>
    <t>Incorrect traj ordering in No Ball Panel</t>
  </si>
  <si>
    <t>Having to put a debug command in HawkVR so that models don't block preset moves for LBWs</t>
  </si>
  <si>
    <t>HawkVR;VRControl</t>
  </si>
  <si>
    <t>Ball Spanish King´s Cup "Victoria"</t>
  </si>
  <si>
    <t>Option to have Camera Coverage map with up to 8+ cameras</t>
  </si>
  <si>
    <t>American Football</t>
  </si>
  <si>
    <t>Combination logic: sending many events in a very short period of time(1s)</t>
  </si>
  <si>
    <t>FELA;FootballDataPlatform</t>
  </si>
  <si>
    <t>Timeline marker to indicate that a loop in-point has been set</t>
  </si>
  <si>
    <t>Horse Racing;Rugby</t>
  </si>
  <si>
    <t>Match summary feeds &amp; match summary heatmaps not producing aggregated files for summary and segments</t>
  </si>
  <si>
    <t>FootballDataPlatform</t>
  </si>
  <si>
    <t>Refeee Role Id in match.summary and match.heatmap is different in JAVA vs C#</t>
  </si>
  <si>
    <t>Make it more obvious when a bookmark has been favorited</t>
  </si>
  <si>
    <t>Team in Yellow not tracking many players</t>
  </si>
  <si>
    <t>Annotation</t>
  </si>
  <si>
    <t>OMCA - Focus peaking not enabling</t>
  </si>
  <si>
    <t>New Emergent Firmwares for V2</t>
  </si>
  <si>
    <t>Player distance avg field added in Java summary feed but always reports 0.0</t>
  </si>
  <si>
    <t>"time" differences in summary feed between C# and Java</t>
  </si>
  <si>
    <t>Z Cam Mirror packet loss statistics on the UI</t>
  </si>
  <si>
    <t>ZCamMirror</t>
  </si>
  <si>
    <t xml:space="preserve">BBC Plaque </t>
  </si>
  <si>
    <t xml:space="preserve">NHL Cloud PH&amp;S | All Feeds Falling Further Behind Live as the Game Progresses </t>
  </si>
  <si>
    <t>All full field cameras in V2 crash at the same time</t>
  </si>
  <si>
    <t>UEFA Clip Delivery Timeline markers to be visible for all operations</t>
  </si>
  <si>
    <t>Include the ability to ingest data from 9th and 10th videocapture</t>
  </si>
  <si>
    <t>ProcessingControl</t>
  </si>
  <si>
    <t>Additional trackIds (with no personId) present in all centroids and joints feeds in Java (but not C#)</t>
  </si>
  <si>
    <t>C# using mph/mps = 0 where Java is { } for speed and distance when values are 0/null in centroids samples</t>
  </si>
  <si>
    <t>Roles in samples feeds not matching between details and samples sections</t>
  </si>
  <si>
    <t>Ability for Cortex to ignore feeds</t>
  </si>
  <si>
    <t>American Football;Ice Hockey</t>
  </si>
  <si>
    <t>Cortex</t>
  </si>
  <si>
    <t>qty (number of instances) are significantly different between C# &amp; Java despite time, distances &amp; percentages in acceptable ranges</t>
  </si>
  <si>
    <t>In Java, scrubbed data is significantly less than delayed data and not matching % differences to C#</t>
  </si>
  <si>
    <t>max_speed significantly higher in Java vs C#</t>
  </si>
  <si>
    <t>BMCA Crash - 5/1/2025</t>
  </si>
  <si>
    <t>BMCC Crash - 5/1/2025</t>
  </si>
  <si>
    <t>8K calibrations not updating; showing previous calibration</t>
  </si>
  <si>
    <t>Masking_Get_Polygons error every time you switch feed</t>
  </si>
  <si>
    <t>Ability to create Multiview presets / save them so they appear on load</t>
  </si>
  <si>
    <t>No Classification cutouts / Refetch images not working</t>
  </si>
  <si>
    <t>Unsure if 120fps feeds are tracking at 60fps</t>
  </si>
  <si>
    <t>BMCA Crash - 5/5/2025</t>
  </si>
  <si>
    <t xml:space="preserve"> Request Coppa Italia Final Ball 24/25</t>
  </si>
  <si>
    <t>CameraControl and Analysis not launching from after RodLaverArena_D_RC1 for both Badminton and Volleyball (Win10 &amp; Win11)</t>
  </si>
  <si>
    <t>Badminton;Volleyball</t>
  </si>
  <si>
    <t>Analysis;CameraControl</t>
  </si>
  <si>
    <t>Show Image showing at the bottom of the UI, not the right</t>
  </si>
  <si>
    <t>OffsideLine</t>
  </si>
  <si>
    <t>Upgrades to various dependencies to support 50 series NVIDIA GPUs</t>
  </si>
  <si>
    <t>Can we have the ability to set the save location of the .png files created by the Output_Grab function in SMARTViewer?</t>
  </si>
  <si>
    <t>NHL Tracking | Zoom bug in TrackingControlUI - Timeline Detaches from UI in Full Screen</t>
  </si>
  <si>
    <t>NHL Tracking | 2D Top Down View - Ability to Move the Model rather than Just Zoom In and Out</t>
  </si>
  <si>
    <t>NHL Tracking;TrackingControlUI</t>
  </si>
  <si>
    <t xml:space="preserve">NHL Tracking | 2D Read Usage Reaching Provisioning Limit </t>
  </si>
  <si>
    <t>NHL Tracking</t>
  </si>
  <si>
    <t xml:space="preserve">NHL Tracking | Mask Panel in TrackingControlUI - Mask Location Does Translate Correctly in Other Camera Angles </t>
  </si>
  <si>
    <t>Feedback on latest version - PR86-onprem-63dbc5e</t>
  </si>
  <si>
    <t>QPO_OMCA_E_RC1 crashing on launch</t>
  </si>
  <si>
    <t>Ready to Test</t>
  </si>
  <si>
    <t>SMARTConfigurator_2025_02_06_QueensParkOval15 crashes on launch for EPTS SMARTFILEs</t>
  </si>
  <si>
    <t>More CPU Core options needed in Configurator</t>
  </si>
  <si>
    <t>TRD: Sessions not pulling in correct player names either when refreshed manually or when match starts</t>
  </si>
  <si>
    <t>TennisDataPlatform</t>
  </si>
  <si>
    <t>NHL Tracking | Cam Genlocking from the NHL Masterclock (Potentially PTP)</t>
  </si>
  <si>
    <t>NHL Tracking | NHL Masterclock - PTP Video Timestamping</t>
  </si>
  <si>
    <t>NHL Tracking | Contextualization via NHL Game Clock</t>
  </si>
  <si>
    <t>Remove key commands from ground control</t>
  </si>
  <si>
    <t>Event Ordering for OOB Events in BkPP</t>
  </si>
  <si>
    <t>EPTS smartfiles crashing on launch</t>
  </si>
  <si>
    <t>San Siro - ScrubbingTool crashing on when launching a session</t>
  </si>
  <si>
    <t>Scrubbing tool</t>
  </si>
  <si>
    <t>San Siro - OMCA A RC2 crashing on launch for OMCA</t>
  </si>
  <si>
    <t>San Siro - Shadows visible on output when image is live (in non virtual)</t>
  </si>
  <si>
    <t>Pop up notification in viewer when GK track is missing</t>
  </si>
  <si>
    <t>Add Ball Track arrow in BkPP</t>
  </si>
  <si>
    <t>Ball masking is not working in MCA</t>
  </si>
  <si>
    <t>Add in expected pitches from GUMBO to Live CPP dashboard</t>
  </si>
  <si>
    <t>On-Prem Skeletal says it's using BCPP_SkeletalConfig_2024-01-15.json in PR86-onprem-c3f03b9</t>
  </si>
  <si>
    <t>On-Prem Skeletal taking 6+ minutes per task</t>
  </si>
  <si>
    <t>Some systems unable to get passed ImageProcessing on PR86-onprem-c3f03b9</t>
  </si>
  <si>
    <t>College/Amateur Cannot complete Contextualized CSVs in BSK Outputs</t>
  </si>
  <si>
    <t>GC defaulting surface to backfields</t>
  </si>
  <si>
    <t>Conference League and Europa League Balls in VR</t>
  </si>
  <si>
    <t>SMART Executor version 1.28.1 not pushing out NIC settings</t>
  </si>
  <si>
    <t>American Football;Baseball;Basketball;Ice Hockey</t>
  </si>
  <si>
    <t>SMARTExecutor</t>
  </si>
  <si>
    <t>Add ability to archive at 4k resolutions from the format drop down in export settings</t>
  </si>
  <si>
    <t>Athletics;Badminton;Motorsport;Volleyball</t>
  </si>
  <si>
    <t>SMARTArchiver;SMARTViewer</t>
  </si>
  <si>
    <t>NHL Replay | Multiple Venues Seeing Cannot Connect to [camera name] in Viewer When Manipulating Time Controls</t>
  </si>
  <si>
    <t>Unsure the MCA -&gt; MCC error messaging forwarding is working</t>
  </si>
  <si>
    <t>BaseballMultiCameraControl Launches with a "Blank" dropdown selection in PP Queue</t>
  </si>
  <si>
    <t>CameraControl</t>
  </si>
  <si>
    <t>Can't switch cameras in second output after ganging/recalling clip</t>
  </si>
  <si>
    <t>PGM Data Feed for PGA</t>
  </si>
  <si>
    <t>GolfDataServer;SMARTMultiViewer;SMARTViewer</t>
  </si>
  <si>
    <t>Investigate BkMCC interpolated ball track which filled by bringing the ball below the negative z value.</t>
  </si>
  <si>
    <t>Image Tearing with 2110 inputs</t>
  </si>
  <si>
    <t>VersatileVideoCapture</t>
  </si>
  <si>
    <t>EPTS is struggling to track correctly the fighters arms during punches</t>
  </si>
  <si>
    <t>Boxing</t>
  </si>
  <si>
    <t>RedSpy Stype integration</t>
  </si>
  <si>
    <t>BroadcastCameraCalib</t>
  </si>
  <si>
    <t>GREECE SUPER LEAGUE SAO FINAL BALL</t>
  </si>
  <si>
    <t>GREECE SUPER LEAGUE SAO BALL</t>
  </si>
  <si>
    <t>Enhance Line To Gain Analysis to remove need for VVC</t>
  </si>
  <si>
    <t>LineToGainAnalysis</t>
  </si>
  <si>
    <t xml:space="preserve">Tombstones don't read in branding png from San Siro software onwards, It reads from hawkvr.ini instead </t>
  </si>
  <si>
    <t>IPL List of discretionary allowance change</t>
  </si>
  <si>
    <t>Recurring crashes in CF cameras</t>
  </si>
  <si>
    <t>Anti-wobble is being enabled on all hawkeye cameras which after you exit the cricket panel, it drags the camera out of alignment and in may cases it is completely black and unusable for relpays.</t>
  </si>
  <si>
    <t>Some TrackPacs still hanging in Live CPP</t>
  </si>
  <si>
    <t>Unable to enable focus peaking</t>
  </si>
  <si>
    <t>Poor Lead Arm Tracking for Pitcher</t>
  </si>
  <si>
    <t>Missing dll files on S3Uploader when launching from San Siro Release</t>
  </si>
  <si>
    <t>S3 Uploader</t>
  </si>
  <si>
    <t>HawkVR Plaque - IPL</t>
  </si>
  <si>
    <t>BaseballPlayFeedGenerator Not Outputting Data for Pitches</t>
  </si>
  <si>
    <t>BCPP does not recognize newly available video feeds unless relaunched</t>
  </si>
  <si>
    <t>BCPP on prem crashes when trackpac is reprocessed with less video feeds than when originally processed</t>
  </si>
  <si>
    <t xml:space="preserve">Finish and finalize GC work started in </t>
  </si>
  <si>
    <t>Session ID being sent to software on separate system</t>
  </si>
  <si>
    <t>Push to Live pushing settings to all MCAs</t>
  </si>
  <si>
    <t>3D text not appearing over live AR images</t>
  </si>
  <si>
    <t>Skyline overlay won't appear over live AR images on HawkVR</t>
  </si>
  <si>
    <t>Pitchmap Stripey and Spin Pitchmap Stripey wont appear over live AR in HawkVR</t>
  </si>
  <si>
    <t>SanSiro AlignmentTool not using team_id.json</t>
  </si>
  <si>
    <t>AlignmentTool</t>
  </si>
  <si>
    <t>NHL Tracking | Stick Tracking Improvements</t>
  </si>
  <si>
    <t>NHL Tracking | Puck Tracking Improvements to Improve BS syncing HE and SMT Data</t>
  </si>
  <si>
    <t>Ability to auto trigger mapped commands for "recording to disk" status</t>
  </si>
  <si>
    <t>Motorsport</t>
  </si>
  <si>
    <t>AFC Champions League Finals SAO Ball</t>
  </si>
  <si>
    <t>OffsideLine Crashing when Reinterlace = false</t>
  </si>
  <si>
    <t xml:space="preserve">NHL Cloud PH&amp;S | Video Stutter Seen in Viewer </t>
  </si>
  <si>
    <t>NHL Tracking | Tracking Failing to Provision in DAL on 3/18</t>
  </si>
  <si>
    <t>Add image version to TaskMessage.json output for quality control</t>
  </si>
  <si>
    <t>TEFSC Crashing/ not updating elastic bookmarks</t>
  </si>
  <si>
    <t>TrackingEventFeedSMARTConverter</t>
  </si>
  <si>
    <t>Clip Sharing panel only changes pages when the panel is wide enough to see all pages</t>
  </si>
  <si>
    <t>Pulse connections not available in the drop down on versions later than 2.13.0</t>
  </si>
  <si>
    <t>VARDict</t>
  </si>
  <si>
    <t>Elastic Event Replay does not work with basic bookmarks</t>
  </si>
  <si>
    <t>ElasticEventReplay</t>
  </si>
  <si>
    <t>BPFG for NPB requests</t>
  </si>
  <si>
    <t>SAOOD: Incorrect team reticle options on attacker player selection when using live lines</t>
  </si>
  <si>
    <t>Scrubbing tool loading tracks slowly</t>
  </si>
  <si>
    <t>Shadows on FIFA Generic map</t>
  </si>
  <si>
    <t>Refresh Button is now white and hard to see</t>
  </si>
  <si>
    <t>TEFSC not converting a FootFault correctly to make an Elastic Bookmark</t>
  </si>
  <si>
    <t xml:space="preserve">If the tracker makes any update to the track you’ve got loaded while you’re in a replay sequence for a high delivery, viewer crashes. </t>
  </si>
  <si>
    <t>LaLiga SAO Ball Special VS Racism</t>
  </si>
  <si>
    <t>SanSiro VVC not connecting to Emergent Cameras in GLT (HR-2000C) with Ecapture version 2.55.01</t>
  </si>
  <si>
    <t>Rename/Delete pop-up disappears behind UI</t>
  </si>
  <si>
    <t>Splitscreen/Exports Pull Untagged Audio</t>
  </si>
  <si>
    <t>In-play jersey history not to allow 12 players on pitch</t>
  </si>
  <si>
    <t>Showing stream delay controls drops monitor fps</t>
  </si>
  <si>
    <t>BMCC PP Queue doesnt reflect unique task count</t>
  </si>
  <si>
    <t>Add BattingOrder to BPFG JSON Output</t>
  </si>
  <si>
    <t>NFL Caliper improvements - adding hash markings and posts</t>
  </si>
  <si>
    <t>Caliper</t>
  </si>
  <si>
    <t>CF Spin cameras crashing</t>
  </si>
  <si>
    <t>Missed pitch due to BTC lagging</t>
  </si>
  <si>
    <t>Control</t>
  </si>
  <si>
    <t>Spin Camera Crashed During Live Play</t>
  </si>
  <si>
    <t>Touch point in SMARTViewer is off</t>
  </si>
  <si>
    <t>MulticamAnalysis;MulticamPostProcess;SMARTViewer</t>
  </si>
  <si>
    <t>BkMCC recognizes foot touches as normal dribbles</t>
  </si>
  <si>
    <t>NHL Tracking | Tracking Quality Metrics - Generation of Metrics/Reports</t>
  </si>
  <si>
    <t>NHL Tracking | Camera Sync App to Determine On Prem Sync Issues</t>
  </si>
  <si>
    <t>NHL Tracking | Ability to Focus Cams in TrackingControlUI</t>
  </si>
  <si>
    <t>NHL Tracking | Auto-Spin Down Tracking Sessions After Games</t>
  </si>
  <si>
    <t>NHL Tracking | Ability to Zoom in TrackingControl</t>
  </si>
  <si>
    <t>ZCAM - Auto shutter http request</t>
  </si>
  <si>
    <t>NHL Tracking | 2D Line Masking in TrackingControl</t>
  </si>
  <si>
    <t>NHL Tracking | Pull in Jersey Numbers Through an NHL Roster API</t>
  </si>
  <si>
    <t>NHL Tracking | Start/Stop Recording Button in TrackingControlUI</t>
  </si>
  <si>
    <t>Embedded Audio Sync Issue in SMARTViewer</t>
  </si>
  <si>
    <t>Improve Audio Presets</t>
  </si>
  <si>
    <t>BTC: Arcs do not join post toss, 2x arc for hit speed produced</t>
  </si>
  <si>
    <t>VARdict request for Video Support</t>
  </si>
  <si>
    <t xml:space="preserve">Line To Gain Analysis software was having trouble tracking the lines on the field as well as the ball in HST for their playoff game last weekend. . I uploaded a couple of CVID clips to the FTP /_NFL/HST LTG POST01. </t>
  </si>
  <si>
    <t>Improved Network Discovery on our Applications</t>
  </si>
  <si>
    <t>NetworkDiscoveryBridge;SMARTChat;SMARTElastic;SMARTRemote</t>
  </si>
  <si>
    <t>BasketballMultiCameraAnalysis_2025-01-09_QueensParkOval_D_RC1 BkMCC Crashes</t>
  </si>
  <si>
    <t>Add system type to BDS and BPFG output</t>
  </si>
  <si>
    <t>BaseballDataPlatform;BaseballDataServer</t>
  </si>
  <si>
    <t>SMV Not Pulling Player Names</t>
  </si>
  <si>
    <t>GolfDataServer;SMARTMultiViewer</t>
  </si>
  <si>
    <t>SMV NFL Data Offset</t>
  </si>
  <si>
    <t>Update audio panel input section to be ordered numerically not alphabetically</t>
  </si>
  <si>
    <t>Add ability to set negative playback speed in clip speed settings</t>
  </si>
  <si>
    <t>Crash dragging clip of same camera to the output</t>
  </si>
  <si>
    <t>UWCL KO Ball for SAO VR</t>
  </si>
  <si>
    <t>WEURO Balls in VR</t>
  </si>
  <si>
    <t xml:space="preserve">CollegeSport Data Panel Card Mode </t>
  </si>
  <si>
    <t>Away on top of Home in college status bar</t>
  </si>
  <si>
    <t xml:space="preserve">RFG: Unknown roles should not be gap filled or ignored completely </t>
  </si>
  <si>
    <t>"Multiple elastic instances should only be run on the same PC if they are all in tiebreak mode" even when not part of the same cluster</t>
  </si>
  <si>
    <t>SMARTElastic</t>
  </si>
  <si>
    <t>BkMCC - Live play gave backboard goaltend event, replaying data doesn't show it</t>
  </si>
  <si>
    <t>TDP: No arc produced live in rally.</t>
  </si>
  <si>
    <t>Allow BDP/TAL to work for sessions when they start before the set start time in GroundControl</t>
  </si>
  <si>
    <t>BaseballDataPlatform;GroundControl</t>
  </si>
  <si>
    <t>Post Process tasks not processing in SanSiro RC1</t>
  </si>
  <si>
    <t xml:space="preserve">Smartremote filters does not have a scroll bar </t>
  </si>
  <si>
    <t>SMARTRemote</t>
  </si>
  <si>
    <t>TTP issues with processing QPO BSONS</t>
  </si>
  <si>
    <t>Z CAM - BTC should report PTP values and master/slave status</t>
  </si>
  <si>
    <t>Z CAM - Further settings to be added to OMCA / SMARTConfig</t>
  </si>
  <si>
    <t>Z CAM - Rotations. Dropped FPS + consistent property tree location</t>
  </si>
  <si>
    <t>Add "auto restart on crash" for OMCA a production setting</t>
  </si>
  <si>
    <t>ZCam GLT - Football Analysis to check FW version of Z Cam and flag if the version is wrong</t>
  </si>
  <si>
    <t>Analysis</t>
  </si>
  <si>
    <t>OFMCC - No JerseyNumber crop in OFMCC when using manual tagging</t>
  </si>
  <si>
    <t>OFMCC - Cannot click in references from OFMCC</t>
  </si>
  <si>
    <t>OFMCC - Not automatically classifing referee at the start of tracking</t>
  </si>
  <si>
    <t>GLT ZCam - EZ Link Master/Slave stability and failover issues with some cameras no connecting</t>
  </si>
  <si>
    <t>FootballTrackingProvider-3.113.0.exe reporting delayedOMCC: DOWN: not recieved heartbeat for -1ms</t>
  </si>
  <si>
    <t>NHL -  3D Tracking Flickering Seen in TrackingControlUI</t>
  </si>
  <si>
    <t>Cortex;CortexIH</t>
  </si>
  <si>
    <t>Camera Name issues</t>
  </si>
  <si>
    <t>American Football;Baseball;Basketball</t>
  </si>
  <si>
    <t>MulticamAnalysis;SMARTConfigurator</t>
  </si>
  <si>
    <t>Ability to add model points after the model is created</t>
  </si>
  <si>
    <t>College Baseball Status Bar ROB progression is backwards.</t>
  </si>
  <si>
    <t>Write Buddy file for XAVC exports - required for ESEH</t>
  </si>
  <si>
    <t xml:space="preserve">Difference Imaging Setting changes when discipline of Singles to Doubles is selected . Current Analysis Difference Mode is Variable Prev Frame on Launch. When matches change from Singles to Doubles the setting reverts to Double Difference.. </t>
  </si>
  <si>
    <t>Badminton</t>
  </si>
  <si>
    <t>TSP: ScoreType FF = Footfault, correction of spec by Crionet</t>
  </si>
  <si>
    <t>Ancillary data errors</t>
  </si>
  <si>
    <t>BCPP deployment issues</t>
  </si>
  <si>
    <t>TSP: Coin toss information is not carrying forward from BoA / Adder</t>
  </si>
  <si>
    <t>To be able to change the size of the font on camera tiles in Viewer</t>
  </si>
  <si>
    <t>SMARTViewer;VersatileVideoCapture</t>
  </si>
  <si>
    <t>Ability to toggle all shading no longer working from COG2 onwards</t>
  </si>
  <si>
    <t>OffsideLine;SMARTViewer</t>
  </si>
  <si>
    <t>The shadow or the tennis balls pre load in, before the trigger causing shadows to appear before the stat balls</t>
  </si>
  <si>
    <t>StreamDelays.ini to be imported when bringing in footage from RVD</t>
  </si>
  <si>
    <t>Baseball;Motorsport;Rugby</t>
  </si>
  <si>
    <t>BkMCC Message Log to display the body part which touched the ball</t>
  </si>
  <si>
    <t>Clips Archive Every Forwarded Audio Channel</t>
  </si>
  <si>
    <t>VANC Data not able to be outputted from SMARTStreamer / VVC</t>
  </si>
  <si>
    <t>SMARTStreamer;VersatileVideoCapture</t>
  </si>
  <si>
    <t>Z CAM - Auto Exposure in OMCA</t>
  </si>
  <si>
    <t>QoS: A9.4 &amp; A9.5 are failing on TimeViolations</t>
  </si>
  <si>
    <t>Playlist Shows Wrong Bin Number</t>
  </si>
  <si>
    <t xml:space="preserve">MCC generating unrealistic player data, BDS unable to deserialize </t>
  </si>
  <si>
    <t>BaseballDataServer;MulticamAnalysis</t>
  </si>
  <si>
    <t>NHL Tracking | All 3D Tracks Dropping Out Repeatedly</t>
  </si>
  <si>
    <t>NHL Tracking | Classification Tags Dropping Out Repeatedly</t>
  </si>
  <si>
    <t>NHL Tracking | Multiple Players Skating in Isolation Unclassified for Several Seconds</t>
  </si>
  <si>
    <t>NHL Tracking | Goalie Unclassified for Long Periods of Time</t>
  </si>
  <si>
    <t>Output Arc Drawer in MCC causes Multipipeline FPS drops</t>
  </si>
  <si>
    <t>OfficaitingDecisionsID not populating on some PP produced events as they are triggered before the live OfficiatingDecision is made</t>
  </si>
  <si>
    <t>TDP: Implement instantaneous speeds for rally and serve</t>
  </si>
  <si>
    <t>Missing .fbx settings</t>
  </si>
  <si>
    <t xml:space="preserve">Skeletal virtual recreation </t>
  </si>
  <si>
    <t>TTP: Buffered messages are not being stored in S3 (Critical)</t>
  </si>
  <si>
    <t>Time Behind Live to be included when "Live"</t>
  </si>
  <si>
    <t>Burning SSM Capture phases onto VVC not possible when Converting from HDR to SDR</t>
  </si>
  <si>
    <t>Add an "Are you sure?" popup when trying to close BkMCC when closing the physical application via the x in the corner similar to BTC and BkMCA</t>
  </si>
  <si>
    <t>Unable to fill a gap that is X distance from cursor</t>
  </si>
  <si>
    <t>Pop up message when track over x length is unassigned</t>
  </si>
  <si>
    <t>Ticket for a pop-up to say if scrubbing tool had over expected number of frames during export</t>
  </si>
  <si>
    <t>Issue in reprocessed data set - Plays missing chunks of time series data</t>
  </si>
  <si>
    <t>Issue in reprocessed data set - Plays with "double timestamps"</t>
  </si>
  <si>
    <t>QPO - Z Cam first failover taking to long when master camera is lost</t>
  </si>
  <si>
    <t>HawkVR Plaque - Champions Trophy</t>
  </si>
  <si>
    <t>Add Focus Detection to BKMCA</t>
  </si>
  <si>
    <t>MCC not assigning correct session ID on requeue of trackpac tasks</t>
  </si>
  <si>
    <t>BaseballCloudPostProcess;MulticamAnalysis</t>
  </si>
  <si>
    <t>You cannot change all toggle settings in property tree</t>
  </si>
  <si>
    <t>Spamming message in BMCA console: warning | missing result: detections</t>
  </si>
  <si>
    <t>Ability to carry audio over between clips in a playlist</t>
  </si>
  <si>
    <t>TRD: IAM user management update in tennis</t>
  </si>
  <si>
    <t>Add a setting to disable the Saturation Max filter in the Ball Candidate Colour FIltering of BkMCA</t>
  </si>
  <si>
    <t>Blender | Blender cannot access the live buffer of a chat on a differrent PC</t>
  </si>
  <si>
    <t>SMARTChat</t>
  </si>
  <si>
    <t xml:space="preserve">SMARTViewer crashes happening and when checking logs we are seeing RECEIVED INVALID CONTENT STREAM ID FOR SLAVING LINKS before the crashes take place. This has happened inconsistently with no glaring pattern; replicating it has not worked so far. </t>
  </si>
  <si>
    <t>Baseball;Basketball</t>
  </si>
  <si>
    <t>Ability to Zoom an Overlay in coordination with the Video Output is on top of</t>
  </si>
  <si>
    <t>Change to HE Venue ID from MLB Venue ID in SessionManagerCredentials file</t>
  </si>
  <si>
    <t>Some model points cause the map to behave strangely, with visual glitches at the ends of the court</t>
  </si>
  <si>
    <t>Suggestion to swap the logic used for the "Ignore TSS Location of Archives"</t>
  </si>
  <si>
    <t>Bugs with latest version - PR86-onprem-59ceaf3</t>
  </si>
  <si>
    <t>Model warmup not following property tree values</t>
  </si>
  <si>
    <t>NHL Tracking | Orbital Issue Resulting in Calibration Models Dropping out Frequently</t>
  </si>
  <si>
    <t>NHL Tracking | Tracking Quality Metrics For TrackingControlUI</t>
  </si>
  <si>
    <t>Filtering between different games with different teams on the same syste.</t>
  </si>
  <si>
    <t>SMARTElastic;SMARTViewer;TrackingEventFeedSMARTConverter</t>
  </si>
  <si>
    <t>NHL Tracking | DebugViewer in TrackingControlUI and Being Able to Visualize Archived Data in DebugViewer</t>
  </si>
  <si>
    <t>TSP: Handling of GAVE_CHOICE_TO_OPPONENT in SD and SNAKE</t>
  </si>
  <si>
    <t>Disabling console window error for colored line tracking with populateBGR disabled in BkMCA</t>
  </si>
  <si>
    <t>Ability to use colored line tracking on Y image in BkMCA</t>
  </si>
  <si>
    <t xml:space="preserve">Baserunners being tagged in Fielding Events </t>
  </si>
  <si>
    <t>Pitchers still get incorrect release points</t>
  </si>
  <si>
    <t>Greek Super League Map</t>
  </si>
  <si>
    <t>Change BkMCA to not initialize camera birger until "Connect To Lens" is enabled within the Camera Tab</t>
  </si>
  <si>
    <t>FIFA VARdict: Add a CHECK OVER button</t>
  </si>
  <si>
    <t>FIFA VARdict: OFR should not be clickable once the outcome has been selected</t>
  </si>
  <si>
    <t>FIFA VARdict: The VAR Check button should be greyed out if I select VAR Review</t>
  </si>
  <si>
    <t>FIFA VARdict: Toggled state of the VAR Check, VAR Review and OFR buttons at the start of a check</t>
  </si>
  <si>
    <t>Allow Tracking 3d Visualiser to select and only draw a specific track ID</t>
  </si>
  <si>
    <t>ILT20 format needs updating</t>
  </si>
  <si>
    <t>LiveAR - No trajectories appearing in liveAR currently after a Tracking update</t>
  </si>
  <si>
    <t>trying to roll frame by frame skips a load of frames and doesn't go to the next ultramotion frame</t>
  </si>
  <si>
    <t>shadows in VR with no balls</t>
  </si>
  <si>
    <t>Local Slave Viewer Crashing when opening OffsidePanel on Main Viewer</t>
  </si>
  <si>
    <t>Improvements to BasketballPostProcess Tracking 3D Visualizer</t>
  </si>
  <si>
    <t>Add property tree settings for the "Inactivity Monitor" in BkMCA</t>
  </si>
  <si>
    <t>Incomplete rally data due to issues with incoming data from TDP. Error message: "Key 'Team' Not Found"</t>
  </si>
  <si>
    <t>LegacyTrjConverter</t>
  </si>
  <si>
    <t>End of day time over writes the Session time if a day is ended early in a match</t>
  </si>
  <si>
    <t>Causing PC to crash</t>
  </si>
  <si>
    <t>Output jumps with keyframed clip</t>
  </si>
  <si>
    <t>OMCC - 3D Pose Verification to become a CRITICAL ERROR</t>
  </si>
  <si>
    <t>OMCC - Delayed feed not outputting pose score in bsons</t>
  </si>
  <si>
    <t>Scrubbing Tool - Improvement for operational workflows of merging tracks</t>
  </si>
  <si>
    <t>MCM - Pitch model refinement improvements when drawing lines on broadcast cameras</t>
  </si>
  <si>
    <t>GOALTENDING - Bad Player Pose Tracking - Overall Ticket</t>
  </si>
  <si>
    <t>GOALTENDING - Missing/Wrong Impact - Overall Ticket</t>
  </si>
  <si>
    <t>Missed Initial Player Touch for Backboard Goaltend</t>
  </si>
  <si>
    <t>QoSIntegratedDataScienceChecks.exe crashing when launching 2H session</t>
  </si>
  <si>
    <t>Add further QA logic to match FIFA standards</t>
  </si>
  <si>
    <t>Include your own SMV in the clip sharing list of authors</t>
  </si>
  <si>
    <t xml:space="preserve">FIFA- FIC24 </t>
  </si>
  <si>
    <t>GOALTENDING - Logic Issue</t>
  </si>
  <si>
    <t>QPO: Right Click -&gt; Open Working Directory not opening in file explorer</t>
  </si>
  <si>
    <t>QPO - Pitch Lines do NOT overlay correctly on transition to virtual</t>
  </si>
  <si>
    <t>OMCC: QPO_C_RC2 crashes when using TestVRData</t>
  </si>
  <si>
    <t>QPO_A_UpdatesFromOly exe crashing during operations</t>
  </si>
  <si>
    <t>Circular buffer only clearing first camera in dual app</t>
  </si>
  <si>
    <t>OMCC &amp; OMCA circular buffer not always working and dropping frames when drive is full</t>
  </si>
  <si>
    <t>Black Banner showing on SMARTViewer when hiding taskbar</t>
  </si>
  <si>
    <t>GOALTENDING - Bad Ball Tracking - Overall Ticket</t>
  </si>
  <si>
    <t>CIS WebRender not handling fint size correctly compared to CIS on Chrome page</t>
  </si>
  <si>
    <t>WebRender</t>
  </si>
  <si>
    <t>Request Supercoppa Ball Serie A 24/25</t>
  </si>
  <si>
    <t>Global Sync of VVCs from a Master Viewer</t>
  </si>
  <si>
    <t xml:space="preserve">Removal or Customisable Viewer Watch Out Command </t>
  </si>
  <si>
    <t>Converter does not reconnect to rabbit is Internet connection is lost</t>
  </si>
  <si>
    <t>BoA Expose a TCP/IP endpoint</t>
  </si>
  <si>
    <t>Object Detection Evaluator not working as expected during live play.</t>
  </si>
  <si>
    <t>Adjust color of IK Interpolated Skeleton in Tracking 3d Visualiser to match the team identification.</t>
  </si>
  <si>
    <t>FTSC to use secondary LAN in Launch.bat to send data from OMCC - Network Redundancy</t>
  </si>
  <si>
    <t>FootballTrackingSMARTConverter</t>
  </si>
  <si>
    <t>OMCC - Dropped frames for entire match despite green diagnostics tab &amp; no resource issues</t>
  </si>
  <si>
    <t>VAR Explanation messages on CIS in Europa League</t>
  </si>
  <si>
    <t>VARDict;WebRender</t>
  </si>
  <si>
    <t>GLT QPO - Watch Connection on Football Control flickering, effecting triggers sent to Watch system</t>
  </si>
  <si>
    <t>SMARTLauncher - Development to function with Google Cloud</t>
  </si>
  <si>
    <t>New Volleyball for VR World - LOVB League</t>
  </si>
  <si>
    <t>Volleyball</t>
  </si>
  <si>
    <t>Game clock on Leikr Watch sync drifts during the pre game 90 minute countdown</t>
  </si>
  <si>
    <t>No Cylinder Goaltend in BkPP due to no hoop info</t>
  </si>
  <si>
    <t>NHL Replay - Viewer Run on SitRoom PC's Crashing on Launch Repeatedly</t>
  </si>
  <si>
    <t>Colour Correction and Camera Control for BlackMagic Cameras over Network</t>
  </si>
  <si>
    <t>Football;Tennis</t>
  </si>
  <si>
    <t>CCU;VersatileVideoCapture</t>
  </si>
  <si>
    <t>Subsample Live Streams to be added to SMARTMultiviewer</t>
  </si>
  <si>
    <t>Clip Sharing Panel Stuck on Page 1</t>
  </si>
  <si>
    <t>HawkVis crashes when no player number is assigned</t>
  </si>
  <si>
    <t>New Translations for Japan</t>
  </si>
  <si>
    <t>QPO - Rugby Elastic Bookmarks Do Not Display Markers on Timeline</t>
  </si>
  <si>
    <t>Rugby</t>
  </si>
  <si>
    <t>RLA - SMARTViewer Crashes On Launch With 'Rugby' Plugin Enabled</t>
  </si>
  <si>
    <t>HawkVR LBWs model blocking</t>
  </si>
  <si>
    <t>Clips in Playlist to pull PBS number</t>
  </si>
  <si>
    <t>Add 99% speed option to playlist drop-down</t>
  </si>
  <si>
    <t>Add Cut in Playlist Corrupts Playlist</t>
  </si>
  <si>
    <t>Ball Spanish Supercup "El primero"</t>
  </si>
  <si>
    <t>PrimeVision LiveAR: Losing pitch map player dots when sync values too high</t>
  </si>
  <si>
    <t>Add Fielding Components to BSK Output</t>
  </si>
  <si>
    <t>BaseballDataPlatform;BaseballScoreKeeper</t>
  </si>
  <si>
    <t>drag .trj file into Cricket Panel have ability to load in LBW</t>
  </si>
  <si>
    <t>Alt + L Causing SMARTViewer to freeze</t>
  </si>
  <si>
    <t>Basketball Track Missing on Non-Player Tracked Frames</t>
  </si>
  <si>
    <t>IK (transformations) missing on the frame before track gap</t>
  </si>
  <si>
    <t xml:space="preserve">GLT Tracking ZCam - Decoding of Tracking Cameras defaults to 1st GPU, no way of assigning through core configurator </t>
  </si>
  <si>
    <t>Viewer crash when clicking "no" on error pop up when changing OB area camera after kickpoint</t>
  </si>
  <si>
    <t>Tracking Offset Sync not to go above 20ms</t>
  </si>
  <si>
    <t>GLT Tracking ZCam - Analysis not reporting colour coded bars into FootballControl</t>
  </si>
  <si>
    <t>OB Area 9 (or EPTS Cameras) should be locked in TRACKING OFFSET SYNC panel</t>
  </si>
  <si>
    <t>GLT Tracking ZCam - Analysis crashes when launching Analysis 18 and 28 with camera type set as "No Camera"</t>
  </si>
  <si>
    <t>Pose Score display not available when on broadcast camera</t>
  </si>
  <si>
    <t>During tracking sync offset all cameras should zoom in on ball</t>
  </si>
  <si>
    <t>GLT Tracking ZCam - ZCams require a different decode mode (YUV422p) compared to Manta. Ims to include information on decode mode so the correct mode is set when loading in ims from ZCam or Manta cams</t>
  </si>
  <si>
    <t>GLT Tracking Z Cam - QPO Control Console Window not showing as a window, closes straight away once software is launched</t>
  </si>
  <si>
    <t>GLT Tracking ZCam - Analysis increase in CUDA usage once GUI is clicked, increase should only happen when show image is ticked and go back down once image is closed</t>
  </si>
  <si>
    <t>Constant missing CSV file and onnx file errors in R branch software</t>
  </si>
  <si>
    <t>Tennis racket error present in BMCA</t>
  </si>
  <si>
    <t>Reopened</t>
  </si>
  <si>
    <t xml:space="preserve">CortexIH - Failing to Create Sticks and Classification Data at Random Occurences </t>
  </si>
  <si>
    <t>CortexIH</t>
  </si>
  <si>
    <t>GLT Tracking ZCam - QPO Y Image from Analysis not pulling into Control Camera windows consistently. Image is black and occasionally flickers with correct image</t>
  </si>
  <si>
    <t>Analysis;Control</t>
  </si>
  <si>
    <t>BkPP gives Unknown confidence when MCC gives Low confidence</t>
  </si>
  <si>
    <t>Clip Shared Authors Page not updating page number</t>
  </si>
  <si>
    <t>GLT Tracking Zcam - QPO Control GUI information does not fit correctly, some information is cut off</t>
  </si>
  <si>
    <t>GLT Tracking ZCam - ZCam integration into Analysis currently has no controls of Shutter, Gain or image settings for the Z Cams</t>
  </si>
  <si>
    <t>FIFA VARdict - Increase Red Card checks</t>
  </si>
  <si>
    <t>Data Platform Sender flag is not updating live and delayed addresses on football tracking provider after first connection</t>
  </si>
  <si>
    <t>LiveAR: Name tag above wrong players head after track swap</t>
  </si>
  <si>
    <t>Block scrolling on drop downs (except for PBS panel)</t>
  </si>
  <si>
    <t>Output clip takes priority over selected clip when changing Clip Speed in Playlists</t>
  </si>
  <si>
    <t>Grey tiles when jumping live after in point and scrolling up to live</t>
  </si>
  <si>
    <t>Skeletons cannot be toggled off / on when selecting an Offside Event</t>
  </si>
  <si>
    <t>Auto Calib tool for Caliper</t>
  </si>
  <si>
    <t>When using Pip Timer, I am unable to remove the pip timer from being present on all SDI Outputs</t>
  </si>
  <si>
    <t>Different colour outline for OMCC1/2.</t>
  </si>
  <si>
    <t>We need to change the start time for the WBBL to 73 minutes rather than 74</t>
  </si>
  <si>
    <t>Adding ability to have a negative focus value in BkMCA</t>
  </si>
  <si>
    <t>Configurator not setting the expected Nvidia version correctly for BasketballPostProcess</t>
  </si>
  <si>
    <t>MulticamPostProcess;SMARTConfigurator</t>
  </si>
  <si>
    <t>SMART Configurator does not kill BasketballLiveFeedGenerator or BasketballScrubbedFeedGenerator</t>
  </si>
  <si>
    <t>Have the DataScienceBasketball app deploy out alongside Scrubbing Tool as already possible with the DataScienceFootball app</t>
  </si>
  <si>
    <t>Scrubbing tool;SMARTConfigurator</t>
  </si>
  <si>
    <t>RFG: ARC_OFF_OBJECT handling for winner shots</t>
  </si>
  <si>
    <t>Legacy software applications for Bad/Vol not launching on Windows 11 operating system machines</t>
  </si>
  <si>
    <t>Off bat lite general improvements</t>
  </si>
  <si>
    <t>Genius Data Converter is pulling the wrong jersey number</t>
  </si>
  <si>
    <t>Add NPB StatsAPI to AlignmentTool</t>
  </si>
  <si>
    <t>Add functionality to LegacyTrjConverter to export ball toss trajectories</t>
  </si>
  <si>
    <t>TennisVR</t>
  </si>
  <si>
    <t>LegacyTrjConverter app currently does not output Trj when connected to 2 separate tournament codes (ie men's &amp; women's)</t>
  </si>
  <si>
    <t>Increase duration of error messages appearing in LegacyTrjConverter App</t>
  </si>
  <si>
    <t>Add a numerical QoS verifier into the LegacyTrjConverter app to assess the % of successfully converted Trj for individual matches</t>
  </si>
  <si>
    <t>Have LegacyTrjConverter app output rally.action files to the output folder, instead of .json files</t>
  </si>
  <si>
    <t>LegacyTrjConverter classifies missed serves as backhands</t>
  </si>
  <si>
    <t>Chat Controller should have an input array when you use direct connections</t>
  </si>
  <si>
    <t>CTRL I and CTRL O export markers not working in Q branch</t>
  </si>
  <si>
    <t>Partial footage crashes BCPP when camera is still down</t>
  </si>
  <si>
    <t>Need a new format creating for Abu Dabi T10 league</t>
  </si>
  <si>
    <t>Pending Archiver causing the default commands to mark export start and end (ctrl+Y and Ctrl+U) not to work on the Q branch.</t>
  </si>
  <si>
    <t>Wrong Apex times for Apex Goaltending Events</t>
  </si>
  <si>
    <t>False Positive Goaltends detected at times where players are not close to ball and ball is not impacted.</t>
  </si>
  <si>
    <t>Goaltends listed in events panel but when clicked on, only no goaltend show in the events panel</t>
  </si>
  <si>
    <t>Auto Zooming of UHFR cameras when selecting events does not frame the ball correctly.</t>
  </si>
  <si>
    <t>GDC to create ShirtNumber Roster and use during live game</t>
  </si>
  <si>
    <t>BCC ground tracking - 3d cooridnates</t>
  </si>
  <si>
    <t>SRC Crashing when connecting to SRS</t>
  </si>
  <si>
    <t>Hockey</t>
  </si>
  <si>
    <t>Bin dropdown for playlists panel</t>
  </si>
  <si>
    <t>Update LED controller text with camera on tile</t>
  </si>
  <si>
    <t>GDS data page scrolling with touchscreen</t>
  </si>
  <si>
    <t>Back on playlist panel clears a playlist</t>
  </si>
  <si>
    <t>Viewer crashing when changing games in game selector</t>
  </si>
  <si>
    <t>Taskbar icons for BkMCA and BkMCC</t>
  </si>
  <si>
    <t>Ability to Pop Out Tabs in Appstream to put a Game on Each Monitor</t>
  </si>
  <si>
    <t>Ability to see 2D Tracking in TrackingControl</t>
  </si>
  <si>
    <t>Elastics/SMV Compatibility between software branches</t>
  </si>
  <si>
    <t>SMARTElastic;SMARTMultiViewer</t>
  </si>
  <si>
    <t>Playlists Skipping Clips</t>
  </si>
  <si>
    <t>Imported Clips Can't be Copy/Pasted from Clip Sharing</t>
  </si>
  <si>
    <t>CHINA Super League SAO Ball Build</t>
  </si>
  <si>
    <t>Ball tracking bad in ORL</t>
  </si>
  <si>
    <t>Trackpacs process incorrectly with camera footage issues</t>
  </si>
  <si>
    <t>Touch given AFTER the touch has actually occurred, leading to chance to score changing from no to yes. We therefore give a backboard goaltend.</t>
  </si>
  <si>
    <t>SMARTConfigurator to reference MySQL versions and pop up error if wrong version is installed</t>
  </si>
  <si>
    <t>Green line for HDR 2110 inputs</t>
  </si>
  <si>
    <t>“Key ‘format’ not found” - unable to process matches with a match code beginning with X</t>
  </si>
  <si>
    <t>Improve the visibility the "last updated" section of the LegacyTrjConverter GUI</t>
  </si>
  <si>
    <t xml:space="preserve">NHL Situation Room Workstations - SmartViewer Showing Choppy Feeds </t>
  </si>
  <si>
    <t xml:space="preserve">QPO </t>
  </si>
  <si>
    <t>PP queue summary is too crowded</t>
  </si>
  <si>
    <t>Re-timestamp bsons with a set offset on export</t>
  </si>
  <si>
    <t>BCPP crashes during TrackPac task if expected video feed has no video</t>
  </si>
  <si>
    <t>Clip name not updated in playlist after editing</t>
  </si>
  <si>
    <t>Copy all option for NEST</t>
  </si>
  <si>
    <t>HawkNEST</t>
  </si>
  <si>
    <t xml:space="preserve">NHL Tracking | Players losing Skeletal Tracks When Against the Boards </t>
  </si>
  <si>
    <t>CONMEBOL SAO Ball Build (x2)</t>
  </si>
  <si>
    <t>UCL MD 7&amp;8 and KO balls in VR</t>
  </si>
  <si>
    <t>Change Layout with GDS in OpConfig</t>
  </si>
  <si>
    <t>"Send Team Ends to Other Instances" button in BkMCC is not sending the "Team A First Half End" selection to other BkMCCs.</t>
  </si>
  <si>
    <t xml:space="preserve">Drag Curve Data Capture - MS017 - 605 - Set 2 Game 7 + </t>
  </si>
  <si>
    <t>Add a "Show Last Shot Image" option in Basketball MCC similar to the "Show Last Hit Image" in Baseball MCC</t>
  </si>
  <si>
    <t>Change the number for the first innings being void to 80 not 60 in the ICC Test Fuction</t>
  </si>
  <si>
    <t>The first Innings and the Second Innings timings dont have any affect on each other. The second innings is seperate to the first one</t>
  </si>
  <si>
    <t>If you change the required session time (unticking lunch or tea) it changes the session you are currently on by 1 session.</t>
  </si>
  <si>
    <t>When you try to put allowances as anything from the Interval section, the csv's come out with very incorrect figures, which affectes the entire validity of the App</t>
  </si>
  <si>
    <t>Second innings doesnt account for the over that that only has not been completed fully in the final over</t>
  </si>
  <si>
    <t>Crash when using Numpad in Clip Sharing</t>
  </si>
  <si>
    <t>Output 3 on Second Monitor Crash</t>
  </si>
  <si>
    <t>Timezones for Kazakhstan apply daylight savings</t>
  </si>
  <si>
    <t>MIN Cam 4 Calibration Model and Tracking Started to Flicker in TrackingControl UI</t>
  </si>
  <si>
    <t>QueensParkOval BMCA Crash when starting playback in SRV</t>
  </si>
  <si>
    <t>Currently unable to change PGA gain in UHFR cameras</t>
  </si>
  <si>
    <t xml:space="preserve">No Audio on Imported Clips </t>
  </si>
  <si>
    <t>TSP:Handling of ITF MatchTieBreakNoAdvantage in ITF feed not working</t>
  </si>
  <si>
    <t>TSP: Handling of Mixed Doubles match format</t>
  </si>
  <si>
    <t>SMART Remote Server 7.0.2 crashes</t>
  </si>
  <si>
    <t>OMCC: When using TestVRData tracks swap between officials meaning you cannot using manual tagging</t>
  </si>
  <si>
    <t>Goalie - Stick Tracking Issues</t>
  </si>
  <si>
    <t>NHL Tracking - Stick Floating</t>
  </si>
  <si>
    <t>NHL Tracking | Classification Issues - Referee Dropping Tag</t>
  </si>
  <si>
    <t>Drag and Drop Launch.BAT is not working anymore</t>
  </si>
  <si>
    <t>Mosaic - Canvas UI</t>
  </si>
  <si>
    <t>DynamicStreaming;SMARTViewer</t>
  </si>
  <si>
    <t>Mosaic - Canvas Flickering</t>
  </si>
  <si>
    <t>BCPP crashes when a camera without footage is expected</t>
  </si>
  <si>
    <t>TDP: FDE Feed Retransmission Request</t>
  </si>
  <si>
    <t>SMV launching up with low output fps</t>
  </si>
  <si>
    <t>Playing the playlist with the panel open drops SMV performance</t>
  </si>
  <si>
    <t>Option to turn off Pop-up Notifications except for errors</t>
  </si>
  <si>
    <t>Type in Stream Delays and/or reset stream delays button</t>
  </si>
  <si>
    <t>SMV crash when re-saving a clip from another ops PBS</t>
  </si>
  <si>
    <t>Viewer stuttering rendering play-by-play data in card mode</t>
  </si>
  <si>
    <t>Unable to Open Working Directory from SMARTConfigurator</t>
  </si>
  <si>
    <t>Create Venues in BMM with only HE Venue IDs</t>
  </si>
  <si>
    <t>Include EventMetaData.json in PP clips</t>
  </si>
  <si>
    <t>Draw player and ball masks in the AWReference image rather than live image</t>
  </si>
  <si>
    <t>Adding the ability to enable the "Auto White Balance Enable" button from eCapture in BkMCA</t>
  </si>
  <si>
    <t>Investigate why BkMCA maximum focus value is smaller than eCapture maximum focus value for UHFR Cameras</t>
  </si>
  <si>
    <t>BTC shows a small dip in tracking right before ball is hit</t>
  </si>
  <si>
    <t>Dropped Frames From BTC Resulting in "No-Pitches"</t>
  </si>
  <si>
    <t>Low Scores for Pitch Confidence</t>
  </si>
  <si>
    <t>Player Tags Dropping Due to BMCC Freezing</t>
  </si>
  <si>
    <t>Right click &amp; Auto zoom not working in OffsidePanel in SMARTViewer</t>
  </si>
  <si>
    <t xml:space="preserve">Audio output from machine running SMARTViewer does not match audio on SDI Output </t>
  </si>
  <si>
    <t>SMARTViewer: Add options for different languages within the Rugby Panel</t>
  </si>
  <si>
    <t>Enabling tone doesn't mute other audio sources</t>
  </si>
  <si>
    <t>Audio or Video Drop Out when Launched Streamer connects to different endpoint / RTMP server restarts</t>
  </si>
  <si>
    <t>SMARTStreamer</t>
  </si>
  <si>
    <t>After more than 12h of RTMP encode, Streamer reports "ERROR: FFmpeg error: "Failed to stream packet""</t>
  </si>
  <si>
    <t>Time Behind Live on Info Output</t>
  </si>
  <si>
    <t>Golf</t>
  </si>
  <si>
    <t>Scrubbing Tool sessions made using a Pacific Coliseum Cloud Uploader will not launch</t>
  </si>
  <si>
    <t>When recalling a clip SMV can display a green output likely really zoomed in on the output</t>
  </si>
  <si>
    <t>Create a womens version of processing control that uses a smaller ball size</t>
  </si>
  <si>
    <t>OffsideMultiCameraAnalysis_2024-06-04_JM_Maracana_TEST_3dJNModel OMCC Crashes</t>
  </si>
  <si>
    <t>Missed Pitches Due to BMCC Freezing</t>
  </si>
  <si>
    <t>Add ability to write Compressed Video Output to a circular buffer</t>
  </si>
  <si>
    <t>Update GDS to recognise the Women's Golf Api</t>
  </si>
  <si>
    <t>Update where to pull PGA player name data</t>
  </si>
  <si>
    <t>Missing country/country code shouldn't stop SMV/Viewer displaying Golf data</t>
  </si>
  <si>
    <t>Some sort of indication / better animation that the ball has hit the stumps in VR</t>
  </si>
  <si>
    <t xml:space="preserve">TSP and TTP don't send metrics to datadog. </t>
  </si>
  <si>
    <t>Event data not saving when starting clock before done</t>
  </si>
  <si>
    <t>FELA</t>
  </si>
  <si>
    <t>Extra Outcomes for Infringement</t>
  </si>
  <si>
    <t>Sort all events page by match time not collection time</t>
  </si>
  <si>
    <t>Infringement Reason Bug</t>
  </si>
  <si>
    <t>Futsal - Clock to stop at 20:00 &amp; 40:00</t>
  </si>
  <si>
    <t>Error message when event is not saved properly</t>
  </si>
  <si>
    <t>OlympicStadium Caliper seems slipped down in Tracking Camera Pipeline</t>
  </si>
  <si>
    <t>Client to show then number of active connections to each Server</t>
  </si>
  <si>
    <t>Athletics;Cricket;Hockey;Rugby</t>
  </si>
  <si>
    <t>Add new variation of X710 Network Adaptor</t>
  </si>
  <si>
    <t xml:space="preserve">CDS does not correctly get the landing Landing z values from logger and these all become 0. </t>
  </si>
  <si>
    <t>CricketDataServer</t>
  </si>
  <si>
    <t>Add status box with key error messages to Z Cam Mirror application</t>
  </si>
  <si>
    <t xml:space="preserve">Colored Box Stays Around Clip </t>
  </si>
  <si>
    <t>MCA loads slowly in SMARTConfigurator</t>
  </si>
  <si>
    <t>Archiver Crash with 4K feeds</t>
  </si>
  <si>
    <t>SMARTArchiver</t>
  </si>
  <si>
    <t>Audio not attached to Exports</t>
  </si>
  <si>
    <t>FIFA VARdict - Background Colour to be changed to blue</t>
  </si>
  <si>
    <t>FIFA VARdict - Spacers</t>
  </si>
  <si>
    <t>FIFA VARDict - Resize / Restyle VAR Check and VAR Review</t>
  </si>
  <si>
    <t>FIFA - Remove CHECK and VAR Buttons</t>
  </si>
  <si>
    <t>FIFA VARdict - OFR button resizing and position change / RESET Button change due to this</t>
  </si>
  <si>
    <t>Box Sells - VVC / Streamer randomly crashing  on a single PC</t>
  </si>
  <si>
    <t>FIFA VARDict - Match Setup and Routing keys (Rabbit Queue)</t>
  </si>
  <si>
    <t>Allow for multiple results stores</t>
  </si>
  <si>
    <t>Seeing inconsistent USB behavior with 2 client connections to SRS</t>
  </si>
  <si>
    <t>Auto-Upload Cricket MP4s with context for 3rd Party</t>
  </si>
  <si>
    <t>Cloud Uploader</t>
  </si>
  <si>
    <t>Produce MP4 archives through SMART Archiving Software which use Anti-wobble</t>
  </si>
  <si>
    <t>DataFeedArchiver;SMARTArchiver;SMARTViewer</t>
  </si>
  <si>
    <t>TDP: QoS to improve DD latency bench marking</t>
  </si>
  <si>
    <t>VARGraphicsMediator not connecting to UEFA FSP</t>
  </si>
  <si>
    <t>VARGraphicsMediator</t>
  </si>
  <si>
    <t>Z Cams causing SMARTViewer to lag when in the Output</t>
  </si>
  <si>
    <t>MulticamAnalysis;OffsideLine</t>
  </si>
  <si>
    <t>When adding 6th cameras to DFA the archive continually processes, deletes and restarts</t>
  </si>
  <si>
    <t>DataFeedArchiver</t>
  </si>
  <si>
    <t xml:space="preserve">BkMCA throws an error when using new 100G Emergent Modules 21000GC </t>
  </si>
  <si>
    <t>Make Basketball caliper have two input fields for outside line width and infield line width</t>
  </si>
  <si>
    <t>SR unresponsive on certain type of Server</t>
  </si>
  <si>
    <t>Control Not launching on Windows 11 once Tracking Configurator is launched</t>
  </si>
  <si>
    <t>Network redundancy priority</t>
  </si>
  <si>
    <t>ConfigureREPLAY;SMARTConfigurator;SMARTMultiViewer;SMARTViewer</t>
  </si>
  <si>
    <t>QueensPark SAOOD: Crashing on launch</t>
  </si>
  <si>
    <t>QueensPark OMCA: Ball Model Threshold Error</t>
  </si>
  <si>
    <t>BMCC Reply String Not Always Reflecting BCPP Action</t>
  </si>
  <si>
    <t>TDP: Unhandled format "No-Ad Match TB"</t>
  </si>
  <si>
    <t>Referee role ? are not removed when "removing all unassigned tracks"</t>
  </si>
  <si>
    <t>Scrubbing tool reading in the first data science app in the directory</t>
  </si>
  <si>
    <t>AmericanFootballBallControl crashing when trying to change overview window</t>
  </si>
  <si>
    <t>Duplicate jersey numbers</t>
  </si>
  <si>
    <t>Visualisation of new game active confidence logic in scrubbing tool</t>
  </si>
  <si>
    <t>When running Emergent HB12000 at 3200x1800 resolution at 290fps the frame rate will regularly cut in half when genlocked by the TTL signal. The behaviour if far more infrequent if 2 cameras are connected to the same card</t>
  </si>
  <si>
    <t>Warning on DVI that cameras are out of sync</t>
  </si>
  <si>
    <t>CricketVR</t>
  </si>
  <si>
    <t>SMARTRemoteServer crashes whenPC is accessed and running non-normal resolutions</t>
  </si>
  <si>
    <t>Cricket;Rugby</t>
  </si>
  <si>
    <t>Part 1 - Improvements to validate data (kickoff check and sub checks)</t>
  </si>
  <si>
    <t>TDP: Ability to convert BSONs generated from tracking with HwkTime to Epoch to enable dashboard reprocessing</t>
  </si>
  <si>
    <t>TDP x Tracking - Currently the serve speeds in TDP don't match the calculations done by databridge</t>
  </si>
  <si>
    <t>RTTDataBridge;TennisDataPlatform</t>
  </si>
  <si>
    <t xml:space="preserve">Masking functions displaying strangely </t>
  </si>
  <si>
    <t>Playlist Clip Speed Configuration</t>
  </si>
  <si>
    <t>VVC Crash Report when enabling Anti Flicker, whist Enabled Colour Correction tick box is unticked</t>
  </si>
  <si>
    <t>VVC Antiflicker GLT Z Cams - When Enable Colour Correction tickbox is unticked, the Debayerer Enabled and CreateBGR tickboxes also untick, these are needed for AntiFlicker to work on the VVC</t>
  </si>
  <si>
    <t>Update Ecapture Esdk to 2.55.01</t>
  </si>
  <si>
    <t>WaistHigh No Balls don't update when selected in Viewer</t>
  </si>
  <si>
    <t>Preview of WHNB is too long</t>
  </si>
  <si>
    <t>Skeletal Tasks Failing Randomly with "person frame data empty" error message in PP Queue</t>
  </si>
  <si>
    <t xml:space="preserve">Football Fast Feed Generator (FFFG) - Update to support tracking version 6 </t>
  </si>
  <si>
    <t>When playing out a WHNB from the cricket panel in SMARTViewer, the correct delivery will appear in the panel, but if you select it too soon you are unable to play that down.</t>
  </si>
  <si>
    <t>Allow BDS to use playID from another instance of BDS</t>
  </si>
  <si>
    <t>BaseballDataServer</t>
  </si>
  <si>
    <t>Long neural network loading time for post process</t>
  </si>
  <si>
    <t>BkPP gave a touch to a player who wasnt touching it</t>
  </si>
  <si>
    <t>"Combined Tab" for NHL TrackingControlUI</t>
  </si>
  <si>
    <t>Add Some Indicator in TrackingControlUI in Each of the Video Feeds to Know if Cams are in Sync</t>
  </si>
  <si>
    <t>Calibration Improvements</t>
  </si>
  <si>
    <t xml:space="preserve">ZCamMirrorUI Improvments </t>
  </si>
  <si>
    <t>Display AWS Errors in to TrackingControlUI</t>
  </si>
  <si>
    <t>Button to Automatically Jump to Most Recent Tracks</t>
  </si>
  <si>
    <t>Ability to Rearrange Feeds in "Multiview" and Remove Feeds That are Not Contributing / Killed</t>
  </si>
  <si>
    <t xml:space="preserve">Clear All Button in the Classifcation Panel Does Not Function Properly to Removing Classification References </t>
  </si>
  <si>
    <t>Remove the "Refetch Images" Button From the Classification Panel</t>
  </si>
  <si>
    <t>Request Winter Ball Serie A 24/25</t>
  </si>
  <si>
    <t xml:space="preserve">Genius Data Converter causes stuttering in Basketball as new plays come in </t>
  </si>
  <si>
    <t>Add tickbox for live processing for BCPP in Configurator</t>
  </si>
  <si>
    <t>BaseballCloudPostProcess;SMARTConfigurator</t>
  </si>
  <si>
    <t>Off Bat distance with arrows not selctable in VRControl.</t>
  </si>
  <si>
    <t>D3 not receiving VARDict messages on Rabbit Q (Italy - Serie A)</t>
  </si>
  <si>
    <t>To be able to toggle a confirmed Defensive line, to help with drawing an accurate Attacking line</t>
  </si>
  <si>
    <t>Lines appear across the image at exposure values over 1000</t>
  </si>
  <si>
    <t>We require BCCI formats, (Mens and Womens) in all formats.</t>
  </si>
  <si>
    <t xml:space="preserve">MLC (new tournament) requires a new format </t>
  </si>
  <si>
    <t>Add refresh golf data option to SMV/Every Shot Plugin</t>
  </si>
  <si>
    <t>Add SMART Viewer to Configure REPLAY</t>
  </si>
  <si>
    <t>ConfigureREPLAY</t>
  </si>
  <si>
    <t xml:space="preserve">TSP: Improve console log for when a scoring packet is received </t>
  </si>
  <si>
    <t>TSP: Handling of SMT EventMatches Feed</t>
  </si>
  <si>
    <t>Olympic Stadium - After certain modifications all players are showing on origin</t>
  </si>
  <si>
    <t>MCA Crashes in Replay Mode Once Video Begins to Play</t>
  </si>
  <si>
    <t>Allow calibration of tram lines</t>
  </si>
  <si>
    <t>Addition of Rugby League and Rugby Union model_lines.json &amp; model_points_template.json files  to Caliper WD/Resources folder</t>
  </si>
  <si>
    <t>Review audio inputs order/ID for audio presets</t>
  </si>
  <si>
    <t>SMARTMultiViewer;SMARTViewer</t>
  </si>
  <si>
    <t>Renaming physical cameras loses them from saved layouts</t>
  </si>
  <si>
    <t>New overlay for visualising points won</t>
  </si>
  <si>
    <t>Launch VVCs/Talon minimised</t>
  </si>
  <si>
    <t>Move Live Stream Delay away from Streamdelays.ini</t>
  </si>
  <si>
    <t>Perform Another Review (PAR) Button not working consistently</t>
  </si>
  <si>
    <t>Setting Ramp_Length to 0 (not having any ramp) causes SMARTViewer to crash (VARdict Viewer)</t>
  </si>
  <si>
    <t>Setting start_gap to a negative value causes SMARTViewer to crash (VARdict Viewer)</t>
  </si>
  <si>
    <t>Selecting a networked live video feed whilst Main Viewer is paused fills the VARdict Viewer layout with the live tiles, creates many duplicated tiles.</t>
  </si>
  <si>
    <t>Last touch indicator changes to player after a backboard touch</t>
  </si>
  <si>
    <t>MulticamAnalysis;SMARTViewer</t>
  </si>
  <si>
    <t>WNBA Viewer permanent red status bar with "cannot parse the data stream for basketball officiating" error constantly shown</t>
  </si>
  <si>
    <t xml:space="preserve">Add team ends to offside confidence logs </t>
  </si>
  <si>
    <t>TDP: TRD when importing wimbledon schedule handedness is null due to AELTC IDs</t>
  </si>
  <si>
    <t xml:space="preserve">SMART Streamers drop audio after around 10 hours of being launched </t>
  </si>
  <si>
    <t>Exposure value not being used on startup</t>
  </si>
  <si>
    <t>Basketball;Volleyball</t>
  </si>
  <si>
    <t>Creating a seperate app for the ingestion of clockfeed to assist with WNBA Replay.</t>
  </si>
  <si>
    <t>Ball 4 / Hit By Pitch does not add a baserunner in postgame Analyser editing</t>
  </si>
  <si>
    <t>BaseballScoreKeeper</t>
  </si>
  <si>
    <t>VVC does not take SettingsManager/Exposure values from config</t>
  </si>
  <si>
    <t>SMARTConfigurator;VersatileVideoCapture</t>
  </si>
  <si>
    <t>Export main angles</t>
  </si>
  <si>
    <t>Issue on first launch of VVC's. VVC's not reaching FPS and not showing a image when launching GenieNanos 1930s</t>
  </si>
  <si>
    <t>Configurator crashing applying global productions</t>
  </si>
  <si>
    <t>Unable to archive using multiple labels assigned to an Elastic bookmark</t>
  </si>
  <si>
    <t>Basketball;Hockey</t>
  </si>
  <si>
    <t>BMCA Crash When Adding Masking</t>
  </si>
  <si>
    <t>Wheelchair matches failing A1 verifiers for random points of a match with SMT feed</t>
  </si>
  <si>
    <t>UEFA Super Cup Ball in VR</t>
  </si>
  <si>
    <t>UCL Summer and Winter Footballs in VR</t>
  </si>
  <si>
    <t>SAUDI Pro League SAO Ball Build</t>
  </si>
  <si>
    <t>SAOT Operations Lead</t>
  </si>
  <si>
    <t>Logging missed bunt on a strike option does not yield a StrikeSwinging</t>
  </si>
  <si>
    <t>Can't place runner on 2nd in Analyser editing mode</t>
  </si>
  <si>
    <t>BaseballAnalyser;BaseballScoreKeeper</t>
  </si>
  <si>
    <t>TDP: Buffering of skeletal Tracking Frames in TTP triggers missing tracking samples in rally feeds</t>
  </si>
  <si>
    <t>GLT - Football Control to output Y and Z coordinate data as well as X into .csv files generated by the "Remote Support" tickbox when events trigger in Control</t>
  </si>
  <si>
    <t>obt text missing units hundred font</t>
  </si>
  <si>
    <t>When multiple chats are launched, the GUI for Audio playout is too big and cannot select the .wav file to test audio</t>
  </si>
  <si>
    <t>SMARTAudioPlayout</t>
  </si>
  <si>
    <t xml:space="preserve">TDP: Investigate incomplete arc in live data vs PMFG </t>
  </si>
  <si>
    <t>TDP: Use refined arcs in TTP to enable better hit detection and serve action</t>
  </si>
  <si>
    <t>TDP: TSP unhandled when undo performed for first state of the match, check logic</t>
  </si>
  <si>
    <t>Low confidence clear onside event in Japan Spain match</t>
  </si>
  <si>
    <t>TDP: RFG wrong adboard distance being used</t>
  </si>
  <si>
    <t>Low pose score on a clear offside because of a near player</t>
  </si>
  <si>
    <t>Track swap on an AOT event</t>
  </si>
  <si>
    <t>Add option to add output VVC into overall system I/O</t>
  </si>
  <si>
    <t>ConfigureREPLAY;SMARTMultiViewer</t>
  </si>
  <si>
    <t>LaLiga balls</t>
  </si>
  <si>
    <t>Remove GDS request for breaking news API</t>
  </si>
  <si>
    <t>Serie A 2024/2025 Summer Ball</t>
  </si>
  <si>
    <t>VRControl froze and needed a restart midcheck. Upon restart with the offside panel open it would spam errors until it would crash</t>
  </si>
  <si>
    <t>UCL Smart graphics bug</t>
  </si>
  <si>
    <t>Clearly higlight SMV losing reference signal</t>
  </si>
  <si>
    <t>OffsideLine dropping frames in HDR 10 bit when other apps are launched on same node assignment</t>
  </si>
  <si>
    <t>OMCC team ends slow to update when already set from 2nd half (this lead to incorrect AOT audio signals sent to field)</t>
  </si>
  <si>
    <t>Add Role IDs to Defensive Shift Violation Output</t>
  </si>
  <si>
    <t>New build of on-prem BCPP for testing</t>
  </si>
  <si>
    <t>Ball Tracking - Missing kickpoint from headed flick on pass (FIFA Olympics Womens Spain v Nigeria)</t>
  </si>
  <si>
    <t>Incorrect limb tracking on defender leg when x2 players close during offside incident (FIFA Olympics Spain v Egypt)</t>
  </si>
  <si>
    <t>Send defensive shift flag straight from tracking system to viewer</t>
  </si>
  <si>
    <t>Offside line plane drawn behind goalline (FIFA Olympics Womens Zambia v Germany)</t>
  </si>
  <si>
    <t>Make Ignore Impact more visible</t>
  </si>
  <si>
    <t>OMCC - Clear Offside not detected on very obvious touch (FIFA Olympics_Mens_Morroco_v_Nigeria)</t>
  </si>
  <si>
    <t>OMCC - Close Offside not detected due to lost track with defender and attacker in close proximity (FIFA Olympics_Mens_Japan_v_Spain)</t>
  </si>
  <si>
    <t>Premier League QR Code</t>
  </si>
  <si>
    <t>Premier League Increased wording for more than 1 check</t>
  </si>
  <si>
    <t>BMCC crash in player classification</t>
  </si>
  <si>
    <t>Potential Offside instead of Clear Offside due to track swap while ball was in flight (FIFA Olympics_Mens Match, France_v_Guinea)</t>
  </si>
  <si>
    <t>Option to configure colours in VARDict app</t>
  </si>
  <si>
    <t>Serie A and Coppa Italia 2024/2025 adboards SAO/GLT</t>
  </si>
  <si>
    <t>FIFA- FU20WWC24 Colombia</t>
  </si>
  <si>
    <t>Option to enable turbo drive on GN cams in MCA</t>
  </si>
  <si>
    <t>Vertical component adjustability for OffsideLine</t>
  </si>
  <si>
    <t xml:space="preserve">BkMCC processing spike when inputting jersey numbers </t>
  </si>
  <si>
    <t>BSON crash in BMCC Replay</t>
  </si>
  <si>
    <t>OMCC - Close Offside event when both attacker and defender are behind goalline (Should be close onside?)</t>
  </si>
  <si>
    <t>TDP: RFG is missing player tracking on short points.</t>
  </si>
  <si>
    <t>RabbitZMQBridge Deployment doesn't include Java Folder</t>
  </si>
  <si>
    <t>PL Additional Explanation Graphic / process to get explanation to Bigscreen</t>
  </si>
  <si>
    <t>SMARTGFx;SMARTGFxPackages</t>
  </si>
  <si>
    <t>Incorrect Offside Outcome with players close to halfway line</t>
  </si>
  <si>
    <t xml:space="preserve">Altering Basketball Steal Logic to give steal to player who originally deflected the ball </t>
  </si>
  <si>
    <t>Altering Basketball Rebound Event Logic for situations where a player does a "controlled tip pass" to another player on his team</t>
  </si>
  <si>
    <t>Investigate methods to identify blocked shots for situations where a player has an obvious blocked layup/dunk attempt</t>
  </si>
  <si>
    <t>Missing Basketball Free Throw Events due to Number of people in the paint</t>
  </si>
  <si>
    <t>Reprocessing Tool - Adding ability to read clock from Tissot file instead of Accumulated cvid</t>
  </si>
  <si>
    <t>TDP: Investigate TD12 failures when TMCC is classifying correctly</t>
  </si>
  <si>
    <t>Jog Reset also enables "Jog Wheel lock" when playing out</t>
  </si>
  <si>
    <t>Allow adding keyframes after setting only an OUT point</t>
  </si>
  <si>
    <t>Shadowman scale ability to increase</t>
  </si>
  <si>
    <t>HWKVC_CUDA not writing to disk</t>
  </si>
  <si>
    <t>Basketball Full Game Upload Fails when QA checks disabled</t>
  </si>
  <si>
    <t>Have backup events treated the same as backup tracking data</t>
  </si>
  <si>
    <t>Cloud Uploader;Scrubbing tool</t>
  </si>
  <si>
    <t>Line masking not working on GLR Cameras</t>
  </si>
  <si>
    <t>No Sync Clocks Option for CR</t>
  </si>
  <si>
    <t>CR not applying correct audio IDs for secondary servers</t>
  </si>
  <si>
    <t>Beehive Stripey moves with pitch width adjustment</t>
  </si>
  <si>
    <t xml:space="preserve">apps do deploy and launch when ComputerGroup "Phantom (does not deploy/launch)=true" . </t>
  </si>
  <si>
    <t>`Fill range` command not working in Block_RMQ_Default exe, but working in Ball_Gap_Fill_Fix.exe</t>
  </si>
  <si>
    <t xml:space="preserve">Stats.Dashboad has bugs  </t>
  </si>
  <si>
    <t>BaseballAnalyser</t>
  </si>
  <si>
    <t>KO and End Markers to be consistent throughout all scrubbing tools</t>
  </si>
  <si>
    <t>OMCC1 &amp; OMCC2 crashed at exactly the same time</t>
  </si>
  <si>
    <t>Shot Event - General Failure Cases</t>
  </si>
  <si>
    <t>Improvements to Game Active Flag</t>
  </si>
  <si>
    <t>CPFA app default camera name is "CircketPlayerFeedAnnotator 1" rather than "CricketPlayerFeedAnnotator 1"</t>
  </si>
  <si>
    <t>PlayerFeedAnnotator</t>
  </si>
  <si>
    <t>CMCC fake player not currently working as expected</t>
  </si>
  <si>
    <t>After attacking classification change, "reset" button is not forcing attacking offside line to be re-drawn back on the original attacking player</t>
  </si>
  <si>
    <t>Viewer lagging when display skeletons on all tiles with SAOOD</t>
  </si>
  <si>
    <t>Player Re-classification: Ability to only select and assign one skeleton at one time (not multiple)</t>
  </si>
  <si>
    <t>100G Camera Settings Investigation</t>
  </si>
  <si>
    <t>AOT: VR Control to state if the event is high or low confidence in panel</t>
  </si>
  <si>
    <t xml:space="preserve">CPFA will not take any output from CMCC and will not launch. </t>
  </si>
  <si>
    <t>VARdict Flag from Main Viewer to VARdict Viewer does not carry over Port Number information. Port number is set to 0 when VARdict Viewer is set to "Slave". Port number needs to remain at previous value.</t>
  </si>
  <si>
    <t>EURO Ball in VR</t>
  </si>
  <si>
    <t>BPFG handle output with empty hit trajectory</t>
  </si>
  <si>
    <t>Process over frame gaps in MCA ffmpegClipCreator</t>
  </si>
  <si>
    <t>MCA drops all frames when stopping ffmpeg encoding after a long clip</t>
  </si>
  <si>
    <t>SMART Viewer stops receiving trajectories after an x.traj</t>
  </si>
  <si>
    <t>WebRender.exe in Maracana  (WebRender_2024_03_14_Maracana4)  is enabling 'Unpremultiply Alpha' on Fill channel of Key/Fill</t>
  </si>
  <si>
    <t>BkMCC - Missing Steal Events</t>
  </si>
  <si>
    <t>SmartConfigurator to have the ability to Write BCPP Outputs over Network</t>
  </si>
  <si>
    <t>AOT: After changing kickpoint frame on a high confidence event, the timeline .svg is changing to standard offside event marker path</t>
  </si>
  <si>
    <t>AOT: State high or low confidence in SMARTElastic bookmark naming convention</t>
  </si>
  <si>
    <t>Save Problem Data crashing MDV software</t>
  </si>
  <si>
    <t>Aussie Rules Football</t>
  </si>
  <si>
    <t>MatchDayVision</t>
  </si>
  <si>
    <t>Sweetspot position and angle of attack changed for bat tracking output</t>
  </si>
  <si>
    <t>LegacyTrjConverter - Miami Final Issues</t>
  </si>
  <si>
    <t>"Wobbly" Ball Centers when running at 120 FPS</t>
  </si>
  <si>
    <t>KFA would like a Korean VARDict interface</t>
  </si>
  <si>
    <t xml:space="preserve">Unpremultiply Alpha enabled on WebRender - causing copy buffer to not fill up resulting in the outputs to 'bounce' </t>
  </si>
  <si>
    <t>Ability to switch AR sides, based on stadium layout</t>
  </si>
  <si>
    <t>Removal of Irrelevant AR position setting</t>
  </si>
  <si>
    <t>SMARTConfigurator_2024_04_17_Maracana10 crashes on launch for EPTS SMARTFILEs</t>
  </si>
  <si>
    <t>TTP: Continue to create local log files for latency</t>
  </si>
  <si>
    <t>Cameras out of sync, new working directory resolves</t>
  </si>
  <si>
    <t>Catcher HFR data being mistakenly output</t>
  </si>
  <si>
    <t>Updated skeletal documentation (IK definitions, changelogs)</t>
  </si>
  <si>
    <t>Kinexon Ball_Touch Event Format Change</t>
  </si>
  <si>
    <t>SMART Audio Playout clips before every audio starts</t>
  </si>
  <si>
    <t>Pre-load selected date in GC based on the SessionManager UTC offset</t>
  </si>
  <si>
    <t>Ability to write delayed feed player data to per play BSON</t>
  </si>
  <si>
    <t>Duplicate SHOTIDx in ARC_POST_HIT for New Rally Sequences</t>
  </si>
  <si>
    <t>Duplicate ARC_POINT_END and Unexpected arcNum 0 in Badminton Ball Arc BSON Files</t>
  </si>
  <si>
    <t xml:space="preserve"> Issue with Arc CurveStartTime and Unexpected Call: Out</t>
  </si>
  <si>
    <t xml:space="preserve"> Investigate fitting Polynomial to Drag Curve</t>
  </si>
  <si>
    <t>Ground Control to update session name in DS app once session is started</t>
  </si>
  <si>
    <t>Databridge serve speeds don't round correctly</t>
  </si>
  <si>
    <t>TSP: investigate the generation of contest.state for end of set</t>
  </si>
  <si>
    <t>Crash testing SMART Remote Client 7.0.0 on Baseball Tracking</t>
  </si>
  <si>
    <t>Tennis QoS: Player Tracking Verifiers Refinement</t>
  </si>
  <si>
    <t>Some data from reprocessed data set has timestamps seemingly offset by 0.10 seconds</t>
  </si>
  <si>
    <t>Maracana11: Some applications not launching / crashing on launch when set to GPU1</t>
  </si>
  <si>
    <t xml:space="preserve">TSP: Investigate timing.clock where feeds are produced irregularly. </t>
  </si>
  <si>
    <t>Gridline mode - yellow line appears slightly off when selecting</t>
  </si>
  <si>
    <t>TDP: Serve events has placement classified as a rally placement (CrossOutWide)</t>
  </si>
  <si>
    <t>Controls Crashing Very Frequently</t>
  </si>
  <si>
    <t>TSP: Improve Handling of SMT feeds that are new, avoid exceptions errors</t>
  </si>
  <si>
    <t>Numbers too big on the labelling for biomechanics</t>
  </si>
  <si>
    <t>TSP: Missing Data in AllPlayers</t>
  </si>
  <si>
    <t xml:space="preserve">TSP: Sorted Scoring Input has erroneous indexed directories </t>
  </si>
  <si>
    <t xml:space="preserve">TSP: roundName is undefined </t>
  </si>
  <si>
    <t xml:space="preserve">TSP/TMM: 403 Response for TMM SMT Tournament </t>
  </si>
  <si>
    <t>TSP: Handling of UOC Packets (Umpire on Court)</t>
  </si>
  <si>
    <t>Alpha doesn't work when colouring balls</t>
  </si>
  <si>
    <t>Tiles enlarging into SDI output if you touch black space of SMARTViewer first</t>
  </si>
  <si>
    <t>Ability to export filtered events in bookmarks panel</t>
  </si>
  <si>
    <t>TSP: Court Names missing from Feeds</t>
  </si>
  <si>
    <t>TSP: Creation of RabbitMQ Publishers causes increased latency for other scoring messages</t>
  </si>
  <si>
    <t>TSP: Investigate handling of code violations in TSP</t>
  </si>
  <si>
    <t>Poor bat tracking not being output</t>
  </si>
  <si>
    <t>Cant output Key and Fill of HawkVR when inputting a vvc in to pull output to viewer.</t>
  </si>
  <si>
    <t>Auto Ball/Strikes logged in BSK don't generate PitchUID in CSV</t>
  </si>
  <si>
    <t>EuroLeague Viewer Crashing Sporadically When Archive Settings Adjusted or When Archives Are Started</t>
  </si>
  <si>
    <t>Change the Between overs, to count down from 60 rather than counting up</t>
  </si>
  <si>
    <t>HawkVR - Flickering on output</t>
  </si>
  <si>
    <t>OMCC - Role draw mode text colour is black for all roles except home players which is white</t>
  </si>
  <si>
    <t>FIFA Olympics SAO Ball Build</t>
  </si>
  <si>
    <t>Show Team names when using UEFA Match IDs</t>
  </si>
  <si>
    <t>DataFeedArchiver;SMARTViewer</t>
  </si>
  <si>
    <t>Layout doesn't update to reflect the hole selected via the data</t>
  </si>
  <si>
    <t>Incorrect naming convention for multiple shots with NAME every shot naming scheme</t>
  </si>
  <si>
    <t>VRControl: Add audio bars for audio monitoring</t>
  </si>
  <si>
    <t>Embedded Audio Redundancy</t>
  </si>
  <si>
    <t>ConfigureREPLAY;SMARTConfigurator;SMARTMultiViewer</t>
  </si>
  <si>
    <t>SMART Configurator not setting NVIDIA Driver Version for OMCC</t>
  </si>
  <si>
    <t>QoS: Add verifier that will catch breaks in arcs caused by sequence issues.</t>
  </si>
  <si>
    <t>We currently don't have an imperial ruler</t>
  </si>
  <si>
    <t>Not all unassigned tracks being removed from BSON Export when using "Remove" button on pop up to export</t>
  </si>
  <si>
    <t>OFFbat text graphics facing camera being buggy, sometimes faces, sometimes it doesnt, sometimes will snap into position</t>
  </si>
  <si>
    <t>Add Pitch Type "Sweeper" to BSK</t>
  </si>
  <si>
    <t>Introduce "Deselect All" Button to Spin Use Images</t>
  </si>
  <si>
    <t>Output of New Metrics Related to Skeletal Processing</t>
  </si>
  <si>
    <t>BMCC Queue to reflect TrackPac Output status</t>
  </si>
  <si>
    <t>Failed tasks automatically being re-queued in the PP Queue</t>
  </si>
  <si>
    <t>Auto Restart Line in newest BCPP version causes issues when BCPP goes into error state</t>
  </si>
  <si>
    <t>Single Digit Match Numbers in Rugby Panel are incorrect</t>
  </si>
  <si>
    <t>Olympic Stadium - In sessions made pre Olympic Stadium (I.E. Maracana), all players are showing on origin</t>
  </si>
  <si>
    <t>EURO Semifinal and Final Ball in VR</t>
  </si>
  <si>
    <t>Session name in DS app to populate automatically from SMARTConfiguator</t>
  </si>
  <si>
    <t xml:space="preserve"> Force the sync tool to a specific monitor mode</t>
  </si>
  <si>
    <t>Basketball;Rugby</t>
  </si>
  <si>
    <t>Track "All Star" games where there are multiple players on the same team with the same jersey number</t>
  </si>
  <si>
    <t>When a player is holding the ball in hands, the ball tracking is randomly dropping to the ground and then back up again</t>
  </si>
  <si>
    <t>Instant tag behaving like a persistent tag</t>
  </si>
  <si>
    <t>Convert/Add Units for Metrics in Quality Table</t>
  </si>
  <si>
    <t>Time Value Duplicated in Quality Table</t>
  </si>
  <si>
    <t xml:space="preserve">TDP QoS: Adding a verifier to ensure that stroke field is populated </t>
  </si>
  <si>
    <t>TDP: QoS Skeltal Verifier updates</t>
  </si>
  <si>
    <t>Warnings for incorrect numbers / Clearer Text in Jersey Dialog box</t>
  </si>
  <si>
    <t>Users Being Logged Out Periodically</t>
  </si>
  <si>
    <t>Hide BDP Environment in BSK to Prevent Accidental Selection</t>
  </si>
  <si>
    <t>TDP: TSP rethink "An Instance of TSP is already connected to pulsar" functionality</t>
  </si>
  <si>
    <t>Cloud Uploader incorrectly reports SMART Elastic connection (until apps need to communicate)</t>
  </si>
  <si>
    <t>Latch to hand to select ball track after command</t>
  </si>
  <si>
    <t>OMCA crashing and re-launching</t>
  </si>
  <si>
    <t>Add stadium timezone (UTC Offset) to application settingss of configurator for FFFG</t>
  </si>
  <si>
    <t>Add competition and match ID to OFMCC and allow FFFG to read IDs</t>
  </si>
  <si>
    <t>Rigged Players to work with data from CricketPostProcess</t>
  </si>
  <si>
    <t xml:space="preserve">Maracana - Emergent HB12000SBC VVC has 2 issues with exposure. </t>
  </si>
  <si>
    <t>Crashlogs of VVC3, VVC9, and VVC11</t>
  </si>
  <si>
    <t>VR Pre Approval: When using live lines and using crosshair incident does NOT get abort in VR</t>
  </si>
  <si>
    <t>SMARTViewer;VRControl</t>
  </si>
  <si>
    <t>Area of calibrated pitch where OL can not be placed/rendered in multi-model setup</t>
  </si>
  <si>
    <t>Processing control will not refine the track and triangulate the ball when the backup cameras are used as the primary UM dialog input</t>
  </si>
  <si>
    <t>Automatic solution for filling and aligning missing possession field frames when game is active</t>
  </si>
  <si>
    <t>Goal line obstructions visible in VR replay when goal line is defensive line</t>
  </si>
  <si>
    <t>Clearer VR replays for goalline as attacking / defensive line incidents (text explaining incident)</t>
  </si>
  <si>
    <t>OMCA Crash possibly when disconnecting from Camera</t>
  </si>
  <si>
    <t>Balls affected by pitchmap stripey</t>
  </si>
  <si>
    <t>Change to the Test regulations. Rather than 'if the first innings is less than 60 overs then the second innings doesnt account for the timing regulations of the first innings', It is now 80 overs not 60.</t>
  </si>
  <si>
    <t>Lunch and Tea affecting the sessions that can be ended.</t>
  </si>
  <si>
    <t>TDP: Activity.Challenge  feed produces a duplicate for challenge outcome and also 3x contest.states</t>
  </si>
  <si>
    <t>SAOOD - SAOOD app has longer processing time on first Req/Rep after app is first launched and viewer does NOT receive reply once it's sent</t>
  </si>
  <si>
    <t>SAOOD - SAOOD app crashing on launch when all applications are launched at same time</t>
  </si>
  <si>
    <t>SAOOD - After making player an attacking classification change, you cannot use defender select</t>
  </si>
  <si>
    <t>SAOOD - Better way for viewer to display SAOOD reply when no buffers available</t>
  </si>
  <si>
    <t>Configurator Adding Additional Line to BaseballTrackingProvider Application Properties File</t>
  </si>
  <si>
    <t>SMARTConfigurator often crashes when BaseballTrackingProvider app is in the diagram</t>
  </si>
  <si>
    <t>OFMCC - Add the ability to use TestVRData for internal testing with clients</t>
  </si>
  <si>
    <t>Cannot kill FFFG from .smartfile. The KILL.bat is empty</t>
  </si>
  <si>
    <t>BkMCC recognizes shot as free throw</t>
  </si>
  <si>
    <t>Near 3-5x Increase in RAM usage in DSC with LF3 after [SO-994]</t>
  </si>
  <si>
    <t>DynamicStreaming</t>
  </si>
  <si>
    <t>Mara_A_RC3 &amp; LF_C exe has poor jersery tracking compared to LF_B1 which may be related to new Jersey Model</t>
  </si>
  <si>
    <t>Maracana - SAOOD App crashing on Launch</t>
  </si>
  <si>
    <t>Maracana: "warning | missing detections and/or calib result spamming the console window despite calibration being locked on</t>
  </si>
  <si>
    <t>Text on role draw mode too large. Combined tab OMCC</t>
  </si>
  <si>
    <t>BMCC crash: version 2024-02-15_Maracana_A_RC4</t>
  </si>
  <si>
    <t>Enable UMVideoPlayerCurves and Tracking Message Files to be input to SMARTViewer</t>
  </si>
  <si>
    <t>MulticamAnalysis;SMARTConfigurator;SMARTViewer</t>
  </si>
  <si>
    <t>BPP crash in task mosaic writer</t>
  </si>
  <si>
    <t>Add a "Backboard" field in Officiating Metrics</t>
  </si>
  <si>
    <t>Using smart presets to show bounce and / or interception - trajectory needs to alpha off so that the final frame is better.</t>
  </si>
  <si>
    <t>Frame step doesn't go to the next ultramotion frame, it skips a number of frames.</t>
  </si>
  <si>
    <t>Offside shaded masking protruding past defensive line in Lambeau Field</t>
  </si>
  <si>
    <t>Keyboard shortcuts are jumping new issues of same letter in issue log</t>
  </si>
  <si>
    <t>Boundary dimensions in HawkVR</t>
  </si>
  <si>
    <t>Allow ffmpegClipCreator path to be changed via production</t>
  </si>
  <si>
    <t>Add targetFPS to BCPP generated BSON</t>
  </si>
  <si>
    <t>HFR data from -2 to 2 seconds in BCPP</t>
  </si>
  <si>
    <t>Add variable to tell BCPP to stop accepting trackpac or skeletal tasks</t>
  </si>
  <si>
    <t>Allow BCPP to track skeletal on a non-standard pitch model</t>
  </si>
  <si>
    <t>BCPP does not write out unique C3D files</t>
  </si>
  <si>
    <t>Skeletal overlay MP4s to write to a subfolder and UTC time</t>
  </si>
  <si>
    <t>Post Process crashes when killed</t>
  </si>
  <si>
    <t>Add new camera serials to current build</t>
  </si>
  <si>
    <t>NascarInspection</t>
  </si>
  <si>
    <t>Adding ability to identify (bounces/dribbles) in scrubbing tool during the ball waypointing stage.</t>
  </si>
  <si>
    <t>When trying to run a Genie Nano into a SMARTStreamer we are unable to get an image. We are able to get an image when we run the camera through a VVC first, then into the streamer.  College is the customer for this ^^^</t>
  </si>
  <si>
    <t>Overlays not displaying</t>
  </si>
  <si>
    <t>SAOOD: After using player classification to change decision from onside to offside no manual flag populates on timeline</t>
  </si>
  <si>
    <t>SAOOD | "Error: Data not available" message when using alt+5 with no players on pitch</t>
  </si>
  <si>
    <t>Visual Bug Showing One Long Play on Timeline</t>
  </si>
  <si>
    <t xml:space="preserve">Missing shot events in BkMCC for "tip in" rebounds </t>
  </si>
  <si>
    <t>Maracana Release - Z Cam Input not pulling cameras into following apps (VVC/OMCA examples tested)</t>
  </si>
  <si>
    <t>Maracana OMCA versions causing big change Z Cam focus on launch</t>
  </si>
  <si>
    <t>Tracking Provider Can Accept All Inputs in SMART File When Scoreboard Mode is Enabled</t>
  </si>
  <si>
    <t>System making numerous result stores per session</t>
  </si>
  <si>
    <t>Missing viewer ini settings in Maracana</t>
  </si>
  <si>
    <t>Multiple inputs/methods to create VAR offside bookmarks (Recall Camera used when recalling confirm offsidelines)</t>
  </si>
  <si>
    <t>Zoom control disconnection</t>
  </si>
  <si>
    <t>Offside Event From Corner (With missing ball tracking)</t>
  </si>
  <si>
    <t>Audio alert when OMCC detects substitution</t>
  </si>
  <si>
    <t>Maracana: Reply message from SAOOD app not being updated in SMARTViewer</t>
  </si>
  <si>
    <t>Overlay graphic numbers are temperamental</t>
  </si>
  <si>
    <t>Live videofeed capture format in LVR is not consistent with output format from MDV</t>
  </si>
  <si>
    <t>LiveMP4Recorder;MatchDayVision</t>
  </si>
  <si>
    <t>When Ingesting the first SDI output feed from MDV, the video application does not display the captured footage</t>
  </si>
  <si>
    <t>HawkEyeOutput;LiveMP4Recorder;MatchDayVision;VersatileVideoCapture</t>
  </si>
  <si>
    <t>Ability to have NICConfigurationX folders which can configure NICs on same server with different settings</t>
  </si>
  <si>
    <t>Add circular buffer to supplementary output and trackpacs</t>
  </si>
  <si>
    <t>Add 60 seconds between overs timer to IPL mode</t>
  </si>
  <si>
    <t>Display the official session as default to the user</t>
  </si>
  <si>
    <t>After final confirmation step in offside panel, VR pre approval gets aborted</t>
  </si>
  <si>
    <t>Wrist Jitter from Reboot Motion</t>
  </si>
  <si>
    <t>BaseballCloudPostProcess;MulticamPostProcess</t>
  </si>
  <si>
    <t>New "Live as Refined" dropdown for MLBDataServer leaves zmq.bmcc.address empty; MLBDataServer will not Launch</t>
  </si>
  <si>
    <t>Add "Burn Timecodes Into Image" into ffmpegClipCreator function</t>
  </si>
  <si>
    <t>Add "system" details to BDS packets</t>
  </si>
  <si>
    <t xml:space="preserve">When using the ScreenCaptureInput application to record screens, add the option to enable the view of the mouse. </t>
  </si>
  <si>
    <t>Getting artifacts in clock feed</t>
  </si>
  <si>
    <t>MCC crashes when running Control Replay</t>
  </si>
  <si>
    <t>BMCC spamming console with error message</t>
  </si>
  <si>
    <t>Wagon Wheels to displayed from both ends simultaneously</t>
  </si>
  <si>
    <t>BCC deployed in Mosys mode - crashes on startup</t>
  </si>
  <si>
    <t>BroadcastCameraCalib;SMARTConfigurator</t>
  </si>
  <si>
    <t>ALTERNATE BINS in HawkVR</t>
  </si>
  <si>
    <t>dvi graphics in hawkvr</t>
  </si>
  <si>
    <t>GAA Croke - Killing an Analysis instance via Core Configurator kills all other Analysis Instances running on that PC</t>
  </si>
  <si>
    <t>Gaelic Football</t>
  </si>
  <si>
    <t>Configurator (Old tracking)</t>
  </si>
  <si>
    <t>GAA Croke - Tracking uprights the npixper posts/crossbar or perp length settings do nothing when they adjusted to manipulate the post tracking pixel search range</t>
  </si>
  <si>
    <t>Pull info from the MLB API into DFA for SMART Clipping in Baseball</t>
  </si>
  <si>
    <t>DataFeedArchiver;SMARTElastic</t>
  </si>
  <si>
    <t xml:space="preserve">Would like to change for CBTC the 3D GUI presets set by F1-12. </t>
  </si>
  <si>
    <t>Differing Significant Figures in Timestamps</t>
  </si>
  <si>
    <t>Automatic presets when setting up VR storys for showing OBT trajectories.</t>
  </si>
  <si>
    <t>DSS &amp; DSC not a selectable options in Hawk-Report</t>
  </si>
  <si>
    <t>DSC Connection Sockets ini setting under wrong heading in ConfigurationFiles</t>
  </si>
  <si>
    <t>Potential Offsides From Kick To Self</t>
  </si>
  <si>
    <t xml:space="preserve">Add Emergent Subsample feature into MCA for testing </t>
  </si>
  <si>
    <t>Delayed Game Active tag is being effected by the live number of tracks on the pitch, rather than the delayed value.</t>
  </si>
  <si>
    <t>Draw "Default" Rim positioned in camera windows in BkMCC</t>
  </si>
  <si>
    <t>Draw the basket position from NBA tracking data with the player tracking graphics</t>
  </si>
  <si>
    <t>BkMCC Crash during live play</t>
  </si>
  <si>
    <t>NPB BMCC dropping frames/lagging. Causing lost data.</t>
  </si>
  <si>
    <t>LambeauField SMARTSupervisor version not compatible with LambeauField SMARTChat version</t>
  </si>
  <si>
    <t>SMARTSupervisor</t>
  </si>
  <si>
    <t xml:space="preserve">OffsideLines Persistent on slave viewers </t>
  </si>
  <si>
    <t>When pressing compile and send, the current story keeps playing rather than resetting</t>
  </si>
  <si>
    <t>IK Improvements to Ice Hockey Tracking</t>
  </si>
  <si>
    <t>No kick point (flicked header) detected from obvious touch</t>
  </si>
  <si>
    <t>When running "generate events for scrubbed upload", scrubbing tool to connect to the AWS VPN</t>
  </si>
  <si>
    <t>Re-process from cursor time with a database on different mySQL. Re-process from cursor time with UMPlayerTrackDelayed CVID</t>
  </si>
  <si>
    <t>Assistant Referee 1 Tracking Improvements after new tolerance settings are applied</t>
  </si>
  <si>
    <t>Multiple Mismatch Model Error not longer present in viewer since JCA</t>
  </si>
  <si>
    <t>Crosshair and Offside Lines can be drawn in multiple angles when single model is not in use since JCA</t>
  </si>
  <si>
    <t>Move unneeded buttons to the "More Actions..." tab</t>
  </si>
  <si>
    <t>Move Generate Data sub-actions to the main UI</t>
  </si>
  <si>
    <t>Change the primary output type to use manual alignment</t>
  </si>
  <si>
    <t>Skeletal data does not write out debug BSON data</t>
  </si>
  <si>
    <t>Ability to only only log refeinded events for BkMCC events list.</t>
  </si>
  <si>
    <t>Hello Adam</t>
  </si>
  <si>
    <t>Mixed Martial Arts</t>
  </si>
  <si>
    <t>No longer hungry</t>
  </si>
  <si>
    <t>Horse Racing</t>
  </si>
  <si>
    <t>OffsideLine Calibration status disappearing from viewer</t>
  </si>
  <si>
    <t>TSV: Websocket connection is not playing back scoring message</t>
  </si>
  <si>
    <t>Disable Decisions Viewer on launch of OMCC</t>
  </si>
  <si>
    <t>Offside_Event.json XYZ not taking into account Skew of Pitch</t>
  </si>
  <si>
    <t>Change masking options in MCA to be capture clicks instead of brush radiuses</t>
  </si>
  <si>
    <t>Reference ID Marker in wrong position on image</t>
  </si>
  <si>
    <t>Pitch model incorrectly orientated when set to 6k</t>
  </si>
  <si>
    <t xml:space="preserve">AFL Frame  processor - Dropped frames </t>
  </si>
  <si>
    <t>Thumbnail for VR from AOT events is poor quality</t>
  </si>
  <si>
    <t>HawkVR;SMARTViewer;VRControl</t>
  </si>
  <si>
    <t>1 minute offset on events received through UEFA FSP</t>
  </si>
  <si>
    <t>FootballClipFeedGenerator;FootballDataConverter</t>
  </si>
  <si>
    <t>ExitCylinder Event resets Backboard Goaltend</t>
  </si>
  <si>
    <t>Jersey Numbers not showing correctly on Classification tab</t>
  </si>
  <si>
    <t>Crashes with MCA 12-12_Kulm_MaskingFrixes</t>
  </si>
  <si>
    <t>Confirmed SAO bookmarks (from a match) are not editable in the offside panel when offline</t>
  </si>
  <si>
    <t xml:space="preserve">Odd looking BTC model with new model </t>
  </si>
  <si>
    <t>TRD: Link to TSV to automatically select rally feeds in the journey</t>
  </si>
  <si>
    <t>smrtgfx slaving screen and world space</t>
  </si>
  <si>
    <t>SMARTGFx</t>
  </si>
  <si>
    <t>Auto-exposure in VVC does not correlate to the autoexposure function of Emergent HB12000 through ecapture</t>
  </si>
  <si>
    <t>Option to overwrite ffmpeg clipping name with UTC time and date</t>
  </si>
  <si>
    <t>Option to use gamePK from MultiCamControl for ffmpegClipCreator</t>
  </si>
  <si>
    <t>Add venue ID to all packets from BDS</t>
  </si>
  <si>
    <t>TRD: Player Distance Card to support role identification for distance run</t>
  </si>
  <si>
    <t>Stability issues with the 100g Emergent camera</t>
  </si>
  <si>
    <t>MulticamAnalysis;VersatileVideoCapture</t>
  </si>
  <si>
    <t>Add venueID to "hawkeye.game.state.lite.request" startup message</t>
  </si>
  <si>
    <t>OMCC Team 1 and Team 2 colours to be configurable</t>
  </si>
  <si>
    <t>Controls not matching SMART footage</t>
  </si>
  <si>
    <t>Test Card Input for Dual App MCA Applications</t>
  </si>
  <si>
    <t>Baseball;Football</t>
  </si>
  <si>
    <t>TRD: Wrong Player shown as serving between games</t>
  </si>
  <si>
    <t>Assign Position ID as Pitcher for Pitcher_First_Movement Packets in BDS</t>
  </si>
  <si>
    <t>Add pitch confidence value to output of BDS and BPFG</t>
  </si>
  <si>
    <t>BMCM crashing when cameras connect</t>
  </si>
  <si>
    <t>2D nudge arrows do not update the pixel values in the windows next to them</t>
  </si>
  <si>
    <t xml:space="preserve">ZCAM Master Failover Not reliable. </t>
  </si>
  <si>
    <t xml:space="preserve">Inactivity monitor tickboxes not linked </t>
  </si>
  <si>
    <t>Football Fast Feed Generator Write Drive Application Settings (SMARTConfigurator)</t>
  </si>
  <si>
    <t>VR Pre Approval Frame Time Tolerance / Change Of Camera</t>
  </si>
  <si>
    <t>Allow GroundControl to trigger windows batch files with an action</t>
  </si>
  <si>
    <t>Cameras presenting a different offside decision despite being genlocked</t>
  </si>
  <si>
    <t>Tracking lost when players bending over (2D issue?)</t>
  </si>
  <si>
    <t>Data going back to origin during dropped frame period</t>
  </si>
  <si>
    <t>Make camera select key commands configurable</t>
  </si>
  <si>
    <t>Next/previous issue (Numpad +/-) jumping to random issue after an issue has been ignored</t>
  </si>
  <si>
    <t xml:space="preserve">When a delivery does not have any post bounce data (the interception is set pre-bounce (full-toss)), then the bounce point z value is incorrect. </t>
  </si>
  <si>
    <t>BMCC crashes whenever GroundControl pushes the session name to BMCC</t>
  </si>
  <si>
    <t>Incorrect Math for Hit Track % in newly added stat to BMCC</t>
  </si>
  <si>
    <t>Control;MulticamAnalysis</t>
  </si>
  <si>
    <t>SZ differences not highlighting green when within the bad diff threshold</t>
  </si>
  <si>
    <t>All pitch confidence values are -1.0000</t>
  </si>
  <si>
    <t>Game mode in the header is shown as UNKNOWN when it's actually NO DATA</t>
  </si>
  <si>
    <t>Post Process crash when enabling the Per Task Mosaic Writer</t>
  </si>
  <si>
    <t>Alignment Tool Crashing When Loading Results Store</t>
  </si>
  <si>
    <t>BaseballMultiCameraMonitoring Crashes on Launch</t>
  </si>
  <si>
    <t>BkMCC crashes with Clockfeed log file</t>
  </si>
  <si>
    <t>Device Link Throughput Limit (in %) cam expert setting added to OMCA</t>
  </si>
  <si>
    <t>Poor player tracking in crowded scenarios (football)</t>
  </si>
  <si>
    <t>Live vs Delayed Data Discrepancy Checks</t>
  </si>
  <si>
    <t>No target zones when using video stat. At the moment the map is above the zones We used the Dev No net map for these stats. We will need these zones if we are to do placement stats for birdcam</t>
  </si>
  <si>
    <t>Compile and sending a story on VR control pauses the video if you're doing a live video stat.</t>
  </si>
  <si>
    <t>Changing between OMCC1 &amp; OMCC2 bookmark sources not updating data until bookmark is re-selected</t>
  </si>
  <si>
    <t>Don't generate Hit arcs for bounces of court furniture</t>
  </si>
  <si>
    <t>BCPP container running causes HFR cameras to drop frames</t>
  </si>
  <si>
    <t>TrackPac name is still the timestamp that the task begins processing, not the timestamp of the actual pitch</t>
  </si>
  <si>
    <t>Combined tab image bugs out if you trigger other types of combined tab drawing</t>
  </si>
  <si>
    <t>Rework local clipping path for TrackPacs in Legacy BPP</t>
  </si>
  <si>
    <t>BMCC crash - possibly drive space or cloud post process related</t>
  </si>
  <si>
    <t>BMCC crash - cloud post process related</t>
  </si>
  <si>
    <t>Remove Configuration and TaskSettings errors</t>
  </si>
  <si>
    <t>Improvements to the Combined Tab</t>
  </si>
  <si>
    <t>Ability to create presets for BMCC window layouts</t>
  </si>
  <si>
    <t>Add tab alerts to BMCC UI tabs</t>
  </si>
  <si>
    <t>BkMCA - When clicking on "Clear Last Line" the line counter doesn't count down</t>
  </si>
  <si>
    <t>Ground control crashes</t>
  </si>
  <si>
    <t>Rename re-process from Main and BU database to context 1 and 2</t>
  </si>
  <si>
    <t>"pitchModelHash" to exist when adding fake data on dropped frame period</t>
  </si>
  <si>
    <t>Add filter / tick boxes to alert types and roles in scrubbing tool</t>
  </si>
  <si>
    <t>SAUDI KINGS CUP SAO VR Ball Build</t>
  </si>
  <si>
    <t>Grass rendering missing for a few frames on exit from VR replay when at 25 FPS</t>
  </si>
  <si>
    <t>Pitcher &amp; Batter Duplicated in Action Files Using BSK</t>
  </si>
  <si>
    <t>AFC 2024 ASIAN CUP SAO VR Ball Build</t>
  </si>
  <si>
    <t>SERIE A WINTER SAO VR Ball Build</t>
  </si>
  <si>
    <t>CMCA loses connection to camera and crashes. Gives "Error: Emergent error code 11" sometimes before crashing. Connection to camera appears poor in eCapture and dropped frames and low fps are seen there also.</t>
  </si>
  <si>
    <t>Ball masking does not work in CMCA.</t>
  </si>
  <si>
    <t>New button - 'Load last story template'</t>
  </si>
  <si>
    <t>New feature - 'Combine Packet(s)'</t>
  </si>
  <si>
    <t>Nvidia driver version check doesn't work properly</t>
  </si>
  <si>
    <t>BkMCC replay lag while using a "live" instance of BTC to reprocess MsgFiles.</t>
  </si>
  <si>
    <t>Add a button in Scrubbing Tool, for Basketball, to validate next segment before uploading next segment of play to Scrubbed Feed Generator</t>
  </si>
  <si>
    <t>Integration with Hanwha cameras for SMART Baseball Clipping</t>
  </si>
  <si>
    <t>SMARTArchiver;SMARTConfigurator;SMARTViewer</t>
  </si>
  <si>
    <t>Player Tracking Errors - Outfielder Classification Tag Swaps</t>
  </si>
  <si>
    <t>Player Tracking Errors - Infielder Classification Tag Swaps</t>
  </si>
  <si>
    <t>Player Tracking Errors - Baserunner Classification Tag Swaps</t>
  </si>
  <si>
    <t>Player Tracking Errors - Missing Tracks in Outputs</t>
  </si>
  <si>
    <t>Player Tracking Errors - Unknown Tags</t>
  </si>
  <si>
    <t>Handle Tracking Issues Around Impact</t>
  </si>
  <si>
    <t>Arizona Fall League Teams not in BMM</t>
  </si>
  <si>
    <t>Havin 3D video ticked puts a dark filter on the live video</t>
  </si>
  <si>
    <t>The blending between the 'Wicket' and 'Pitch' is slower than the rest of the image.</t>
  </si>
  <si>
    <t>Offbat text implementation not svaing / working in templates</t>
  </si>
  <si>
    <t>Increase range on the 'Landscape' sliders</t>
  </si>
  <si>
    <t>For traj stats, if your preset isn't close to the ball the branding appears sideways</t>
  </si>
  <si>
    <t>In low camera positions the F1 LBW preset moves through the sightscreen</t>
  </si>
  <si>
    <t>Not sending hit_complete data to MLB</t>
  </si>
  <si>
    <t>No hit event created when ball impacts the bat multiple times</t>
  </si>
  <si>
    <t>Include PP Results CVIDs in BMCC clips</t>
  </si>
  <si>
    <t>Add an optional Session ID to the uncontextualized data output request</t>
  </si>
  <si>
    <t>Allow hfrSkeletal and bat output paths in BDS to be changed</t>
  </si>
  <si>
    <t>OMCC Events -  Long launch time due to number of events</t>
  </si>
  <si>
    <t>OMCC Events - Add property settings for events tab</t>
  </si>
  <si>
    <t>OMCC Events - After clearing all events and adding 1 test event, OMCC still re-launches with all events from previous match</t>
  </si>
  <si>
    <t xml:space="preserve">Continued classification problems / using player position </t>
  </si>
  <si>
    <t>Punter (potential) IK problem</t>
  </si>
  <si>
    <t>Improving ball tracking when in the hands</t>
  </si>
  <si>
    <t>VRControl crashed when event confirmed from SMARTViewer</t>
  </si>
  <si>
    <t>Update the model_points.ini output from Caliper to make it much more operationally friendly.</t>
  </si>
  <si>
    <t>SAO VR to only blend when defender is closer than attacker to "output" camera</t>
  </si>
  <si>
    <t>SAO VR defender blocking attacker blending - Setting improvements</t>
  </si>
  <si>
    <t>More Control over NBA Upload Segments</t>
  </si>
  <si>
    <t>Automatically send classification images from BkMCC to Spare BkMCC and BkFMCC</t>
  </si>
  <si>
    <t>KULM: Jersey Numbers tab doesn't fit correctly on the GUI</t>
  </si>
  <si>
    <t>KULM: When modifying/deleting line up, it only works when select on wrong section in in-play jersey history</t>
  </si>
  <si>
    <t>Kulm: Scrubbing Tool crash when exporting BSONs</t>
  </si>
  <si>
    <t>Add visualisation on ST timeline to understand when you have re-processed from a context 1/2</t>
  </si>
  <si>
    <t xml:space="preserve">Create Jersey Number Failure Case Image from Manual Classification images in BkMCC </t>
  </si>
  <si>
    <t>Adding image from manual classification to classification images in BkMCC</t>
  </si>
  <si>
    <t>Seam Orientation Differences Between System Types</t>
  </si>
  <si>
    <t>Database out of sync errors when scrubbing Game Active Live</t>
  </si>
  <si>
    <t xml:space="preserve"> After running "QA checks" and validator alert types populating - Ensuring you can filter issues by role (players, refs, ball, game)</t>
  </si>
  <si>
    <t>Edge Case: No flag detection and jumping skeleton during offside incident</t>
  </si>
  <si>
    <t>Outputting the Post Join Status FPS to the Diagnostic Tab in BkMCC</t>
  </si>
  <si>
    <t>BMCC Writes an In/Out Of Session Log File</t>
  </si>
  <si>
    <t>Ball track from throw extrapolating backwards at THROW_COMPLETE</t>
  </si>
  <si>
    <t>Overlay scaling deanimation causing HawkVR frame rate to drop and crash</t>
  </si>
  <si>
    <t>Add Input to BaseballPlayFeedGenerator for Post Process Version BDS Output</t>
  </si>
  <si>
    <t>BaseballTeams;SMARTConfigurator</t>
  </si>
  <si>
    <t>Kulm: OMCC Crash</t>
  </si>
  <si>
    <t>Poor hit tracking in MLB system</t>
  </si>
  <si>
    <t>Baseball Data Spec Review</t>
  </si>
  <si>
    <t>Increasing Elastic CSV Export from 2000 to 10000 events</t>
  </si>
  <si>
    <t>Software Version Log File Showing All Deployed Versions</t>
  </si>
  <si>
    <t>Pitch not tracked in BTC - failed to create curve over points</t>
  </si>
  <si>
    <t>Having two arcs on CBTC one shortly after the other; you get both arc details printed over each other in the 3D gui and the numbers become obscured by each other.</t>
  </si>
  <si>
    <t>TSP: Exception thrown when TSP is missing the LiveMatchState (i.e. TSP launch mid match)</t>
  </si>
  <si>
    <t>FIFA CWC 2023 SAO VR Ball Build</t>
  </si>
  <si>
    <t>TURKEY 2024 SAO VR Ball Build</t>
  </si>
  <si>
    <t>Ignored issues not remembering ignored state when changing between filters or re-launching ST</t>
  </si>
  <si>
    <t>Dual App OMCA - health-monitoring-application-name for ground control</t>
  </si>
  <si>
    <t>GroundControl;MulticamAnalysis</t>
  </si>
  <si>
    <t>Dual App OMCA - Enabling/Disabling writing to disk on GUI</t>
  </si>
  <si>
    <t>Add focus peaking feature into CCU</t>
  </si>
  <si>
    <t>CCU</t>
  </si>
  <si>
    <t>Add the camera tab to CMCA</t>
  </si>
  <si>
    <t xml:space="preserve">Would like the ability to customise (or change for CBTC) the 3D GUI presets set by F1-12. </t>
  </si>
  <si>
    <t>Kulm Regression - Grab Frame not functioning for second grab onwards</t>
  </si>
  <si>
    <t>Kulm Regression - Reset Calibration slow to respond</t>
  </si>
  <si>
    <t>Kulm Regression - Crash when nvml.dll can not be found on B_RC1</t>
  </si>
  <si>
    <t>Kulm Regression - Refine not working on second attempt</t>
  </si>
  <si>
    <t>Clock Feed Issues raised by Second Spectrum</t>
  </si>
  <si>
    <t xml:space="preserve">Change IAM domains for consistency </t>
  </si>
  <si>
    <t>TDP: TRD Prod Player Search is not displaying profiles</t>
  </si>
  <si>
    <t xml:space="preserve">CBTC is outputting arcs where the start of the arc is much later than the actual start of the trajectory of the ball. </t>
  </si>
  <si>
    <t>"gameClockRunning" flag is changing at the wrong time, and is different in live vs delayed vs fast feeds.</t>
  </si>
  <si>
    <t>TDP: TTP logging is no longer showing when buffering has begun in DD</t>
  </si>
  <si>
    <t>Reprocess games with historical clock feed files</t>
  </si>
  <si>
    <t>Loading in a new track puts the VR into preview automatically</t>
  </si>
  <si>
    <t xml:space="preserve">Football use of OMCA, Camera Number not relevant  </t>
  </si>
  <si>
    <t>OffsideLine pitch_model_line_tracking_settings.json error when grabbing frame</t>
  </si>
  <si>
    <t>Al-Nassr v Al-Etifaq: Ronaldo + Defender incorrect skeletal tracking</t>
  </si>
  <si>
    <t>ITALY SUPERCUP SAO VR Ball Build</t>
  </si>
  <si>
    <t>HawkVR crashing when copying a new map into the paks folder</t>
  </si>
  <si>
    <t>OMCC: JCA_E (and JCA_F) Crash When Manual Tagging</t>
  </si>
  <si>
    <t>Blocked shot is recognized as a shot</t>
  </si>
  <si>
    <t>BkMCC doesn't recognize touch, while ball is on the rim</t>
  </si>
  <si>
    <t>ITALY SAO VR Ball Build</t>
  </si>
  <si>
    <t>Pull scoring data into BaseballAnalyser from the cloud</t>
  </si>
  <si>
    <t>BaseballAnalyser;BaseballDataPlatform;BaseballScoreKeeper</t>
  </si>
  <si>
    <t>Progress Bar Not Appearing When Outputting Uncontextualized Data</t>
  </si>
  <si>
    <t>"BallAboveBelowRimMultiProcessor" causing dropped frames in MCC when stationary ball is picked up</t>
  </si>
  <si>
    <t>BMCC crash while trying to read a value from property tree</t>
  </si>
  <si>
    <t>BKMCC dropped frames during WNBA games due to "TouchDetectorMultiProcessor" during timeouts</t>
  </si>
  <si>
    <t>Calculate a game active flag using Tissot Clock Data</t>
  </si>
  <si>
    <t>Pulsar appears to backlog and purge a large number of messages for activity.position</t>
  </si>
  <si>
    <t>Tennis Reporting Dashboard to have improved views for dashboard</t>
  </si>
  <si>
    <t>BkMCC Dark Mode should have white Jersey Numbers in Manual tagging</t>
  </si>
  <si>
    <t>Visualise currently used storage in BMCC</t>
  </si>
  <si>
    <t xml:space="preserve">Multiple Pitches in our Output </t>
  </si>
  <si>
    <t>Understand crashlogs of 111 (SMARTViewer2)</t>
  </si>
  <si>
    <t>New SQL Table for Data Quality Monitoring</t>
  </si>
  <si>
    <t>Story template renaming function</t>
  </si>
  <si>
    <t>Camera calibration being blocked by position of virtual model</t>
  </si>
  <si>
    <t>NFL - tough classification in ATL v CIN game</t>
  </si>
  <si>
    <t>OMCA SDI Output not functioning as expected</t>
  </si>
  <si>
    <t>OL-OD crashes when OMCA has Goal Plane Output enabled and viewer is launched</t>
  </si>
  <si>
    <t>MulticamAnalysis;OffsideLine;SMARTViewer</t>
  </si>
  <si>
    <t>Adding preset drop downs in OMCA to change between conditions (instead of using productions)</t>
  </si>
  <si>
    <t>VideoServer app (VVC/OMCA) crashes when physical connection to Z cam is lost</t>
  </si>
  <si>
    <t>"Start A New Tracking Curvers CVID" for SAOOD</t>
  </si>
  <si>
    <t>Refine calibration -&gt; Trigger button enable &amp; disable with 1 press</t>
  </si>
  <si>
    <t>OMCA - Focus monitoring not working with fused model</t>
  </si>
  <si>
    <t>Add ball preview and ball trail preview to VRControl/HawkVR</t>
  </si>
  <si>
    <t>VRControl8 - OMCC1 / OMCC2 not in status bar</t>
  </si>
  <si>
    <t>Prompted in SAO build stage if no SMART Graphics shells have been imported</t>
  </si>
  <si>
    <t>VR pitch model doesn't load from OMCC2 if OMCC1 is not launched</t>
  </si>
  <si>
    <t>VR Pitch Model to load on launch</t>
  </si>
  <si>
    <t>Preset save crash and then reset hawkvr working directory</t>
  </si>
  <si>
    <t>Specify Handedness of Switch Hitters/Pitcher in JSON outputs</t>
  </si>
  <si>
    <t>Stadium_Generic_ArabCrowd map crashing on launch with latest JCA12 exe</t>
  </si>
  <si>
    <t>Add an 'Output Goal Plane' button to the GLR panel</t>
  </si>
  <si>
    <t>GLR Goal Plane showing on all calibrated cameras in viewer</t>
  </si>
  <si>
    <t>Clock Feed still missing from some events</t>
  </si>
  <si>
    <t>Hands above head issues with Basketball Fused Model and Basketball Specific Keypoint Model</t>
  </si>
  <si>
    <t>CMCC crashes</t>
  </si>
  <si>
    <t>Target cases of skeletal issues while using new fused model and basketball specific keypoint model</t>
  </si>
  <si>
    <t xml:space="preserve">BTC not outputting arcs when an arc is expected to be output. </t>
  </si>
  <si>
    <t>CBTC sometimes outputs arcs that appear to defy gravity</t>
  </si>
  <si>
    <t>When CBTC tracks a ball into the stands, we need a solution to map the stadium in CBTC</t>
  </si>
  <si>
    <t xml:space="preserve">BkMCC/BkFMCC investigation into why the fast feed holds classifications better than the live/delayed feeds in certain situations. </t>
  </si>
  <si>
    <t>Scrubbing Tool - Slow Responsiveness / Not Responding with certain sessions</t>
  </si>
  <si>
    <t>Merging track after waypoint only works when selected on track before gap</t>
  </si>
  <si>
    <t>Non-classified track issues are appearing in issue log</t>
  </si>
  <si>
    <t>Fill after here command not working when cursor is close to gap</t>
  </si>
  <si>
    <t>Fill range command is creating a new track ID on out marker when filling over dropped frames</t>
  </si>
  <si>
    <t>Ability to merge multiple tracks at the same time</t>
  </si>
  <si>
    <t>Add modifier number in table like format to modifiers section</t>
  </si>
  <si>
    <t>Ability to delete a single or numerous modifiers made at any time from scrubbing tool</t>
  </si>
  <si>
    <t>Possession: Add to possession field when using latch to hand functionality</t>
  </si>
  <si>
    <t>Add possession issue checks to "All Types" and "Validator" filters</t>
  </si>
  <si>
    <t>OMCC Critical Error: Multipipeline Frames Dropped errors despite resource looking stable</t>
  </si>
  <si>
    <t>Add LineColorSelection settings to the Operations tab in BkMCA</t>
  </si>
  <si>
    <t>"Export BSON for Selected Tracks to Existing Directory"</t>
  </si>
  <si>
    <t>OMCC - Un-assigning a classified player with white ? only un-assigns home/away and not number</t>
  </si>
  <si>
    <t>Back up tool bug - Only remembers previously backup production</t>
  </si>
  <si>
    <t>Add in ability to designate jersey numbers for referees</t>
  </si>
  <si>
    <t>SMARTMonitor error text not legible since moving to red font text on black background</t>
  </si>
  <si>
    <t>SMARTMonitor</t>
  </si>
  <si>
    <t>Hockey data not appearing in JCA scrubbing tool versions</t>
  </si>
  <si>
    <t>Add Line Time setting from Emergent into MCA</t>
  </si>
  <si>
    <t>Add in timestamps to BTC UI</t>
  </si>
  <si>
    <t>Improvements to processing around the PP Queue for BMCC slowdowns</t>
  </si>
  <si>
    <t>Improvements to processing around IK for BMCC slowdowns</t>
  </si>
  <si>
    <t>New distortion model for OffsideLine to help with wide 4K shots</t>
  </si>
  <si>
    <t>Resize of OMCM Goal Plane Definition Tab</t>
  </si>
  <si>
    <t>BMCC Crashes After Skeletal Task Processes in Queue</t>
  </si>
  <si>
    <t>Assistant Referee 1 Tracking Improvements</t>
  </si>
  <si>
    <t>Model Refinement Data - For Maria / Fabio</t>
  </si>
  <si>
    <t>GLR - Calibration process improvement (only click on pause etc)</t>
  </si>
  <si>
    <t>GLR - Ability to save and load in Model Refinement Grabs to OMCM via WD</t>
  </si>
  <si>
    <t>SMARTConfigurator should set the Delayed Player Tracking Video Server Port Number</t>
  </si>
  <si>
    <t>OMCM Incorrect Error</t>
  </si>
  <si>
    <t>Crashes in BkMCC using 2023-09-07_BD_JohannCruyffArena_D_RC2</t>
  </si>
  <si>
    <t>Uncontextualized Outputs can't be completed in certain playing enviornments</t>
  </si>
  <si>
    <t>Problems writing our hfrSkeletal and bat data in replay mode</t>
  </si>
  <si>
    <t xml:space="preserve">CPL have changed there mens timing regulations to 4.5 mintes per over from 4.25 </t>
  </si>
  <si>
    <t>Need to have the function of ending a days play on both T20 and ODI games. This is needed in WC comps that have reserve days for ODIs and T20's</t>
  </si>
  <si>
    <t xml:space="preserve">This Bug is for VIDEOCAPTURE not Processing Control- X value of calibration in processing control is changed by adjust pitch or yaw within processing control. </t>
  </si>
  <si>
    <t>VideoCapture</t>
  </si>
  <si>
    <t>JCA_D_RC2 Crashes when clicking events tab</t>
  </si>
  <si>
    <t>Tag Uncontextualized BSON with Session ID from GroundControl</t>
  </si>
  <si>
    <t>Poor ball tracking in live feed during offside event (ATA v MON)</t>
  </si>
  <si>
    <t>Scoreboard Mode Profile Should Apply to Environment Specific Workspaces</t>
  </si>
  <si>
    <t>wagon wheel lines and segments from both ends - reading dims from pitchmodel.json</t>
  </si>
  <si>
    <t>GLR - Ability to nudge ball outline with key commands</t>
  </si>
  <si>
    <t>GLR - Camera select button is hard coded to only process one cam at a time</t>
  </si>
  <si>
    <t>OMCM - Calibration does not have END colours (blue / orange) or text</t>
  </si>
  <si>
    <t>GLR - Scroll wheel click and drag is disabled when at ball outline step - SEE VIDEO</t>
  </si>
  <si>
    <t>BallTrackControl - Utilising 15-30% CUDA when on same GPU as OMCA, but 0% CUDA when OMCA not launched</t>
  </si>
  <si>
    <t>TDP: time.timeUTC displaying incorrect values for ITF Director</t>
  </si>
  <si>
    <t>TGM: TGM to have a Max First Replay duration</t>
  </si>
  <si>
    <t>TennisGraphicsMediator</t>
  </si>
  <si>
    <t>BSK only outputs timestamps in UTC (japan systems are in local JST so contextualisation fails.)</t>
  </si>
  <si>
    <t>Cant send previous / past data via http post</t>
  </si>
  <si>
    <t>Logger</t>
  </si>
  <si>
    <t>Improve task visibility in the PP Queue</t>
  </si>
  <si>
    <t>New header for session summary in BMCC</t>
  </si>
  <si>
    <t>Display system storage in a new tab of BMCC</t>
  </si>
  <si>
    <t>Add extra metrics/visuals to the Ball Tracking Stats tab</t>
  </si>
  <si>
    <t>Add in visibility over SMART clipping status in BMCC</t>
  </si>
  <si>
    <t>SAOOD Replays - VR video is 1 frame early</t>
  </si>
  <si>
    <t>GLT Ball Development EPL Winter Ball 2023/24 - Needed before 15th October 2023</t>
  </si>
  <si>
    <t>GLT Ball Development EPL Spring Ball 2023/24 - Needed before 20th February 2024</t>
  </si>
  <si>
    <t xml:space="preserve">A10.2 and A10.3 not assessing the quality of service on revisions </t>
  </si>
  <si>
    <t>TDP: TRD does not update players whenever player update/withdrawal occurs</t>
  </si>
  <si>
    <t>Persistent HFR Camera Dropouts</t>
  </si>
  <si>
    <t>Allow referee numbers to be included in the restricted jersey list in BkMCC</t>
  </si>
  <si>
    <t>Can use the F keys to select a camera in the wrong OB Area during a build</t>
  </si>
  <si>
    <t>OMCC - When clicking on events in events tab it caused crashes</t>
  </si>
  <si>
    <t xml:space="preserve">BkMCC doesn't recognize touch </t>
  </si>
  <si>
    <t>GUMBO BMCC2 Reprocessing experiences losing data compared to Uncontextualized</t>
  </si>
  <si>
    <t>Players losing tracking when running into 1 Camera Coverage Locations</t>
  </si>
  <si>
    <t>BkMCC doesn't recognize layups as "Shots"</t>
  </si>
  <si>
    <t>Beehive stripey moves when pitch width is changed</t>
  </si>
  <si>
    <t>beehive stripey moving when change pitch width</t>
  </si>
  <si>
    <t>Rotation feature in OMCA not functioning when connected to a Z CAM</t>
  </si>
  <si>
    <t>BkMCC and BTC struggle with quick succession touches</t>
  </si>
  <si>
    <t>Cloud Uploader to use secondary LAN in Launch.bat for network redundancy</t>
  </si>
  <si>
    <t>Football Analysis crashes when Post Tracking is turned on, on a tracking camera with a X translation value of less that 2.2</t>
  </si>
  <si>
    <t>SAUDI KING SALMAN CUP SAO VR Ball Build</t>
  </si>
  <si>
    <t>Multiple cameras not contributing to 3D bat</t>
  </si>
  <si>
    <t>Progress bar not showing progress</t>
  </si>
  <si>
    <t>Z Cam WebUI focus values (and others) resetting on launch of VVC / OMCA</t>
  </si>
  <si>
    <t>MulticamAnalysis;SMARTConfigurator;VersatileVideoCapture</t>
  </si>
  <si>
    <t>New Footballs required for GLT and EPTS VR for upcoming UCL Season</t>
  </si>
  <si>
    <t>FootballVR;HawkVR</t>
  </si>
  <si>
    <t>New Football for UEL (GLT&amp;EPTS)</t>
  </si>
  <si>
    <t>New Football needed for USC</t>
  </si>
  <si>
    <t>Add an T20 Blast format to the app</t>
  </si>
  <si>
    <t>Warning button when cancelling timings on Stopwatch and add time functions</t>
  </si>
  <si>
    <t>Remove the need to input the innings number</t>
  </si>
  <si>
    <t>Remove day selection on all formats except for tests.</t>
  </si>
  <si>
    <t xml:space="preserve">Have the capability in the tests to to end a session rather than using the timer and adding this way. </t>
  </si>
  <si>
    <t>One-Off Inflated Pitch Velocity (107 mph)</t>
  </si>
  <si>
    <t>Create a CPL format as a replacement for the 6ixty which no longer exists</t>
  </si>
  <si>
    <t xml:space="preserve">Multiple Viewers crashing simultaneously in multiple MLB parks </t>
  </si>
  <si>
    <t>MCA Multipipline Error results in Player Tags Dropping</t>
  </si>
  <si>
    <t>OMCA/OMCM improvement for GLR - 1) OMCA to have masking/exclusion zone feature like OMCM for calibrating grabs 2) Sync to Remote, Export to Remote to become one button that does both actions</t>
  </si>
  <si>
    <t>Create Test Release with Emergent Ecapture ESDK 2.44.02</t>
  </si>
  <si>
    <t>Option to "ignore disabled applications" when backing up applications</t>
  </si>
  <si>
    <t>GLR - Post lean left and right post can not be set independently. Changing post lean left, will affect post lean of the right post and vice versa</t>
  </si>
  <si>
    <t>GLR - Flip X - When using the flip x function to show the opposite end of the Pitch model, pressing reset calibration seems to switch the model back to the original position whilst flip x remains ticked</t>
  </si>
  <si>
    <t>Frame gaps within a play of inferred bat data</t>
  </si>
  <si>
    <t>No strike zone diffs in BTC/BMCC if a camera is missing</t>
  </si>
  <si>
    <t>Put all allowance options in alphabetical order</t>
  </si>
  <si>
    <t>Scale mosys calibration if court we're rendering over is smaller than a real court</t>
  </si>
  <si>
    <t>Add Change Ball into Umpire Allowances</t>
  </si>
  <si>
    <t>ZCAM Ezlink Integration In standard Configurator</t>
  </si>
  <si>
    <t>Baseball;Basketball;Football</t>
  </si>
  <si>
    <t>Standalone Actions Missing from GroundControl UI</t>
  </si>
  <si>
    <t>Ball Control not drawing full pitch arc</t>
  </si>
  <si>
    <t>Configurable IP for Football Tracking Provider for connection to OMCC and uploading to Pulsar</t>
  </si>
  <si>
    <t>FootballDataPlatform;SMARTConfigurator</t>
  </si>
  <si>
    <t>Football Control to exclude TCP Address and TCP Port settings from ini save save function that pushes all changes from Football Control Main to Football Control Backup</t>
  </si>
  <si>
    <t>Move 'Off-side' and 'Leg-side' for wagonwheel segments up</t>
  </si>
  <si>
    <t>Ability to offset the plaque position</t>
  </si>
  <si>
    <t>Live Lines persit in viewer if toggled through go_to_elastic_bookamark and its an offside event</t>
  </si>
  <si>
    <t>Second placed Epipolar Line is not clearing once moving to the confirm offsideline step in the offside panel</t>
  </si>
  <si>
    <t>SMART Chat not embeding audio on a 10 bit video feed with SMARTBlender</t>
  </si>
  <si>
    <t>Triangulation Xhair not rendering on Output Tile 2</t>
  </si>
  <si>
    <t>SAUDI SPL SAO VR Ball Build</t>
  </si>
  <si>
    <t>OffsideLine Inconsistently Unresponsive</t>
  </si>
  <si>
    <t>GLT Ball Development Derbystar 2023/24 - Needed for 24th August 2023</t>
  </si>
  <si>
    <t>GLT Ball Development UNL 2024 Ball - Needed for Feb 2024</t>
  </si>
  <si>
    <t>OffsideLine replay instance closing when confirming calibration after refine</t>
  </si>
  <si>
    <t>Can change player when in "offside mode" with split screen and picking angle.</t>
  </si>
  <si>
    <t>Offside Event for player stepping over ball</t>
  </si>
  <si>
    <t>Killing MCA through Configurator puts emergent cameras in error state</t>
  </si>
  <si>
    <t>Kinexon Event bookmarks are tied to OMCC1 as a source only</t>
  </si>
  <si>
    <t>OMCC crash when pressing 26~ tab</t>
  </si>
  <si>
    <t>OMCC crash at HT at WWC when operator "not using" control</t>
  </si>
  <si>
    <t>Bat data not being written out in replay mode for 4 cam systems</t>
  </si>
  <si>
    <t>MLB bat tracking feedback</t>
  </si>
  <si>
    <t>TG in a remote centre can not see viewer status when viewers are being run at venue</t>
  </si>
  <si>
    <t>Need a way to force offside event timeline markers on top of all other timeline markers</t>
  </si>
  <si>
    <t>Problem with new ptpAutoReinitRestartAcquisition</t>
  </si>
  <si>
    <t>Selected/Unconfirmed Gridline colour not changing in output tile</t>
  </si>
  <si>
    <t>Confirming an Offsideline in Viewer forces privacy on VRcontrol</t>
  </si>
  <si>
    <t>Exposure oscillating on EPTS cameras (A2)</t>
  </si>
  <si>
    <t>Selecting game active issue results in grey/no camera image on selected frame</t>
  </si>
  <si>
    <t>BMCC dropping frames from BallControl ("No Pitch")</t>
  </si>
  <si>
    <t>Integration with Hanwha cameras</t>
  </si>
  <si>
    <t>Player tracks swap for Sprint</t>
  </si>
  <si>
    <t>Player not tracked on the Ground</t>
  </si>
  <si>
    <t>Player tracks are jittering during a free throw</t>
  </si>
  <si>
    <t>Pitch latency calculations are negative</t>
  </si>
  <si>
    <t>OffsideLine crash during calibration process</t>
  </si>
  <si>
    <t>Edge Case: OMCC does NOT detect slight touch from headed pass</t>
  </si>
  <si>
    <t>Quad muscle / hip joint looking unrealistic when in a flexed position</t>
  </si>
  <si>
    <t>Football - Automatic Input Downsample Factor</t>
  </si>
  <si>
    <t xml:space="preserve">New button to stop the match time in the final over in the HUNDRED format. </t>
  </si>
  <si>
    <t>Add support for a Kinexon bookmark type in Viewer</t>
  </si>
  <si>
    <t>Issue where the timeout button does not apppear in auto allowances</t>
  </si>
  <si>
    <t>GUMBO contextualized files output sample.people data without their respective mlbID</t>
  </si>
  <si>
    <t>Camera window graphics not showing when on exclusions tab and frame stepping</t>
  </si>
  <si>
    <t>minProbOf2CameraBalls max needs increasing from 1.0 to 10,000</t>
  </si>
  <si>
    <t>SMARTAudioPlayout Failover/Redundancy</t>
  </si>
  <si>
    <t>Spotter viewer crash report mid-match</t>
  </si>
  <si>
    <t>OMCA crash mid match</t>
  </si>
  <si>
    <t>Attacking Offside Line always appears on top of Defensive line</t>
  </si>
  <si>
    <t xml:space="preserve">Repeatable Viewer Crash when playback is winding down from timeline scroll and framestep occurs from key command </t>
  </si>
  <si>
    <t>SG Ball for BCCI</t>
  </si>
  <si>
    <t>Change BSK to not duplicate segment file output</t>
  </si>
  <si>
    <t>Bayern Light Metering 'Enabled' does not automatically turn on when a coaxpress camera input is drawn into VVC</t>
  </si>
  <si>
    <t>Adding and removing items from the discresionary allowance list</t>
  </si>
  <si>
    <t>Add a filter on view incidence to allow to see also see session discresionary allowances on the test match format</t>
  </si>
  <si>
    <t>Hundred Mode: Batter To Crease</t>
  </si>
  <si>
    <t xml:space="preserve">Playing condition change within Test that needs fixing </t>
  </si>
  <si>
    <t>Hundred Mode: End Time to be editable</t>
  </si>
  <si>
    <t>JCA: NHM crashing on launch</t>
  </si>
  <si>
    <t>NetworkHealthMonitor</t>
  </si>
  <si>
    <t>JCA OMCA Crashes On Operations Tab</t>
  </si>
  <si>
    <t>TRD: Match remained in "OPEN" state during rain delay due to rally message being generated after the play suspended</t>
  </si>
  <si>
    <t>OMCA: JCA Connect to lens not selecting camera connection type to adjust focus</t>
  </si>
  <si>
    <t>Split pitch_refined packet into 2 separate packets</t>
  </si>
  <si>
    <t>When double clicking on a pitch in the data table, it cause the camera selected to also change.</t>
  </si>
  <si>
    <t>Double clicking on a pitch should go to the pitch release time, but it doesnt always.</t>
  </si>
  <si>
    <t>crease lines flickering STILL</t>
  </si>
  <si>
    <t>JCA - Test Kick &amp; Test Offside in OMCC showing as "kick" in SMARTElastic/Viewer</t>
  </si>
  <si>
    <t>Log distance adboard to origin in TMCA and include that data in BSONs for TDP downstream</t>
  </si>
  <si>
    <t>Creating a drag-and-drop launch.bat similar to BPP to BkMCC</t>
  </si>
  <si>
    <t>Add Profiles to BaseballTrackingProvider to allow for Scoreboard Mode</t>
  </si>
  <si>
    <t>Significant impact speed differences in recent PP versions</t>
  </si>
  <si>
    <t xml:space="preserve">When Release Tasks fail, all related values should output as "null" instead of "0"'s in the bson. </t>
  </si>
  <si>
    <t>GLT Ball Development King Salman Cup Ball - Tournament start date 15th July</t>
  </si>
  <si>
    <t>MultiPipeline frame drops during home run derby practice</t>
  </si>
  <si>
    <t>Sync delays to OMCA automatically</t>
  </si>
  <si>
    <t>JCA: No gaps in ball feed in ScrubbingTool. Stops on last frame of tracking</t>
  </si>
  <si>
    <t>Add in firmware 3.67 for BMCA 25g modules</t>
  </si>
  <si>
    <t>Add in new FocusInit and IrisInit to BMCA for testing</t>
  </si>
  <si>
    <t xml:space="preserve">JCA - OMCC delayed feed duplicating data and outputting at 100 fps </t>
  </si>
  <si>
    <t>JCA - Launch_replay.bat for OMCC does not replay data</t>
  </si>
  <si>
    <t>JCA - OMCC does not send data to tracking provider using MDC</t>
  </si>
  <si>
    <t>Clear assignments not clearing manual tagging (instant and persistent)</t>
  </si>
  <si>
    <t xml:space="preserve">TDP: Implement a method of Auto Start in Tennis Data Platform </t>
  </si>
  <si>
    <t>No red splash on attacking player to indicate offside body part on very close incident</t>
  </si>
  <si>
    <t>Incorrect pitch call for intentional walk in GUMBO contextualization</t>
  </si>
  <si>
    <t>Typing in a session ID into the Stats Dash allows you to see any session</t>
  </si>
  <si>
    <t>Possession Tracker updating possession late</t>
  </si>
  <si>
    <t>Dual App OMCA - ffmpegClipping output path drive letter to follow write drive letter in application settings</t>
  </si>
  <si>
    <t>Pit Road Officiating Control Crashing</t>
  </si>
  <si>
    <t>HawkVR not responding, switched desktop to CricketVR to output, all of sudden HawkVR appears on HEO</t>
  </si>
  <si>
    <t>HawkEyeOutput;HawkVR;VRControl</t>
  </si>
  <si>
    <t>BMCC Not Sending Certain Tasks to Post Process</t>
  </si>
  <si>
    <t>p output appears pixelated</t>
  </si>
  <si>
    <t>Spin &amp; Release Created for Outfield Throw</t>
  </si>
  <si>
    <t>Spin Not Captured but Sending RPMs</t>
  </si>
  <si>
    <t>OMCA to have SDI Output capabilities (as per other video server apps)</t>
  </si>
  <si>
    <t>SMARTConfigurator - Z CAM VFR max is 160 - cameras can go to 240</t>
  </si>
  <si>
    <t xml:space="preserve">TDP: Can Feed Manager to have the ability to push messages to specific queues? </t>
  </si>
  <si>
    <t>Competition specific logos in productions (different logos for same kits)</t>
  </si>
  <si>
    <t>Grass cut improvements in VR to match real world</t>
  </si>
  <si>
    <t>Danger area markings on crease lines</t>
  </si>
  <si>
    <t>wide lines edit colour</t>
  </si>
  <si>
    <t>names and numbers on shadowmen automatic from database</t>
  </si>
  <si>
    <t>ability to digitally zoom / pan / tilt not working in video</t>
  </si>
  <si>
    <t>NBA - Display Possessing Jersey Number on Viewer UI</t>
  </si>
  <si>
    <t>lords nursery sightscreen is rubbish at pavilion end</t>
  </si>
  <si>
    <t>Glitching and skipping frames in both video and transition from video to virtual for LBWs</t>
  </si>
  <si>
    <t>Investigate the microsecond timestamping in RTT Databridge when tennis tracking provider is receiving the TDS Output Stream;Meta JSON Key</t>
  </si>
  <si>
    <t>Weird half mix happened when trying to mix to full virtual</t>
  </si>
  <si>
    <t>Reset Clicks in Calibration section does not work</t>
  </si>
  <si>
    <t>Aggregate per-patch scores and Spin Mosaic Patch Score in JSON</t>
  </si>
  <si>
    <t>Improving Spin Constraints based on team feedback</t>
  </si>
  <si>
    <t>Cloud Uploader Crashing when Starting Ground Control Session</t>
  </si>
  <si>
    <t>Missing Players and Player Swap Problem Cases</t>
  </si>
  <si>
    <t>BkMCC doesn't recognize touch</t>
  </si>
  <si>
    <t>Ability to substitute a runner (pinch runner)</t>
  </si>
  <si>
    <t>External Interference doesn't do anything to the scoring</t>
  </si>
  <si>
    <t>MultiCameraControl Dark Mode Improvements</t>
  </si>
  <si>
    <t>BkMCC doesn't recognize light touch on the rim</t>
  </si>
  <si>
    <t>Deleting a mask in a sequence will change the mask order</t>
  </si>
  <si>
    <t xml:space="preserve">Rotation function in VVC does not rotate images from a ZCAM Input </t>
  </si>
  <si>
    <t>Dropdown menus do not expand</t>
  </si>
  <si>
    <t>MatchDayVision;SMARTStreamer;VersatileVideoCapture</t>
  </si>
  <si>
    <t>Release being tracked at incorrect time of delivery</t>
  </si>
  <si>
    <t>GLT Ball Development EPL Ball 2023/24 - Needed before 12th August 2023</t>
  </si>
  <si>
    <t>GLT Ball Development FA Community Shield 2023 - Needed before 4th August</t>
  </si>
  <si>
    <t>GLT Ball Development FA Cup 2023/24 - Needed before 1st December</t>
  </si>
  <si>
    <t>GLT Ball Development Serie A 2023/24 Summer Ball - Needed for 15th August</t>
  </si>
  <si>
    <t>GLT Ball Development Serie A 2023/24 Winter Ball - Needed for 1st October</t>
  </si>
  <si>
    <t>GLT Ball Development Nike International Ball 2023/24 - Needed for 4th August</t>
  </si>
  <si>
    <t>GLT Ball Development UEFA Super Cup Ball 2023 - Needed before 16th August 2023</t>
  </si>
  <si>
    <t>GLT Ball Development UEFA Europa League Ball 2023/24 - Needed before 24th August 2023</t>
  </si>
  <si>
    <t>OMCA - Reset clicks not working on GUI, but working in property tree</t>
  </si>
  <si>
    <t>OMCC - Re-launching OMCC clears all events</t>
  </si>
  <si>
    <t>Ball tracking lost in live and delayed feed when ball was stationary during FIFA EPTS Test</t>
  </si>
  <si>
    <t>OMCA - Writing to disk enabled is not reflecting the property tree setting</t>
  </si>
  <si>
    <t>FIFA WWC SAO VR Ball Build</t>
  </si>
  <si>
    <t>changes made in smart configurator do not deploy as they should. Also new software not appearing and able to be selected to be deployed</t>
  </si>
  <si>
    <t>positonal calib from BCC not matching to HawkVR</t>
  </si>
  <si>
    <t>BroadcastCameraCalib;HawkVR</t>
  </si>
  <si>
    <t>"End 1" &amp; "End2" text graphics not appearing when manually calibrate mode in JCA</t>
  </si>
  <si>
    <t>Allow for Aggregate per-patch scores and Spin Mosaic Patch Score in JSON</t>
  </si>
  <si>
    <t>CameraControl;MulticamPostProcess</t>
  </si>
  <si>
    <t>Upading Issues log in Scrubbing Tool to only flag issues when a gap begins within an active time period in Basketball</t>
  </si>
  <si>
    <t xml:space="preserve">Add "unassign and fill" to both ends of range on both tracks for 0.5 secs when using "Swap Tracks in Range" command </t>
  </si>
  <si>
    <t>GC session name not making it to skeletal mosaic clips</t>
  </si>
  <si>
    <t>GroundControl;MulticamPostProcess</t>
  </si>
  <si>
    <t>BPP crashing when replaying tasks using previous Event jsons</t>
  </si>
  <si>
    <t>BkMCC crash during pregame for unknown reason</t>
  </si>
  <si>
    <t>OMCA - Use Previous Sate (Default to Don't Record) not working in OMCA</t>
  </si>
  <si>
    <t>Add option to choose which output we include each bat model in</t>
  </si>
  <si>
    <t>Add bat configuration name to the models object of the JSON</t>
  </si>
  <si>
    <t>ICC womens test match regulation change. 4m per over, same as within the Mens format</t>
  </si>
  <si>
    <t>Patch Request to Change Surface ID of Session</t>
  </si>
  <si>
    <t>Change the way we index pitch arcs for BaseballAnalyser</t>
  </si>
  <si>
    <t>Name the force plate export the same as the BSK contextualized files</t>
  </si>
  <si>
    <t>Only output force plate data if it has an accompanying contextualized file</t>
  </si>
  <si>
    <t>Increased OMCC CPU usage &amp; CPU spikes in Ibrox causing dropped frames</t>
  </si>
  <si>
    <t>Ability to create MCC clips during live play</t>
  </si>
  <si>
    <t>People coming through pitch mask (maybe related to pitch mask "flashing")</t>
  </si>
  <si>
    <t>Labelling ball into the net as a "Hit" rather then a "Net"</t>
  </si>
  <si>
    <t>OMCA - Delete old ffmpegClipping folders from property tree settings</t>
  </si>
  <si>
    <t>DataScienceApp - Netco events don't send from context 2 data</t>
  </si>
  <si>
    <t>Better status reporting of Ground Control system functions (For Priority Filter, Tactical Encoding, OMCC Msg Files)</t>
  </si>
  <si>
    <t xml:space="preserve">Remove ground control status bar </t>
  </si>
  <si>
    <t>Network Redundancy: When primary LAN connection is lost, CU fails over to backup LAN</t>
  </si>
  <si>
    <t>Network Redundancy: When primary LAN connection is lost, GC fails over to backup LAN</t>
  </si>
  <si>
    <t>After killing BMCA, it won't relaunch and connect to the camera</t>
  </si>
  <si>
    <t>Remove scoringType dropdown from BMCC UI</t>
  </si>
  <si>
    <t>Convert session start time to local timezone</t>
  </si>
  <si>
    <t>Add a circular buffer to all Per Play BSON Exporters</t>
  </si>
  <si>
    <t>The the Catcher Throw Speed value is different in CSV and JSON outputs from BPFG.</t>
  </si>
  <si>
    <t>PlayUID's and GameUID's are different between data output from secondary BSON's and primary BSON's/</t>
  </si>
  <si>
    <t>Way to keep scavenger_server launched for skeletal uploads</t>
  </si>
  <si>
    <t>Cloud Uploader to report main and backup database drive space and report error when nearly full</t>
  </si>
  <si>
    <t>SMARTConfiguator crashes when applying production</t>
  </si>
  <si>
    <t>When killing OMCA applications from SMARTConfig they crash and re-launch</t>
  </si>
  <si>
    <t>Cloud Uploader to connect to a single database when the 2nd database is not available</t>
  </si>
  <si>
    <t>Connect AlignmentTool to BMM to view sessions at a venue</t>
  </si>
  <si>
    <t>Automatically load BaseballResultsStore based on session name</t>
  </si>
  <si>
    <t>Add option to load in a second BaseballResultsStore</t>
  </si>
  <si>
    <t>Launch the AlignmentTool with the current ResultsStore in full view</t>
  </si>
  <si>
    <t>Grass texture missing for a few frames on VR replay</t>
  </si>
  <si>
    <t xml:space="preserve">Feature release for the hundred: Change the gui colour after 5 balls instead of 6 </t>
  </si>
  <si>
    <t>Ability to minimise windows on VRControl</t>
  </si>
  <si>
    <t>Removing template editor scroll bars when window is full screen.</t>
  </si>
  <si>
    <t>Can't preview a camera preset while a stat is playing</t>
  </si>
  <si>
    <t>Presets behaving weirdy in story template</t>
  </si>
  <si>
    <t>LBW traj not playing down on demand</t>
  </si>
  <si>
    <t>Heatmaps casting unusual shadows</t>
  </si>
  <si>
    <t>Original Decision Bug sometimes doesn't animate.</t>
  </si>
  <si>
    <t>HawkVR;SMARTGFx;VRControl</t>
  </si>
  <si>
    <t xml:space="preserve">Encoded time of MP4 clips are longer than real time. </t>
  </si>
  <si>
    <t>LiveMP4Recorder</t>
  </si>
  <si>
    <t>Timestamps For Ball and Player Centroid Data Slightly Off</t>
  </si>
  <si>
    <t>FreeThrow Release issue when defender steps into the paint during the free throw attempt</t>
  </si>
  <si>
    <t>MCC crash when attempting to output a file to an invalid location</t>
  </si>
  <si>
    <t>Error generating post game GUMBO CSV on premise</t>
  </si>
  <si>
    <t>S3Uploader - Securing the AWS bucket</t>
  </si>
  <si>
    <t>S3Uploader - Add an automated "upload only" function</t>
  </si>
  <si>
    <t>S3Uploader - Specifying an upload destination</t>
  </si>
  <si>
    <t>S3Uploader - Monitoring and reporting</t>
  </si>
  <si>
    <t>The hit/miss smarter filter and the hit/miss 'get stats' are conflicting</t>
  </si>
  <si>
    <t>No ability to filter for just 4s and just 6s</t>
  </si>
  <si>
    <t>The traj stat bins are fixed to certain lengths. Desirable to have custom leading stats fields for stat finding</t>
  </si>
  <si>
    <t>No ShotAttacked filter in SMARTER filters</t>
  </si>
  <si>
    <t>Send graph stats functionality to smart graphics</t>
  </si>
  <si>
    <t>Graphics display doesn't have Interception Beehive</t>
  </si>
  <si>
    <t>The stripey in graphics display is fixed. We should be able to adapt this for tour and format.</t>
  </si>
  <si>
    <t>Cannot merge single scrubbing_tool_launch_cache.json settings via production</t>
  </si>
  <si>
    <t>Spin Tasks Showing High Fit Errors with Great Image Quality</t>
  </si>
  <si>
    <t>Landing Z value is always 0</t>
  </si>
  <si>
    <t>Increased number of slider filters</t>
  </si>
  <si>
    <t>Ability to swap defending team ends in BkMCC</t>
  </si>
  <si>
    <t>Auto Balls/Strikes duplicate the PitchOfPA column in the GameSummaryCSV</t>
  </si>
  <si>
    <t>Change the property tree references to 'VA' given we no longer work with them</t>
  </si>
  <si>
    <t>Goal Alert was sent by Control 3 minutes after a Goal Event occurred. Control being able to check the time of the original event compared to current time before deciding whether to send Goal alert if it does get a into a frozen state</t>
  </si>
  <si>
    <t xml:space="preserve">Automatic Substitute Detector not working in Ibrox_D (Fine in ibrox_C) </t>
  </si>
  <si>
    <t>Broadcast OMCA Performance &amp; Control CPU</t>
  </si>
  <si>
    <t>Scrubbing tool always crashes when killing from smartfile. Doesn't close gracefully</t>
  </si>
  <si>
    <t xml:space="preserve">Further play event documentation </t>
  </si>
  <si>
    <t>BTC - Losing physical connection to master camera causes BTC to reset</t>
  </si>
  <si>
    <t>GUI buttons that do not have corresponding property tree lines - blocking us adding more actions to GC</t>
  </si>
  <si>
    <t>Ability to change NIC Configuration adapter IP with productions</t>
  </si>
  <si>
    <t>ATP API Migration</t>
  </si>
  <si>
    <t>BDS Player Refined IP Address Not Inferred from Configurator</t>
  </si>
  <si>
    <t>TDP: Wimbledon Tour IDs added into feeds</t>
  </si>
  <si>
    <t>RTTDataBridge Box selection displayed in SMARTViewer</t>
  </si>
  <si>
    <t>Ability to open and edit packets, both in order to remove/hide erroneous data &amp; to allow customisability for stats</t>
  </si>
  <si>
    <t>SmartGraphics having the ability to read the name of the player selected in a given packet</t>
  </si>
  <si>
    <t>SMARTGFx;VRControl</t>
  </si>
  <si>
    <t>Bat task with 45mph speed drop with new impact fitting</t>
  </si>
  <si>
    <t>NASCAR Inspection Chassis Report Changes</t>
  </si>
  <si>
    <t>"Possession state missing" issues to select ball &amp; possession bar</t>
  </si>
  <si>
    <t>Bat tasks that are Hits using 1 curve as opposed to 2</t>
  </si>
  <si>
    <t>BSK Crashing Late in Sessions</t>
  </si>
  <si>
    <t>Halfway line as defensive line - line moves from one side of line to other during transition</t>
  </si>
  <si>
    <t>Missing Pickoff play events</t>
  </si>
  <si>
    <t>The virtual stumps appear offset from the rear crease line within Processing Control when the pitch length is not exactly 20120mm.</t>
  </si>
  <si>
    <t xml:space="preserve">MCA crash due to property tree value not found </t>
  </si>
  <si>
    <t>Remove the Delayed Player BDS Output Input from BaseballTrackingProvider</t>
  </si>
  <si>
    <t>Unable to input numbers in Classification tab in BkMCC</t>
  </si>
  <si>
    <t>Adding an option to output bookmarked events as a CSV in BkMCC</t>
  </si>
  <si>
    <t>Time based actions</t>
  </si>
  <si>
    <t>CloudUploader grabs the session name from GC on launch</t>
  </si>
  <si>
    <t>Trigger Pulsar Upload via GroundControl Action</t>
  </si>
  <si>
    <t>JCA Bugs - Match Settings Tabs</t>
  </si>
  <si>
    <t>OMCC to CU ZMQ connection on backup LAN network (for events)</t>
  </si>
  <si>
    <t>Cloud Uploader;MulticamAnalysis</t>
  </si>
  <si>
    <t>HawkVR to read in calibration from OFFBat tracking</t>
  </si>
  <si>
    <t>VRControl delay in receiving event from SMARTViewer when no package directory is available</t>
  </si>
  <si>
    <t>Backwards compatibility from JCA to Ibrox</t>
  </si>
  <si>
    <t>Scrubbing tool not responding when pressing numpad + when no issues left</t>
  </si>
  <si>
    <t>Scrubbing tool crashes</t>
  </si>
  <si>
    <t>Unexpected dropped frames during encoding of 100G Cam</t>
  </si>
  <si>
    <t>Add arrow/marker to point at the ball during VR build process</t>
  </si>
  <si>
    <t>Merge Emergent Pulse TTL code with 10s heartbeat into Ibrox</t>
  </si>
  <si>
    <t>Play being skipped over in GUMBO reprocess</t>
  </si>
  <si>
    <t>End of a homerun was tracked as a release (throw)</t>
  </si>
  <si>
    <t>BMCC "freezing" in multiple systems</t>
  </si>
  <si>
    <t xml:space="preserve">Allow CTK settings to be changed in configurator rather than in app settings </t>
  </si>
  <si>
    <t>TGM to check shovel status and log/show status</t>
  </si>
  <si>
    <t>Graphic remains on Output despite WebRender, SMART GFX and TGM being killed</t>
  </si>
  <si>
    <t>SMARTGFx;TennisGraphicsMediator;WebRender</t>
  </si>
  <si>
    <t>Ability to load in MP4 clips that is synced to data (same as you can do with Footbal Scrubbing Tool)</t>
  </si>
  <si>
    <t>IBROX: Duplicate sessions created for each Ground Control session</t>
  </si>
  <si>
    <t>Mirror the pathToScoring in the primary and secondary Per Play BSON exporters</t>
  </si>
  <si>
    <t>Post Process task timeout value seems set at the time the task is created, and cannot be changed</t>
  </si>
  <si>
    <t>Wagon Wheel visualisation only 6s have arcs, all other runs along ground</t>
  </si>
  <si>
    <t>CricketDataServer;HawkVR</t>
  </si>
  <si>
    <t>Change which BSON node the GroundControl output actions reference</t>
  </si>
  <si>
    <t>Two types of Firmware are used for HR-2000C Emergent Modules in Football. VVC is currently only configured to look for one of these, which causes an error on launch for the other.</t>
  </si>
  <si>
    <t>Football Control should not suppress a 2nd T REGION TRACKING GOAL event that is the same as one before. If the 1st event is Patchy and the 2nd event is not.</t>
  </si>
  <si>
    <t>Add in Keypoint Failure Case Selector to BaseballPostProcess</t>
  </si>
  <si>
    <t>TRD - Filtering by tournament &amp; court selector shows courts for incorrect tournament</t>
  </si>
  <si>
    <t>Flipped stats function on the VRControl Gui, under the "transform" command, doesn't work - the balls and presets flip but the overlay graphics do not</t>
  </si>
  <si>
    <t>Split Screen function doesn't work - crashes HawkVR</t>
  </si>
  <si>
    <t>Stats in HawkVR excluding some shots that were out</t>
  </si>
  <si>
    <t>Last known Z-Value Height in Control GUI not matching with TA graphs</t>
  </si>
  <si>
    <t xml:space="preserve">TSV: Wrong tournament appearing in drop-down </t>
  </si>
  <si>
    <t>Ability to define an output path in the BPFG request</t>
  </si>
  <si>
    <t>AlignmentTool not recognizing configuration files being deployed to the JSON</t>
  </si>
  <si>
    <t>Label preset's export preset not persisting when export settings are changed</t>
  </si>
  <si>
    <t>Numpad + &amp; - commands NOT to loop when at the start and end of issue lists</t>
  </si>
  <si>
    <t>OMCC - Warning error in status bar when not in No Override State</t>
  </si>
  <si>
    <t>Spin not sending to MLB when it "fails"</t>
  </si>
  <si>
    <t>Design Task - Better way of flagging and reviewing skeletal data</t>
  </si>
  <si>
    <t>"Are You Sure?" popup before taking a new reference image</t>
  </si>
  <si>
    <t>Fused Model - Display Bugs</t>
  </si>
  <si>
    <t>Fused Model - Ball Tracking Improvements</t>
  </si>
  <si>
    <t>Re-order of scrubbing tool export tab</t>
  </si>
  <si>
    <t>Delete player range and delete ball range separated into 2 commands</t>
  </si>
  <si>
    <t>Running an OMCA on CTRL PC - crashes and FPS issues despite good noding and healthy PC resource</t>
  </si>
  <si>
    <t>Number on front of shirt unticked by default (or production)</t>
  </si>
  <si>
    <t>IBROX VR Control Bugs. Lighting Preset, Red HEO Connection Light</t>
  </si>
  <si>
    <t xml:space="preserve">Slave Viewer (spotter) to display state based overlays </t>
  </si>
  <si>
    <t>Configurator does not allow 2 instances of BaseballPlayFeedGenerator on the same PC</t>
  </si>
  <si>
    <t>Allow for different actions to be set based on mode</t>
  </si>
  <si>
    <t>Allow operators to backup settings to a production from Table view</t>
  </si>
  <si>
    <t>Missing touches events during multiple player/rim touches during possible goaltend</t>
  </si>
  <si>
    <t>Further Warnings for not having correct numbers in Jersey Dialog box</t>
  </si>
  <si>
    <t>Fused model AR tracking regressions</t>
  </si>
  <si>
    <t>Adding CCU Comms Port to BkMCA</t>
  </si>
  <si>
    <t>Baseball Release Tasks fail, skeletons in cam 8 of pitcher + batter merge</t>
  </si>
  <si>
    <t>Error message spamming console in MCA</t>
  </si>
  <si>
    <t>Add team names into OMCC rather than Home / Away</t>
  </si>
  <si>
    <t>Investigate slow bat tasks on certain systems</t>
  </si>
  <si>
    <t>Display TSS Offset in Game State Tab - Data Side</t>
  </si>
  <si>
    <t>PXW-Z280 Lens cannot Zoom out when CamaeraControl is first launched</t>
  </si>
  <si>
    <t>Change environment names to something operators would easily understand</t>
  </si>
  <si>
    <t>Classification / jersey number issues in SEA</t>
  </si>
  <si>
    <t>Antiwobble settings</t>
  </si>
  <si>
    <t>Masking doesn't seem to work</t>
  </si>
  <si>
    <t>pulsar-functions failing to write all ball and player jsons to s3 (tdp-tracking-data-xxxx)</t>
  </si>
  <si>
    <t>Latency spikes with version 2023-03-07_AB_Ibrox_LatencyTest2</t>
  </si>
  <si>
    <t>Stick tracking errors</t>
  </si>
  <si>
    <t>Crash on 2023-03-13_RM_Ibrox_C</t>
  </si>
  <si>
    <t>Zcam Input For Multicam Analysis</t>
  </si>
  <si>
    <t>Generating two events for a shot in rally.events</t>
  </si>
  <si>
    <t>TMM: GET call, input tournamentId and it returns all the court configs for that tournament</t>
  </si>
  <si>
    <t>Labelling a shot as a backhand volley when in fact it was a overhead smash</t>
  </si>
  <si>
    <t>Errors showing on output to TV</t>
  </si>
  <si>
    <t>Can't assign video format of recording in json file. Always defaults to native.</t>
  </si>
  <si>
    <t xml:space="preserve"> Net arc not being generated for shot landing at bottom of net</t>
  </si>
  <si>
    <t xml:space="preserve"> A hit is missed, and the sequence splits.</t>
  </si>
  <si>
    <t>Double clicking on different pitches in the table, causes the camera to toggle to a different camera too</t>
  </si>
  <si>
    <t>Still unsatisfactory birger control using esdk 2.38.1 and firmware 3.63</t>
  </si>
  <si>
    <t>Event Filters don't always apply to other event filters</t>
  </si>
  <si>
    <t>When a spin task fails (has a large fit score) the spin rpm in the analyser data table shows as Zero.</t>
  </si>
  <si>
    <t>In Tennis Reporting Dashboard to be able to see the TPMG reprocessing version</t>
  </si>
  <si>
    <t>Ibrox - Ball Tracking Regression</t>
  </si>
  <si>
    <t>Manually Extracted Object Detection Failure Cases Not Uploading to HwkFlow</t>
  </si>
  <si>
    <t>Countdown of 30 seconds between events uploading and BSONs uploading</t>
  </si>
  <si>
    <t>Enable looping and set in/out point at cursor time commands to only work when not in looped state</t>
  </si>
  <si>
    <t>OMCC Error Reporting</t>
  </si>
  <si>
    <t>If you have lots of columns and then scroll to the right, clicking on a delivery causes a jump back to the left</t>
  </si>
  <si>
    <t xml:space="preserve">TPFG: Ability to reprocess local scoring and s3 cloud or vice versa has been lost. </t>
  </si>
  <si>
    <t>Increasing decimal points in data search</t>
  </si>
  <si>
    <t>Incorrect Arm Tracking - Line Placement Incorrect</t>
  </si>
  <si>
    <t>Innings field needed in leading stats</t>
  </si>
  <si>
    <t>Have the ability to adjust column widths</t>
  </si>
  <si>
    <t>IBROX - Can't see back-up database Ibrox sessions in scrubbing tool despite existing in mysql</t>
  </si>
  <si>
    <t>Cloud Uploader;GroundControl;Scrubbing tool</t>
  </si>
  <si>
    <t>OffsideLine becoming unresponsive when deleting a grab</t>
  </si>
  <si>
    <t>Create custom graphs in graph output</t>
  </si>
  <si>
    <t>Make days a drop down rather than a slider</t>
  </si>
  <si>
    <t>OffsideLine crash when starting a sweep with auto-calib fuction</t>
  </si>
  <si>
    <t>Investigate the handling of the TTP Buffer and TTP failing to launch without connection to pulsar</t>
  </si>
  <si>
    <t>Retiring Tennis DataFeedManager (DFM)</t>
  </si>
  <si>
    <t>FDE scoring feed when we receive a warning for player we wrongly increment scoring sequences</t>
  </si>
  <si>
    <t>TSP: Reduced logging in TennisScoringProvider is affecting operations</t>
  </si>
  <si>
    <t xml:space="preserve">IK issues in BkMCC when arms are fully extended </t>
  </si>
  <si>
    <t>Delayed feed Data Platform Sender not populating team possession</t>
  </si>
  <si>
    <t>TTP: Hazelcast causes flip flop action across multiple courts.</t>
  </si>
  <si>
    <t>Start Time for Created Sessions Being Altered</t>
  </si>
  <si>
    <t>BDS sending null values in the pitch_refined packet</t>
  </si>
  <si>
    <t>GroundControl pushing session names to all apps on the network, not just those in the config</t>
  </si>
  <si>
    <t>Crash during demo - 2023-03-27_RM_Ibrox_C_RC5</t>
  </si>
  <si>
    <t>BSK white-screening on operators</t>
  </si>
  <si>
    <t>Baseball Skeletal Reprocessing Cloud Uploader</t>
  </si>
  <si>
    <t>BaseballTeams</t>
  </si>
  <si>
    <t>Ibrox - Unable to launch OMCC on G1 - Crashing on launch</t>
  </si>
  <si>
    <t>BallTrackControl - Unable to assign a GPU</t>
  </si>
  <si>
    <t>Control;SMARTConfigurator</t>
  </si>
  <si>
    <t>BMCC crash related to setting the bat tasks bold</t>
  </si>
  <si>
    <t>Viewer crashing when not recording to disk</t>
  </si>
  <si>
    <t>FDP - Scrubbed Reupload Required - Spezia vs Lecce 2023/Jan/08</t>
  </si>
  <si>
    <t>Decreasing time needed to initially classify players in BkMCC</t>
  </si>
  <si>
    <t>FRD - Segment Times not received - Fiorentina vs Sassuolo 2023/Jan/07</t>
  </si>
  <si>
    <t>FDP - No Platform Rates - Spezia vs Lecce 2023/Jan/08</t>
  </si>
  <si>
    <t>FRD - Segment Times not received - Sampdoria vs Napoli 2023/Jan/08</t>
  </si>
  <si>
    <t>FDP - Player Tracking Issues - Salernitana vs Torino 2023/Jan/08</t>
  </si>
  <si>
    <t>Update output actions in GroundControl from BMCC</t>
  </si>
  <si>
    <t>Adding an error in BkMCC if a clock feed message has not been received in a certain amount of time</t>
  </si>
  <si>
    <t>Verify MLB Player Tracking SLO is in line with our dev logic</t>
  </si>
  <si>
    <t>Double faults awarding a point to there serving team in Tennis Scoring Provider with SMT scoring system</t>
  </si>
  <si>
    <t>Transition issues on offside replay - Potentially needing an option to choose whether side on view is from broadcast or reverse</t>
  </si>
  <si>
    <t xml:space="preserve">The Icc require a batter to crease function for the ODI format. </t>
  </si>
  <si>
    <t>Drinks on ODI function adding 4m to time.</t>
  </si>
  <si>
    <t>Womens IK model required for football</t>
  </si>
  <si>
    <t>HawkVR;MulticamAnalysis</t>
  </si>
  <si>
    <t>Leikr Link Transmitter in GLT requires the messages sent to the Primary and Secondary Transmitters from Control Main and Backup to be sent at exactly the same time. This is currently the main issue with Leikr Link Transmitters and Control Integration</t>
  </si>
  <si>
    <t>Reselecting the ball bug in VRControl</t>
  </si>
  <si>
    <t>After the match clock has been stopped - 9th or 49th overs in T20 and ODI, 20th in BBL and IPL- the finish time continues to add seconds.</t>
  </si>
  <si>
    <t>Leikr Link Transmitter - A Window in Control seperate to the console window that shows a "live log" of the messages being sent and received by the connected Link Transmitter</t>
  </si>
  <si>
    <t>Leikr Link Transmitter - Control to have a pop out "Watch Panel" similar to "Dev Panel" whereby we can interact with the connected Link Transmitter.</t>
  </si>
  <si>
    <t>Leikr Link Transmitter - Possibility of softcoding some commands that can be sent on start up by each Control (Main and Backup)</t>
  </si>
  <si>
    <t>New Clock Feed fields adding to the clock feed interpreter in BkMCC</t>
  </si>
  <si>
    <t>Virtual colour correction / camera settings reset when moving through replay steps</t>
  </si>
  <si>
    <t>'Floating' fans when fading out the virtual stand</t>
  </si>
  <si>
    <t>Seats in the replay transition</t>
  </si>
  <si>
    <t>HawkVR crashes when adjusting Z-Height</t>
  </si>
  <si>
    <t xml:space="preserve">Writing a tracking cam to a VVC using a shared buffer </t>
  </si>
  <si>
    <t>Viewer in training master mode not working with SMARTGraphics</t>
  </si>
  <si>
    <t>SMARTGFx;SMARTViewer;WebRender</t>
  </si>
  <si>
    <t>Football Tracking Provider - Allow us to define a leader and a backup</t>
  </si>
  <si>
    <t>Magnifier not clearing/re-setting</t>
  </si>
  <si>
    <t>Ability to change magnifier colour/line strength</t>
  </si>
  <si>
    <t>Generating (and sending to clients) duplicated grouped data</t>
  </si>
  <si>
    <t>Custom map .pak required for Saudi SuperCup &amp; SAFF league</t>
  </si>
  <si>
    <t>Basic GUI for Tracking Provider</t>
  </si>
  <si>
    <t>FRD - Segment Times not received - Napoli vs Juventus 2023/Jan/13</t>
  </si>
  <si>
    <t>FRD - Segment Times not received - Sassuolo vs Lazio 2023/Jan/15</t>
  </si>
  <si>
    <t>FRD - Segment Times not received - Udinese vs Bologna 2023/Jan/15</t>
  </si>
  <si>
    <t>FRD - Segment Times not received - Roma vs Fiorintina 2023/Jan/15</t>
  </si>
  <si>
    <t>FRD - Segment Times not received - Empoli vs Sampdoria 2023/Jan/15</t>
  </si>
  <si>
    <t>Classification issues with version 2023-01-16_RM_Hanazono_fixes_for_jerseyNumbersDialog</t>
  </si>
  <si>
    <t>'Pose Score' or similar added to data that gets passed to Viewer</t>
  </si>
  <si>
    <t>Ball is below the ground</t>
  </si>
  <si>
    <t>Player velocity is often greater than 10m/s</t>
  </si>
  <si>
    <t>Adding a keyboard shortcut to change classification team in BkMCC</t>
  </si>
  <si>
    <t>"Use Ground Control" launch argument does not deploy to BaseballPostProcess</t>
  </si>
  <si>
    <t>No player tracking in feeds despite all players being correctly assigned in OMCC</t>
  </si>
  <si>
    <t>Beehive materials / shadows still appearing when target = 0</t>
  </si>
  <si>
    <t>Update Nascar Inspection Chassis Report</t>
  </si>
  <si>
    <t>Masking Shown Across the Entire Image When Clicking View Multiple Overlays</t>
  </si>
  <si>
    <t>Remove Inferred Bat Data from PP Queue</t>
  </si>
  <si>
    <t xml:space="preserve"> Stripey text shadow on pitch even when stripey target is 0</t>
  </si>
  <si>
    <t>Webrenderer worldspace typing is awful</t>
  </si>
  <si>
    <t>Stumpo beehive balls in wrong place</t>
  </si>
  <si>
    <t>Vrcontrol becoming very very slow</t>
  </si>
  <si>
    <t>webrenderer 3d space graphic multiple postions and animate from triggers</t>
  </si>
  <si>
    <t>colour settings not working properly</t>
  </si>
  <si>
    <t>Upgrade the 10g Emergent firmware</t>
  </si>
  <si>
    <t>Scrubbing Tool to be selected on track when selecting an issue from list</t>
  </si>
  <si>
    <t>GGM - BreakingNews functionality is broken</t>
  </si>
  <si>
    <t>GGM - Block shot graphic dropdown from triggering when data field is null</t>
  </si>
  <si>
    <t>There was an abnormally long pitch length when calibrating which lead to the virtual stumps not being able to line up with the actual stumps in CricketVR</t>
  </si>
  <si>
    <t>Add a 'Refresh' button to re-read any new kits added to the WD</t>
  </si>
  <si>
    <t>BkMCA autolaunches after being killed in configurator</t>
  </si>
  <si>
    <t>Using a College Basketball Court in Caliper to output a NBA Model</t>
  </si>
  <si>
    <t>Sending Jersey Numbers and References to spare instances of BkMCC</t>
  </si>
  <si>
    <t>BMCA launches with no reference image</t>
  </si>
  <si>
    <t>Persistent processing time warnings</t>
  </si>
  <si>
    <t>Manual Player Masking not working properly</t>
  </si>
  <si>
    <t>Remove missing player tracking error if expected</t>
  </si>
  <si>
    <t>GroundControl to push session name from BMM</t>
  </si>
  <si>
    <t>User must manually change humanPoseType to COCO_29</t>
  </si>
  <si>
    <t>Subsample total frame rate for release point data</t>
  </si>
  <si>
    <t>PP task prioritization does not work when you use dedicated PP instances</t>
  </si>
  <si>
    <t>Remove inferred bat task from PP Queue</t>
  </si>
  <si>
    <t>Improve the Camera Switcher Widget</t>
  </si>
  <si>
    <t>Bat mosaics missing random frames</t>
  </si>
  <si>
    <t>Have MCA/MCC error messages fade again</t>
  </si>
  <si>
    <t>Change middle of pitch position in model</t>
  </si>
  <si>
    <t>CloudUploader 1 &amp; 2 creating 2x session name tables - despite being for the same session</t>
  </si>
  <si>
    <t>VR privacy graphic being disabled before VR has reset to start of replay</t>
  </si>
  <si>
    <t>Ability to only colour balance the grass in VR</t>
  </si>
  <si>
    <t>OMCC - Issue with VRTestData needing to be tagged in a certain way</t>
  </si>
  <si>
    <t>Goaltending Events not being Outputted to the Events Tab</t>
  </si>
  <si>
    <t>Send inferred bat data to Skeletal AMQ broker</t>
  </si>
  <si>
    <t>Frequent HFR camera dropouts with emergent capture error code 11</t>
  </si>
  <si>
    <t>HFR Skeletal data is sent to MLB in meters</t>
  </si>
  <si>
    <t>BTC pitch latency seems slower this year than last year</t>
  </si>
  <si>
    <t>Bat task processing time seems much slower than last year</t>
  </si>
  <si>
    <t>ATP Gfx set needs some work - 6th March next comp</t>
  </si>
  <si>
    <t>SMARTGFxPackages</t>
  </si>
  <si>
    <t>Tournament Logo does not track accurately with Shell when scoreboard animates off</t>
  </si>
  <si>
    <t>HawkVR / VRControl to load up last used colour settings</t>
  </si>
  <si>
    <t>Hanazono LBW's preset move. immediate move jerks</t>
  </si>
  <si>
    <t>Additional Logic to "Game Clock Running" tag in BkMCC.</t>
  </si>
  <si>
    <t>A strip of the virtual world appearing on video in HawkVR</t>
  </si>
  <si>
    <t>HawkVR VRControl Preview alert DVI Graphics</t>
  </si>
  <si>
    <t>FIFA Women's World Cup Ball development needed for GLT - To be ready for June due to matches that will use this ball before the World Cup</t>
  </si>
  <si>
    <t>EFL Puma Ball for the 2023/24 Season - June 2023 start date</t>
  </si>
  <si>
    <t>Embed username and passwords into baseball config for GV</t>
  </si>
  <si>
    <t>Add extra GUMBO report as a button in AlignmentTool</t>
  </si>
  <si>
    <t>Adjust UI to handle all our buttons in the AlignmentTool</t>
  </si>
  <si>
    <t>Investigate the possibility of Dyanmic Shovels vs shovels being created using rabbitmanagement</t>
  </si>
  <si>
    <t>Add FFMPEG Clip Creator Into BkMCA</t>
  </si>
  <si>
    <t>Output Path Unable to be Changed for BPFG</t>
  </si>
  <si>
    <t>BaseballDataPlatform;SMARTConfigurator</t>
  </si>
  <si>
    <t>Tracks within 2 metres outside of the uprights of the are not creating a Near Miss Event and instead create a Wide Event</t>
  </si>
  <si>
    <t>When using using the ball settings function with the moments dropdown menu in GAA Analysis it closes without a crash report when any tracking is detected</t>
  </si>
  <si>
    <t>VVC executables after the Crokepark release do not launch RTSP feeds with camera type "Other"</t>
  </si>
  <si>
    <t>Athletics</t>
  </si>
  <si>
    <t>Timeline current frame tied to output tile frame</t>
  </si>
  <si>
    <t>Tracking in the outfield caused weird mosaics/MLB to not receive data</t>
  </si>
  <si>
    <t>Reprocess Loop from main database reprocesses from cursor time</t>
  </si>
  <si>
    <t>ST uses WD space when exporting a session</t>
  </si>
  <si>
    <t>Make post bounce speed = 0 if x co ordinate &lt;2m</t>
  </si>
  <si>
    <t>Add the ability to filter SMARTChats from individual supervisors</t>
  </si>
  <si>
    <t>MCA not overwriting settings in GEV</t>
  </si>
  <si>
    <t>Knees for BMCA with manta cameras / give times to the Presets</t>
  </si>
  <si>
    <t>Reprocessing on click not taking into account ball contours</t>
  </si>
  <si>
    <t>Joints jumping in latest IK model</t>
  </si>
  <si>
    <t>Constraint issues with the latest IK model</t>
  </si>
  <si>
    <t>Store alignment.json and load it back in on launch</t>
  </si>
  <si>
    <t>BaseballTrackingProvider Competition Needs to Accept Alphanumerical Values</t>
  </si>
  <si>
    <t>Dynamically adjust accepted task types in BPP</t>
  </si>
  <si>
    <t>Ability to add accumulated feed to the multidatacollection.json via Configurator or productions for BkMCC</t>
  </si>
  <si>
    <t>Have Holding Period set by Configurator</t>
  </si>
  <si>
    <t>Baseball;Football;Ice Hockey</t>
  </si>
  <si>
    <t>Reprocessing on click not reprocessing skid length</t>
  </si>
  <si>
    <t>Make ball extraction settings unshared settings in monitoring</t>
  </si>
  <si>
    <t>Ball Mask image causes distorted calibration in BkMCA</t>
  </si>
  <si>
    <t>Ability to Toggle Player Mosaic Unpacker in the Operations Tab of BkMCC and AFMCC</t>
  </si>
  <si>
    <t>Poor Classification/Tagging of Players in MiLB Stadiums</t>
  </si>
  <si>
    <t>Kinexon events issue not writing to SMARTElastic</t>
  </si>
  <si>
    <t>A player receiving a code violation warning wrongly increments the sequences for the next scoring/rally message</t>
  </si>
  <si>
    <t xml:space="preserve">Creating Automated Player/Referee Classification in BkMCC </t>
  </si>
  <si>
    <t>Pitch_refined only sends if you have both spin and release data</t>
  </si>
  <si>
    <t>Append timestamps to C3D files in BPP</t>
  </si>
  <si>
    <t>Save button in the Injury panel does not update the json file of associated clip</t>
  </si>
  <si>
    <t>Adding Modular Detections Filter to AFMCA</t>
  </si>
  <si>
    <t>This is another test idea</t>
  </si>
  <si>
    <t>MATTMARTTEST</t>
  </si>
  <si>
    <t>Adding Track Analyzer tab into BkMCC</t>
  </si>
  <si>
    <t>Adding the player who last touched to ball to the possession tracker in BkMCC</t>
  </si>
  <si>
    <t xml:space="preserve">Player distance run should be two line key with both players involved </t>
  </si>
  <si>
    <t>Compare ball centres from different times of the day</t>
  </si>
  <si>
    <t>OMCC - Home &amp; Away GK Kits Are Similar Causing Classifications Issues &amp; Setting Team Ends</t>
  </si>
  <si>
    <t>Quarterback throwing motion outside of IK constraint in AFMCC</t>
  </si>
  <si>
    <t>Crash on BA Step using 2022-11-15_RM_Hanazono_C_RC1</t>
  </si>
  <si>
    <t>Create Ice Hockey Caliper</t>
  </si>
  <si>
    <t>Specific Hockey jersey number dialog box (addition to ticket 1621)</t>
  </si>
  <si>
    <t>Finding people outside the model</t>
  </si>
  <si>
    <t>Hockey specific roles in the data output</t>
  </si>
  <si>
    <t>Crash on Model Build Step when using coloured lines</t>
  </si>
  <si>
    <t>Independent Outputs Plugin disables double-clicking camera to output</t>
  </si>
  <si>
    <t>timing.speed generates more than one file for a serve</t>
  </si>
  <si>
    <t>Adjust current mosaic tab layout in BMCC to display all mosaic tabs at once</t>
  </si>
  <si>
    <t>Remove details from the PP Queue that are not needed live</t>
  </si>
  <si>
    <t>Make Ball Tracking Stats tab shown on launch</t>
  </si>
  <si>
    <t>GK tracking incorrectly causing GK encroachment alert</t>
  </si>
  <si>
    <t>Long arms on skeletal data during onside event</t>
  </si>
  <si>
    <t>Allow ability to set "timeSyncOffset" via a Cvid input for BkMCA.</t>
  </si>
  <si>
    <t>Missed Bounces/Bounce Differences Investigation</t>
  </si>
  <si>
    <t xml:space="preserve">Missed Serves Investigation </t>
  </si>
  <si>
    <t>BkMCC Crash when Tracking 3D Visualizer is launched for a second time</t>
  </si>
  <si>
    <t>Badminton - Smash/Hit Cross Court Investigation</t>
  </si>
  <si>
    <t>Badminton - Clears Investigation</t>
  </si>
  <si>
    <t>Badminton - Net Play Investigation</t>
  </si>
  <si>
    <t>Easy way of identifying if BMCC is "In" or "Out" of Session</t>
  </si>
  <si>
    <t>Lock in all panels in BMCC for base level operations</t>
  </si>
  <si>
    <t>Move Play Events window in BMCC to Gamestate Tab</t>
  </si>
  <si>
    <t>Show/Hide Property Tree with a button</t>
  </si>
  <si>
    <t>Hawkeye Logo displayed somewhere on software</t>
  </si>
  <si>
    <t>Player Mask image causes distorted image in BkMCA</t>
  </si>
  <si>
    <t>Auto Sub / Auto Sync Issues</t>
  </si>
  <si>
    <t>Having to remove zlibwapi.dll from OMCA WD for emergent cameras at Man City with Hanazono</t>
  </si>
  <si>
    <t>OMCC1 created onside flag for a player that does not receive the ball</t>
  </si>
  <si>
    <t>Missing flag due to player track lost, followed by most classified tracks lost</t>
  </si>
  <si>
    <t>OMCC crash after entering special character `</t>
  </si>
  <si>
    <t>CU does not upload all context queue size when stopping a session</t>
  </si>
  <si>
    <t>No exposure or gain control in VVC</t>
  </si>
  <si>
    <t>IK improvements for when a player loses a joint in BkMCC</t>
  </si>
  <si>
    <t xml:space="preserve">VVC closes and then loses connection in ecapture forcing a power cycle to regain a connection </t>
  </si>
  <si>
    <t>Moving contents of unnecessary tabs to Property Tree</t>
  </si>
  <si>
    <t>Visual improvements to the MCA apps (dark mode)</t>
  </si>
  <si>
    <t>Adding the jerseynumber.json to MCC clip output in BkMCC.</t>
  </si>
  <si>
    <t>Disabling Clock Feed Injector Processor when using BkMCC replay.</t>
  </si>
  <si>
    <t>Adding a clock running tag to the clock feed data output in BkMCC.</t>
  </si>
  <si>
    <t>Display BDS connections to MLB Operators</t>
  </si>
  <si>
    <t>Incorporate new NICs into networkadaptersettings.txt</t>
  </si>
  <si>
    <t>Implementing "Object Detection Tracker" into AFMCA</t>
  </si>
  <si>
    <t>Increase in exposure by large increment stops camera capturing :VersatileVideoCapture_2022_12_20_Hanazono_TEST_PULSE_TTL_AND_HOTFIX-2</t>
  </si>
  <si>
    <t>Frames appear black in processing control</t>
  </si>
  <si>
    <t>Delayed Feed clock data is the "live" times and not the delayed times</t>
  </si>
  <si>
    <t>Adding "NBAClockData" result to be serialised by cloud uploader so it is included in SQL context table</t>
  </si>
  <si>
    <t>Poor Bundle Adjustments on Baseball bavckfields</t>
  </si>
  <si>
    <t>In the NPB environemnt, the CSV/JSON created live misses a lot of data</t>
  </si>
  <si>
    <t>Need Secondary Data Comms Property Tree Section for BDP</t>
  </si>
  <si>
    <t>BaseballBallTrackControl launches with console window shown even though tickbox is unticked</t>
  </si>
  <si>
    <t>The target fps is not being properly forwarded from the VA Data Sender into the .bson</t>
  </si>
  <si>
    <t>Request for further 'Launch Settings' available to be productionised</t>
  </si>
  <si>
    <t>FDP - Incident - Serie-A - Missing Segments for AC Milan Vs. AS Roma</t>
  </si>
  <si>
    <t>FRD - Segment Times not received - Lazio vs Empoli 2023/Jan/08</t>
  </si>
  <si>
    <t>MCA apps taking extremely long times to load in SMARTConfigurator</t>
  </si>
  <si>
    <t>Baseball;Basketball;Football;Tennis</t>
  </si>
  <si>
    <t>Multi-Colored lines not being found in BkMCA</t>
  </si>
  <si>
    <t>Investigation into reducing processing times where large amounts of people are on the court in BkMCC</t>
  </si>
  <si>
    <t>FRD - Segment Times not received - Spezia vs Lecce 2023/Jan/08</t>
  </si>
  <si>
    <t>EPTS replays - when switching to a second camera for fade out, this is not maintained when replaying the replay a second time after approving</t>
  </si>
  <si>
    <t>Privacy graphic to be a 'disable/enable' tag rather than a toggle</t>
  </si>
  <si>
    <t>Make the privacy icon bigger and clearer</t>
  </si>
  <si>
    <t>Doubles player details are not always left aligned on Scoreboard graphic</t>
  </si>
  <si>
    <t>SMARTGFxPackages;TennisGraphicsMediator</t>
  </si>
  <si>
    <t>Adding a manual classification tab to AFMCC</t>
  </si>
  <si>
    <t>OMCC crashed when Enable Camera Coverage</t>
  </si>
  <si>
    <t>Adding Role IDs to players and officials in American Football data</t>
  </si>
  <si>
    <t>Warning for when camera calib is within CBCF tracking volume</t>
  </si>
  <si>
    <t>Graphic to show when a loop has failed on 'Good circle tests'</t>
  </si>
  <si>
    <t xml:space="preserve">Rally Length to -1 when last rally shot is an error </t>
  </si>
  <si>
    <t>Build out first replay package for ATP textures</t>
  </si>
  <si>
    <t>TSS Connection light</t>
  </si>
  <si>
    <t>Improving Volleyball Tracking</t>
  </si>
  <si>
    <t>Improve Badminton Tracking</t>
  </si>
  <si>
    <t>Log pitch latency in delivery to MLB</t>
  </si>
  <si>
    <t>Add manual innings change button in classifcation tab/or automate this</t>
  </si>
  <si>
    <t>Unticking fixFocalLength causes big CPU spike and for fps to drop</t>
  </si>
  <si>
    <t>Improvements to MP4 Clipping in Baseball Systems</t>
  </si>
  <si>
    <t>BaseballAnalyser;Baseball Visualiser</t>
  </si>
  <si>
    <t>Can't get good player tracking across the whole ice</t>
  </si>
  <si>
    <t xml:space="preserve">Package builder cannot load archives which were created on a different TSS physical location </t>
  </si>
  <si>
    <t>Static ball usability changes</t>
  </si>
  <si>
    <t>Warning for if TMCA or TMCM is missing model files or .cal files</t>
  </si>
  <si>
    <t>Easier way of identifying ball and player masks</t>
  </si>
  <si>
    <t>Easier way of identifying antiwobble patches</t>
  </si>
  <si>
    <t>Allow operators to draw masks on the "View Multiple Overlays" image display</t>
  </si>
  <si>
    <t>VR Replay created with elongated arms for a player</t>
  </si>
  <si>
    <t>Audio does not work via RTMP streams from NHL encoders.</t>
  </si>
  <si>
    <t>Option to rename FFMPEG encoded MP4's from MCA/PP with local timestamp opposed to HawkTime</t>
  </si>
  <si>
    <t>Unticking Show Last Hit Image in BMCC unticks drawLastHitImage</t>
  </si>
  <si>
    <t>Display Pitch Latency in BMCC UI</t>
  </si>
  <si>
    <t>Turn Strike Zone Confidence values into a 1 number pitch confidence metric for ABS</t>
  </si>
  <si>
    <t>Change the way antiwobble residuals display to operators</t>
  </si>
  <si>
    <t>Issues with Hit Fielded Events</t>
  </si>
  <si>
    <t>The Icc have changed there Timing regulations meaning two changes are needing to be made</t>
  </si>
  <si>
    <t>Add release speed to Pitches.CSV</t>
  </si>
  <si>
    <t>Control;MulticamPostProcess</t>
  </si>
  <si>
    <t>Allow Hits.CSV to be populated in Ball Control with just hit launch data</t>
  </si>
  <si>
    <t>Have all CSVs (Hits, Pitches, AllBatData, ReleaseTime) have a column for pitch global time so we can sync everything based on timestamp</t>
  </si>
  <si>
    <t>Control;MulticamAnalysis;MulticamPostProcess</t>
  </si>
  <si>
    <t>New match format for Milan Next Gen Finals that doesn't fit with our current Databridge logic</t>
  </si>
  <si>
    <t>New keyframe in VRControl should default to previous keyframe size&amp;position</t>
  </si>
  <si>
    <t xml:space="preserve">Telestration - Be able to export without any objects on timeline </t>
  </si>
  <si>
    <t>Telestration - Distance with one target selected should be distance that object moves</t>
  </si>
  <si>
    <t>Telestration - Take language off bugs</t>
  </si>
  <si>
    <t>Minimum length of time a graphic can be on for - why?</t>
  </si>
  <si>
    <t>The timeline should be in focus the majority of the time unless typing into a text field</t>
  </si>
  <si>
    <t>Telestration - When you change the aspect ratio of your story it resets the story name</t>
  </si>
  <si>
    <t>Telestration - Player name metric doesn't read in automatically to jump height</t>
  </si>
  <si>
    <t>Changing workspace then moves some of the content off screen.</t>
  </si>
  <si>
    <t>Individual clips and stories panels should be reduced in size</t>
  </si>
  <si>
    <t>Telestration - set new element mix on point to playhead position</t>
  </si>
  <si>
    <t>ITALY SAO - Problem Data</t>
  </si>
  <si>
    <t>High processing when running with more than 12 cameras on 4216 CPUs (causing dropped frames)</t>
  </si>
  <si>
    <t>Penalty detection not functioning</t>
  </si>
  <si>
    <t>JerseyNumber.json new format not functioning with scrubbing tool</t>
  </si>
  <si>
    <t>MulticamAnalysis;Scrubbing tool</t>
  </si>
  <si>
    <t>Automatic solution for BallForegroundMask level</t>
  </si>
  <si>
    <t>Add into MCC the ability to have jersey numbers for the officials</t>
  </si>
  <si>
    <t>Pitcher problems in the latest model</t>
  </si>
  <si>
    <t>Batter problems in the latest model</t>
  </si>
  <si>
    <t>General joint jumping problems in the latest model</t>
  </si>
  <si>
    <t>'Manual 2D Mask Overlaid' no longer draws an image</t>
  </si>
  <si>
    <t>'New message archive' added to BTC property tree</t>
  </si>
  <si>
    <t>Testing transition from SLACK</t>
  </si>
  <si>
    <t>Telestration - Deleting a graphic/target off the timeline works until you reload in the story</t>
  </si>
  <si>
    <t>Not doing anything (sitting still) with a graphic on eventually leads to a data input freeze</t>
  </si>
  <si>
    <t>Slider sensitivity and defaults need changing</t>
  </si>
  <si>
    <t>Telestration - unable to unselect clip</t>
  </si>
  <si>
    <t>Telestration - Target selection behaviour is annoying. Shouldn't have to click to unselect.</t>
  </si>
  <si>
    <t>Segmentation applies no matter the height of the graphic</t>
  </si>
  <si>
    <t>Multiple occasions in one game where autotagging failed</t>
  </si>
  <si>
    <t>FDP - Pulsar Connection Drop Out 2022-11-01</t>
  </si>
  <si>
    <t>Manually tagged players not translating to tracking events</t>
  </si>
  <si>
    <t xml:space="preserve">Swings resulting in High Velocities </t>
  </si>
  <si>
    <t>JerseyNumbers showing in a weird format - not chronological</t>
  </si>
  <si>
    <t>Hanazono OMCA not compatible with 25G Emergent modules</t>
  </si>
  <si>
    <t>FDP - `"TrackingSupplierTeamId_0_JerseyNumber_?_"` record in Match Summary Feeds</t>
  </si>
  <si>
    <t>FAP - Missing Goal in Haifa Vs. Benefica</t>
  </si>
  <si>
    <t>FootballAnalyticsPlatform</t>
  </si>
  <si>
    <t>arge memory build up / slows down performance</t>
  </si>
  <si>
    <t>Adelaide calibration</t>
  </si>
  <si>
    <t>Problem cases with inferred bat tracking</t>
  </si>
  <si>
    <t>Tennis Emergent Cameras crashing on launch</t>
  </si>
  <si>
    <t>Telestration - Web render moves a bit when trying to keep up with cut out</t>
  </si>
  <si>
    <t>Telestration - improved ability to set ins/outs of elements</t>
  </si>
  <si>
    <t>OMCC Poor Tracking - Long Limbs &amp; Ankle in Ground</t>
  </si>
  <si>
    <t>Bad Body shape on attacking player in replay</t>
  </si>
  <si>
    <t>Fat Defender in Replay Due to Spine Issue</t>
  </si>
  <si>
    <t>Toe in Ground in VR replay</t>
  </si>
  <si>
    <t>Attacker Hidden By Defender On Side View In SAOT Replay</t>
  </si>
  <si>
    <t>Bad transition on Goalkeeper</t>
  </si>
  <si>
    <t>EVENT RECIEVED IN VR FROM NON EVENT (KICKPOINT WRONG ON EVENT) BUT CAN'T CLICK NEXT</t>
  </si>
  <si>
    <t>Flickering pitchlines in replays</t>
  </si>
  <si>
    <t>Stutter on VR Replay Playout</t>
  </si>
  <si>
    <t>"Validate Players" tab</t>
  </si>
  <si>
    <t>Line Up Tab</t>
  </si>
  <si>
    <t>Process_Football.exe Filtering in Scrubbing Tool</t>
  </si>
  <si>
    <t>Move Possession Row</t>
  </si>
  <si>
    <t>GC to flag unexpected/incorrect software versions</t>
  </si>
  <si>
    <t>Minimise button on initial scrubbing tool launch screen</t>
  </si>
  <si>
    <t>OMCC - Combined tab to clearly show "Pulsar Up" or "Pulsar Down" Depending on TP Status</t>
  </si>
  <si>
    <t>Autotagging Improvements - Tag swapping</t>
  </si>
  <si>
    <t>Autotagging Improvements - Relief pitcher errors</t>
  </si>
  <si>
    <t>Referee manual tagging adding a jersey number to the track info when it is not expected to</t>
  </si>
  <si>
    <t>OMCA -&gt; VideoFeed flag losing connection on relaunch of configurator</t>
  </si>
  <si>
    <t>Skeletal Tasks Exiting Early Incorrectly</t>
  </si>
  <si>
    <t>Integrate inferred bat tracking into Baseball system - Design task</t>
  </si>
  <si>
    <t>Latest catcher/umpire pose improvements</t>
  </si>
  <si>
    <t>BaseballTrackingProvider Not Uploading Data After Relaunch</t>
  </si>
  <si>
    <t>Height grid failing in 2 stadiums</t>
  </si>
  <si>
    <t>Failed task mosaics get duplicated into separate folders</t>
  </si>
  <si>
    <t>MLB do not receive bat angle in data packets</t>
  </si>
  <si>
    <t xml:space="preserve">BMCA dropped frames when running Evaluators </t>
  </si>
  <si>
    <t>CVB Camera ports limited to 16</t>
  </si>
  <si>
    <t>RTT Databridge clearing foot fault light on 'START' as well as in and out</t>
  </si>
  <si>
    <t>RTTDataBridge crashes when 'use new umpire light' setting isn't ticked</t>
  </si>
  <si>
    <t>Update VVC SDK to use 2.36.1</t>
  </si>
  <si>
    <t>Identify which BPP instance is processing a task</t>
  </si>
  <si>
    <t>Inconsistencies in the way our bat data is output</t>
  </si>
  <si>
    <t>BaseballDataPlatform;MulticamPostProcess</t>
  </si>
  <si>
    <t>TDP is non-deterministic in generating pos &amp; vel values in rally.samples.people JSON files</t>
  </si>
  <si>
    <t>TMCA crashes on launch</t>
  </si>
  <si>
    <t>TMCA refine calib graphic getting stuck</t>
  </si>
  <si>
    <t xml:space="preserve">MLB received hit data for a swinging strike </t>
  </si>
  <si>
    <t>NFL Injury - Ignore output tile when changing layout for extraction</t>
  </si>
  <si>
    <t xml:space="preserve">NFL Injury - Add the ability to select whether a Viewer is Home or Away </t>
  </si>
  <si>
    <t>Play link feature does not automatically link notes to plays that are not present in GSIS</t>
  </si>
  <si>
    <t>Introduce an 'Are You Sure' pop up before playing out replay</t>
  </si>
  <si>
    <t>Disable 'Start/Stop Upload to FAP' buttons in CU</t>
  </si>
  <si>
    <t>Make 'review replay' step speed in VRControl configurable</t>
  </si>
  <si>
    <t>BkMCC Replay not able to read accumulated msg files from buffer</t>
  </si>
  <si>
    <t>300 FPS cameras can't reach full FPS on new software</t>
  </si>
  <si>
    <t>AFMCA Crash on Launch</t>
  </si>
  <si>
    <t>Output Contents Preset Plugin Improvements - NFL</t>
  </si>
  <si>
    <t>NFL GSIS Data Offset setting</t>
  </si>
  <si>
    <t>View multiple tables for multiple sessions at once</t>
  </si>
  <si>
    <t>BaseballAnalyser;Cloud Uploader;GroundControl</t>
  </si>
  <si>
    <t>Refine calib 'fixCentre' button not attached to anything in the property tree</t>
  </si>
  <si>
    <t>GK swaps - same number and similar colour jersey</t>
  </si>
  <si>
    <t>UEFA Conference League Winter Ball has a new pattern that will require a new ball model for November 2022</t>
  </si>
  <si>
    <t>Issue List Counter</t>
  </si>
  <si>
    <t>BallTrackControl - Not handling 12 cam systems</t>
  </si>
  <si>
    <t>BTC missing cameras 10-14</t>
  </si>
  <si>
    <t>Adding ball spin to shots in basketball</t>
  </si>
  <si>
    <t>Identifying player on the court in basketball during live play to infer substitutions.</t>
  </si>
  <si>
    <t>Unable to reset or change cached anti-wobble after it loses the lines</t>
  </si>
  <si>
    <t>Allow ecapture auto white balance feature within VVC/CCU</t>
  </si>
  <si>
    <t>Utilise the 2x2 subsample feature emergent have released in firmware version 3.53</t>
  </si>
  <si>
    <t>PTP status in Control</t>
  </si>
  <si>
    <t>Control crash caused by red bars</t>
  </si>
  <si>
    <t>Avg Strength loop values too high</t>
  </si>
  <si>
    <t>Tennis BTC running slowly and affecting bounce calculations</t>
  </si>
  <si>
    <t>Ability to launch software with GroundControl</t>
  </si>
  <si>
    <t>GroundControl;SMARTConfigurator</t>
  </si>
  <si>
    <t>Add 'Star' play feature to NFL plays panel</t>
  </si>
  <si>
    <t>Smart Config to push cvb image size to live camera .cal file</t>
  </si>
  <si>
    <t>Tennis Analyser to not display preview arcs</t>
  </si>
  <si>
    <t>Cloud Uploader;TennisAnalyser</t>
  </si>
  <si>
    <t>Latest FM_F branch breaks In/Out of Session Button</t>
  </si>
  <si>
    <t xml:space="preserve">Player Tracking Starts after the pitch event  </t>
  </si>
  <si>
    <t>AlignmentTool;Control</t>
  </si>
  <si>
    <t>Uneven h264 Recordings using LVR @ 5994</t>
  </si>
  <si>
    <t>LiveMP4Recorder;VersatileVideoCapture</t>
  </si>
  <si>
    <t>Clear goal at Huddersfield match not awarded by GLT system, no event created by Control and therefore no ims captured of the incident.</t>
  </si>
  <si>
    <t>Generate immediate uncontextualized CSV in BMCC</t>
  </si>
  <si>
    <t>Autotagging Issues specifically with Umpire</t>
  </si>
  <si>
    <t>This is a test</t>
  </si>
  <si>
    <t>This is a test from Slack to HawkReport</t>
  </si>
  <si>
    <t>Outlier Timestamps in Player Tracking Data</t>
  </si>
  <si>
    <t>Create a Body 29 IK model for American Football Tracking.</t>
  </si>
  <si>
    <t>Ability to change antiwobble line tracking settings based on the individual line in AFMCA.</t>
  </si>
  <si>
    <t>test</t>
  </si>
  <si>
    <t>When loading ims into analysis, or pressing "Capture" followed by "Replay", or "Batch Test" or "Calib" Analysis begins to "Not Respond"</t>
  </si>
  <si>
    <t>GAA Control sizing of display looks to be too big, covering some settings on the GUI. Point, Near Miss and No Output buttons greyed out.</t>
  </si>
  <si>
    <t>Small camera windows that launch with Control, launch to a big size (1920 x 1080 same as the image size of the camera capturing) however change settings in any of the related ini files to change the size has no effect</t>
  </si>
  <si>
    <t>30 yard circl visible for white ball cricket</t>
  </si>
  <si>
    <t>Test</t>
  </si>
  <si>
    <t xml:space="preserve">JoeBloggs vs John Smith service outage of scrubbed data </t>
  </si>
  <si>
    <t>Watch Json Messages already implemented in SMARTViewer to be sent to FootballControl, to include a timstamp of UTC time in Unix as opposed to TSS time in Unix</t>
  </si>
  <si>
    <t xml:space="preserve">Changing Decisions Viewer Image FPS to 60 FPS </t>
  </si>
  <si>
    <t>Metrics in the Dashboard tab do not update or show any pitch data</t>
  </si>
  <si>
    <t>BMCA not killing properly when used with Manta</t>
  </si>
  <si>
    <t xml:space="preserve">Skeletal and Bat Mosaics Black Frames </t>
  </si>
  <si>
    <t>Allow for dynamic priority list in first replay graphics</t>
  </si>
  <si>
    <t>Enhanced Logging in Tennis Graphics Mediator</t>
  </si>
  <si>
    <t>New Genlocking Method For Emergent Cameras</t>
  </si>
  <si>
    <t>Save adjusted settings from MultiCam Analysis into Ground Control</t>
  </si>
  <si>
    <t>Add notification system to enhance usability in TGM for smart production</t>
  </si>
  <si>
    <t>Remove the dependencies for "Server" name to be present within rally.summary</t>
  </si>
  <si>
    <t xml:space="preserve">Address glitches where the body rotates completely around				</t>
  </si>
  <si>
    <t xml:space="preserve">Address glitches where the off-hand is rotating oddly around the wrist	</t>
  </si>
  <si>
    <t>Address glitches where the throwing hand is wobbling when hidden in the glove</t>
  </si>
  <si>
    <t>Wagon wheel lines being thin</t>
  </si>
  <si>
    <t>Stripeys and graphics not correct / having to switch end with "ctrl `"</t>
  </si>
  <si>
    <t>lbw bounce points appearing on stories after compile and send if done an LBW</t>
  </si>
  <si>
    <t>World space smart graphics overlay</t>
  </si>
  <si>
    <t>HawkVR;SMARTGFx</t>
  </si>
  <si>
    <t>lens presets with smart graphics</t>
  </si>
  <si>
    <t>Stumps bouncing and shimmering over video for lbws</t>
  </si>
  <si>
    <t>For the offside confirmed by RO in Chelsea v Salzburg match, the skeleton of offside player (sterling 17) is wrong in the legs despite cameras looking ok leading to a bad replay output</t>
  </si>
  <si>
    <t>Metrics need adding to the stats dashboard</t>
  </si>
  <si>
    <t>Add a request to generate just a CSV with no scoring data</t>
  </si>
  <si>
    <t>Add a request to generate just a CSV with BSK scoring data (HEI)</t>
  </si>
  <si>
    <t xml:space="preserve">Automated TSS Locations Recognition </t>
  </si>
  <si>
    <t>ProcessingControl;SMARTConfigurator</t>
  </si>
  <si>
    <t>Loss of player object detection when players are in a painted endzone in AFMCA</t>
  </si>
  <si>
    <t>Auto Restart for BaseballTrackingProvider</t>
  </si>
  <si>
    <t>SMARTConfigurator;SMARTExecutor</t>
  </si>
  <si>
    <t>Assume Baserunner is Safe on Pickoff in BSK</t>
  </si>
  <si>
    <t xml:space="preserve">Limited ability to resize tournament logo on Scoreboard </t>
  </si>
  <si>
    <t>Round naming method for Scorebard graphic does not follow Qualifier round names</t>
  </si>
  <si>
    <t>Russian player nationality needs to be removed from Scoreboard Graphic</t>
  </si>
  <si>
    <t>Ability to upload 1st half and 2nd half concurrently, or out of order</t>
  </si>
  <si>
    <t>'Test Offside' only functioning with 'Old Events'</t>
  </si>
  <si>
    <t>'Test Offside' or new test button to send data which triggers a change in the decision between frames</t>
  </si>
  <si>
    <t>Relevant JointID info in event.json output only included for kicker</t>
  </si>
  <si>
    <t>Include Kicker in ConfirmedEPTSEvents output to RMQ relay app (Beyond Sports)</t>
  </si>
  <si>
    <t>Selecting / deselecting cameras at run time in OMCC not functioning</t>
  </si>
  <si>
    <t>Hit trajectory after bounce off wall</t>
  </si>
  <si>
    <t>BMCC Crashes in MLB</t>
  </si>
  <si>
    <t>On launch BTC can show not enough cameras, and camera 1 does not connect</t>
  </si>
  <si>
    <t>Weeks show in a random order in the NFL plays panel</t>
  </si>
  <si>
    <t>stat packets from different ends in cricket.</t>
  </si>
  <si>
    <t>"BALL_WAS_FIELDED by XX" events not being created</t>
  </si>
  <si>
    <t>Dashboard Strike Zone Visual Problems</t>
  </si>
  <si>
    <t>Cannot switch cameras using camera tab buttons</t>
  </si>
  <si>
    <t>Improve shadow batsman</t>
  </si>
  <si>
    <t xml:space="preserve">Separating the Max Distance to Rim for a rim event into an x-y distance and a z distance. </t>
  </si>
  <si>
    <t>Add ability to adjust what events are being sent via VA Data Sender</t>
  </si>
  <si>
    <t>Add in Strikeout_Double_Play Edge Case</t>
  </si>
  <si>
    <t xml:space="preserve">Unrealistic hit metrics on a swing and miss </t>
  </si>
  <si>
    <t>In v3 csv, some columns are missing data which we expect should be there.</t>
  </si>
  <si>
    <t xml:space="preserve">Outputing the CSV via BPFG in metric units, one column is still in feet </t>
  </si>
  <si>
    <t>Key and Fill doesn't work with HEO</t>
  </si>
  <si>
    <t>HawkVR Cricket Model pitches</t>
  </si>
  <si>
    <t>Creating NBA "Status Bar" containing clock data from per frame tracking bson</t>
  </si>
  <si>
    <t xml:space="preserve">Fixed thigh segment length between players </t>
  </si>
  <si>
    <t>Wimbledon unused bounce</t>
  </si>
  <si>
    <t>NUDGED model_lines and model_points files</t>
  </si>
  <si>
    <t>Mismatch time values by 0.001 between rally.events and rally.samples</t>
  </si>
  <si>
    <t>Template TMCA crash reports</t>
  </si>
  <si>
    <t>Sun strength Control in TMCA</t>
  </si>
  <si>
    <t>AT cannot download GUMBO json</t>
  </si>
  <si>
    <t>Viewer not launching as OMCC source not connected (Link to SO337)</t>
  </si>
  <si>
    <t>SMARTConfigurator;SMARTViewer</t>
  </si>
  <si>
    <t>EPTS: Toggle ball marker &amp; toggle ball comet trail need to be implemented as 'change_X_mode' instead of toggle</t>
  </si>
  <si>
    <t>details.players of Play JSON lists all players in the game</t>
  </si>
  <si>
    <t>Add the ability to manually set the top and bottom height of the strike zone of the strike zone plugin.</t>
  </si>
  <si>
    <t>Display LastHitImages with Camera Background in BMCC</t>
  </si>
  <si>
    <t>Urgent - High amount of track swaps when they would not be expected</t>
  </si>
  <si>
    <t>Urgent - Delayed feed not acting as expected - swapping randomly to then swap back when the players come close ~15 seconds later</t>
  </si>
  <si>
    <t>BaseballMultiCameraAnalysis -  Automatic Role Classification Improvement required (without manual logging and external datafeed)</t>
  </si>
  <si>
    <t>Ball on line not passing to Control correctly</t>
  </si>
  <si>
    <t>Video and track data not aligning as you would expect</t>
  </si>
  <si>
    <t>Have Configurator set the ZMQ Host for new MCA syncing feature</t>
  </si>
  <si>
    <t>Add trackIDs for BALL_WAS_HIT, BALL_WAS_PITCHED and PITCHER_FIRST_MOVEMENT</t>
  </si>
  <si>
    <t>Test version of BMCA that works with updated eCapture</t>
  </si>
  <si>
    <t>Refine duplicate roles error message</t>
  </si>
  <si>
    <t>BALL_WAS_RELEASED not having TrackID</t>
  </si>
  <si>
    <t>Height adjustment using skid length</t>
  </si>
  <si>
    <t>'Gap in ball track, suspected out of bounds' being ignored by default</t>
  </si>
  <si>
    <t>Sun / Shadow Data - EPTS</t>
  </si>
  <si>
    <t>OMCA not passing through port numbers when trying to connect OMCA to an OffsideLine OnDemand</t>
  </si>
  <si>
    <t>MulticamAnalysis;OffsideLine;SMARTConfigurator</t>
  </si>
  <si>
    <t>BTC - No ball tracking for a 90 second period</t>
  </si>
  <si>
    <t>DataFeedArchiver to have a drop down for previous sessions for Baseball pitch clipping</t>
  </si>
  <si>
    <t>DataFeedArchiver to display practice pitches but not archive them automatically</t>
  </si>
  <si>
    <t>DataFeedArchiver shows errors similar to how archiver does for small dropped frames or repeated frames</t>
  </si>
  <si>
    <t>Poor spin fits maybe related to MLB constraint</t>
  </si>
  <si>
    <t>CMCA being able to connect to HEO</t>
  </si>
  <si>
    <t>Failed hits in Ball Track Control</t>
  </si>
  <si>
    <t>Cricket Ball Track Control doesn't save window size</t>
  </si>
  <si>
    <t>Bounce Events are being sent as Release Events with Height Grid</t>
  </si>
  <si>
    <t xml:space="preserve">MLB reported increased auto tagging issues specifically with infielders. </t>
  </si>
  <si>
    <t>Get IK into CMCA / CMCC Pipeline to enable data to be viewed in HawkVR</t>
  </si>
  <si>
    <t>Adding "Non-Injury Head Impact" to the NFL Injury UI</t>
  </si>
  <si>
    <t>CMCC crashes when in slave replay mode</t>
  </si>
  <si>
    <t>Data for pitch model improvements</t>
  </si>
  <si>
    <t>OMCC (Tracking Issue) - Subbed Player (21) tracked as Player 10 for 2-3 mins of game</t>
  </si>
  <si>
    <t>SMARTViewer sending time delayed UDP Commands</t>
  </si>
  <si>
    <t>2d with stats packages not mixing properly (black frame between each)</t>
  </si>
  <si>
    <t>OMCC - WEURO England v Spain Missed Offside Event</t>
  </si>
  <si>
    <t xml:space="preserve">30-50 Small Action Files every game in both super systems </t>
  </si>
  <si>
    <t>bounce point appears on LBW for full tosses</t>
  </si>
  <si>
    <t>Development of RTT-4380 - can OMCC error tell you the different groups so that you can pinpoint which app has the incorrect model</t>
  </si>
  <si>
    <t>Ignore shot type overhead smash or volley for a winner speed</t>
  </si>
  <si>
    <t>Add in check for updated GUMBO feed</t>
  </si>
  <si>
    <t>AlignmentTool;BaseballAnalyser</t>
  </si>
  <si>
    <t>Cvid exports with specific audio preset</t>
  </si>
  <si>
    <t>Auto naming of video feed flags</t>
  </si>
  <si>
    <t>Ability to expand cameras section archive settings</t>
  </si>
  <si>
    <t>HawkVR night shadows in cricket</t>
  </si>
  <si>
    <t>shadowman object appearing when mix for lbw</t>
  </si>
  <si>
    <t>shadowman not animating deanimating properly - badges on helmet</t>
  </si>
  <si>
    <t>To be able to run QOS on local data, and for QOS to output QOS Version and Verifier Version</t>
  </si>
  <si>
    <t>Ability to change the number of cvid encoders in configurator</t>
  </si>
  <si>
    <t>Orange Line and excess noise in image of Emergent 12000-SBC</t>
  </si>
  <si>
    <t>Emergent 12000SBC- Random Frames Overexposing When Genlocking</t>
  </si>
  <si>
    <t>The colour of the players whites changes based on the background colour</t>
  </si>
  <si>
    <t>Reprocessing BSONs using DFM playback is non-deterministic in creating rally.samples.people JSON files.</t>
  </si>
  <si>
    <t>BDS work to allow us to get Game State from MLB</t>
  </si>
  <si>
    <t>Adding and Re-Mapping USTA Match Codes</t>
  </si>
  <si>
    <t xml:space="preserve">plaque still there on lbw </t>
  </si>
  <si>
    <t>Suppress windows version warnings for Windows Server machines</t>
  </si>
  <si>
    <t>Analyser Data table "overwrites" itself if BMCC crashes of is restarted mid game. Pitch number resets and starts counting from 1 again.</t>
  </si>
  <si>
    <t>BaseballAnalyser;Cloud Uploader</t>
  </si>
  <si>
    <t>3d text positioning limited</t>
  </si>
  <si>
    <t>Export all angles in a layout through HERM</t>
  </si>
  <si>
    <t>HawkEyeReplayManager;SMARTViewer</t>
  </si>
  <si>
    <t xml:space="preserve">StartUTC in contextualized actions files is pulling in the wrong timestamp </t>
  </si>
  <si>
    <t>Front leg Jump in IK skeletal Model</t>
  </si>
  <si>
    <t xml:space="preserve">Pitch Number from BMCC resets after a BMCC relaunch/crash. </t>
  </si>
  <si>
    <t>Lines antiwobble causing BMCA to drop frames</t>
  </si>
  <si>
    <t>Add in option to validate skeletal task based on the batter</t>
  </si>
  <si>
    <t>LBW smart presets not showing ball by and stump</t>
  </si>
  <si>
    <t>Viewer Event Output - include TrackID for defender and attacker</t>
  </si>
  <si>
    <t xml:space="preserve">Mismatched Player IDs for tracked events even when the field is tagged correctly </t>
  </si>
  <si>
    <t>Provide strike zone differences to MLB via BDS</t>
  </si>
  <si>
    <t>BaseballDataServer;Control;MulticamAnalysis</t>
  </si>
  <si>
    <t>PlayResult Should be Undefined When KorBB is Strikeout</t>
  </si>
  <si>
    <t>BTC - Problem Data for BTC freeze</t>
  </si>
  <si>
    <t>PitchAndSpinMosaicImages Outputting Incorrectly</t>
  </si>
  <si>
    <t>Bat task feedback in BPP queue- further improvements</t>
  </si>
  <si>
    <t>Add trackID to play events packets - BDS work</t>
  </si>
  <si>
    <t>VVC Flushing Meadows does not work with ecapture version 2.29.03</t>
  </si>
  <si>
    <t>BkMCC being able to output basic events (throws, bounce etc) via VA Data Sender</t>
  </si>
  <si>
    <t>PP Data is Mismatched at the End of Innings in GUMBO Contextualization</t>
  </si>
  <si>
    <t>Changing the resolution of the camera in VVC does not correlate to the resolution of the image produced</t>
  </si>
  <si>
    <t>Intentional Walk Breaks Output in BPFG</t>
  </si>
  <si>
    <t xml:space="preserve">After a BMCC crash, Results Store seems to be out of order causing Alignment Tool issues </t>
  </si>
  <si>
    <t>Post Process queue stops sending tasks to BPP after it is killed/crashed and re-launched</t>
  </si>
  <si>
    <t>Data in Baseball Data Table Different to final output in CSV/JSON for some pitches</t>
  </si>
  <si>
    <t>NDB filtering multicast traffic by location</t>
  </si>
  <si>
    <t>NetworkDiscoveryBridge</t>
  </si>
  <si>
    <t xml:space="preserve">GUMBO JSON is Invalid When Sent to BMCC </t>
  </si>
  <si>
    <t>Practice Pitch Detection failure cases</t>
  </si>
  <si>
    <t>When viewing 2 or more timeline windows, on View A has options to choose the overlays (show pose, show text, show strike zone etc)</t>
  </si>
  <si>
    <t>When selecting and comparing the skeletal replays of multiple pitches, the timing offset between pitches is too large, and seems to change significantly as more pitches are added.</t>
  </si>
  <si>
    <t>Skeletal + Bat PP Tasks Do Not Work</t>
  </si>
  <si>
    <t>When data is generated more than once on premise, the CSV gets duplicated</t>
  </si>
  <si>
    <t>GLT Ball Development needed for AFC Playoffs  Ball - Needed for 7th June</t>
  </si>
  <si>
    <t>TMCA SMART Config changes</t>
  </si>
  <si>
    <t>Smart Configurator additions for full tennis integration</t>
  </si>
  <si>
    <t>Brentford Data Ticket - Poor Tracking</t>
  </si>
  <si>
    <t>Offside events being generated where the kicker and the receiver is the same player</t>
  </si>
  <si>
    <t>Track swaps where we wouldn't expect them</t>
  </si>
  <si>
    <t>Append alignment,json and gumbo.json Sent to BMCC with GamePK</t>
  </si>
  <si>
    <t>When KorBB Is Strikeout, OutsOnPlay Should be 0</t>
  </si>
  <si>
    <t>CSV Has UNKNOWN Players If They Don't Have an MLB ID</t>
  </si>
  <si>
    <t>OMCC crashes - GW37 - Serie A</t>
  </si>
  <si>
    <t>Enable sharpening within VVC</t>
  </si>
  <si>
    <t>Ball Development needed for new Italian Puma Ball - Due to used for 4th June</t>
  </si>
  <si>
    <t>Emulate the new BPP skeletal model in BMCC</t>
  </si>
  <si>
    <t>When having a wide fov from a UM camera, and wanting to create a preset in VR that focuses on the Goal Area, VR becomes warped and begins to slant.</t>
  </si>
  <si>
    <t>FootballVR</t>
  </si>
  <si>
    <t>Anything on output window/monitor will be output on HEO</t>
  </si>
  <si>
    <t>AR stats not generating graphics for biomechanic packets</t>
  </si>
  <si>
    <t>Button to Generate CSV Immediately Postgame With Alignment JSON</t>
  </si>
  <si>
    <t>Ball Mosaics Show No Tracking on Some Pitches</t>
  </si>
  <si>
    <t>v3 CSV output via Playfeed Generator in Metric Units does not conform with trackman standard</t>
  </si>
  <si>
    <t>Validation Time check for Extra Time sessions</t>
  </si>
  <si>
    <t>Validate Data - No tick / cross for end of range check</t>
  </si>
  <si>
    <t>ST hanging when killing OMCA (video server)</t>
  </si>
  <si>
    <t>"Are you sure?" popup when attempting to close a multicam app using the top right X</t>
  </si>
  <si>
    <t>Bounce Events are being sent as Release Events</t>
  </si>
  <si>
    <t>GBK - Viewer Crashes</t>
  </si>
  <si>
    <t>OMCC GBK - Significant dropped frames</t>
  </si>
  <si>
    <t>A change in how OMCA sends VRLinesModel hash to viewer - Meaning no Offside Lines visible in viewer on OMCAs</t>
  </si>
  <si>
    <t>Skeletal Rendering in Viewer</t>
  </si>
  <si>
    <t>SMART Configurator doesn't save GPU numbers greater than 1</t>
  </si>
  <si>
    <t>VRControl Crashes - GBK</t>
  </si>
  <si>
    <t>VR Crashes - GBK</t>
  </si>
  <si>
    <t>Ball Development needed for new Ligue 1 Ball - Due to be used on the End of Jull 2022</t>
  </si>
  <si>
    <t>Ball Development needed for new EFL Puma Ball - Due to be used End of July 2022</t>
  </si>
  <si>
    <t>Ball Development needed for new Community Shield Ball - Due to be used End of July 2022</t>
  </si>
  <si>
    <t>Ball Development needed for new Fa Cup Mitre - Due to be used October 2022</t>
  </si>
  <si>
    <t>Ball Development needed for new Mitre Generic Ball - April 2023</t>
  </si>
  <si>
    <t>SmartRemote crashing on connection while all NVENC sessions are in use.</t>
  </si>
  <si>
    <t>Ball Development needed for Itay Puma Ball - Due to be used on the End of July 2022</t>
  </si>
  <si>
    <t>Hit Spin is being reported as NaN</t>
  </si>
  <si>
    <t>BaseballDataPlatform;MulticamAnalysis</t>
  </si>
  <si>
    <t>Biomechanics not animating properly from property tree</t>
  </si>
  <si>
    <t>BMCA to take in Manta camera input</t>
  </si>
  <si>
    <t>Formats 5994/2997 Not Supported</t>
  </si>
  <si>
    <t>Failed bat tasks - 2022-05-06_V1_RM_MLB_FLUSHINGMEADOWS</t>
  </si>
  <si>
    <t>Bat impact point too big</t>
  </si>
  <si>
    <t>Ball Development needed for new EPL Ball - Due to be used End of July/Start of August</t>
  </si>
  <si>
    <t>Continued compatibility testing of Databridge an new umpire light</t>
  </si>
  <si>
    <t>Ball Development needed for new Molten UEL Ball - Due to be used start of September 2022</t>
  </si>
  <si>
    <t>Ball Development needed for new Molten UECL Ball - Due to be used early September 2022</t>
  </si>
  <si>
    <t>Ball Development needed for New England International Ball - Due to be used in September 2022</t>
  </si>
  <si>
    <t>Unrealistic Exit Velocities on Ground Balls</t>
  </si>
  <si>
    <t xml:space="preserve">Integrate Clock Feed Output into JSON </t>
  </si>
  <si>
    <t>Erroneous Impact Events that do not appear on path of ball track</t>
  </si>
  <si>
    <t>Missing touch events due to lack of sensitivity</t>
  </si>
  <si>
    <t>Adding a backboard event to ball tracking so we can identify backboard goaltends.</t>
  </si>
  <si>
    <t>MCA Crash when trigger refinement is enabled</t>
  </si>
  <si>
    <t xml:space="preserve">Improving wrist and pinky/thumb location for players with hands above head </t>
  </si>
  <si>
    <t>Possession state not updating</t>
  </si>
  <si>
    <t>Filter Apex Goaltends based on direction of travel.</t>
  </si>
  <si>
    <t>Filter APEX goaltends to not be allowed immediately following a rim event.</t>
  </si>
  <si>
    <t xml:space="preserve">Adding "Render COM Track" to the Views Panel in Scrubbing Tool </t>
  </si>
  <si>
    <t>Rotate Home Plate in Strike Zone Visualisation</t>
  </si>
  <si>
    <t>Fixing Joint Waypoints in Scrubbing Tool for Body 29</t>
  </si>
  <si>
    <t>TennisQOS-1.31 and 1.32 not running correctly.</t>
  </si>
  <si>
    <t>SMARTViewer sending UDP Commands</t>
  </si>
  <si>
    <t>BMCC crash - 2022-05-31_JS_FlushingMeadows_B_RC3</t>
  </si>
  <si>
    <t>Version 2.7.0 - Running tab does not allow a runner to proceed further than the automated logic for each hit type</t>
  </si>
  <si>
    <t>Turn bat tasks Bold when there is a Hit</t>
  </si>
  <si>
    <t>Add Base Pose Improvements to new 2022 IK Model</t>
  </si>
  <si>
    <t>Alternate Schemes for Ball Mosaics/Colorblind Assist</t>
  </si>
  <si>
    <t>Don't generate mosaic when bat task has "no_batter"</t>
  </si>
  <si>
    <t>BMCC to output SpinResults.CSV</t>
  </si>
  <si>
    <t>Mosaics come in to BMCC very small</t>
  </si>
  <si>
    <t>Scroll through BMCC mosaic tabs with arrow keys</t>
  </si>
  <si>
    <t>When launching VVC the gain settings within the Emergent HB12000 will not match between what VVC shows and ecapture until manual intervention i.e. moving the gain sliders</t>
  </si>
  <si>
    <t>Tie Opening Session to an Action</t>
  </si>
  <si>
    <t>Add Unassisted Out as a Logging Option</t>
  </si>
  <si>
    <t>Option to Advance Runner on Wild Pitch</t>
  </si>
  <si>
    <t>Keyboard shortcut for 'Reveal SMART release folder'</t>
  </si>
  <si>
    <t>Global productions not being applied on launch of smart file</t>
  </si>
  <si>
    <t>BkMCM Crash When Switching Cameras</t>
  </si>
  <si>
    <t>Publishing of null values in JSON via RMQ</t>
  </si>
  <si>
    <t>GLT Ball Development needed for Adidas World Cup 2022 Ball - Needed for 21st May for Friendly</t>
  </si>
  <si>
    <t>Review HFR data delivery for MLB - expanding testing stadiums</t>
  </si>
  <si>
    <t>Poor periods of tracking - new issues that haven't been seen before and unexpected</t>
  </si>
  <si>
    <t>High residual (red lines) on calibrations - for behind goal cameras</t>
  </si>
  <si>
    <t xml:space="preserve">Introduce a Loading Wheel function instead of the 'Wait' / 'Force Overwrite Database' / 'Use database and reject local changes' buttons </t>
  </si>
  <si>
    <t>Linear Ball Gap fill not working as expected</t>
  </si>
  <si>
    <t>'Clear Buffer' function introduced to OMCC</t>
  </si>
  <si>
    <t>Tracking apps to be able to use network redundancy - as per SMART apps</t>
  </si>
  <si>
    <t>Auto Restart not working</t>
  </si>
  <si>
    <t>Units mapped incorrectly</t>
  </si>
  <si>
    <t>"Generate Data and Archive" button is not archiving BSON</t>
  </si>
  <si>
    <t>Post Process / BMCC reporting BSON error after doing skeletal tasks</t>
  </si>
  <si>
    <t>GameSummary CSV Not Generating Properly</t>
  </si>
  <si>
    <t>When checking a previous pitch, data in the ball arc and strike zone windows disapear when a new pitch is detected live.</t>
  </si>
  <si>
    <t>When double clicking on a pitch to watch it, to re-watch it you have to click off it to a different pitch and then back again.</t>
  </si>
  <si>
    <t xml:space="preserve">VVC's aren't reaching FPS without image height being toggled </t>
  </si>
  <si>
    <t>Antiwobble not working correctly on some alternate courts</t>
  </si>
  <si>
    <t>Configurator doesn't overwrite points/lines in model_points, but adds to them</t>
  </si>
  <si>
    <t>Action for a small loop - centred around cursor time</t>
  </si>
  <si>
    <t>Alternate colours for skeletons</t>
  </si>
  <si>
    <t>'Point to Point' way point</t>
  </si>
  <si>
    <t>UI Tab changes based on clicks / key commands</t>
  </si>
  <si>
    <t>Waypoints to be toggle-able by key commands</t>
  </si>
  <si>
    <t>Reprocess range instead of from cursor</t>
  </si>
  <si>
    <t>'Merge tracks' function</t>
  </si>
  <si>
    <t>Navigating Issue List with key commands (+/-) not working as expected</t>
  </si>
  <si>
    <t>Cannot load in UMPlayerTracksCVID into ScrubbingTool - FlushingMeadows</t>
  </si>
  <si>
    <t>OMCA numbering limited to 15</t>
  </si>
  <si>
    <t>BMCC Crash in MiLB System</t>
  </si>
  <si>
    <t xml:space="preserve">Per frame Tracking data (skeletons) not appearing in viewer </t>
  </si>
  <si>
    <t xml:space="preserve">Software that is too big do not deploy - "vector too long" error </t>
  </si>
  <si>
    <t>Kill All function causing certain PCs to 'lock up'</t>
  </si>
  <si>
    <t>Auto Failover for timeline / elastic</t>
  </si>
  <si>
    <t>SAO event flags to always stay on top in the timeline</t>
  </si>
  <si>
    <t>Alternative to HWK-1199 - Filtering bookmark types 'on the fly'</t>
  </si>
  <si>
    <t>BTC lagging</t>
  </si>
  <si>
    <t>Alternate between different timestamp types in elastic - not to use KO time</t>
  </si>
  <si>
    <t>Ability to include IK in scrubbing data</t>
  </si>
  <si>
    <t>Significant CUDA savings when minimising the OMCA app</t>
  </si>
  <si>
    <t>When ims are captured by Control/Analysis, the ims are out of sync across multiple cameras (not all cameras show the same data, some will show before an event and some after)</t>
  </si>
  <si>
    <t>Motion blue causes hawk-eye output to miss frames</t>
  </si>
  <si>
    <t>Ball Development needed for new Women's Euro 2022 Ball - Due to be used at the end of June (FIT)</t>
  </si>
  <si>
    <t>Add a delayed feed into BkMCC</t>
  </si>
  <si>
    <t>Emergent 100Gb/s Camera (HZ-21000GM) capturing in all MultiCamAnalysis apps (basketball / baseball / AmericanFootball)</t>
  </si>
  <si>
    <t>GroundControl Triggers Starting and Stopping of Upload in TrackingProvider</t>
  </si>
  <si>
    <t>BaseballDataPlatform;GroundControl;MulticamAnalysis</t>
  </si>
  <si>
    <t>Calibration Analysis prints key calibration details such as Image size as 0x0 or 0</t>
  </si>
  <si>
    <t>Calibration Analysis no longer writes calibration.ini file to connected TennisCameraControl Working directory</t>
  </si>
  <si>
    <t>SLAVE REPLAY VIEWER - FM compatibility</t>
  </si>
  <si>
    <t>The ability to capture two coaxpress cameras on one server</t>
  </si>
  <si>
    <t>Basketball Multi Camera Control Crashes</t>
  </si>
  <si>
    <t>Alignment Tool dropdown to choose Results Store</t>
  </si>
  <si>
    <t>Session name for results store</t>
  </si>
  <si>
    <t>Generating bsons for spins that have Failed</t>
  </si>
  <si>
    <t>GUI lock up after failed import of .smart file</t>
  </si>
  <si>
    <t>Update BaseballPlayFeedGenerator Configurations in SMARTConfigurator</t>
  </si>
  <si>
    <t>'Clear last line' - line masking function not working in OMCA</t>
  </si>
  <si>
    <t>3xs machines package builder smart graphics issue</t>
  </si>
  <si>
    <t>Hip distance is too large</t>
  </si>
  <si>
    <t>Rad Poly calibrations don't work in BMCA</t>
  </si>
  <si>
    <t>Link the Results Store to the in/out session button</t>
  </si>
  <si>
    <t>In 4 camera systems, some cameras can't keep at 300fps</t>
  </si>
  <si>
    <t>Contextualized Output Fails When Hit Trajectory in GUMBO is Empty</t>
  </si>
  <si>
    <t>BPP crashing - version -2022-02-08_V2_JS_BBD-339_FLUSHINGMEADOWS</t>
  </si>
  <si>
    <t>BMCC sometimes plays at 1% playback when doing an Alignment reprocess</t>
  </si>
  <si>
    <t>BMCA processing slow in a lot of 4 Camera systems</t>
  </si>
  <si>
    <t>Sometimes when launching BMCA no ref images appear in the dropdown</t>
  </si>
  <si>
    <t>BMCC 2 launching slowly in replay</t>
  </si>
  <si>
    <t>Slowdown in Output in BaseballPlayFeedGenerator</t>
  </si>
  <si>
    <t>KorBB and PlayResult Column Incorrect in GUMBO Output</t>
  </si>
  <si>
    <t>Webviewer rotating cars around origin and not center of mass</t>
  </si>
  <si>
    <t>Developer</t>
  </si>
  <si>
    <t>Nascar Webviewer</t>
  </si>
  <si>
    <t>OMCM MDC VideoServer Issue</t>
  </si>
  <si>
    <t>GUI spacing for FAP upload - CloudUploader</t>
  </si>
  <si>
    <t>0 Not being found as a jersey Number</t>
  </si>
  <si>
    <t>00 not being found as jersey number</t>
  </si>
  <si>
    <t>BPFG Reporting Error with Unsupported Number Value of "NaN" of class type...... Output Fails</t>
  </si>
  <si>
    <t>Mosaic Windows All Launch Hidden</t>
  </si>
  <si>
    <t>OMCA Random Crahses During Game</t>
  </si>
  <si>
    <t>OMCC GUI Change</t>
  </si>
  <si>
    <t>OMCC Crash Reports</t>
  </si>
  <si>
    <t>Data table jumps to different pitch when live data comes in</t>
  </si>
  <si>
    <t>VVC Crashing on Launch</t>
  </si>
  <si>
    <t>WebRender - Doesn't go out of date on deployment</t>
  </si>
  <si>
    <t>SMARTConfigurator;WebRender</t>
  </si>
  <si>
    <t xml:space="preserve">After Unix Timstamps are implemented for Watch Transmitter json messages. The messages will need a signature that auhtenticates it as a valid source. In the form of a encrypted hash of the command and time field of the json message </t>
  </si>
  <si>
    <t xml:space="preserve">After Unix Timstamps are implemented for Watch Transmitter json messages. The messages will need a signature that authenticates it as a valid source. In the form of a encrypted hash of the command and time field of the json message </t>
  </si>
  <si>
    <t>Line Up Validator not flagging tracking after a player was subbed</t>
  </si>
  <si>
    <t>Validation tool to check for # of players at END of range as well</t>
  </si>
  <si>
    <t>Stop Crashes in AT When Can't Connect to BaseballResultsStore</t>
  </si>
  <si>
    <t>8 camera system BMCC2 reprocess very slow</t>
  </si>
  <si>
    <t>PFG not having enough ram to run</t>
  </si>
  <si>
    <t>CF Camera Tracking Issues in 2D</t>
  </si>
  <si>
    <t>Highlight Automatic Balls and Strikes from GUMBO in a Different Color</t>
  </si>
  <si>
    <t>BMCC/Ball Control Lagging in 4 Cams - NOT DROPPING FRAMES</t>
  </si>
  <si>
    <t>Diagnostic tab not populating "Analysis Processing" and "Network Time" Values</t>
  </si>
  <si>
    <t>Sportradar jittery player (bad triangulation)</t>
  </si>
  <si>
    <t xml:space="preserve">Sportradar - COM lost momentarily. </t>
  </si>
  <si>
    <t>SRO - Needs a FM version</t>
  </si>
  <si>
    <t>OMCC to write out a status bar log to WD, as per SMARTViewer</t>
  </si>
  <si>
    <t xml:space="preserve">Crash After Reprocessing </t>
  </si>
  <si>
    <t>Game State lineup errors in BMCC</t>
  </si>
  <si>
    <t>Rotated cameras cannot keep up at 300 FPS</t>
  </si>
  <si>
    <t>Extra Launch.Bat requirements needed for BPP Drag &amp; Drop batch files</t>
  </si>
  <si>
    <t>Hitting Expand All in the Setting popup causes a crash</t>
  </si>
  <si>
    <t>Java error in console window - version 2.4.0</t>
  </si>
  <si>
    <t>Save layout when making bookmark</t>
  </si>
  <si>
    <t>Athletics;Rugby</t>
  </si>
  <si>
    <t>Crashes in 022-02-04_V2_JS_BBD_FLUSHINGMEADOWS when running as BMCC</t>
  </si>
  <si>
    <t>Players hovering or feet in the ground - OMCC / VR</t>
  </si>
  <si>
    <t>FootballOffsideVR;MulticamAnalysis</t>
  </si>
  <si>
    <t>For Bat Tasks, distinguish between a task that actually fails and a task that runs when there is no batter/or batter who doesn't swing</t>
  </si>
  <si>
    <t>Balls are very small in the raw image for spin tasks in BPP</t>
  </si>
  <si>
    <t>Knees in TMCA</t>
  </si>
  <si>
    <t>Twitching of pecks / hips</t>
  </si>
  <si>
    <t>BSK  - Rabbit Connectivity: BaseballScoreKeeper2.0.1.beta.2</t>
  </si>
  <si>
    <t>Camera windows names in a different language</t>
  </si>
  <si>
    <t>Baseball MultiCam apps have higher GPU usuage</t>
  </si>
  <si>
    <t>Triangulation error in BMCC (both in MLB and Teams)</t>
  </si>
  <si>
    <t>BMCC and BPP config file changes in SMART Release</t>
  </si>
  <si>
    <t>Current Version (2021_07_15_RE_Renamed) Doesn't Work in Flushing Meadows</t>
  </si>
  <si>
    <t>Caliper Struggling to Tie the Model Together in the BA Stage</t>
  </si>
  <si>
    <t>SMART X TTP Removal of UTC +/- as timezone options</t>
  </si>
  <si>
    <t>SMARTConfigurator;TennisDataPlatform</t>
  </si>
  <si>
    <t>Display Session Type in Ground Control</t>
  </si>
  <si>
    <t>Display Session Types in a Custom Order</t>
  </si>
  <si>
    <t>Get BaseballTrackingProvider into Configurator</t>
  </si>
  <si>
    <t>PP skeletal msg files are not being written out</t>
  </si>
  <si>
    <t>Add a Pitch Model missing error message in BMCC</t>
  </si>
  <si>
    <t xml:space="preserve"> OffsideLine RTT-4676 Fix not working as expected</t>
  </si>
  <si>
    <t>BFG-1.66.0 Null Pointer Exception - CSV Writer Error</t>
  </si>
  <si>
    <t>If properties and settings panels are un ticked they can't be recovered on that PC even with a redeploy, reset WD, deploy to a new WD, reinstall NVidia drivers etc.</t>
  </si>
  <si>
    <t>Pan&amp;ScanTracking</t>
  </si>
  <si>
    <t>EPL Video Replay Updates for new viewer video comms</t>
  </si>
  <si>
    <t>Latest AT Release Does Not Close Automatically on Completion of BMCC Reprocess</t>
  </si>
  <si>
    <t>BMCC Has Multipipeline Frame Drops After a Pitch</t>
  </si>
  <si>
    <t>BMCC crashing on Control server</t>
  </si>
  <si>
    <t>PlayFeedGenerator Incremements Total Pitch Count Wrong when using HEI Scoretype</t>
  </si>
  <si>
    <t>Post Process Data Not Present in play.action Feed</t>
  </si>
  <si>
    <t>High Frame Rate Skeletal Data not Making it to BDP Output</t>
  </si>
  <si>
    <t>Duplicate Post Processing Workers Error</t>
  </si>
  <si>
    <t>BMCC Output Tab Needs GUMBO scoreType Field Added</t>
  </si>
  <si>
    <t>Rename / Re-order / Remove Columns - SMART Elastic</t>
  </si>
  <si>
    <t>Athletics;Basketball;Rugby</t>
  </si>
  <si>
    <t>Three Column fit (label column)- SMART Elastic</t>
  </si>
  <si>
    <t>Ability to have Timecode only and not Date and Timecode - SMART Elastic</t>
  </si>
  <si>
    <t>Bookmark remains highlighted when double clicked / accessed - SMART Elastic</t>
  </si>
  <si>
    <t>Match ID Export Creation - SMARTElastic</t>
  </si>
  <si>
    <t>GLT Ball Development needed for Umbro Ball - Due to be used end March of 2022</t>
  </si>
  <si>
    <t>BaseballScoreKeeper Writes Out contest.segment Files to More Sensible Location</t>
  </si>
  <si>
    <t>Speed up the low latency PP tasks such as Spin and Release</t>
  </si>
  <si>
    <t>Timeline Icons to use another tag other than "name" / Timeline Icons Lost on name change - SMARTElastic</t>
  </si>
  <si>
    <t>VBD - Display Mask Overlaid not taking rotation node of OMCA</t>
  </si>
  <si>
    <t>Errror Message in CU consolve window when a pitch is thrown, no data is displayed in analyser table</t>
  </si>
  <si>
    <t>FIFA CWC - Close Offside not created in Viewer</t>
  </si>
  <si>
    <t>Crash during the match meaning data did not write to MySQL database</t>
  </si>
  <si>
    <t>Extra Detail to HWKREPORT-1111</t>
  </si>
  <si>
    <t>MySQL - my.ini pop ups</t>
  </si>
  <si>
    <t>Update post process to be able to output cvids which are compatible with HawkVR</t>
  </si>
  <si>
    <t>OMCC2 (Histograms) needing metric crops to be dropped to 30 to stop dropped frames</t>
  </si>
  <si>
    <t>OMCA to mask around players when being viewed in SMART Viewer</t>
  </si>
  <si>
    <t>OMCA apps not following same logic as other apps with regards to HealthMonitoring name</t>
  </si>
  <si>
    <t>GroundControl;MulticamAnalysis;NetworkHealthMonitor;SMARTConfigurator</t>
  </si>
  <si>
    <t>Scrubbing tool 'Importing Database Session' pop up does not go away after session has already imported</t>
  </si>
  <si>
    <t>When selecting to import contexts_2 when it doesn't exist, the import of a session will fail</t>
  </si>
  <si>
    <t>Timeline segregation of bookmark icons</t>
  </si>
  <si>
    <t>SMART Remote / OMCA compatibility</t>
  </si>
  <si>
    <t>OMCA crash reports</t>
  </si>
  <si>
    <t>Data For Poor 'Close Track Confusion' Tracking</t>
  </si>
  <si>
    <t>OMCC struggling to process broadcast cameras when sync delay is +100m/s</t>
  </si>
  <si>
    <t>OMCC2 (Histograms) - High Control Processing With Metric Crops at 60</t>
  </si>
  <si>
    <t>Ground Control - More flexibility with Global Actions</t>
  </si>
  <si>
    <t>Distorted trajectory for ball gap fills when scrubbing on 'Fake Data'</t>
  </si>
  <si>
    <t>OMCC - Player Selection Mode to send 2 defenders &amp; 3 attackers</t>
  </si>
  <si>
    <t>OMCC Master / Slaving Improvement</t>
  </si>
  <si>
    <t>Ability to use wildcards in Ground Control config file</t>
  </si>
  <si>
    <t>Cloud Uploader / FAP - unable to handle abstract characters</t>
  </si>
  <si>
    <t>Visualiser style apps (Scrubbing tool etc) outputs not compatible with SMART apps and vice versa</t>
  </si>
  <si>
    <t>Scrubbing tool;SMARTViewer</t>
  </si>
  <si>
    <t>Stationary Ball Gap Fill Creating a Trajectory</t>
  </si>
  <si>
    <t>Circle Ball Centre Finding is Failing in the Pitch Volume</t>
  </si>
  <si>
    <t>Addition of Bounce/Close Call Information in to match.summary</t>
  </si>
  <si>
    <t>Introduce a search bar function for kit selection in OffsideVRControl</t>
  </si>
  <si>
    <t>FootballOffsideVR</t>
  </si>
  <si>
    <t>March updates on Player Tagging on MLB</t>
  </si>
  <si>
    <t>OMCC Crash Report</t>
  </si>
  <si>
    <t>Allow ground_control_actions.json to nest / merge from different production files</t>
  </si>
  <si>
    <t>Teams PDF - Possession by period and 3rd</t>
  </si>
  <si>
    <t>"Send Data" Button in AT Needs to Work with PlayFeedGenerator</t>
  </si>
  <si>
    <t>Ball Selector displaying incorrect data on TA Graphs (Showing weak data) and is misleading when reviewing data</t>
  </si>
  <si>
    <t>Patchy Tracking caused a Goal not to trigger (or sound the operator alert siren) however there is enough good data for the system to perform better</t>
  </si>
  <si>
    <t>SMARTExec 1.22.1 crashing on installation and launch in servers with 4k and 8k Cards</t>
  </si>
  <si>
    <t>ZPsExec</t>
  </si>
  <si>
    <t>SMART Executor is not a selectable option as a software application on Hawk Report</t>
  </si>
  <si>
    <t>Chat Recorder GUI can mute the audio captured</t>
  </si>
  <si>
    <t>ChatRecorder;SMARTChat;SMARTViewer</t>
  </si>
  <si>
    <t>Goal posts not quite lining up</t>
  </si>
  <si>
    <t>FootballOffsideVR;HawkVR</t>
  </si>
  <si>
    <t>Bounce Differences between Main and Spare Control</t>
  </si>
  <si>
    <t>SMARTFile load times longer in Flushing Meadows than Edbaston</t>
  </si>
  <si>
    <t>Windows Touchscreen "Edge-swipes" interfering with Viewer functionality (e.g pull out panels)</t>
  </si>
  <si>
    <t>SMARTExecutor;SMARTViewer</t>
  </si>
  <si>
    <t>Better Way of Displaying "Failed" Bat Tasks</t>
  </si>
  <si>
    <t>Watch Transmitter Json messages that were added to SMARTViewer need a correct timestamp in Unix Time Milliseconds (Milliseconds since 1970) added</t>
  </si>
  <si>
    <t>MEM Ball Tracking Failure Cases</t>
  </si>
  <si>
    <t>VA Data Sender settings not being changed by either config files or productions.</t>
  </si>
  <si>
    <t>Data Table Row changes colour if a practice pitch</t>
  </si>
  <si>
    <t>Basketball Team Tagging Problem Cases</t>
  </si>
  <si>
    <t>Ignore bounces in Databridge with receive time before start time</t>
  </si>
  <si>
    <t>Crashing when changing cameras to Full field camera</t>
  </si>
  <si>
    <t>VARdict App interface translations require an update</t>
  </si>
  <si>
    <t>Add YUV colour space scope to CCU</t>
  </si>
  <si>
    <t>SMARTViewer does not recognise the 5/3 subsampled image that cricket generate from their custom resolution (3200x1800) and therefore pulls full resolution</t>
  </si>
  <si>
    <t>Allow Socketdatabase changes in configurator</t>
  </si>
  <si>
    <t>BFG-1.37.0 Has Differences in Tracking Output Compared to GUMBO</t>
  </si>
  <si>
    <t>CSV output is always in imperial units despite metric being selected in the BMCC output tab</t>
  </si>
  <si>
    <t>BaseballBolsteredTeams</t>
  </si>
  <si>
    <t>Exclusion mask and volume mask not working</t>
  </si>
  <si>
    <t>2021-09-14_V1_DW_TEST_BD21 Crash as BMCC</t>
  </si>
  <si>
    <t>BFG-1.37.0 - GamePK is not Optional When Using HEI Scoring Type</t>
  </si>
  <si>
    <t>"Player / Ball Track at reduced FPS" setting not working when using Fused Model</t>
  </si>
  <si>
    <t>QoS Verifier Updates</t>
  </si>
  <si>
    <t>EPTS - SMARTConfigurator drive assignment not fully working for TrackingProvider</t>
  </si>
  <si>
    <t>OMCC - Test Kick &amp; Test Offside not quite functioning as expected</t>
  </si>
  <si>
    <t>Fixed Sample Probability Setting Causes BPP to Crash</t>
  </si>
  <si>
    <t xml:space="preserve">Add Baseball PlayFeed Generator (BFG) to Configurator  </t>
  </si>
  <si>
    <t>Camera Syncing Tab - OMCC</t>
  </si>
  <si>
    <t>Caliper showing green models but not fitting</t>
  </si>
  <si>
    <t>Caliper;OffsideLine</t>
  </si>
  <si>
    <t>Wobble on goal lines of pitchmodel</t>
  </si>
  <si>
    <t>Unnatural or exaggerated deviations from seemingly good photos</t>
  </si>
  <si>
    <t>Test Kick and Test Offside buttons - related to HWKREPORT-973</t>
  </si>
  <si>
    <t>Masks on Review Stage of Caliper have regressed and are no longer visible or editable</t>
  </si>
  <si>
    <t>GroundControl showing thumbs down in ALL function</t>
  </si>
  <si>
    <t>BMCC 2021-09-14_V1_DW_TEST_BD21 Crash</t>
  </si>
  <si>
    <t>Configurator Crash  - when using Layout Sharing</t>
  </si>
  <si>
    <t>Athletics;Football;Rugby</t>
  </si>
  <si>
    <t>BFG-1.45.0 Does Not Output MLB ID in JSON When Using HEI Scoretype</t>
  </si>
  <si>
    <t>The VRs do not recognise the 'Bowling End' number being above 2 in the traj files created by Processing Control</t>
  </si>
  <si>
    <t>CricketVR;HawkVR</t>
  </si>
  <si>
    <t>TDP JSON Converter not producing traj with necessary tags</t>
  </si>
  <si>
    <t>Video angles remaining sub-sampled when switching after frame-stepping in Edgbaston10 SMARTViewer exe</t>
  </si>
  <si>
    <t>Zelus - cricket traj interpretation</t>
  </si>
  <si>
    <t>Ball Development needed for 2 x New Footballs in the UK - Due to be used on the 5th December 2021</t>
  </si>
  <si>
    <t>Ball Development needed for new FA Cup Ball - Due to be used on the 5th December 2021</t>
  </si>
  <si>
    <t>Ball Development needed for new Women's FA Cup Winter Ball - Due to be used on the 5th December 2021</t>
  </si>
  <si>
    <t>"In and Out of session" drop down for BkMCC</t>
  </si>
  <si>
    <t>LocationSpecificIP. json to take into account "Competition"</t>
  </si>
  <si>
    <t>Caliper to notify user if DSLR photos are different orientations</t>
  </si>
  <si>
    <t>CSV files to contain Crease point data</t>
  </si>
  <si>
    <t>PitchUID in the GameSummary CSV from BFG does not match any UID in the JSON Output</t>
  </si>
  <si>
    <t>GameSummary CSV Issues using BSK 2.0 Data</t>
  </si>
  <si>
    <t>Prioritsing pitches over other ball tracking/noise</t>
  </si>
  <si>
    <t>ffmpegClipping folder to follow GroundControl match status</t>
  </si>
  <si>
    <t>Camera Coverage Tab - OMCC</t>
  </si>
  <si>
    <t>Configurator / TrackingProvider Drive issue</t>
  </si>
  <si>
    <t>BMCC to ingest data feed from BSK</t>
  </si>
  <si>
    <t>OMCC - Camera Coverage</t>
  </si>
  <si>
    <t>Allowances not added properly first time</t>
  </si>
  <si>
    <t>Player classification for Teams and MLB games with no Scrubber</t>
  </si>
  <si>
    <t>Add additional metric units to JSON output from PlayFeedGenerator</t>
  </si>
  <si>
    <t>BaseballBolsteredTeams;BaseballDataPlatform</t>
  </si>
  <si>
    <t>Add Baseball Tracking Provider to Configurator</t>
  </si>
  <si>
    <t>Batter upper body tracking problems</t>
  </si>
  <si>
    <t>Sync tool approve and skip to only fire when in the sync tool</t>
  </si>
  <si>
    <t>Issue with confirming an EPTS event in viewer with broadcast cams</t>
  </si>
  <si>
    <t>Databridge crash due to new arcs from Control</t>
  </si>
  <si>
    <t>Troubleshoot bad Ball Through Rim detection</t>
  </si>
  <si>
    <t>Improve player tracking when slightly off the court</t>
  </si>
  <si>
    <t>Court Width Incorrect on relaunch</t>
  </si>
  <si>
    <t>Add INT8 Key Point Processing to AfMCA</t>
  </si>
  <si>
    <t>Add manual failure case exporting to AfMCA</t>
  </si>
  <si>
    <t>BaseballScoreKeeper Not Populating outcome.outs properly in v2.0</t>
  </si>
  <si>
    <t>Track drawing problems when balls are far apart</t>
  </si>
  <si>
    <t>Redundancy Priority for FootballTrackingProvider</t>
  </si>
  <si>
    <t>Sun Circularity and Max Outside Circle not mapped from UI to property tree</t>
  </si>
  <si>
    <t>Addition of High Frame Rate (Post Process) Bat and Skeletal data to MLB via BDS</t>
  </si>
  <si>
    <t>Integration with new Umpire Light</t>
  </si>
  <si>
    <t>Ground Control Actions for BkMCC / BkMCA</t>
  </si>
  <si>
    <t>Add Unpack BGR tickbox to Classifications tab in BkMCC</t>
  </si>
  <si>
    <t>Ability to Enter Referee Jersey Numbers to Help Classification</t>
  </si>
  <si>
    <t>Troubleshoot ball tracking cases where the ball locks onto the wrist</t>
  </si>
  <si>
    <t>SMS Output Mapping to be set by productions and TSS Location</t>
  </si>
  <si>
    <t xml:space="preserve">Ball does not get tracked after 6 yard line </t>
  </si>
  <si>
    <t>Investigate shear RAM increase for Streamer (500% increase!!)</t>
  </si>
  <si>
    <t>Basketball;Football;Rugby</t>
  </si>
  <si>
    <t>New Non-Sequential Actions for Baseball GroundControl</t>
  </si>
  <si>
    <t xml:space="preserve">Football Control Crash when launching Control and 12 Tracking Cameras, when the tag "Get Y instead of BGR" : true, is set to true on Control. </t>
  </si>
  <si>
    <t>TennisQoS - Access new region of AWS deployment</t>
  </si>
  <si>
    <t>Tennis Tracking Provider causing 100% CPU usage - Hazelcast Disable?</t>
  </si>
  <si>
    <t>100 FPS Cameras Freeze When useLiveTimes is enabled in Slave Replay</t>
  </si>
  <si>
    <t>Let; Reason Hinderance does not produce contest.segment or rally feed</t>
  </si>
  <si>
    <t>AFMCC Crash when lots of people of field</t>
  </si>
  <si>
    <t>AFMCA Dropping frames on process</t>
  </si>
  <si>
    <t>Additional Watch Commands have been created for Encroachment, and these new commands will need to be implemented into Control</t>
  </si>
  <si>
    <t>Control intergration for the Link Transmitter needs the TSS Timestamp in the messages that are sent to the transmitter.</t>
  </si>
  <si>
    <t xml:space="preserve">Allow background colour to be changed in Web Render for Chromakey </t>
  </si>
  <si>
    <t>SMARTGFx;WebRender</t>
  </si>
  <si>
    <t>Unable to output data when using Body29</t>
  </si>
  <si>
    <t>Errors with Latest BaseballPlayFeedGenerator when Outputting</t>
  </si>
  <si>
    <t xml:space="preserve">TSV- Not splitting matches by match code </t>
  </si>
  <si>
    <t>Introduce an 'Are You Sure?' warning prompt before stopping / starting new sessions in GC</t>
  </si>
  <si>
    <t>Feedback from testing Body29</t>
  </si>
  <si>
    <t>TP2 needing to be killed to allow TP1 to clear its buffer</t>
  </si>
  <si>
    <t>Control 1 Crash &amp; Control 2 Delay</t>
  </si>
  <si>
    <t>Alt GR Button is a let</t>
  </si>
  <si>
    <t>Summary.Shots in the Rally.Summary includes extra shots</t>
  </si>
  <si>
    <t>Ball Kid Dropping Ball led to out call</t>
  </si>
  <si>
    <t>EPTS - Scrubbing Tool: Auto Save Modifiers Naming Convention</t>
  </si>
  <si>
    <t xml:space="preserve">Ground Control Actions List Needs Scroll Capability </t>
  </si>
  <si>
    <t>HawkVR stripey Bins in cricket</t>
  </si>
  <si>
    <t>Allow Ground Control to manage Third Party Data Exporter setting</t>
  </si>
  <si>
    <t>OffsideLine calibration to show End 1 / End 2 text with colour code (cyan / orange) as per OMCA</t>
  </si>
  <si>
    <t xml:space="preserve">2 Clear Goals in a Referee GLT System Test, not given by Control. </t>
  </si>
  <si>
    <t>pitches.json and events.json not being produced for a couple of plays</t>
  </si>
  <si>
    <t>SMART x TTP : Court Configuration Layout / Contents</t>
  </si>
  <si>
    <t xml:space="preserve">SMART x TTP : Tournament Time zone does not deploy out correctly </t>
  </si>
  <si>
    <t xml:space="preserve">SMART x TTP : pulsar URLs to be updated to .com for deployment </t>
  </si>
  <si>
    <t>Control producing trj that appears to skid/go through the floor when played out in VR</t>
  </si>
  <si>
    <t>When loading a Full game in Baseball Analyser Ram maxes out</t>
  </si>
  <si>
    <t>EPTS - BTC Icon</t>
  </si>
  <si>
    <t>EPTS - BTC needing a relaunch for new cameras</t>
  </si>
  <si>
    <t>EPTS - OMCC Pose Verification Warning</t>
  </si>
  <si>
    <t>EPTS - OMCC - Jersey Number Dropdown back to GUI</t>
  </si>
  <si>
    <t>EPTS - OMCA default view</t>
  </si>
  <si>
    <t>EPTS - OMCC - Replay mode</t>
  </si>
  <si>
    <t>Failed release tasks</t>
  </si>
  <si>
    <t>EPTS - OMCC &amp; OMCA Mosaics Jumping</t>
  </si>
  <si>
    <t>EPTS - OMCA bounding boxes not centred on players</t>
  </si>
  <si>
    <t>Analyser jumps to previous pitch, whenever a new pitch is detected.</t>
  </si>
  <si>
    <t>Serve hit event is at negative time within rally.samples.ball</t>
  </si>
  <si>
    <t>Negative Rally Durations when there should not be</t>
  </si>
  <si>
    <t>BTC - EPTS - small gaps in ball data</t>
  </si>
  <si>
    <t>Last Hit Images looking distorted</t>
  </si>
  <si>
    <t xml:space="preserve">Control turns bright yellow when it loses connection </t>
  </si>
  <si>
    <t>When pulling video locally from the buffer, the feed is not smooth, dropping frames and falling behind live.</t>
  </si>
  <si>
    <t>EPTS - Scrubbing Tool - Include referees in issue log</t>
  </si>
  <si>
    <t>EPTS - Scrubbing Tool - Allow filling gaps (and other actions) for referees</t>
  </si>
  <si>
    <t>Feature to remove all unassigned tracks from data</t>
  </si>
  <si>
    <t xml:space="preserve">BMCC 2 crashing on reprocess </t>
  </si>
  <si>
    <t>Missing Ad and Deuce marker when serve distances are given</t>
  </si>
  <si>
    <t>Control Crash reports</t>
  </si>
  <si>
    <t xml:space="preserve">Ability to assign referee tracks as referee, AR1 and AR2 </t>
  </si>
  <si>
    <t>Deselect all tiles command does not work when allow selection of offscreen tiles is ticket ON</t>
  </si>
  <si>
    <t>Add Scaling Option to GUI</t>
  </si>
  <si>
    <t>Control dropping frames when lots of people on court, or when basket tracking is enabled.</t>
  </si>
  <si>
    <t>Red flag still present after a deploy of BMCC</t>
  </si>
  <si>
    <t>Add the ability to click in points manually to be bundle adjusted (as in baseball) to the basketball workflow</t>
  </si>
  <si>
    <t>Duplicated timestamps in output</t>
  </si>
  <si>
    <t>BaseballBolsteredTeams;BaseballTeams;MulticamAnalysis</t>
  </si>
  <si>
    <t>BMCM crashing on launch</t>
  </si>
  <si>
    <t>Missing player tracks after -0.00</t>
  </si>
  <si>
    <t>Show Emergent camera temperature in BMCA</t>
  </si>
  <si>
    <t>Contextualised data issues on plays where there is "Hit by Pitch"</t>
  </si>
  <si>
    <t>BaseballTeams;MulticamAnalysis</t>
  </si>
  <si>
    <t>BPP Evaluator settings not saving</t>
  </si>
  <si>
    <t>When analyser and a session is left open for a long time (over night) tracking data disappears from video window.</t>
  </si>
  <si>
    <t>When "Keep up with real time rate" set in controller settings you have to wait for the db to load before checking pitches at the end of the game.</t>
  </si>
  <si>
    <t xml:space="preserve">Update Baseball Configurator to have BaseballAnalsyer </t>
  </si>
  <si>
    <t>BaseballAnalyser;SMARTConfigurator</t>
  </si>
  <si>
    <t>Solution for Home Run Derby Ball Control moving forwards</t>
  </si>
  <si>
    <t>EPTS - OMCC Drive Letter Change</t>
  </si>
  <si>
    <t xml:space="preserve">When running live, ball spin graphic does not update. </t>
  </si>
  <si>
    <t xml:space="preserve">Share Baseball player classification rules with MLB </t>
  </si>
  <si>
    <t>Unused bounce - challenge</t>
  </si>
  <si>
    <t>Error on output "Index out of bounds for length 0"</t>
  </si>
  <si>
    <t>BFG showing errors for pickoffs</t>
  </si>
  <si>
    <t>EPTS - OMCC Error "Camera X didn't triangulate any players - Check calibration"</t>
  </si>
  <si>
    <t>Manual Tagging Feature - Jersey Numbers not consistent with inputted numbers</t>
  </si>
  <si>
    <t>Manual Tagging - Numbers flickering</t>
  </si>
  <si>
    <t>OMCC - No potential offside events generated for match</t>
  </si>
  <si>
    <t xml:space="preserve">Magic Flags disconnecting when opening smart file with new release </t>
  </si>
  <si>
    <t>Baseball Teams to be able to look in different locations for BSONs</t>
  </si>
  <si>
    <t>Alignment Tool and BaseballVisualiser show BaseballMultiCameraAnalysis as the software version</t>
  </si>
  <si>
    <t>Configurator to detect Emergent camera firmware</t>
  </si>
  <si>
    <t xml:space="preserve">Version 2021-07-29_V2_CS doesn't play through data when using as BMCC 2 </t>
  </si>
  <si>
    <t>Significant increase in GPU in version 2021-07-29_CS</t>
  </si>
  <si>
    <t>OMCA - Calibration Text Issue (END1/2)</t>
  </si>
  <si>
    <t>Add the ability to be able to straighten image in CCU/VVC</t>
  </si>
  <si>
    <t xml:space="preserve">Tennis Visualiser : Listing of points jumbled </t>
  </si>
  <si>
    <t>TSV: Wrong doubles pairing in TSv</t>
  </si>
  <si>
    <t>TSV: Predicted Bounces</t>
  </si>
  <si>
    <t>Short Focal Length Caliper</t>
  </si>
  <si>
    <t>Video Playback mismatch when using offscreen tiles</t>
  </si>
  <si>
    <t>Athletics;Baseball;Basketball;Football;Rugby</t>
  </si>
  <si>
    <t>Lock Panel Width</t>
  </si>
  <si>
    <t>Athletics;Basketball;Football;Rugby</t>
  </si>
  <si>
    <t>Command to set timeline zoom value</t>
  </si>
  <si>
    <t>Mapped command to run when exiting loop</t>
  </si>
  <si>
    <t>Athletics;Baseball;Basketball;Rugby</t>
  </si>
  <si>
    <t>TSV: No Players/Match ID shown instead just as "-"</t>
  </si>
  <si>
    <t>User confirm yes/no for when Delete Current Ref is hit</t>
  </si>
  <si>
    <t>NYY Lab Skeletal data problems</t>
  </si>
  <si>
    <t>NYY Lab Bat tracking problems</t>
  </si>
  <si>
    <t>Baseball Play Feed Generator to work with Alignment Tool and BMCC</t>
  </si>
  <si>
    <t xml:space="preserve">Feedback from Teams using BSK and BFG </t>
  </si>
  <si>
    <t>Processing Control constantly connects and disconnects to SMART Viewer</t>
  </si>
  <si>
    <t xml:space="preserve">Since Birds Nest Branch we are unable to use VVC to access the archived footage by Cricket VR for use in Processing Control. </t>
  </si>
  <si>
    <t>Ball Control crashes when enabling Draw Camera Windows</t>
  </si>
  <si>
    <t>Change way BaseballResultsStore archives</t>
  </si>
  <si>
    <t>Version 1.1.9 Fails to Get Status Report</t>
  </si>
  <si>
    <t>TDP JSON Converter unable to handle MQ and WQ SMT Match Codes</t>
  </si>
  <si>
    <t>Can no longer enable 'Allow multiple publishers' in HEO with Daytona</t>
  </si>
  <si>
    <t>HawkEyeOutput</t>
  </si>
  <si>
    <t>Remove the directory creation from the TDP JSON converter</t>
  </si>
  <si>
    <t>Contextualized JSON is in MPH and MPH/S</t>
  </si>
  <si>
    <t>AlignmentTool;BaseballTeams</t>
  </si>
  <si>
    <t>Support for ATP/WTA &amp; ITF Player APIs</t>
  </si>
  <si>
    <t>Scale SVG and Timecode Size of Timeline Panel</t>
  </si>
  <si>
    <t>EPTS - Fix Manual Bookmark to allow better OMCC -&gt; Viewer testing</t>
  </si>
  <si>
    <t>SMARTElastic bookmarks (offside events) to be able to be included on an archive</t>
  </si>
  <si>
    <t>GroundControl - Enable Auto Subs to enable 2x settings</t>
  </si>
  <si>
    <t>OMCC .db bookmarks file</t>
  </si>
  <si>
    <t>BallTrackControl - PTP Master Camera</t>
  </si>
  <si>
    <t>OMCC - Status Bar position</t>
  </si>
  <si>
    <t>Active window meaning key commands aren't functional</t>
  </si>
  <si>
    <t>Remove loop from video control</t>
  </si>
  <si>
    <t>Integrate backup matt camera version of processing control into Configurator</t>
  </si>
  <si>
    <t>Viewer Error - Unknown Captures Writing to Disk</t>
  </si>
  <si>
    <t>Block the use of Auto Offside when using multi model</t>
  </si>
  <si>
    <t>Camera Corps RCP settings reset every time CCU is restarted and there is no way of pre configuring it</t>
  </si>
  <si>
    <t>Missing ball data on strikeouts - ELP</t>
  </si>
  <si>
    <t>Backup feature not working</t>
  </si>
  <si>
    <t>Remove the bookmark source OMCC1/OMCC2 selection from the timeline - EPTS</t>
  </si>
  <si>
    <t>The maximum exposure you can set does not correlate to the FPS</t>
  </si>
  <si>
    <t>When using autoexposure, the autexposure target is not scaled to the maximum exposure limit set.</t>
  </si>
  <si>
    <t>Within the Teams data output, all Session IDs are the same</t>
  </si>
  <si>
    <t>BaseballBolsteredTeams;MulticamAnalysis</t>
  </si>
  <si>
    <t>At end of set, the previous set score dissapears from the scorebug instead of shifting one column to the left.</t>
  </si>
  <si>
    <t>Traj material is split around the track ball</t>
  </si>
  <si>
    <t>Add units to float metafilter variables</t>
  </si>
  <si>
    <t>EPTS - OMCA Crashes</t>
  </si>
  <si>
    <t>EPTS - BTC Sync Issues</t>
  </si>
  <si>
    <t>EPTS - Possession Tool Feedback</t>
  </si>
  <si>
    <t>EPTS - Ball In/Out Tool Feedback</t>
  </si>
  <si>
    <t>Add Key Command Option for Togglling 'Look at Point on/off'</t>
  </si>
  <si>
    <t>EPTS - Players tracking as referee</t>
  </si>
  <si>
    <t>EPTS - Record to disk for all cameras from OMCC</t>
  </si>
  <si>
    <t>Show "Batting Practice" Mode in the Combined tab of BMCC</t>
  </si>
  <si>
    <t>EPTS - Milan v Sassuolo Jersey Number Improvements</t>
  </si>
  <si>
    <t>Net Sponsor on both side of the net</t>
  </si>
  <si>
    <t>Skeletal tasks to turn red when pitcher skeletal under a certain %</t>
  </si>
  <si>
    <t>Poly Rad Doesn’t Work</t>
  </si>
  <si>
    <t>Court width resets on relaunch</t>
  </si>
  <si>
    <t>Version of HawkVR with compressed ball models as stat balls</t>
  </si>
  <si>
    <t>Compressed Stat Balls not casting shadows</t>
  </si>
  <si>
    <t>Print out of Status box messages for BMCC</t>
  </si>
  <si>
    <t xml:space="preserve">Missing Data/Data at wrong times in Contextualized Output </t>
  </si>
  <si>
    <t>AlignmentTool;MulticamAnalysis</t>
  </si>
  <si>
    <t>Duplicate Play Events for Catcher throwing ball back to the Pitcher</t>
  </si>
  <si>
    <t>30fps COM and Skeletal data in Action files not an consistent intervals</t>
  </si>
  <si>
    <t>Squash Ball Stat Balls don't interact with Group Mix</t>
  </si>
  <si>
    <t>PIP to be able to use an off screen tile</t>
  </si>
  <si>
    <t>For all popups within viewer to be incorporated into the POP-UP ini line</t>
  </si>
  <si>
    <t>De-couple stat balls from HawkVR release</t>
  </si>
  <si>
    <t>Madrid Mutua Logo to be added to Stat balls in HawkVR</t>
  </si>
  <si>
    <t>EPTS - Scrubbing - Most Common Scrubbing Situations</t>
  </si>
  <si>
    <t>Add the option to have Colour Tab Presets</t>
  </si>
  <si>
    <t>EPTS - Scrolling on OMCC UI</t>
  </si>
  <si>
    <t>Alignment Tool timeline broken in latest version</t>
  </si>
  <si>
    <t>Alignment Tool to recognize warm up pitches</t>
  </si>
  <si>
    <t>Data not outputting for AA and A games</t>
  </si>
  <si>
    <t xml:space="preserve">Uncontextualized data not outputting </t>
  </si>
  <si>
    <t>Remove image size error from analysis when ball calibrating</t>
  </si>
  <si>
    <t>When CMCC is underperforming, HawkVRControl also does regardless of how far beind live</t>
  </si>
  <si>
    <t>HawkVR Control would underperform if too far behind OMCC</t>
  </si>
  <si>
    <t>Flashing at the start and end of a camera preset where motion blur is enabled</t>
  </si>
  <si>
    <t>Couldn't select Rigged Players Kits</t>
  </si>
  <si>
    <t>Missing fields from Baseball Teams .csv file</t>
  </si>
  <si>
    <t>HawkVR crashes on launch with model_points file</t>
  </si>
  <si>
    <t>Analyser to prioritise and display 300fps clips over 50fps clips once a 300fps clip has been uploaded to the bucket</t>
  </si>
  <si>
    <t>Analyser should be able to step at 300fps / adjust to the frame rate of the data / video which is being displayed</t>
  </si>
  <si>
    <t>50fps video feeds cannot be seen, when a 100fps camera is selected 1st.  (When pulling video locally)</t>
  </si>
  <si>
    <t>Output to CSV option (Same as Visulaser)</t>
  </si>
  <si>
    <t>For non HFR systems - Remove the option to view bat tracking or HRF skeletal workspaces</t>
  </si>
  <si>
    <t>Camera Number Tabs in main window only visble when video has been uploaded to the cloud</t>
  </si>
  <si>
    <t xml:space="preserve">When pulling video from buffer playback is in slowmotion (well below 100%) </t>
  </si>
  <si>
    <t>Daytona VVC fails to launch once the coaxpress camera has initialised</t>
  </si>
  <si>
    <t>Sapera Configurator Error on Launch</t>
  </si>
  <si>
    <t>Update ims from stadium error</t>
  </si>
  <si>
    <t>New message archive button to also create new Bson archive</t>
  </si>
  <si>
    <t>Column Y in the csv is sometimes undefined</t>
  </si>
  <si>
    <t>Adding extra .action files and csv entries for non-play events</t>
  </si>
  <si>
    <t>Multiple hits at the same time for Home Run Derby causing problems with playIds</t>
  </si>
  <si>
    <t>When multiple balls in the air, incorrect (very small) hit distances were given</t>
  </si>
  <si>
    <t>Capturing instability when launching all on a machine</t>
  </si>
  <si>
    <t>Number of patches you can edit in Post Process for spin</t>
  </si>
  <si>
    <t>Knee tracking problem - ATL</t>
  </si>
  <si>
    <t>Latest Releases, the pitch comparison feature no longer works.</t>
  </si>
  <si>
    <t>In a session, you cannot stop uploading tracking and then start it again.</t>
  </si>
  <si>
    <t>Further csv problems reported by Teams &amp; MLB</t>
  </si>
  <si>
    <t>New Audio Panel does NOT distinguish between live and Replay Channels</t>
  </si>
  <si>
    <t>Easy way of matching an Action file to the BSON</t>
  </si>
  <si>
    <t>Can't get Ball Control msg files working on a buffer</t>
  </si>
  <si>
    <t>Post Process data being incorrectly aligned</t>
  </si>
  <si>
    <t>Skeletal data looking incorrect in the output</t>
  </si>
  <si>
    <t>Player position time series problem back in resend</t>
  </si>
  <si>
    <t>Cloud uploader is failing to recover after failing a clip upload due to a but in BPP / BMCA</t>
  </si>
  <si>
    <t xml:space="preserve">VVC instability </t>
  </si>
  <si>
    <t>Not applying specified exposure settings</t>
  </si>
  <si>
    <t>The ability for control to automatically load in cameras launched on spare machines in the case of Tracking PC's failing.</t>
  </si>
  <si>
    <t>BMCA to work with firmware 3.40</t>
  </si>
  <si>
    <t>When exporting a session, the "Exporting Session Status" window, always appears above all others.</t>
  </si>
  <si>
    <t xml:space="preserve">Arcs persisting in control GUI </t>
  </si>
  <si>
    <t>Test Card Input for MCA Applications</t>
  </si>
  <si>
    <t>EPTS - Pitch Calibration</t>
  </si>
  <si>
    <t>Home Run Derby Test 2 - One Home Run missed</t>
  </si>
  <si>
    <t>Magnifier does not work when image resolution is 1280x576</t>
  </si>
  <si>
    <t>EPTS - OMCC GPU Noding</t>
  </si>
  <si>
    <t>BkMCC crashing when enabling 3D Visualiser</t>
  </si>
  <si>
    <t>BMCC can't pair tracking and Gumbo</t>
  </si>
  <si>
    <t>Gumbo events disappearing when zooming in</t>
  </si>
  <si>
    <t>EPTS - BallTrackControl not correct when losing a camera</t>
  </si>
  <si>
    <t>Baseball Analyser - Ball spin graphic improvement</t>
  </si>
  <si>
    <t>The ability to switch to back up LBW cameras (cam 13 and 14) within processing control</t>
  </si>
  <si>
    <t>Start the camera numbering within processing control from 1 instead of 7</t>
  </si>
  <si>
    <t>Reduce the number of camera tile windows to four and introduce a method of populating them</t>
  </si>
  <si>
    <t>Product have informed me that the comms into viewer have changed. A new build of processing control is needed to remove this error message when using the auto no-ball function in the picture below</t>
  </si>
  <si>
    <t>Create a separate speeds GUI</t>
  </si>
  <si>
    <t>Keyboard shortcut to generate random value between a different speed boundary.</t>
  </si>
  <si>
    <t>Keyboard shortcut to switch ends on Processing Control</t>
  </si>
  <si>
    <t>Ability to type in the ball number details</t>
  </si>
  <si>
    <t>Indicator of which file saving engine is connected</t>
  </si>
  <si>
    <t>Send speed files to multiple locations</t>
  </si>
  <si>
    <t>Bookmarking in overs to be able to jump back to key moments</t>
  </si>
  <si>
    <t>San Antonio 12/6 missing skeletal data in contextualized output</t>
  </si>
  <si>
    <t>Throws from the outfield being classified as pitches</t>
  </si>
  <si>
    <t>Accumlated cvid and PostProcess.cvids overwriting themselves?</t>
  </si>
  <si>
    <t>Teams App not working with updated Gumbo</t>
  </si>
  <si>
    <t xml:space="preserve">The timeline starts at 00:00 on 01/01/2000 </t>
  </si>
  <si>
    <t>Gumbo showing wrong game</t>
  </si>
  <si>
    <t>copy_file access is denied error</t>
  </si>
  <si>
    <t>Alignment Tool not outputting data</t>
  </si>
  <si>
    <t>Ball packets in both live and refined player packets</t>
  </si>
  <si>
    <t>No longer removing player roles from output</t>
  </si>
  <si>
    <t>When selecting BGR under DrawImage it give an error saying "No image selected or images not found in context".</t>
  </si>
  <si>
    <t xml:space="preserve">Error when entering court width over 6.1m. </t>
  </si>
  <si>
    <t>Experience a crash when loading in beach volleyball ims. Unable to finish calibration process.</t>
  </si>
  <si>
    <t>GPU and Affinity arn't deployed to replay launch.bat</t>
  </si>
  <si>
    <t>Remote Settings causing BMCC to hang</t>
  </si>
  <si>
    <t>BMCM crashing - BaseballMultiCameraAnalysis_2021-02-23_V1_DW</t>
  </si>
  <si>
    <t>UltraEdge Waveform linked to the 'Video Actual Time' instead of 'Video Target Time'</t>
  </si>
  <si>
    <t>Experiencing poor image quality when launching VVC's connected to nanos and crash's when launching VVC's connected to mantas</t>
  </si>
  <si>
    <t>Missing pitcher on Rubber events from MLB</t>
  </si>
  <si>
    <t>Link writing of BSON and writing data to the Results Store to the In/Out button</t>
  </si>
  <si>
    <t>Add Bangladesh Men's Kits and LegOff Decals (due 18th March)</t>
  </si>
  <si>
    <t>Repeated error message to console causing BMCC to process slowly</t>
  </si>
  <si>
    <t>Task exiting early due to no batter, but there is a batter there</t>
  </si>
  <si>
    <t xml:space="preserve">PIP_Mini feature not working </t>
  </si>
  <si>
    <t>Add ability to play mp4s in Package Builder</t>
  </si>
  <si>
    <t>"no_pitch" as new play event type breaking json</t>
  </si>
  <si>
    <t>BaseballBolsteredTeams;BaseballTeams</t>
  </si>
  <si>
    <t>Baseball Apps not outputting any data when their are errors</t>
  </si>
  <si>
    <t>BMCC not deleting cvids</t>
  </si>
  <si>
    <t>One App that outputs contextualized and uncontextualized data</t>
  </si>
  <si>
    <t>Crash with 2021-02-25_V2_AD_CUDA_11_1_FixBatCrash</t>
  </si>
  <si>
    <t>BaseballMultiCameraAnalysis_2021-03-05_V2_DW_TEST crashing</t>
  </si>
  <si>
    <t>PP crashes on spin tasks 2021-03-02_V1_CS</t>
  </si>
  <si>
    <t>Information on tag corrections better shown on the UI</t>
  </si>
  <si>
    <t>To be able to control the animation/timing of Overlays when using mapped commands</t>
  </si>
  <si>
    <t>Data not always outputting skeletal, bat &amp; post process data in NPT system</t>
  </si>
  <si>
    <t>Per patch csvs have different time to PP tasks</t>
  </si>
  <si>
    <t>Bat tracking looking wrong in centre field camera</t>
  </si>
  <si>
    <t>Daily MLB feedback this week on player tagging</t>
  </si>
  <si>
    <t>BDS 2.0.5 showing Null ball positions in the refined player packets</t>
  </si>
  <si>
    <t>Has increasing the number of bat tracking frames in PP worked?</t>
  </si>
  <si>
    <t>Jumping catcher</t>
  </si>
  <si>
    <t>HFR cameras processing slowly</t>
  </si>
  <si>
    <t>3D Ruler text can be read Billboard style, where the text moves with the camera</t>
  </si>
  <si>
    <t xml:space="preserve">More Photorealism in how Balls are displayed in Unreal </t>
  </si>
  <si>
    <t>When trying to output live skeletal data for the Teams, duplicate JSONs are output</t>
  </si>
  <si>
    <t>Location Support changes causing stream lag</t>
  </si>
  <si>
    <t>Length % animation - default should be off</t>
  </si>
  <si>
    <t xml:space="preserve">Australia Women's T20 Kit </t>
  </si>
  <si>
    <t>EPTS - Dropped frames when completing certain actions in OMCC</t>
  </si>
  <si>
    <t>EPTS - Crashes on 3090 GPU</t>
  </si>
  <si>
    <t>EPTS - OMCM Issue when disabling a camera in SMART file</t>
  </si>
  <si>
    <t>EPTS - OMCC Crash</t>
  </si>
  <si>
    <t>EPTS - Camera Coverage view to be easier to access</t>
  </si>
  <si>
    <t>Making the spin cutouts bigger</t>
  </si>
  <si>
    <t>Include version name in BDS software console</t>
  </si>
  <si>
    <t>IPL change in playing conditions</t>
  </si>
  <si>
    <t>Genlock tag shows as OFF when using PTP</t>
  </si>
  <si>
    <t>Maps Branding Clashing</t>
  </si>
  <si>
    <t>Launching VVC's that are accessing mantas shared buffer results in an immediate crash. (VVC's 19/20)</t>
  </si>
  <si>
    <t>Control logic for doubles serves is incorrect</t>
  </si>
  <si>
    <t>Court Level not correct in Miami map</t>
  </si>
  <si>
    <t xml:space="preserve">EPTS - Liverpool v Fulham Incorrect Player Tracking </t>
  </si>
  <si>
    <t>Hawk Control crashes when saving new Camera Presets</t>
  </si>
  <si>
    <t>Change material of 3D text/add non-metallic option</t>
  </si>
  <si>
    <t>Saving new templates doesn't save to Story Templates</t>
  </si>
  <si>
    <t>Output screenshots save as blank/black image</t>
  </si>
  <si>
    <t>HawkVR Control flipping stats flips the stat balls and presets but not overlays</t>
  </si>
  <si>
    <t>Data not outputting when using Body29 version of BMCC</t>
  </si>
  <si>
    <t>One BSON breaking output - looks to be hit related</t>
  </si>
  <si>
    <t>Bad BSON breaking the output - bal.sampler.assembler</t>
  </si>
  <si>
    <t>EPTS - Auto Offside Logic for the ball as the defensive line</t>
  </si>
  <si>
    <t>EPTS - Auto Offside Logic 2</t>
  </si>
  <si>
    <t>EPTS - Auto Offside Logic 3</t>
  </si>
  <si>
    <t>EPTS - Auto Offside Logic 4</t>
  </si>
  <si>
    <t>Error in PP to show if Pitch model.json is different</t>
  </si>
  <si>
    <t>EPTS - 03_25_Daytona_EPTS Release. dll errors on CUDA11.exe</t>
  </si>
  <si>
    <t>Glitching of graphics within story</t>
  </si>
  <si>
    <t>Incorrect spacing between letters of 3D text</t>
  </si>
  <si>
    <t>Balls don't rise up in time with stalks</t>
  </si>
  <si>
    <t>Set Initial Lens option doesn't save - (Set Lens from Current Parameters)</t>
  </si>
  <si>
    <t>Remove BDS error output for 4 Teams Bolstered</t>
  </si>
  <si>
    <t>Remove BDS errors on Teams systems</t>
  </si>
  <si>
    <t>Digital Gain to be auto</t>
  </si>
  <si>
    <t>No Out Call for Lob Case</t>
  </si>
  <si>
    <t>EPTS - Context Frame Size Error</t>
  </si>
  <si>
    <t>IPL New Playing Regulations UPDATED</t>
  </si>
  <si>
    <t>Split Screen mode removes court lines in left camera</t>
  </si>
  <si>
    <t>MultiDataCollection needs to have Post Process results file path to be able to replay data</t>
  </si>
  <si>
    <t>Prioritising spin and release tasks</t>
  </si>
  <si>
    <t>25g cameras flash black at 199us, and then exposure gets stuck</t>
  </si>
  <si>
    <t>Ability to save layouts of BMCA, BMCC, PP etc</t>
  </si>
  <si>
    <t>Change wording of some error messages</t>
  </si>
  <si>
    <t>Per patch csv to be incorporated into the Teams system</t>
  </si>
  <si>
    <t>BaseballBolsteredTeams;BaseballTeams;MulticamPostProcess</t>
  </si>
  <si>
    <t>Sync tool to be Enable and Disabled not just toggle</t>
  </si>
  <si>
    <t>Sync tool to run mapped commands Finish/close sync tool</t>
  </si>
  <si>
    <t>Orange Offside Icon to show close onsides as well as close offsides - EPTS</t>
  </si>
  <si>
    <t>EPTS - Metric for Player Tracking confidence within SMARTViewer</t>
  </si>
  <si>
    <t>EPTS - Camera tiles in viewer to show pink static calibration</t>
  </si>
  <si>
    <t>EPTS Viewer - Timeline Filters / Commands</t>
  </si>
  <si>
    <t>EPTS - HawkVideoPlayer / MSG CVID compatibility</t>
  </si>
  <si>
    <t>EPTS / Auto Offside - Tracking to Epipolar</t>
  </si>
  <si>
    <t>EPTS - 'P' Player Selection Mode not correct</t>
  </si>
  <si>
    <t>Use fps and fps/s for velocity and acceleration in Team systems</t>
  </si>
  <si>
    <t>Throw detected as a pitch - change of pitch detection criteria needed?</t>
  </si>
  <si>
    <t>HawkVR Crashes when mode is set to Hawkeye Output</t>
  </si>
  <si>
    <t>When saving a .STORY file, it should save the data packets and the .template file with it</t>
  </si>
  <si>
    <t>The arrival type 'ARRIVAL_HIT_NET' doesn't seem to work</t>
  </si>
  <si>
    <t>No Fault Call following a Double Net Cord</t>
  </si>
  <si>
    <t>O2 Arena Model Changes</t>
  </si>
  <si>
    <t>Paris Model - Outer court texture doesn't match inner court texture</t>
  </si>
  <si>
    <t>Seeing doubles shadows on stalks</t>
  </si>
  <si>
    <t>Caliper missing points at end of line, wiggly lines appearing and model not scaling well</t>
  </si>
  <si>
    <t>Animating Arrow Overlay - Measures the difference between 2 points or balls</t>
  </si>
  <si>
    <t>Multiple Radii - missing circle ball centre finder loop filters</t>
  </si>
  <si>
    <t>Ability to deploy TSS Locations &amp; Network Priority IDs</t>
  </si>
  <si>
    <t>The ability to use the Enter key as a hotkey is broken</t>
  </si>
  <si>
    <t>Change colour of label from ATP 1000 gold to ATP Finals Blue</t>
  </si>
  <si>
    <t>Change to DataBridge Suppression Time</t>
  </si>
  <si>
    <t>Add feedback that the "abort" command has been successful in AutoVR</t>
  </si>
  <si>
    <t>Record Key Presses in DataBridge</t>
  </si>
  <si>
    <t>Unlimited SMART Coach HTTPPost recipients</t>
  </si>
  <si>
    <t>Poor Sequence Joining - Arc going through the Ground</t>
  </si>
  <si>
    <t>SMART ELASTIC To be shareable and filtered</t>
  </si>
  <si>
    <t>Configurator Sync time for OFFLINE PCS</t>
  </si>
  <si>
    <t>Football;Rugby</t>
  </si>
  <si>
    <t>Confirmation for Layout Slaving</t>
  </si>
  <si>
    <t>Bug in Mixing and Blending</t>
  </si>
  <si>
    <t>Add Key Command option for Toggling On/Off Dynamic Lighting Intensity</t>
  </si>
  <si>
    <t>The balls that are saved in .STORY files more easily identifiable</t>
  </si>
  <si>
    <t>Tennis: TCP Command on Key Press in Viewer NEEDED BY JANUARY</t>
  </si>
  <si>
    <t>Can't set untagged stat colour</t>
  </si>
  <si>
    <t>Combining stories either consecutively or concurrently is broken</t>
  </si>
  <si>
    <t>Control camera list rearranging to put active cameras first</t>
  </si>
  <si>
    <t>Wagonwheel scoring areas to match Cricket VR</t>
  </si>
  <si>
    <t>Setting a Biomechanics Point in HawkVR crashes HawkVR Control</t>
  </si>
  <si>
    <t>Viewer Crashes when you have multiple tiles in output and you move a tile to an empty space</t>
  </si>
  <si>
    <t>'Drawn' tag in modelpoints.ini not drawing</t>
  </si>
  <si>
    <t>ALL applications to include a "are you sure you want to close" pop up</t>
  </si>
  <si>
    <t xml:space="preserve">Upper and Lower Limit Checked Diameter for Directed IE </t>
  </si>
  <si>
    <t>Difference Imaging Mask for Edge Finding</t>
  </si>
  <si>
    <t>Carrying Out 2 Walks of the Line</t>
  </si>
  <si>
    <t>The "Covert to interlace" tick box in both VVC and Streamer ruins audio if the ingest in 60P</t>
  </si>
  <si>
    <t>Cannot send via HTTP Post to Cricket Australia</t>
  </si>
  <si>
    <t>Treetop rending glitch</t>
  </si>
  <si>
    <t>Fix Biomechanics in HawkVR Control</t>
  </si>
  <si>
    <t>Layout presets for TMCA</t>
  </si>
  <si>
    <t>Focus Peaking</t>
  </si>
  <si>
    <t>Bug - Looping with offscreen tiles - some cameras frozen</t>
  </si>
  <si>
    <t>Sending data to a second Control</t>
  </si>
  <si>
    <t xml:space="preserve">Export File path production  NOT applying correctly on launch </t>
  </si>
  <si>
    <t>How many Cameras are left to sync on a custom button</t>
  </si>
  <si>
    <t xml:space="preserve">Improve the look and feel of the sync tool </t>
  </si>
  <si>
    <t>Poly RD calibration not being modelled correctly</t>
  </si>
  <si>
    <t xml:space="preserve">Line finding on obscured model points </t>
  </si>
  <si>
    <t>Switching between MENS &amp; WOMENS mode requires restart</t>
  </si>
  <si>
    <t>Warning message for TRJ files with no pitch dimensions</t>
  </si>
  <si>
    <t>Save Trj &amp; Average Traj functions remove a lot of trj data points</t>
  </si>
  <si>
    <t>Player tracking and ball tracking target fps wrong way around on UI</t>
  </si>
  <si>
    <t>Wicket and grass texture quality has diminished</t>
  </si>
  <si>
    <t>Stripey text appearing above balls</t>
  </si>
  <si>
    <t>Option to not show people within player mask</t>
  </si>
  <si>
    <t>Crashes BMCA 01.29_V2</t>
  </si>
  <si>
    <t>Crash BMCC 01-28-V1</t>
  </si>
  <si>
    <t>Ball data in positional packets</t>
  </si>
  <si>
    <t>Removes balls overlapping lines in Control - TMCA improvements</t>
  </si>
  <si>
    <t>Control loop filters for mosaics - TMCA</t>
  </si>
  <si>
    <t>Control camera status bar colour warnings from Analysis</t>
  </si>
  <si>
    <t>TMCM freezing often</t>
  </si>
  <si>
    <t>TMCA GUI changes - Tennis tabs</t>
  </si>
  <si>
    <t>Sending a mosaic for missing frames</t>
  </si>
  <si>
    <t>Track lines on top and bottom of the ball mosaics</t>
  </si>
  <si>
    <t xml:space="preserve">Cannot play mp4s in PB </t>
  </si>
  <si>
    <t>Revert to normal greylevel for exposure if lines are not visible</t>
  </si>
  <si>
    <t>Ability to stop Control processing / Analysis from sending data</t>
  </si>
  <si>
    <t>Change position of of sun direction triangle to be in line with doubles net posts</t>
  </si>
  <si>
    <t>JSON Converter not producing usable Trj Files for PlayerStats</t>
  </si>
  <si>
    <t>PlayerStats</t>
  </si>
  <si>
    <t>HE Live Tracking Issues</t>
  </si>
  <si>
    <t>Investigate Min 2D ball track size</t>
  </si>
  <si>
    <t>Add line masking to TMCA pipeline</t>
  </si>
  <si>
    <t>Rally distance used for serve due to "not first bounce" from previous sequence</t>
  </si>
  <si>
    <t>TennisBallTrackControl controlconfig.json crash</t>
  </si>
  <si>
    <t>Building different model_points.inis for each camera in your production</t>
  </si>
  <si>
    <t xml:space="preserve">Ability to take a reference image </t>
  </si>
  <si>
    <t>2 separate but identical nodes in story template editor</t>
  </si>
  <si>
    <t>SMART ELASTIC &gt; Construct Rugby Elastic panel UI for citing</t>
  </si>
  <si>
    <t>SMART Draw - To be able to assign a draw bookmark to a bookmark group automatically  when two bookmark groups are inplay</t>
  </si>
  <si>
    <t>SMART DRAW - to be able to recall smart draw bookmarks when only a output is present in layout</t>
  </si>
  <si>
    <t>SMARTData;SMARTViewer</t>
  </si>
  <si>
    <t>Map Clashing</t>
  </si>
  <si>
    <t>Main and Spare Controls crashing simultaneously</t>
  </si>
  <si>
    <t>TMCA template changes</t>
  </si>
  <si>
    <t>Latest BaseballBolsetredTeams and BaseballTeams app as an exe</t>
  </si>
  <si>
    <t xml:space="preserve">Enable "All Views" as a togglable function </t>
  </si>
  <si>
    <t>Ability to add a Watermark to Streamer Output</t>
  </si>
  <si>
    <t>BUG - Number of Monitor=2 and Window Mode  - Launches on 1 monitor</t>
  </si>
  <si>
    <t>SMART ELASTIC - "go_to_elastic_bookmark" + "load_elastic_bookmark" do not work</t>
  </si>
  <si>
    <t>SMART ELASTIC - BUG - + ICON is always Selected</t>
  </si>
  <si>
    <t>SMART ELASTIC - Highlighted bookmarks</t>
  </si>
  <si>
    <t>SMART ELASTIC - Be able to assign the Elastic Panel to a location</t>
  </si>
  <si>
    <t>SMART ELASTIC - Rename Location Column to TSS Location</t>
  </si>
  <si>
    <t>Add Shadowwoman to HawkVR</t>
  </si>
  <si>
    <t>False Selection of Camera tiles across layouts</t>
  </si>
  <si>
    <t>BasbeallMultiCameraAnalysis.json does not apply on a per camera basis</t>
  </si>
  <si>
    <t>BDS shows "Analysis" as the software type</t>
  </si>
  <si>
    <t>BaseballDataServer;SMARTConfigurator</t>
  </si>
  <si>
    <t>Editing pitch mask in BMCA</t>
  </si>
  <si>
    <t>Groundballs/choppers/bunt issues</t>
  </si>
  <si>
    <t>Throws tracked as pitches</t>
  </si>
  <si>
    <t>BMCC high latency improvement</t>
  </si>
  <si>
    <t>Static ball improvements</t>
  </si>
  <si>
    <t>Track ball below ground</t>
  </si>
  <si>
    <t>Ball appearing black and struggling to track</t>
  </si>
  <si>
    <t>HawkVR output resize disconnects from HEO</t>
  </si>
  <si>
    <t>HawkEyeOutput;HawkVR</t>
  </si>
  <si>
    <t>Motion blur not working properly</t>
  </si>
  <si>
    <t>Ball loops but no track</t>
  </si>
  <si>
    <t>BMCA 8 (spin camera) processing slowly when coaches are in the image</t>
  </si>
  <si>
    <t>AutoVR zooming in for line calls at intersections showing misleading results</t>
  </si>
  <si>
    <t>Offset function does not work</t>
  </si>
  <si>
    <t xml:space="preserve">Horizontal scroll glitches </t>
  </si>
  <si>
    <t xml:space="preserve">CDS scroll jumps and skips deliveries </t>
  </si>
  <si>
    <t>Heatmaps on HawkVR</t>
  </si>
  <si>
    <t>Subset query of leading stats</t>
  </si>
  <si>
    <t>Ground plane mask to use the actual calibration instead of initial calibration</t>
  </si>
  <si>
    <t>Logger improvments</t>
  </si>
  <si>
    <t>Seperate "Deploy" and "Backup Applications" buttons on UI</t>
  </si>
  <si>
    <t>Tracking logo on the bat; coming through as a Hit</t>
  </si>
  <si>
    <t>Release points in TEX</t>
  </si>
  <si>
    <t>No Release point graphics for 50fps cameras</t>
  </si>
  <si>
    <t>Turning off shadowman using Overlay Mix breaks it</t>
  </si>
  <si>
    <t>LBW AR balls look washed out</t>
  </si>
  <si>
    <t>Not all .bsons being archived after output</t>
  </si>
  <si>
    <t>In-game reprocessing of release</t>
  </si>
  <si>
    <t>Ad/Deuce/Rally Pop Up for AutoVRTrj</t>
  </si>
  <si>
    <t>SMARTGFx LBW Graphics turn on/off at the wrong time</t>
  </si>
  <si>
    <t>Cannot extend length zones beyond the stumps</t>
  </si>
  <si>
    <t>Court surface texture on Indian Wells Map is Incorrect</t>
  </si>
  <si>
    <t>Trajectory is being segmented near the end close to the ball</t>
  </si>
  <si>
    <t>Improvement of depth of field for transparent objects</t>
  </si>
  <si>
    <t>Spin result - BOS</t>
  </si>
  <si>
    <t>Save/Load image quality presets in BMCA</t>
  </si>
  <si>
    <t>Draw Overlay tick box on Camera tab</t>
  </si>
  <si>
    <t>Add Dunlop Logo to Ball Objects and Chair Sponsor</t>
  </si>
  <si>
    <t>Ad boards need extending along back wall</t>
  </si>
  <si>
    <t>Add Sponsors to Campo Centrale Map</t>
  </si>
  <si>
    <t>A worn clay surface option</t>
  </si>
  <si>
    <t>Yellow ring surrounds clay surface</t>
  </si>
  <si>
    <t>Max exposure / gain warning</t>
  </si>
  <si>
    <t>Upgrade Video Servers</t>
  </si>
  <si>
    <t>Pan&amp;ScanReplay;Pan&amp;ScanTracking</t>
  </si>
  <si>
    <t>Add Wireframe model and Nudge Arrow</t>
  </si>
  <si>
    <t>4K Challenge Froze with no warning</t>
  </si>
  <si>
    <t>HawkVR Crashes when loading in larger maps (Rome/Indian Wells)</t>
  </si>
  <si>
    <t>Rome Model - ATP Net Text swapped to other side, facing camera 1</t>
  </si>
  <si>
    <t>Rome Model - Sponsor \ Object Changes</t>
  </si>
  <si>
    <t>Rome Model - Lighting Changes</t>
  </si>
  <si>
    <t>Inconsistent spacing of text overlay</t>
  </si>
  <si>
    <t>Remove Pose Curve error message from BMCC</t>
  </si>
  <si>
    <t>Have just one Session folder when a game goes over 2 dates</t>
  </si>
  <si>
    <t>Split Screen mode doesn't render objects fully</t>
  </si>
  <si>
    <t>Line that indicates hit point zones doesn't disappear when clearing story</t>
  </si>
  <si>
    <t>Side on play through in VR doesn’t work</t>
  </si>
  <si>
    <t>Databridge to trigger URL call for iHawk</t>
  </si>
  <si>
    <t>VR to be able to read in an mp4</t>
  </si>
  <si>
    <t>TennisVR to monitor archive location</t>
  </si>
  <si>
    <t>BMCA crash 2020-09-04-V1_JS_TEAMS_IKImprovements</t>
  </si>
  <si>
    <t>Stalk Colour not matching balls</t>
  </si>
  <si>
    <t>The wider the camera angle, the lower the FPS</t>
  </si>
  <si>
    <t>SlaveVR Crashes sporadically</t>
  </si>
  <si>
    <t>When CricketVR crashes, HawkVR doesn't take over HEO</t>
  </si>
  <si>
    <t>CricketVR;HawkEyeOutput;HawkVR</t>
  </si>
  <si>
    <t>UNLOAD TRAJECTORY shortcut broken</t>
  </si>
  <si>
    <t>Bat tracking stats in visualiser</t>
  </si>
  <si>
    <t>Baseball Visualiser</t>
  </si>
  <si>
    <t>Caliper Court Length Doesn’t Match Model Lines</t>
  </si>
  <si>
    <t>Bat tasks not calculating speeds</t>
  </si>
  <si>
    <t>Pitch tracked as throw - tracking ball in hand</t>
  </si>
  <si>
    <t>NYY skeletal tracking feedback</t>
  </si>
  <si>
    <t>Analysis hang after capture</t>
  </si>
  <si>
    <t>Differing bat speeds between PP and BMCC</t>
  </si>
  <si>
    <t>Error reporting of differing frame rates</t>
  </si>
  <si>
    <t>Entering tracking mode in camera control causes that camera tile window to flicker a blue overlay in SMART Viewer</t>
  </si>
  <si>
    <t>CameraControl;GFXServer;SMARTViewer</t>
  </si>
  <si>
    <t>BMCM will crash if it can't find the bookmarks folder</t>
  </si>
  <si>
    <t>Player position data "flicker"</t>
  </si>
  <si>
    <t>Seperate sun and shadow settings</t>
  </si>
  <si>
    <t>Player "flicker" and tagging errors</t>
  </si>
  <si>
    <t>Failed release tasks with 2020-09-23_V1_WB_TEAMS</t>
  </si>
  <si>
    <t>Display bug with Release points in PP</t>
  </si>
  <si>
    <t>Add perimeter max initial loop (in addition to perimeter min)</t>
  </si>
  <si>
    <t>Projecting ball scaling in analysis</t>
  </si>
  <si>
    <t>Caliper to Output 3 Lengths</t>
  </si>
  <si>
    <t>Integrate Baseball Caliper Clicking in Sponsors Boards into Tennis</t>
  </si>
  <si>
    <t>slave not moving the same as the main</t>
  </si>
  <si>
    <t>Draw predicted/fake ball residuals in Analysis</t>
  </si>
  <si>
    <t>Draw expected ball size when clicking on the centre of a ball</t>
  </si>
  <si>
    <t>Nursery/Pavilion End Lighting broken</t>
  </si>
  <si>
    <t>Pavilion end stripey tombstone title feature appears below ground</t>
  </si>
  <si>
    <t>Grass Rendering Changes Too Drastically Based on Changing Camera Position</t>
  </si>
  <si>
    <t>Story-based Traj Appearance</t>
  </si>
  <si>
    <t>Stop at Quickest Mix Type doesn't work</t>
  </si>
  <si>
    <t>Triggering SMART Graphics using Story Template Editor Overrides is broken</t>
  </si>
  <si>
    <t>Make setting Presets easier!</t>
  </si>
  <si>
    <t>BMCM Crashes</t>
  </si>
  <si>
    <t>Virtual model doesn't load on launch</t>
  </si>
  <si>
    <t>Paris Masters Model</t>
  </si>
  <si>
    <t>Hit track and landing in different places</t>
  </si>
  <si>
    <t>Half volley - no bounce event</t>
  </si>
  <si>
    <t>Drag window Title Bar Buttons can be removed</t>
  </si>
  <si>
    <t>HawkVR stripey colour doesn't extend past the stumps</t>
  </si>
  <si>
    <t>Bat tracking data from SEA</t>
  </si>
  <si>
    <t>Varied exposure values causing PTP sync problems</t>
  </si>
  <si>
    <t>White image with only draw antiwobble frames on startup</t>
  </si>
  <si>
    <t>Skeletal.csv produced by Post Process</t>
  </si>
  <si>
    <t>Max timestamping error masking the IRIG sync error</t>
  </si>
  <si>
    <t>Hawk-Eye Live Tracking Improvements</t>
  </si>
  <si>
    <t>Issue with Volume Mask being from a Birds-Eye Perspective</t>
  </si>
  <si>
    <t>Re-Opening DSLR Photos gives a Red Line in the Review Tab which was Green when the Calib was done initially, and a different Court Length</t>
  </si>
  <si>
    <t>Changing Brightness in the Settings doesn't seem to do anything</t>
  </si>
  <si>
    <t>PP Crash - 2020-06-05-V1-AD</t>
  </si>
  <si>
    <t>0.bson generated in the Bolstered System</t>
  </si>
  <si>
    <t>BMCM crash - 2020-06-10_V1_JS</t>
  </si>
  <si>
    <t>BMCA crashing due to image size error, then crashing on Launch</t>
  </si>
  <si>
    <t>Small Fixes Required for current basbeall visuliser - High prioruty 1st game on friday 19th</t>
  </si>
  <si>
    <t>Content to be displayed on the visualizer for Swallows</t>
  </si>
  <si>
    <t>SRO crashes when on a PC with no GPU even when the GPU settings have been disabled</t>
  </si>
  <si>
    <t>PP Crash - 2020-06-05-V1-AD in CLE TIG system</t>
  </si>
  <si>
    <t>SFG - some clips producing no Skeletal data</t>
  </si>
  <si>
    <t>BMCC crashing when Generating final data</t>
  </si>
  <si>
    <t xml:space="preserve">BMCC 2020-06-17_FG not generating final data </t>
  </si>
  <si>
    <t>PP to read in saved cvids</t>
  </si>
  <si>
    <t>Visualiser Improvments - "Browse and Open" function when opening local resultsstore.db's</t>
  </si>
  <si>
    <t>Visualiser Improvement - Starting/Stopping a Game</t>
  </si>
  <si>
    <t>Baseball Visualiser Improvement - Recording to disk visibility</t>
  </si>
  <si>
    <t>Baseball Visualiser - Windows Toolbar Icon</t>
  </si>
  <si>
    <t>Incorrect radius selected for certain data points</t>
  </si>
  <si>
    <t>Gave HE Live out call for second bounce after a rally</t>
  </si>
  <si>
    <t>BMCM_Crash</t>
  </si>
  <si>
    <t>RenfineFromLines causing dropped frames</t>
  </si>
  <si>
    <t>Rotation node set prior to launching causing dropped frames</t>
  </si>
  <si>
    <t>BaseballBolsteredTeams app Venue ID max value = 100</t>
  </si>
  <si>
    <t>BMCC - Error message when failing to write out data</t>
  </si>
  <si>
    <t>Missed bounce - double net cord</t>
  </si>
  <si>
    <t>BMCC not to create tasks when writing to disk OFF or PP to recognise writing to disk is OFF</t>
  </si>
  <si>
    <t>Templates not showing as failed when below threshold</t>
  </si>
  <si>
    <t>Archive error on data output</t>
  </si>
  <si>
    <t>Erratic spin values reported by Clients with the Japan system</t>
  </si>
  <si>
    <t>BMCC needs to be able to send Post Process results to MLBBaseballData Server</t>
  </si>
  <si>
    <t>MulticamAnalysis;MulticamPostProcess;SMARTConfigurator</t>
  </si>
  <si>
    <t>Change Log</t>
  </si>
  <si>
    <t>Warning for different images sizes</t>
  </si>
  <si>
    <t>Change Neural network loading to a percentage complete</t>
  </si>
  <si>
    <t>Configurator crashing on a Launch All button</t>
  </si>
  <si>
    <t>BDS doesn't connect to TSS when network discovery set to True</t>
  </si>
  <si>
    <t xml:space="preserve">Launch/Kill Only mode </t>
  </si>
  <si>
    <t>Set lighting direction</t>
  </si>
  <si>
    <t>Replace "Launch direction (Horizontal)" by "Hit contact point (Y)" in the visualiser.</t>
  </si>
  <si>
    <t>Abort Command for Auto VR - Trigger Feature</t>
  </si>
  <si>
    <t>'Ignore First Serve' button on GUI doesn't function</t>
  </si>
  <si>
    <t>Remove BMCA/BMCC error message about patch removal</t>
  </si>
  <si>
    <t>Export function and Applying settings to work for .properties files</t>
  </si>
  <si>
    <t>MLB Data Server improvments</t>
  </si>
  <si>
    <t>Remove Auto Ball settings tick box and Copy Auto to Manual from the UI</t>
  </si>
  <si>
    <t>Add Close Call &amp; Bounce Count "Tests" to TSLAV</t>
  </si>
  <si>
    <t>TennisSLAVerifier</t>
  </si>
  <si>
    <t>When changing cameras the bookmarks update</t>
  </si>
  <si>
    <t>Min exposure setting in BMCA</t>
  </si>
  <si>
    <t>Visualizer crashes during operations (crash logs attached)</t>
  </si>
  <si>
    <t>Poor spin fit with "submarine" pitchers</t>
  </si>
  <si>
    <t>Ability to direct specific task to specific Post Process instances</t>
  </si>
  <si>
    <t>Pitcher throw sent as pitch</t>
  </si>
  <si>
    <t>Taskbar Icon for Ball Control</t>
  </si>
  <si>
    <t>Post Process data from a resend has the Play_ID of the previous send</t>
  </si>
  <si>
    <t>BMCA crash when drawing Templates</t>
  </si>
  <si>
    <t>Poor spin fits</t>
  </si>
  <si>
    <t>Multipipeline frame drops in TIG control</t>
  </si>
  <si>
    <t>Using ball positions to calibrate cameras</t>
  </si>
  <si>
    <t>Caliper;MulticamAnalysis</t>
  </si>
  <si>
    <t>Ball data doesn't look right after hitting the wall</t>
  </si>
  <si>
    <t>NO_BAYER stops auto exposure</t>
  </si>
  <si>
    <t>PP Crash BaseballPostProcess_2020-07-29_V1_AD</t>
  </si>
  <si>
    <t>Frame rate processor going wrong</t>
  </si>
  <si>
    <t>BMCM not showing loops when clicking on the ball, or showing very small loops</t>
  </si>
  <si>
    <t>BMCM crash 2020-07-29_V2_JS</t>
  </si>
  <si>
    <t>Orientation Widget no Longer Shows Court Diagram</t>
  </si>
  <si>
    <t>Remove Image at DSLR stage doesn’t work</t>
  </si>
  <si>
    <t>Volume Masks Do Not Automatically Update to match calibration</t>
  </si>
  <si>
    <t>Masks do not save</t>
  </si>
  <si>
    <t>Regenerate Masks does not Work</t>
  </si>
  <si>
    <t>Text for the Next and Previous Step is Wrong</t>
  </si>
  <si>
    <t>Model Outline at Review Stage, Too Zoomed</t>
  </si>
  <si>
    <t xml:space="preserve">Prop thresh potentially causing drop frames </t>
  </si>
  <si>
    <t xml:space="preserve">Foul balls showing up as throws </t>
  </si>
  <si>
    <t>Two arm strength values for the catcher</t>
  </si>
  <si>
    <t>Crash BMCA 2020-07-30_V2_RB_MLB</t>
  </si>
  <si>
    <t>Visuliser Crashes During Match</t>
  </si>
  <si>
    <t>PP not tracking the baseball seams properly</t>
  </si>
  <si>
    <t>Skeletal tasks stopping at 97% and then timing out</t>
  </si>
  <si>
    <t>Use Additional Graphics on VR Gui Tick Box not working on new VR version</t>
  </si>
  <si>
    <t>Remove bat task tick box from BMCC UI</t>
  </si>
  <si>
    <t>No Pitcher On Rubber</t>
  </si>
  <si>
    <t>AutoVR trigger delay</t>
  </si>
  <si>
    <t>Process spin and release during warm up</t>
  </si>
  <si>
    <t>"visible" function on HawkVR Control GUI does not work.</t>
  </si>
  <si>
    <t>BMCA 2020-08-18_V1_JS Crash</t>
  </si>
  <si>
    <t>Teams system - pitches incorrectly defined as practice</t>
  </si>
  <si>
    <t>Teams system - incorrect player classification</t>
  </si>
  <si>
    <t>Deflections arcs causing BaseballBolsteredApp problems</t>
  </si>
  <si>
    <t>Last .bson / .json in Teams system is huge in size</t>
  </si>
  <si>
    <t>Creaselines aliasing when moving</t>
  </si>
  <si>
    <t>Warm up pitches missing from PP Queue / pitches being removed from the queue?</t>
  </si>
  <si>
    <t>Smart graphic too large in chrome</t>
  </si>
  <si>
    <t>Incorporate the extra DSLR photos into the Baseball Caliper</t>
  </si>
  <si>
    <t>SQL Chroma Key Stat '2nd Serves Unreturned' gives incorrect value</t>
  </si>
  <si>
    <t>Heartbeat challenge audio plays through when additional is not on</t>
  </si>
  <si>
    <t>TDS combining points after an overturned challenge.</t>
  </si>
  <si>
    <t>TennisDataServer</t>
  </si>
  <si>
    <t>Analysis Software Crashing - Aus Open 2020</t>
  </si>
  <si>
    <t>Analysis Checks Event Logs for NiC Drop Outs</t>
  </si>
  <si>
    <t xml:space="preserve">Delete some columns of GTT csv's </t>
  </si>
  <si>
    <t>Less Ball Mosiacs in centre field camera</t>
  </si>
  <si>
    <t>Adding team lists requires a key not available on tablets</t>
  </si>
  <si>
    <t>Ending match doesn't end innings and output</t>
  </si>
  <si>
    <t>Add a Launch_Replay_Data_Sending.bat to be deployed for BMCC</t>
  </si>
  <si>
    <t>Camera 11 and 12 not included in the MultiDataCollection.json in BMCC</t>
  </si>
  <si>
    <t>Accumulated cvid not included in the MultiDataCollection.json</t>
  </si>
  <si>
    <t>TDS failing validations on tests 19, 20, 21 and 22 when using the ITF director feed.</t>
  </si>
  <si>
    <t>TennisDataServer;TennisSLAVerifier</t>
  </si>
  <si>
    <t>Centre Line Width not written to model points</t>
  </si>
  <si>
    <t xml:space="preserve">X-direction Serve Line Nudge Affects Y-Direction of Serve Line </t>
  </si>
  <si>
    <t>Contents of "References" folder not deploying</t>
  </si>
  <si>
    <t>Wrong tag controlling setting for cameras included in Release task</t>
  </si>
  <si>
    <t>Add ability to use TSS Locations to Tennis Software</t>
  </si>
  <si>
    <t>Analysis;Configurator (Old tracking);Control;RTTDataBridge;TennisVR</t>
  </si>
  <si>
    <t>Ability to edit the pitch mask in BMCA</t>
  </si>
  <si>
    <t>Button on GUI to Toggle Rendering On and Off</t>
  </si>
  <si>
    <t>Add key command option for Toggle rendering on and off</t>
  </si>
  <si>
    <t>A test map, which reading BCC calibration</t>
  </si>
  <si>
    <t>Correction Mode doesn't work in conjunction with final decision graphics</t>
  </si>
  <si>
    <t>Enable/Disable all for writing disk on BMCC doesn't change all cameras</t>
  </si>
  <si>
    <t>//Harris in the .cal.json is causing issues for MLB</t>
  </si>
  <si>
    <t>Poor spin fitting examples</t>
  </si>
  <si>
    <t>Epipolar Points don't appear</t>
  </si>
  <si>
    <t>"Save and Exit" feature in BMCA</t>
  </si>
  <si>
    <t>Write out Strike Zone differences to logs</t>
  </si>
  <si>
    <t>Monitoring causing PP to crash</t>
  </si>
  <si>
    <t>Launch_replay-Data.bat generated on deploy</t>
  </si>
  <si>
    <t>Monitoring to have a status bar when creating a clip</t>
  </si>
  <si>
    <t>Bookmarks not appearing in Monitoring</t>
  </si>
  <si>
    <t>Monitoring doesn't show antiwobble patches</t>
  </si>
  <si>
    <t>Dealing with black ball in spin camera</t>
  </si>
  <si>
    <t>Ability to Ignore Game State</t>
  </si>
  <si>
    <t>Make Epiolar graphics same as model points</t>
  </si>
  <si>
    <t>Add Release images to mosaics for web server</t>
  </si>
  <si>
    <t>Add new Apps to configurator</t>
  </si>
  <si>
    <t>TDS updates correct server icon in SMART GFX too late as it waits until next point is scored by umpire.</t>
  </si>
  <si>
    <t>SMARTGFx;TennisDataServer</t>
  </si>
  <si>
    <t>Static ball - live position feedback</t>
  </si>
  <si>
    <t xml:space="preserve">CVB Input has no Offset </t>
  </si>
  <si>
    <t>Adding predicted ball positions to missing frames in accurate bounce</t>
  </si>
  <si>
    <t>Centring turned off automatically when Nudging</t>
  </si>
  <si>
    <t>No anitwobble reference image selected in slave replay</t>
  </si>
  <si>
    <t>Cross Hairs Within VVC</t>
  </si>
  <si>
    <t>Click in Ball &amp; Generate Interpolated Frames</t>
  </si>
  <si>
    <t>PP queue to highlight spin results with fit error &gt; 0.70</t>
  </si>
  <si>
    <t>Ability through the UI to switch BDS mode between Live and Replay</t>
  </si>
  <si>
    <t>Per patch residual don't reset after a 2D nudge</t>
  </si>
  <si>
    <t>Issues zooming in to Ball Mosiacs</t>
  </si>
  <si>
    <t>Duplicate outfield players in Seattle reprocess</t>
  </si>
  <si>
    <t>Can't relaunch software after killing it</t>
  </si>
  <si>
    <t xml:space="preserve">Scrolling message in console window </t>
  </si>
  <si>
    <t>Add Gamma to Ops UI</t>
  </si>
  <si>
    <t>Change nudging in back to right click</t>
  </si>
  <si>
    <t>Can't remove cuboid</t>
  </si>
  <si>
    <t>Graphics for Templates antiwobble</t>
  </si>
  <si>
    <t>Templates antiwobble settings not in repo</t>
  </si>
  <si>
    <t>Residuals appear to come from top left corner of the image</t>
  </si>
  <si>
    <t>Add a bat tab to BMCC</t>
  </si>
  <si>
    <t>Message file playback through Slave Replay Viewer</t>
  </si>
  <si>
    <t>BMCA 2020-04-02-V2_FG_TEST crashing</t>
  </si>
  <si>
    <t>Occasional frame of no player tracking when looking at Top Down pose</t>
  </si>
  <si>
    <t>Time stamp burn in for BMCA</t>
  </si>
  <si>
    <t>Post Process not working due to possible Buffer problem</t>
  </si>
  <si>
    <t>Sending spin even if we don't spin camera</t>
  </si>
  <si>
    <t>Add Templates threshold to Ops tab</t>
  </si>
  <si>
    <t>Refine new "bad residuals" error message to be camera specific</t>
  </si>
  <si>
    <t xml:space="preserve">A few crashes of BaseballPostProcess_2020-04-09_V1_AD_ForBatTesting </t>
  </si>
  <si>
    <t>Camera 12 issue with Nudging/Antiwobble</t>
  </si>
  <si>
    <t xml:space="preserve">Is the web server method for mosaic images changing? </t>
  </si>
  <si>
    <t>Have draw last hit on by default in Control</t>
  </si>
  <si>
    <t>Bug with reference images</t>
  </si>
  <si>
    <t>IMS Calibration Process Won’t Calibrate</t>
  </si>
  <si>
    <t>2D nudge buttons change in size on the UI after you click on them</t>
  </si>
  <si>
    <t>Creating duplicate results and not correctly grouping</t>
  </si>
  <si>
    <t>TennisStartAccuracyReporter</t>
  </si>
  <si>
    <t>Dropped Quadrant in 4K Caused Slow Zoom</t>
  </si>
  <si>
    <t>Formatting of application.properties files file</t>
  </si>
  <si>
    <t>Multiple radii - minimum radius based on the radius found in the current position</t>
  </si>
  <si>
    <t>ITF XML App unable to process a folder containing "FLIP"</t>
  </si>
  <si>
    <t>Bat task feedback</t>
  </si>
  <si>
    <t>Tuning of Pose Verification message</t>
  </si>
  <si>
    <t>Additional is functioning incorrectly for the front service line; different result for singles and dubz.</t>
  </si>
  <si>
    <t>BadmintonVR</t>
  </si>
  <si>
    <t>Antiwobble consensus: removing the worst template rather than using previous calibration</t>
  </si>
  <si>
    <t>BMCA 2020-05-04_V1_RB crash</t>
  </si>
  <si>
    <t>Analysis sim - timestamp injection</t>
  </si>
  <si>
    <t>Frame drops and Multipipeline drops in BMCC</t>
  </si>
  <si>
    <t>Crashes of 2020-05-04-V1-RB in HOU</t>
  </si>
  <si>
    <t>Post Process not displaying correctly</t>
  </si>
  <si>
    <t>Top Down Regression Test Results</t>
  </si>
  <si>
    <t>Post Process failing to load neural network</t>
  </si>
  <si>
    <t>SMART Configurator crashing on using the Launch All button</t>
  </si>
  <si>
    <t>Ball Mosaic IPs to be inferred through the SMART Configurator diagram</t>
  </si>
  <si>
    <t>Timed out tasks in the latest CLE Bolstered session</t>
  </si>
  <si>
    <t>Failed Teams skeletal task</t>
  </si>
  <si>
    <t>Display issues in HFR BMCA</t>
  </si>
  <si>
    <t>BDS errors to be published in the web UI</t>
  </si>
  <si>
    <t>Player Classification</t>
  </si>
  <si>
    <t>Suggested Anti-Wobble Edges</t>
  </si>
  <si>
    <t>Checking sun settings are correct</t>
  </si>
  <si>
    <t>Knowing what will change if you deploy</t>
  </si>
  <si>
    <t>Software to help choose good edges to Antiwobble off</t>
  </si>
  <si>
    <t>Auto Clipping of poor tracking/triangulation</t>
  </si>
  <si>
    <t>Software to help evaluate focus quality</t>
  </si>
  <si>
    <t>Minimum clip length not short enough</t>
  </si>
  <si>
    <t>End of current replay not bookmarking at the end of replay sequence</t>
  </si>
  <si>
    <t>ProgramReplayDetection</t>
  </si>
  <si>
    <t>Replay not starting in viewer preview tile until end of replay bookmark has been received</t>
  </si>
  <si>
    <t>PRD starts to run slowly and jerkily after running for a prolonged period</t>
  </si>
  <si>
    <t>Un-distort feature leaves area around bottom corners looking blurred and corner lines non straight when using a fish-eye lens</t>
  </si>
  <si>
    <t>Calibration of pitch involves using caliper and is approximate not exact.</t>
  </si>
  <si>
    <t>Players are not being tracked well in certain colours (bright/neon green has been particularly problematic)</t>
  </si>
  <si>
    <t>Addition of key command to remove unwanted replays in preview tiles.</t>
  </si>
  <si>
    <t>"Parse Start Stop JSON" Not Functioning Correctly</t>
  </si>
  <si>
    <t>Cannot play clips in Monitoring with 11th and 12th cameras</t>
  </si>
  <si>
    <t>Players being dropped from tracking cut out</t>
  </si>
  <si>
    <t>Edge of camera appears in tracking window</t>
  </si>
  <si>
    <t>Blink Controller deploys incorrectly</t>
  </si>
  <si>
    <t>Small UI to be able to bring Baseball Control windows to the front of the screen</t>
  </si>
  <si>
    <t>Freeze on Pitch in Ball Control</t>
  </si>
  <si>
    <t>Output Ground Plane Mask coordinates as part of the pitch model</t>
  </si>
  <si>
    <t>Give BMCC the ability to toggle on/off settings for all instances of BMCA</t>
  </si>
  <si>
    <t>Baseball Caliper Workflow</t>
  </si>
  <si>
    <t>Pitch mask is using pitch model points</t>
  </si>
  <si>
    <t>Analysis;Caliper</t>
  </si>
  <si>
    <t>Auto restart of Analysis/Control</t>
  </si>
  <si>
    <t>Gain limit in Configurator not saving</t>
  </si>
  <si>
    <t>Court name clearly visible on Configuator</t>
  </si>
  <si>
    <t>Replace "Use Open CV Distortion" with "Poly Rad" tickbox</t>
  </si>
  <si>
    <t>Add "Time since last pitch" and/or Pitch Count to Ball Control Overview window</t>
  </si>
  <si>
    <t xml:space="preserve">Control bounces folder </t>
  </si>
  <si>
    <t>Missing analysis sim from software selection section</t>
  </si>
  <si>
    <t>No Masks on Ims Replay</t>
  </si>
  <si>
    <t>"Apply Production" doesn't apply the Params section to all instances of BMCA</t>
  </si>
  <si>
    <t>Remove Sun Strength or grey it out on Ball Control</t>
  </si>
  <si>
    <t xml:space="preserve">Pitch Mask / BGR half mix display option </t>
  </si>
  <si>
    <t>BMCA taking a long time to open when using a fresh working directory</t>
  </si>
  <si>
    <t>BMCA - Reference folder and contents to be deployable from SMART Configurator</t>
  </si>
  <si>
    <t>Analysis;SMARTConfigurator</t>
  </si>
  <si>
    <t>Wiggly skids and outbound tracks</t>
  </si>
  <si>
    <t>Add controls to force end of replay section and to clear PRD memory (for office testing)</t>
  </si>
  <si>
    <t>PRD crashing on close</t>
  </si>
  <si>
    <t xml:space="preserve">Preview tiles clear when dragged into output. </t>
  </si>
  <si>
    <t>ProgramReplayDetection;SMARTViewer</t>
  </si>
  <si>
    <t xml:space="preserve">Detected Replays do not start playing in the preview tiles until end of replay bookmark is received. </t>
  </si>
  <si>
    <t>Going back to live after looking at seen/unseen angles in output tile not removing text</t>
  </si>
  <si>
    <t>Viewer and PRD can't function on different PCs</t>
  </si>
  <si>
    <t>Sometimes model does not move when nudging in</t>
  </si>
  <si>
    <t>"Too many loops" message to go in status bar instead of console window</t>
  </si>
  <si>
    <t>Mouse Clicks not showing any graphics</t>
  </si>
  <si>
    <t>Some caliper UI icons not being shown</t>
  </si>
  <si>
    <t>Volume mask to be off by default or removed</t>
  </si>
  <si>
    <t>When re-tracking in DataBridge by replaying message files through analysis simulator traj has the zero time of the time sync it's connected to rather than it's original zero time.</t>
  </si>
  <si>
    <t>Control;RTTDataBridge</t>
  </si>
  <si>
    <t xml:space="preserve">Individually archiving 1080p240 Emergent camera, get an error on archive no matter what "Error Processing: Cannot get image size" </t>
  </si>
  <si>
    <t>F keys don't seem to work for use as presets in Ball Control Overview</t>
  </si>
  <si>
    <t>Baseball Software Icons</t>
  </si>
  <si>
    <t>Msg files to work as buffer and delete when full</t>
  </si>
  <si>
    <t>DRS ignore impact bugs broken</t>
  </si>
  <si>
    <t xml:space="preserve">Loading the neural network takes an eternity </t>
  </si>
  <si>
    <t>Second Databridge fails to become a slave after PC crash</t>
  </si>
  <si>
    <t>Trajectory Creator - (similar to SVAM)</t>
  </si>
  <si>
    <t>Include Toss Arcs in the Databridge Trajectory</t>
  </si>
  <si>
    <t>Control;RTTDataBridge;TennisDataServer;TennisVR</t>
  </si>
  <si>
    <t>Control 2 loss of network causing control 1 hang</t>
  </si>
  <si>
    <t>Caliper only allows 2 decimal places on the update model tab</t>
  </si>
  <si>
    <t>Model points and Pitch Model files output too many times</t>
  </si>
  <si>
    <t>Tosses not included in the rally sequence</t>
  </si>
  <si>
    <t>Cam 8 antiwobble jump</t>
  </si>
  <si>
    <t>BMCC - PP Queue out of order</t>
  </si>
  <si>
    <t>Don't have input or output flags in our SMART Configurator</t>
  </si>
  <si>
    <t>Restarting a PC causes irig offset error</t>
  </si>
  <si>
    <t>Graphic in top right to show info about anitwobble</t>
  </si>
  <si>
    <t>On-Air Speed Data</t>
  </si>
  <si>
    <t>Epipolar points don't seem to be aligned with model</t>
  </si>
  <si>
    <t>More sample markers for green screen functionality in CricketVR</t>
  </si>
  <si>
    <t>Broadcast Mode on Tennis Tracking not opening</t>
  </si>
  <si>
    <t>BMCA to work with emergent HB9000</t>
  </si>
  <si>
    <t>BallTrackControl doesn't seem to connect to TSS when using Locations</t>
  </si>
  <si>
    <t>BDS crashing / Postgres server stopping likely due to high ram</t>
  </si>
  <si>
    <t>Problems with the WindowsPosition.ini in BallTrackControl</t>
  </si>
  <si>
    <t>Ability to kill Baseball Data Server from Configurator</t>
  </si>
  <si>
    <t>Issue with "previous step" in DSLR pipieline</t>
  </si>
  <si>
    <t>Add in explanation of "Use Calibrated Loop Filter" to ? box</t>
  </si>
  <si>
    <t>Occasional continuous zoom on 4K challenges</t>
  </si>
  <si>
    <t>TennisVR;VersatileVideoCapture</t>
  </si>
  <si>
    <t>For about 18 months, the timestamping numbers in the control GUI have been reporting absolute trash.</t>
  </si>
  <si>
    <t>Timing Files Not Populating with Times</t>
  </si>
  <si>
    <t>Add Wall Clock Time &amp; Point Number to Tennis Start Accuracy Reporter (TSAR)</t>
  </si>
  <si>
    <t>Test Release 2019_11_26_BaseballFeatureRelease_BtcTSSLocations crashing when opening Baseball Tracking SMART files</t>
  </si>
  <si>
    <t>Option to apply clicked in 2d masks to all slr images</t>
  </si>
  <si>
    <t>Review step of caliper evaluates all images for all lines instead of just images from same side of court</t>
  </si>
  <si>
    <t>Add an extra tab showing Post Process information into the BMCC UI</t>
  </si>
  <si>
    <t>Improve Ball Mosiac graphics for 50fps Pitch-to-Plate camera</t>
  </si>
  <si>
    <t>Screenshots of Bundle Adjustment or Tracking Calibration results</t>
  </si>
  <si>
    <t>Automatically toggle writing to disk On and Off</t>
  </si>
  <si>
    <t>Write out failed Post Process tasks to a separate folder</t>
  </si>
  <si>
    <t>Hit tracking graphics in BMCC</t>
  </si>
  <si>
    <t>Loop settings per image in Caliper</t>
  </si>
  <si>
    <t>Connection Status Information also being in the Live Feed Monitor Tab</t>
  </si>
  <si>
    <t>Perform another review doesn't work</t>
  </si>
  <si>
    <t>The player counter included in the Cricket Player Tracking smart graphic doesn't count down when a track is lost.</t>
  </si>
  <si>
    <t>Separate Freeze Frame and Static Image delays in VARdict (and make it configurable)</t>
  </si>
  <si>
    <t>Filter Codes appear to be case sensitive in Tornviken version</t>
  </si>
  <si>
    <t>SMARTData</t>
  </si>
  <si>
    <t>Cannot delete custom filters</t>
  </si>
  <si>
    <t>Clicking in the custom filter drop down above other filters selects all tags</t>
  </si>
  <si>
    <t>To develop the use of a new USB Pedal to use in SMART Production.</t>
  </si>
  <si>
    <t>Status indication of archives in viewer/data</t>
  </si>
  <si>
    <t>SMARTArchiver;SMARTData;SMARTViewer</t>
  </si>
  <si>
    <t>Ability to increment smart data bookmarks</t>
  </si>
  <si>
    <t>Athletics;Hockey</t>
  </si>
  <si>
    <t>Moving the cameras using ‘Ctrl+Arrow” Moves too slow</t>
  </si>
  <si>
    <t>Presets are too slow</t>
  </si>
  <si>
    <t>Tracking sometimes falls behind</t>
  </si>
  <si>
    <t>The Pedal does not work in a good way with ID heads</t>
  </si>
  <si>
    <t>Scale Velocity with Focal Length Power is broken</t>
  </si>
  <si>
    <t>ID Heads currently do not support secondary main camera mode</t>
  </si>
  <si>
    <t>The calibration that we set in Calibration Analysis always seems to be in the air or in the floor to begin with</t>
  </si>
  <si>
    <t>Sigmoids Do not Work with ID Heads</t>
  </si>
  <si>
    <t>Identical Head Tracking Settings need to be lowered by default</t>
  </si>
  <si>
    <t>Integrate the USB Elgato Stream Deck to control Presets</t>
  </si>
  <si>
    <t>American Football;Athletics;Aussie Rules Football;Badminton;Baseball;Basketball;Cricket;Developer;Gaelic Football;Football;Golf;Hockey;Horse Racing;Hurling;Ice Hockey;Motorsport;Rugby;Tennis;Volleyball</t>
  </si>
  <si>
    <t>Ability to change player to look over the net</t>
  </si>
  <si>
    <t>Use TDS to look at line judges</t>
  </si>
  <si>
    <t>CameraControl;TennisDataServer</t>
  </si>
  <si>
    <t>Identical Heads sometimes become jerky when Pan and Scan Tracking is running</t>
  </si>
  <si>
    <t>CameraControl;Pan&amp;ScanTracking</t>
  </si>
  <si>
    <t>Databridge UI improvements</t>
  </si>
  <si>
    <t>Wagon wheel segments do not match CricketVR</t>
  </si>
  <si>
    <t>Line thickness to scale with focal length</t>
  </si>
  <si>
    <t>GolfVR</t>
  </si>
  <si>
    <t>Key command for GFX left/right</t>
  </si>
  <si>
    <t>Right arrow doesn't allow preview of bounce mark in challenge protocol</t>
  </si>
  <si>
    <t>Traj stat bins in leading stats analysis</t>
  </si>
  <si>
    <t>Sync traj - can't see the whole track</t>
  </si>
  <si>
    <t>Colourise Moving Dots according to slope strength</t>
  </si>
  <si>
    <t>Latest GolfVR_2018_10_05_de_Havilland_Mosquito freezes/hangs when trying to create Mask</t>
  </si>
  <si>
    <t>Use Objects over live video feature not working</t>
  </si>
  <si>
    <t>Global settings for putt line colours rather than hole specific</t>
  </si>
  <si>
    <t>Key Command for Moving Dots</t>
  </si>
  <si>
    <t>With large data sets, sort by columns doesn't work in 'Leading Stats Analysis'</t>
  </si>
  <si>
    <t>Freeze first column in view in the 'Leading Stats analysis' table</t>
  </si>
  <si>
    <t>Ultra Edge is different</t>
  </si>
  <si>
    <t>UM/4K Line calls zoom to incorrect part of the ball mark</t>
  </si>
  <si>
    <t xml:space="preserve">Objects won't change when over live video </t>
  </si>
  <si>
    <t>Issues with LBWs on the latest VR release (CricketVR_2019_01_07_FixedUltraEdgeWaveform)</t>
  </si>
  <si>
    <t>Key and Fill does not stay on all the time</t>
  </si>
  <si>
    <t>In situ video has stopped working</t>
  </si>
  <si>
    <t>Nudging different to Volleyball</t>
  </si>
  <si>
    <t>Cricket - insert dismissal type to wickets</t>
  </si>
  <si>
    <t>Cricket VR - displaying extras (wides, no balls, byes, etc)</t>
  </si>
  <si>
    <t>Input bowler SPIN styles</t>
  </si>
  <si>
    <t>Update sliders</t>
  </si>
  <si>
    <t>Augmented graphic for multiple player's putt distances</t>
  </si>
  <si>
    <t>Shots in the air don't match between unreal and cricketVR</t>
  </si>
  <si>
    <t>When changing greens, moving dots do't update until changing any related setting</t>
  </si>
  <si>
    <t>When changing greens, moving dots don't update until changing any related setting</t>
  </si>
  <si>
    <t>Play Mp4 Videos in Web render</t>
  </si>
  <si>
    <t>Add speed of shot to offline tab in Control</t>
  </si>
  <si>
    <t>Rearrange order of targets in Configurator</t>
  </si>
  <si>
    <t>TennisVR Drag Window</t>
  </si>
  <si>
    <t>Toggle DVI output text</t>
  </si>
  <si>
    <t>Odd looking outbound skids and arcs being produced</t>
  </si>
  <si>
    <t>Golf Calib crashes unless launched on specific GPU</t>
  </si>
  <si>
    <t>GolfCalib</t>
  </si>
  <si>
    <t>No VR bounce mark in Control 1 but fine in Control 2</t>
  </si>
  <si>
    <t>Component not applied</t>
  </si>
  <si>
    <t>Keyboard Shortcut for Transition Speed</t>
  </si>
  <si>
    <t>Masking and 3D Video</t>
  </si>
  <si>
    <t>Print out of serve speeds for external client</t>
  </si>
  <si>
    <t>VolleyballVR</t>
  </si>
  <si>
    <t>Control 2 crashes</t>
  </si>
  <si>
    <t>Compressed stats not working with the latest VVC</t>
  </si>
  <si>
    <t>Multiple no bounce cases caused by 'Refit constrained if gaps big' not performing correctly</t>
  </si>
  <si>
    <t>Gaze trail on HEO through SMARTEyeTracker</t>
  </si>
  <si>
    <t>SMARTEyeTracker</t>
  </si>
  <si>
    <t>'Compare' function not working in CricketDataServer_2019_02_20_Bistro</t>
  </si>
  <si>
    <t>Add a string for 'always active camera numbers' to accurate bounce.</t>
  </si>
  <si>
    <t>Save PNG button doesn't cycle through captures correctly</t>
  </si>
  <si>
    <t>Volleyball Court into OffsideLine</t>
  </si>
  <si>
    <t>Archiving CVIDs through TDS</t>
  </si>
  <si>
    <t>TennisDataServer;TennisVR;VersatileVideoCapture</t>
  </si>
  <si>
    <t>TDS Stopped Sending Data to third Party Unexpectedly</t>
  </si>
  <si>
    <t>Reprocessing with SmartDirector not reading stats logging from LRMD</t>
  </si>
  <si>
    <t>Crashes on launch when reading from a buffer</t>
  </si>
  <si>
    <t>Logger is creating HTTP post folders in the database</t>
  </si>
  <si>
    <t>Animations Crash - TennisVR_2019_03_22_Aviation</t>
  </si>
  <si>
    <t>2 optical flow points</t>
  </si>
  <si>
    <t>Choose where to click in</t>
  </si>
  <si>
    <t>When you "two click" specifying the distance that you two click and in what direction</t>
  </si>
  <si>
    <t>Orientation Widget Close &amp; Reopen Error</t>
  </si>
  <si>
    <t>Calibrating ims overwrites calibration.json created by wizard</t>
  </si>
  <si>
    <t>Cannot Increase Virtual Timing Offset Enough</t>
  </si>
  <si>
    <t>Mask &amp; Calibration data from GolfCalib aren't working as expected</t>
  </si>
  <si>
    <t>Disappearing tracking windows</t>
  </si>
  <si>
    <t>SMART Chat Physical Connections No Longer Work</t>
  </si>
  <si>
    <t>Incorrect distance shown in Control</t>
  </si>
  <si>
    <t>Volleyball analysis (VolleyballAnalysis_x64_Release_TEST_2019-04-17_H1) crashes if you change any setting on the pose tracking tab that is also on the VBAL tab</t>
  </si>
  <si>
    <t xml:space="preserve">Import databases without PGadmin </t>
  </si>
  <si>
    <t>CricketDataServer;TennisDataServer</t>
  </si>
  <si>
    <t>Add Auto-Refresh SQL Dialog Option</t>
  </si>
  <si>
    <t>TennisVR - BloodyMary. Animations slow to load compared to previous version and caused a crash</t>
  </si>
  <si>
    <t>When reprocessing, the team assigned to the left of chair is always incorrect.</t>
  </si>
  <si>
    <t>Add a 'Conditions' String for Volleyball control</t>
  </si>
  <si>
    <t>Multiple radii - incorrect ball scaling</t>
  </si>
  <si>
    <t>Baseline tick addition</t>
  </si>
  <si>
    <t>Remove the Court Width input from the Baseball Caliper Launcher</t>
  </si>
  <si>
    <t>Make the size of the initial model in Baseball Caliper larger</t>
  </si>
  <si>
    <t>Add Orientation feature that's in the Wizard to Baseball Caliper</t>
  </si>
  <si>
    <t>Set in and out times when clipping in MCM</t>
  </si>
  <si>
    <t>Independant settings for monitoring</t>
  </si>
  <si>
    <t>Bookmarks for events</t>
  </si>
  <si>
    <t>Ball Control Graphics</t>
  </si>
  <si>
    <t>Auto Clip</t>
  </si>
  <si>
    <t>Support</t>
  </si>
  <si>
    <t>What am I looking at?</t>
  </si>
  <si>
    <t>Cancelled</t>
  </si>
  <si>
    <t>Email requests enabled</t>
  </si>
  <si>
    <t>Calibrations looks jittery</t>
  </si>
  <si>
    <t>Issue for Importing Components</t>
  </si>
  <si>
    <t>Singles/Doubles tickbox for TennisVR</t>
  </si>
  <si>
    <t>Animations don't work</t>
  </si>
  <si>
    <t xml:space="preserve">WebRender with gradients </t>
  </si>
  <si>
    <t>WebRender is black box</t>
  </si>
  <si>
    <t>CricketVR;WebRender</t>
  </si>
  <si>
    <t>Multiviewer doesn't work in Bulma</t>
  </si>
  <si>
    <t>Need to change throttle time in ArchiveManager to make it work properly</t>
  </si>
  <si>
    <t xml:space="preserve">If you have web renderer on in package builder the screen goes black </t>
  </si>
  <si>
    <t xml:space="preserve">Ultra edge plays through very weirdly </t>
  </si>
  <si>
    <t>Clear track doesn't work when auto sync traj is deactivated</t>
  </si>
  <si>
    <t>Graphics are unusable in tennisVR dynamic vertex buffer</t>
  </si>
  <si>
    <t>Over rates</t>
  </si>
  <si>
    <t>Multi Columns for CDS</t>
  </si>
  <si>
    <t>Front end manipulation</t>
  </si>
  <si>
    <t>Crashing when GFX's are loaded in</t>
  </si>
  <si>
    <t>TennisVR crashes when dragging in stores</t>
  </si>
  <si>
    <t>New tennisVR doesn't load in any video into HEO!!</t>
  </si>
  <si>
    <t>web render now doesn't turn off when you click right arrow!!!</t>
  </si>
  <si>
    <t>Right Arrow then F1 does not work until a ball has been selected</t>
  </si>
  <si>
    <t>Privacy Graphic Does not Work</t>
  </si>
  <si>
    <t xml:space="preserve">Stored data tab does not work for large deliveries </t>
  </si>
  <si>
    <t>Get rid of spell and day in sliders and make them event filters</t>
  </si>
  <si>
    <t>COR, COF, and PBR Values need to be to 4dp in 'Leading Stats Analysis'</t>
  </si>
  <si>
    <t>The delete button deletes all bookmarks instead of just the selected</t>
  </si>
  <si>
    <t>bookmarks not appearing automatically</t>
  </si>
  <si>
    <t>when clicking a button, the moves ends up somewhere else</t>
  </si>
  <si>
    <t>Sportscode XML with timecode causes an error on the front-end</t>
  </si>
  <si>
    <t>Key won't load in and VR freezes</t>
  </si>
  <si>
    <t>Disabling Sub Sampling in the VVC does not work.</t>
  </si>
  <si>
    <t>SMARTConfigurator;SMARTViewer;VersatileVideoCapture</t>
  </si>
  <si>
    <t>Subsampling briefly appears on the output when cutting to a tile</t>
  </si>
  <si>
    <t xml:space="preserve">Floorgraphics animations do not appear over key and fill </t>
  </si>
  <si>
    <t xml:space="preserve">when sorting by or scrolling on the delivery list. everything jumps to the left </t>
  </si>
  <si>
    <t>Outside of text is see through on animations</t>
  </si>
  <si>
    <t>Counting text does not match normal 3dflattext</t>
  </si>
  <si>
    <t>End time not being read into SMARTData from Sportscode XML</t>
  </si>
  <si>
    <t>testmo</t>
  </si>
  <si>
    <t>Case ID</t>
  </si>
  <si>
    <t xml:space="preserve">Repo exported from TestMO with 3 new fields added. "Complexity", "can be automated" and "is automated".   A weighting is then calculated from priority and complexity to determine when each test case should be plotted in grid 1 "Risk profile counts". Automation coverage is calculated using the can be automated field and the percentage of tests automated is calculated in the is automated field. Test execution is calculated by counting the number of passed tests  A rag status is then determined by assessing the % completed against the agreed tolerance. The overall project health status then then displayed as a final RAG status.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</si>
</sst>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d/m/yyyy"/>
  </numFmts>
  <fonts count="20">
    <font>
      <sz val="10.0"/>
      <color rgb="FF000000"/>
      <name val="Arial"/>
      <scheme val="minor"/>
    </font>
    <font>
      <color theme="1"/>
      <name val="Arial"/>
      <scheme val="minor"/>
    </font>
    <font>
      <u/>
      <color rgb="FF0000FF"/>
    </font>
    <font>
      <b/>
      <u/>
      <sz val="14.0"/>
      <color theme="1"/>
      <name val="Arial"/>
      <scheme val="minor"/>
    </font>
    <font>
      <b/>
      <u/>
      <sz val="14.0"/>
      <color theme="1"/>
      <name val="Arial"/>
      <scheme val="minor"/>
    </font>
    <font>
      <b/>
      <u/>
      <color theme="1"/>
      <name val="Arial"/>
      <scheme val="minor"/>
    </font>
    <font>
      <b/>
      <u/>
      <color theme="1"/>
      <name val="Arial"/>
      <scheme val="minor"/>
    </font>
    <font>
      <b/>
      <u/>
      <color theme="1"/>
      <name val="Arial"/>
      <scheme val="minor"/>
    </font>
    <font>
      <b/>
      <u/>
      <sz val="18.0"/>
      <color rgb="FF0000FF"/>
      <name val="Arial"/>
      <scheme val="minor"/>
    </font>
    <font>
      <b/>
      <u/>
      <sz val="14.0"/>
      <color rgb="FF0000FF"/>
      <name val="Arial"/>
      <scheme val="minor"/>
    </font>
    <font>
      <b/>
      <sz val="14.0"/>
      <color theme="1"/>
      <name val="Verdana"/>
    </font>
    <font/>
    <font>
      <b/>
      <u/>
      <sz val="12.0"/>
      <color theme="1"/>
      <name val="Verdana"/>
    </font>
    <font>
      <color theme="1"/>
      <name val="Arial"/>
    </font>
    <font>
      <color theme="1"/>
      <name val="Verdana"/>
    </font>
    <font>
      <b/>
      <color theme="1"/>
      <name val="Verdana"/>
    </font>
    <font>
      <sz val="8.0"/>
      <color theme="1"/>
      <name val="Verdana"/>
    </font>
    <font>
      <sz val="9.0"/>
      <color rgb="FF000000"/>
      <name val="&quot;Google Sans Mono&quot;"/>
    </font>
    <font>
      <b/>
      <color theme="1"/>
      <name val="Arial"/>
      <scheme val="minor"/>
    </font>
    <font>
      <u/>
      <color rgb="FF0000FF"/>
    </font>
  </fonts>
  <fills count="10">
    <fill>
      <patternFill patternType="none"/>
    </fill>
    <fill>
      <patternFill patternType="lightGray"/>
    </fill>
    <fill>
      <patternFill patternType="solid">
        <fgColor rgb="FFFFFF99"/>
        <bgColor rgb="FFFFFF99"/>
      </patternFill>
    </fill>
    <fill>
      <patternFill patternType="solid">
        <fgColor rgb="FFC0C0C0"/>
        <bgColor rgb="FFC0C0C0"/>
      </patternFill>
    </fill>
    <fill>
      <patternFill patternType="solid">
        <fgColor rgb="FFCFE2F3"/>
        <bgColor rgb="FFCFE2F3"/>
      </patternFill>
    </fill>
    <fill>
      <patternFill patternType="solid">
        <fgColor rgb="FFFFCC00"/>
        <bgColor rgb="FFFFCC00"/>
      </patternFill>
    </fill>
    <fill>
      <patternFill patternType="solid">
        <fgColor rgb="FFFF0000"/>
        <bgColor rgb="FFFF0000"/>
      </patternFill>
    </fill>
    <fill>
      <patternFill patternType="solid">
        <fgColor rgb="FFFF9900"/>
        <bgColor rgb="FFFF9900"/>
      </patternFill>
    </fill>
    <fill>
      <patternFill patternType="solid">
        <fgColor rgb="FFA2C4C9"/>
        <bgColor rgb="FFA2C4C9"/>
      </patternFill>
    </fill>
    <fill>
      <patternFill patternType="solid">
        <fgColor rgb="FFFFFFFF"/>
        <bgColor rgb="FFFFFFFF"/>
      </patternFill>
    </fill>
  </fills>
  <borders count="14">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1" numFmtId="164" xfId="0" applyFont="1" applyNumberFormat="1"/>
    <xf borderId="0" fillId="0" fontId="1" numFmtId="165" xfId="0" applyAlignment="1" applyFont="1" applyNumberFormat="1">
      <alignment readingOrder="0"/>
    </xf>
    <xf quotePrefix="1" borderId="0" fillId="0" fontId="1" numFmtId="0" xfId="0" applyFont="1"/>
    <xf borderId="0" fillId="0" fontId="1" numFmtId="166" xfId="0" applyAlignment="1" applyFont="1" applyNumberFormat="1">
      <alignment readingOrder="0"/>
    </xf>
    <xf borderId="0" fillId="0" fontId="3" numFmtId="0" xfId="0" applyAlignment="1" applyFont="1">
      <alignment horizontal="center" readingOrder="0" vertical="top"/>
    </xf>
    <xf borderId="0" fillId="0" fontId="4" numFmtId="0" xfId="0" applyAlignment="1" applyFont="1">
      <alignment horizontal="left" readingOrder="0" vertical="top"/>
    </xf>
    <xf borderId="0" fillId="0" fontId="5" numFmtId="0" xfId="0" applyAlignment="1" applyFont="1">
      <alignment readingOrder="0"/>
    </xf>
    <xf borderId="0" fillId="0" fontId="6" numFmtId="0" xfId="0" applyAlignment="1" applyFont="1">
      <alignment horizontal="left" readingOrder="0"/>
    </xf>
    <xf borderId="0" fillId="0" fontId="7" numFmtId="164" xfId="0" applyAlignment="1" applyFont="1" applyNumberFormat="1">
      <alignment horizontal="left"/>
    </xf>
    <xf borderId="0" fillId="0" fontId="8" numFmtId="0" xfId="0" applyAlignment="1" applyFont="1">
      <alignment readingOrder="0"/>
    </xf>
    <xf borderId="0" fillId="0" fontId="1" numFmtId="0" xfId="0" applyFont="1"/>
    <xf borderId="0" fillId="0" fontId="9" numFmtId="0" xfId="0" applyAlignment="1" applyFont="1">
      <alignment readingOrder="0"/>
    </xf>
    <xf borderId="1" fillId="2" fontId="10" numFmtId="0" xfId="0" applyAlignment="1" applyBorder="1" applyFill="1" applyFont="1">
      <alignment horizontal="center" vertical="center"/>
    </xf>
    <xf borderId="2" fillId="0" fontId="11" numFmtId="0" xfId="0" applyBorder="1" applyFont="1"/>
    <xf borderId="3" fillId="0" fontId="11" numFmtId="0" xfId="0" applyBorder="1" applyFont="1"/>
    <xf borderId="4" fillId="0" fontId="11" numFmtId="0" xfId="0" applyBorder="1" applyFont="1"/>
    <xf borderId="5" fillId="2" fontId="10" numFmtId="0" xfId="0" applyAlignment="1" applyBorder="1" applyFont="1">
      <alignment horizontal="center"/>
    </xf>
    <xf borderId="5" fillId="0" fontId="1" numFmtId="0" xfId="0" applyAlignment="1" applyBorder="1" applyFont="1">
      <alignment readingOrder="0"/>
    </xf>
    <xf borderId="6" fillId="0" fontId="11" numFmtId="0" xfId="0" applyBorder="1" applyFont="1"/>
    <xf borderId="7" fillId="0" fontId="11" numFmtId="0" xfId="0" applyBorder="1" applyFont="1"/>
    <xf borderId="0" fillId="0" fontId="12" numFmtId="0" xfId="0" applyAlignment="1" applyFont="1">
      <alignment vertical="bottom"/>
    </xf>
    <xf borderId="0" fillId="0" fontId="13" numFmtId="0" xfId="0" applyAlignment="1" applyFont="1">
      <alignment readingOrder="0" vertical="bottom"/>
    </xf>
    <xf borderId="0" fillId="0" fontId="13" numFmtId="0" xfId="0" applyAlignment="1" applyFont="1">
      <alignment vertical="bottom"/>
    </xf>
    <xf borderId="0" fillId="0" fontId="13" numFmtId="0" xfId="0" applyAlignment="1" applyFont="1">
      <alignment vertical="top"/>
    </xf>
    <xf borderId="8" fillId="3" fontId="14" numFmtId="0" xfId="0" applyAlignment="1" applyBorder="1" applyFill="1" applyFont="1">
      <alignment horizontal="center" vertical="bottom"/>
    </xf>
    <xf borderId="9" fillId="0" fontId="11" numFmtId="0" xfId="0" applyBorder="1" applyFont="1"/>
    <xf borderId="10" fillId="0" fontId="11" numFmtId="0" xfId="0" applyBorder="1" applyFont="1"/>
    <xf borderId="5" fillId="4" fontId="14" numFmtId="1" xfId="0" applyAlignment="1" applyBorder="1" applyFill="1" applyFont="1" applyNumberFormat="1">
      <alignment horizontal="center"/>
    </xf>
    <xf borderId="0" fillId="0" fontId="13" numFmtId="1" xfId="0" applyAlignment="1" applyFont="1" applyNumberFormat="1">
      <alignment vertical="top"/>
    </xf>
    <xf borderId="5" fillId="0" fontId="15" numFmtId="1" xfId="0" applyAlignment="1" applyBorder="1" applyFont="1" applyNumberFormat="1">
      <alignment horizontal="center" readingOrder="0" vertical="bottom"/>
    </xf>
    <xf borderId="5" fillId="0" fontId="15" numFmtId="0" xfId="0" applyAlignment="1" applyBorder="1" applyFont="1">
      <alignment horizontal="center" readingOrder="0" vertical="bottom"/>
    </xf>
    <xf borderId="11" fillId="3" fontId="16" numFmtId="0" xfId="0" applyAlignment="1" applyBorder="1" applyFont="1">
      <alignment horizontal="center" textRotation="90"/>
    </xf>
    <xf borderId="5" fillId="0" fontId="15" numFmtId="1" xfId="0" applyAlignment="1" applyBorder="1" applyFont="1" applyNumberFormat="1">
      <alignment readingOrder="0"/>
    </xf>
    <xf borderId="5" fillId="2" fontId="10" numFmtId="1" xfId="0" applyAlignment="1" applyBorder="1" applyFont="1" applyNumberFormat="1">
      <alignment horizontal="center"/>
    </xf>
    <xf borderId="5" fillId="5" fontId="10" numFmtId="1" xfId="0" applyAlignment="1" applyBorder="1" applyFill="1" applyFont="1" applyNumberFormat="1">
      <alignment horizontal="center"/>
    </xf>
    <xf borderId="5" fillId="6" fontId="10" numFmtId="1" xfId="0" applyAlignment="1" applyBorder="1" applyFill="1" applyFont="1" applyNumberFormat="1">
      <alignment horizontal="center"/>
    </xf>
    <xf borderId="12" fillId="0" fontId="11" numFmtId="0" xfId="0" applyBorder="1" applyFont="1"/>
    <xf borderId="5" fillId="0" fontId="10" numFmtId="1" xfId="0" applyAlignment="1" applyBorder="1" applyFont="1" applyNumberFormat="1">
      <alignment horizontal="center"/>
    </xf>
    <xf borderId="5" fillId="7" fontId="10" numFmtId="1" xfId="0" applyAlignment="1" applyBorder="1" applyFill="1" applyFont="1" applyNumberFormat="1">
      <alignment horizontal="center"/>
    </xf>
    <xf borderId="5" fillId="0" fontId="15" numFmtId="0" xfId="0" applyAlignment="1" applyBorder="1" applyFont="1">
      <alignment readingOrder="0"/>
    </xf>
    <xf borderId="13" fillId="0" fontId="11" numFmtId="0" xfId="0" applyBorder="1" applyFont="1"/>
    <xf borderId="5" fillId="0" fontId="14" numFmtId="0" xfId="0" applyAlignment="1" applyBorder="1" applyFont="1">
      <alignment vertical="bottom"/>
    </xf>
    <xf borderId="5" fillId="4" fontId="14" numFmtId="1" xfId="0" applyAlignment="1" applyBorder="1" applyFont="1" applyNumberFormat="1">
      <alignment horizontal="center" vertical="bottom"/>
    </xf>
    <xf borderId="5" fillId="8" fontId="14" numFmtId="1" xfId="0" applyAlignment="1" applyBorder="1" applyFill="1" applyFont="1" applyNumberFormat="1">
      <alignment horizontal="center" vertical="bottom"/>
    </xf>
    <xf borderId="5" fillId="2" fontId="10" numFmtId="9" xfId="0" applyAlignment="1" applyBorder="1" applyFont="1" applyNumberFormat="1">
      <alignment horizontal="center"/>
    </xf>
    <xf borderId="0" fillId="9" fontId="17" numFmtId="0" xfId="0" applyFill="1" applyFont="1"/>
    <xf borderId="0" fillId="0" fontId="15" numFmtId="0" xfId="0" applyAlignment="1" applyFont="1">
      <alignment horizontal="center" readingOrder="0" vertical="bottom"/>
    </xf>
    <xf borderId="5" fillId="5" fontId="10" numFmtId="9" xfId="0" applyAlignment="1" applyBorder="1" applyFont="1" applyNumberFormat="1">
      <alignment horizontal="center"/>
    </xf>
    <xf borderId="5" fillId="6" fontId="10" numFmtId="9" xfId="0" applyAlignment="1" applyBorder="1" applyFont="1" applyNumberFormat="1">
      <alignment horizontal="center"/>
    </xf>
    <xf borderId="0" fillId="0" fontId="14" numFmtId="9" xfId="0" applyAlignment="1" applyFont="1" applyNumberFormat="1">
      <alignment horizontal="center"/>
    </xf>
    <xf borderId="5" fillId="0" fontId="10" numFmtId="9" xfId="0" applyAlignment="1" applyBorder="1" applyFont="1" applyNumberFormat="1">
      <alignment horizontal="center"/>
    </xf>
    <xf borderId="5" fillId="7" fontId="10" numFmtId="9" xfId="0" applyAlignment="1" applyBorder="1" applyFont="1" applyNumberFormat="1">
      <alignment horizontal="center"/>
    </xf>
    <xf borderId="0" fillId="0" fontId="14" numFmtId="0" xfId="0" applyAlignment="1" applyFont="1">
      <alignment vertical="bottom"/>
    </xf>
    <xf borderId="0" fillId="0" fontId="14" numFmtId="9" xfId="0" applyAlignment="1" applyFont="1" applyNumberFormat="1">
      <alignment horizontal="center" vertical="bottom"/>
    </xf>
    <xf borderId="0" fillId="0" fontId="18" numFmtId="0" xfId="0" applyAlignment="1" applyFont="1">
      <alignment readingOrder="0"/>
    </xf>
    <xf borderId="5" fillId="0" fontId="19" numFmtId="0" xfId="0" applyBorder="1" applyFont="1"/>
    <xf borderId="5" fillId="0" fontId="1" numFmtId="0" xfId="0" applyBorder="1" applyFont="1"/>
    <xf borderId="0" fillId="0" fontId="1" numFmtId="165" xfId="0" applyFont="1" applyNumberFormat="1"/>
    <xf borderId="0" fillId="0" fontId="1" numFmtId="0" xfId="0" applyFont="1"/>
    <xf quotePrefix="1" borderId="0" fillId="0" fontId="1" numFmtId="0" xfId="0" applyAlignment="1" applyFont="1">
      <alignment readingOrder="0"/>
    </xf>
    <xf borderId="5" fillId="0" fontId="13" numFmtId="0" xfId="0" applyAlignment="1" applyBorder="1" applyFont="1">
      <alignment vertical="bottom"/>
    </xf>
    <xf borderId="5" fillId="0" fontId="13" numFmtId="0" xfId="0" applyAlignment="1" applyBorder="1" applyFont="1">
      <alignment readingOrder="0" vertical="bottom"/>
    </xf>
    <xf borderId="5" fillId="2" fontId="10" numFmtId="2" xfId="0" applyAlignment="1" applyBorder="1" applyFont="1" applyNumberFormat="1">
      <alignment horizontal="center" readingOrder="0"/>
    </xf>
    <xf borderId="5" fillId="5" fontId="10" numFmtId="2" xfId="0" applyAlignment="1" applyBorder="1" applyFont="1" applyNumberFormat="1">
      <alignment horizontal="center" readingOrder="0"/>
    </xf>
    <xf borderId="5" fillId="6" fontId="10" numFmtId="2" xfId="0" applyAlignment="1" applyBorder="1" applyFont="1" applyNumberFormat="1">
      <alignment horizontal="center" readingOrder="0"/>
    </xf>
    <xf borderId="0" fillId="0" fontId="14" numFmtId="1" xfId="0" applyAlignment="1" applyFont="1" applyNumberFormat="1">
      <alignment horizontal="center"/>
    </xf>
    <xf borderId="5" fillId="0" fontId="10" numFmtId="2" xfId="0" applyAlignment="1" applyBorder="1" applyFont="1" applyNumberFormat="1">
      <alignment horizontal="center" readingOrder="0"/>
    </xf>
    <xf borderId="5" fillId="7" fontId="10" numFmtId="2" xfId="0" applyAlignment="1" applyBorder="1" applyFont="1" applyNumberFormat="1">
      <alignment horizontal="center" readingOrder="0"/>
    </xf>
    <xf borderId="0" fillId="0" fontId="14" numFmtId="1" xfId="0" applyAlignment="1" applyFont="1" applyNumberFormat="1">
      <alignment horizontal="center" vertical="bottom"/>
    </xf>
    <xf borderId="0" fillId="0" fontId="1" numFmtId="0" xfId="0" applyAlignment="1" applyFont="1">
      <alignment readingOrder="0" shrinkToFit="0" vertical="top" wrapText="1"/>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development, tests and bugs</a:t>
            </a:r>
          </a:p>
        </c:rich>
      </c:tx>
      <c:overlay val="0"/>
    </c:title>
    <c:plotArea>
      <c:layout/>
      <c:barChart>
        <c:barDir val="col"/>
        <c:grouping val="stacked"/>
        <c:ser>
          <c:idx val="0"/>
          <c:order val="0"/>
          <c:tx>
            <c:strRef>
              <c:f>Sheet10!$D$3</c:f>
            </c:strRef>
          </c:tx>
          <c:spPr>
            <a:solidFill>
              <a:schemeClr val="accent1"/>
            </a:solidFill>
            <a:ln cmpd="sng">
              <a:solidFill>
                <a:srgbClr val="000000"/>
              </a:solidFill>
            </a:ln>
          </c:spPr>
          <c:cat>
            <c:strRef>
              <c:f>Sheet10!$C$4:$C$16</c:f>
            </c:strRef>
          </c:cat>
          <c:val>
            <c:numRef>
              <c:f>Sheet10!$D$4:$D$16</c:f>
              <c:numCache/>
            </c:numRef>
          </c:val>
        </c:ser>
        <c:ser>
          <c:idx val="1"/>
          <c:order val="1"/>
          <c:tx>
            <c:strRef>
              <c:f>Sheet10!$E$3</c:f>
            </c:strRef>
          </c:tx>
          <c:spPr>
            <a:solidFill>
              <a:schemeClr val="accent2"/>
            </a:solidFill>
            <a:ln cmpd="sng">
              <a:solidFill>
                <a:srgbClr val="000000"/>
              </a:solidFill>
            </a:ln>
          </c:spPr>
          <c:cat>
            <c:strRef>
              <c:f>Sheet10!$C$4:$C$16</c:f>
            </c:strRef>
          </c:cat>
          <c:val>
            <c:numRef>
              <c:f>Sheet10!$E$4:$E$16</c:f>
              <c:numCache/>
            </c:numRef>
          </c:val>
        </c:ser>
        <c:ser>
          <c:idx val="2"/>
          <c:order val="2"/>
          <c:tx>
            <c:strRef>
              <c:f>Sheet10!$F$3</c:f>
            </c:strRef>
          </c:tx>
          <c:spPr>
            <a:solidFill>
              <a:schemeClr val="accent3"/>
            </a:solidFill>
            <a:ln cmpd="sng">
              <a:solidFill>
                <a:srgbClr val="000000"/>
              </a:solidFill>
            </a:ln>
          </c:spPr>
          <c:cat>
            <c:strRef>
              <c:f>Sheet10!$C$4:$C$16</c:f>
            </c:strRef>
          </c:cat>
          <c:val>
            <c:numRef>
              <c:f>Sheet10!$F$4:$F$16</c:f>
              <c:numCache/>
            </c:numRef>
          </c:val>
        </c:ser>
        <c:overlap val="100"/>
        <c:axId val="2089276762"/>
        <c:axId val="1755514864"/>
      </c:barChart>
      <c:catAx>
        <c:axId val="20892767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Fix versions</a:t>
                </a:r>
              </a:p>
            </c:rich>
          </c:tx>
          <c:overlay val="0"/>
        </c:title>
        <c:numFmt formatCode="General" sourceLinked="1"/>
        <c:majorTickMark val="none"/>
        <c:minorTickMark val="none"/>
        <c:spPr/>
        <c:txPr>
          <a:bodyPr/>
          <a:lstStyle/>
          <a:p>
            <a:pPr lvl="0">
              <a:defRPr b="0">
                <a:solidFill>
                  <a:srgbClr val="000000"/>
                </a:solidFill>
                <a:latin typeface="+mn-lt"/>
              </a:defRPr>
            </a:pPr>
          </a:p>
        </c:txPr>
        <c:crossAx val="1755514864"/>
      </c:catAx>
      <c:valAx>
        <c:axId val="17555148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27676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17</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awk-eye.atlassian.net/browse/BAS-1219?atlOrigin=eyJpIjoiYzgwYTQ0ZjEyNzQzNGJhN2JmNjEyZTM0NmRhZWZhNjIiLCJwIjoic2hlZXRzLWppcmEifQ" TargetMode="External"/><Relationship Id="rId2" Type="http://schemas.openxmlformats.org/officeDocument/2006/relationships/hyperlink" Target="https://hawk-eye.atlassian.net/browse/BAS-1166?atlOrigin=eyJpIjoiYzgwYTQ0ZjEyNzQzNGJhN2JmNjEyZTM0NmRhZWZhNjIiLCJwIjoic2hlZXRzLWppcmEifQ" TargetMode="External"/><Relationship Id="rId3" Type="http://schemas.openxmlformats.org/officeDocument/2006/relationships/hyperlink" Target="https://hawk-eye.atlassian.net/browse/BAS-1165?atlOrigin=eyJpIjoiYzgwYTQ0ZjEyNzQzNGJhN2JmNjEyZTM0NmRhZWZhNjIiLCJwIjoic2hlZXRzLWppcmEifQ" TargetMode="External"/><Relationship Id="rId4" Type="http://schemas.openxmlformats.org/officeDocument/2006/relationships/hyperlink" Target="https://hawk-eye.atlassian.net/browse/BAS-1143?atlOrigin=eyJpIjoiYzgwYTQ0ZjEyNzQzNGJhN2JmNjEyZTM0NmRhZWZhNjIiLCJwIjoic2hlZXRzLWppcmEifQ" TargetMode="External"/><Relationship Id="rId10" Type="http://schemas.openxmlformats.org/officeDocument/2006/relationships/drawing" Target="../drawings/drawing2.xml"/><Relationship Id="rId9" Type="http://schemas.openxmlformats.org/officeDocument/2006/relationships/hyperlink" Target="https://hawk-eye.atlassian.net/browse/BAS-1044?atlOrigin=eyJpIjoiYzgwYTQ0ZjEyNzQzNGJhN2JmNjEyZTM0NmRhZWZhNjIiLCJwIjoic2hlZXRzLWppcmEifQ" TargetMode="External"/><Relationship Id="rId5" Type="http://schemas.openxmlformats.org/officeDocument/2006/relationships/hyperlink" Target="https://hawk-eye.atlassian.net/browse/BAS-1092?atlOrigin=eyJpIjoiYzgwYTQ0ZjEyNzQzNGJhN2JmNjEyZTM0NmRhZWZhNjIiLCJwIjoic2hlZXRzLWppcmEifQ" TargetMode="External"/><Relationship Id="rId6" Type="http://schemas.openxmlformats.org/officeDocument/2006/relationships/hyperlink" Target="https://hawk-eye.atlassian.net/browse/BAS-1054?atlOrigin=eyJpIjoiYzgwYTQ0ZjEyNzQzNGJhN2JmNjEyZTM0NmRhZWZhNjIiLCJwIjoic2hlZXRzLWppcmEifQ" TargetMode="External"/><Relationship Id="rId7" Type="http://schemas.openxmlformats.org/officeDocument/2006/relationships/hyperlink" Target="https://hawk-eye.atlassian.net/browse/BAS-1053?atlOrigin=eyJpIjoiYzgwYTQ0ZjEyNzQzNGJhN2JmNjEyZTM0NmRhZWZhNjIiLCJwIjoic2hlZXRzLWppcmEifQ" TargetMode="External"/><Relationship Id="rId8" Type="http://schemas.openxmlformats.org/officeDocument/2006/relationships/hyperlink" Target="https://hawk-eye.atlassian.net/browse/BAS-1050?atlOrigin=eyJpIjoiYzgwYTQ0ZjEyNzQzNGJhN2JmNjEyZTM0NmRhZWZhNjIiLCJwIjoic2hlZXRzLWppcmEifQ"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9.88"/>
    <col customWidth="1" min="6" max="6" width="16.25"/>
    <col customWidth="1" min="8" max="8" width="27.75"/>
    <col customWidth="1" min="17" max="17" width="20.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row>
    <row r="2" hidden="1">
      <c r="A2" s="1" t="s">
        <v>21</v>
      </c>
      <c r="B2" s="3" t="str">
        <f>HYPERLINK("https://hawk-eye.atlassian.net/browse/BAS-1354?atlOrigin=eyJpIjoiYzgwYTQ0ZjEyNzQzNGJhN2JmNjEyZTM0NmRhZWZhNjIiLCJwIjoic2hlZXRzLWppcmEifQ","BAS-1354")</f>
        <v>BAS-1354</v>
      </c>
      <c r="C2" s="1" t="s">
        <v>22</v>
      </c>
      <c r="D2" s="1" t="s">
        <v>23</v>
      </c>
      <c r="E2" s="1" t="s">
        <v>24</v>
      </c>
      <c r="F2" s="4">
        <v>45939.38159722222</v>
      </c>
      <c r="G2" s="3" t="str">
        <f>HYPERLINK("https://hawk-eye.atlassian.net/browse/BAS-1226?atlOrigin=eyJpIjoiYzgwYTQ0ZjEyNzQzNGJhN2JmNjEyZTM0NmRhZWZhNjIiLCJwIjoic2hlZXRzLWppcmEifQ","BAS-1226")</f>
        <v>BAS-1226</v>
      </c>
      <c r="H2" s="1" t="s">
        <v>25</v>
      </c>
      <c r="I2" s="1" t="s">
        <v>26</v>
      </c>
      <c r="J2" s="1" t="s">
        <v>26</v>
      </c>
      <c r="K2" s="1" t="s">
        <v>26</v>
      </c>
      <c r="L2" s="1" t="s">
        <v>26</v>
      </c>
      <c r="M2" s="1" t="s">
        <v>27</v>
      </c>
      <c r="N2" s="1" t="s">
        <v>27</v>
      </c>
      <c r="O2" s="1" t="s">
        <v>27</v>
      </c>
      <c r="P2" s="1" t="s">
        <v>26</v>
      </c>
      <c r="Q2" s="4">
        <v>45940.46707175926</v>
      </c>
      <c r="R2" s="1" t="s">
        <v>26</v>
      </c>
      <c r="S2" s="1" t="s">
        <v>28</v>
      </c>
      <c r="U2" s="5">
        <v>45692.0</v>
      </c>
    </row>
    <row r="3" hidden="1">
      <c r="A3" s="1" t="s">
        <v>29</v>
      </c>
      <c r="B3" s="3" t="str">
        <f>HYPERLINK("https://hawk-eye.atlassian.net/browse/BAS-1353?atlOrigin=eyJpIjoiYzgwYTQ0ZjEyNzQzNGJhN2JmNjEyZTM0NmRhZWZhNjIiLCJwIjoic2hlZXRzLWppcmEifQ","BAS-1353")</f>
        <v>BAS-1353</v>
      </c>
      <c r="C3" s="1" t="s">
        <v>30</v>
      </c>
      <c r="D3" s="1" t="s">
        <v>23</v>
      </c>
      <c r="E3" s="1" t="s">
        <v>31</v>
      </c>
      <c r="F3" s="4">
        <v>45938.564988425926</v>
      </c>
      <c r="G3" s="3" t="str">
        <f>HYPERLINK("https://hawk-eye.atlassian.net/browse/?atlOrigin=eyJpIjoiYzgwYTQ0ZjEyNzQzNGJhN2JmNjEyZTM0NmRhZWZhNjIiLCJwIjoic2hlZXRzLWppcmEifQ","")</f>
        <v/>
      </c>
      <c r="H3" s="1" t="s">
        <v>25</v>
      </c>
      <c r="I3" s="1" t="s">
        <v>26</v>
      </c>
      <c r="J3" s="1" t="s">
        <v>26</v>
      </c>
      <c r="K3" s="1" t="s">
        <v>26</v>
      </c>
      <c r="L3" s="1" t="s">
        <v>26</v>
      </c>
      <c r="M3" s="1" t="s">
        <v>27</v>
      </c>
      <c r="N3" s="1" t="s">
        <v>27</v>
      </c>
      <c r="O3" s="1" t="s">
        <v>27</v>
      </c>
      <c r="P3" s="1" t="s">
        <v>26</v>
      </c>
      <c r="Q3" s="4">
        <v>45938.564988425926</v>
      </c>
      <c r="R3" s="1" t="s">
        <v>26</v>
      </c>
      <c r="S3" s="1" t="s">
        <v>32</v>
      </c>
      <c r="U3" s="5">
        <v>45691.0</v>
      </c>
    </row>
    <row r="4">
      <c r="A4" s="1" t="s">
        <v>21</v>
      </c>
      <c r="B4" s="3" t="str">
        <f>HYPERLINK("https://hawk-eye.atlassian.net/browse/BAS-1352?atlOrigin=eyJpIjoiYzgwYTQ0ZjEyNzQzNGJhN2JmNjEyZTM0NmRhZWZhNjIiLCJwIjoic2hlZXRzLWppcmEifQ","BAS-1352")</f>
        <v>BAS-1352</v>
      </c>
      <c r="C4" s="1" t="s">
        <v>33</v>
      </c>
      <c r="D4" s="1" t="s">
        <v>34</v>
      </c>
      <c r="E4" s="1" t="s">
        <v>35</v>
      </c>
      <c r="F4" s="4">
        <v>45937.518159722225</v>
      </c>
      <c r="G4" s="3" t="str">
        <f>HYPERLINK("https://hawk-eye.atlassian.net/browse/BAS-1274?atlOrigin=eyJpIjoiYzgwYTQ0ZjEyNzQzNGJhN2JmNjEyZTM0NmRhZWZhNjIiLCJwIjoic2hlZXRzLWppcmEifQ","BAS-1274")</f>
        <v>BAS-1274</v>
      </c>
      <c r="H4" s="1" t="s">
        <v>25</v>
      </c>
      <c r="I4" s="1" t="s">
        <v>26</v>
      </c>
      <c r="J4" s="1" t="s">
        <v>26</v>
      </c>
      <c r="K4" s="1" t="s">
        <v>26</v>
      </c>
      <c r="L4" s="1" t="s">
        <v>26</v>
      </c>
      <c r="M4" s="1" t="s">
        <v>27</v>
      </c>
      <c r="N4" s="1" t="s">
        <v>27</v>
      </c>
      <c r="O4" s="1" t="s">
        <v>27</v>
      </c>
      <c r="P4" s="1" t="s">
        <v>26</v>
      </c>
      <c r="Q4" s="4">
        <v>45944.59961805555</v>
      </c>
      <c r="R4" s="6" t="s">
        <v>36</v>
      </c>
      <c r="S4" s="1" t="s">
        <v>32</v>
      </c>
      <c r="T4" s="2">
        <v>1.0</v>
      </c>
      <c r="U4" s="5">
        <v>45658.0</v>
      </c>
    </row>
    <row r="5" hidden="1">
      <c r="A5" s="1" t="s">
        <v>29</v>
      </c>
      <c r="B5" s="3" t="str">
        <f>HYPERLINK("https://hawk-eye.atlassian.net/browse/BAS-1351?atlOrigin=eyJpIjoiYzgwYTQ0ZjEyNzQzNGJhN2JmNjEyZTM0NmRhZWZhNjIiLCJwIjoic2hlZXRzLWppcmEifQ","BAS-1351")</f>
        <v>BAS-1351</v>
      </c>
      <c r="C5" s="1" t="s">
        <v>37</v>
      </c>
      <c r="D5" s="1" t="s">
        <v>34</v>
      </c>
      <c r="E5" s="1" t="s">
        <v>31</v>
      </c>
      <c r="F5" s="4">
        <v>45937.45674768519</v>
      </c>
      <c r="G5" s="3" t="str">
        <f>HYPERLINK("https://hawk-eye.atlassian.net/browse/?atlOrigin=eyJpIjoiYzgwYTQ0ZjEyNzQzNGJhN2JmNjEyZTM0NmRhZWZhNjIiLCJwIjoic2hlZXRzLWppcmEifQ","")</f>
        <v/>
      </c>
      <c r="H5" s="1" t="s">
        <v>25</v>
      </c>
      <c r="I5" s="1" t="s">
        <v>26</v>
      </c>
      <c r="J5" s="1" t="s">
        <v>26</v>
      </c>
      <c r="K5" s="1" t="s">
        <v>26</v>
      </c>
      <c r="L5" s="1" t="s">
        <v>26</v>
      </c>
      <c r="M5" s="1" t="s">
        <v>27</v>
      </c>
      <c r="N5" s="1" t="s">
        <v>27</v>
      </c>
      <c r="O5" s="1" t="s">
        <v>27</v>
      </c>
      <c r="P5" s="1" t="s">
        <v>26</v>
      </c>
      <c r="Q5" s="4">
        <v>45937.45674768519</v>
      </c>
      <c r="R5" s="1" t="s">
        <v>26</v>
      </c>
      <c r="S5" s="1" t="s">
        <v>38</v>
      </c>
      <c r="U5" s="5">
        <v>45667.0</v>
      </c>
    </row>
    <row r="6" hidden="1">
      <c r="A6" s="1" t="s">
        <v>21</v>
      </c>
      <c r="B6" s="3" t="str">
        <f>HYPERLINK("https://hawk-eye.atlassian.net/browse/BAS-1344?atlOrigin=eyJpIjoiYzgwYTQ0ZjEyNzQzNGJhN2JmNjEyZTM0NmRhZWZhNjIiLCJwIjoic2hlZXRzLWppcmEifQ","BAS-1344")</f>
        <v>BAS-1344</v>
      </c>
      <c r="C6" s="1" t="s">
        <v>39</v>
      </c>
      <c r="D6" s="1" t="s">
        <v>40</v>
      </c>
      <c r="E6" s="1" t="s">
        <v>41</v>
      </c>
      <c r="F6" s="4">
        <v>45919.61682870371</v>
      </c>
      <c r="G6" s="3" t="str">
        <f>HYPERLINK("https://hawk-eye.atlassian.net/browse/BAS-1226?atlOrigin=eyJpIjoiYzgwYTQ0ZjEyNzQzNGJhN2JmNjEyZTM0NmRhZWZhNjIiLCJwIjoic2hlZXRzLWppcmEifQ","BAS-1226")</f>
        <v>BAS-1226</v>
      </c>
      <c r="H6" s="1" t="s">
        <v>25</v>
      </c>
      <c r="I6" s="1" t="s">
        <v>26</v>
      </c>
      <c r="J6" s="1" t="s">
        <v>26</v>
      </c>
      <c r="K6" s="1" t="s">
        <v>26</v>
      </c>
      <c r="L6" s="1" t="s">
        <v>26</v>
      </c>
      <c r="M6" s="1" t="s">
        <v>27</v>
      </c>
      <c r="N6" s="1" t="s">
        <v>27</v>
      </c>
      <c r="O6" s="1" t="s">
        <v>27</v>
      </c>
      <c r="P6" s="1" t="s">
        <v>26</v>
      </c>
      <c r="Q6" s="4">
        <v>45924.40628472222</v>
      </c>
      <c r="R6" s="1" t="s">
        <v>26</v>
      </c>
      <c r="S6" s="1" t="s">
        <v>32</v>
      </c>
      <c r="U6" s="5">
        <v>45667.0</v>
      </c>
    </row>
    <row r="7">
      <c r="A7" s="1" t="s">
        <v>21</v>
      </c>
      <c r="B7" s="3" t="str">
        <f>HYPERLINK("https://hawk-eye.atlassian.net/browse/BAS-1342?atlOrigin=eyJpIjoiYzgwYTQ0ZjEyNzQzNGJhN2JmNjEyZTM0NmRhZWZhNjIiLCJwIjoic2hlZXRzLWppcmEifQ","BAS-1342")</f>
        <v>BAS-1342</v>
      </c>
      <c r="C7" s="1" t="s">
        <v>42</v>
      </c>
      <c r="D7" s="1" t="s">
        <v>34</v>
      </c>
      <c r="E7" s="1" t="s">
        <v>41</v>
      </c>
      <c r="F7" s="4">
        <v>45916.74380787037</v>
      </c>
      <c r="G7" s="3" t="str">
        <f>HYPERLINK("https://hawk-eye.atlassian.net/browse/?atlOrigin=eyJpIjoiYzgwYTQ0ZjEyNzQzNGJhN2JmNjEyZTM0NmRhZWZhNjIiLCJwIjoic2hlZXRzLWppcmEifQ","")</f>
        <v/>
      </c>
      <c r="H7" s="1" t="s">
        <v>25</v>
      </c>
      <c r="I7" s="1" t="s">
        <v>26</v>
      </c>
      <c r="J7" s="1" t="s">
        <v>26</v>
      </c>
      <c r="K7" s="1" t="s">
        <v>26</v>
      </c>
      <c r="L7" s="1" t="s">
        <v>26</v>
      </c>
      <c r="M7" s="1" t="s">
        <v>27</v>
      </c>
      <c r="N7" s="1" t="s">
        <v>27</v>
      </c>
      <c r="O7" s="1" t="s">
        <v>27</v>
      </c>
      <c r="P7" s="1" t="s">
        <v>26</v>
      </c>
      <c r="Q7" s="4">
        <v>45924.40619212963</v>
      </c>
      <c r="R7" s="6" t="s">
        <v>43</v>
      </c>
      <c r="S7" s="1" t="s">
        <v>32</v>
      </c>
      <c r="T7" s="2">
        <v>1.0</v>
      </c>
      <c r="U7" s="5">
        <v>45658.0</v>
      </c>
    </row>
    <row r="8">
      <c r="A8" s="1" t="s">
        <v>29</v>
      </c>
      <c r="B8" s="3" t="str">
        <f>HYPERLINK("https://hawk-eye.atlassian.net/browse/BAS-1338?atlOrigin=eyJpIjoiYzgwYTQ0ZjEyNzQzNGJhN2JmNjEyZTM0NmRhZWZhNjIiLCJwIjoic2hlZXRzLWppcmEifQ","BAS-1338")</f>
        <v>BAS-1338</v>
      </c>
      <c r="C8" s="1" t="s">
        <v>44</v>
      </c>
      <c r="D8" s="1" t="s">
        <v>34</v>
      </c>
      <c r="E8" s="1" t="s">
        <v>45</v>
      </c>
      <c r="F8" s="4">
        <v>45912.152974537035</v>
      </c>
      <c r="G8" s="3" t="str">
        <f>HYPERLINK("https://hawk-eye.atlassian.net/browse/BAS-1337?atlOrigin=eyJpIjoiYzgwYTQ0ZjEyNzQzNGJhN2JmNjEyZTM0NmRhZWZhNjIiLCJwIjoic2hlZXRzLWppcmEifQ","BAS-1337")</f>
        <v>BAS-1337</v>
      </c>
      <c r="H8" s="1" t="s">
        <v>25</v>
      </c>
      <c r="I8" s="1" t="s">
        <v>26</v>
      </c>
      <c r="J8" s="1" t="s">
        <v>26</v>
      </c>
      <c r="K8" s="1" t="s">
        <v>26</v>
      </c>
      <c r="L8" s="1" t="s">
        <v>26</v>
      </c>
      <c r="M8" s="1" t="s">
        <v>27</v>
      </c>
      <c r="N8" s="1" t="s">
        <v>27</v>
      </c>
      <c r="O8" s="1" t="s">
        <v>27</v>
      </c>
      <c r="P8" s="1" t="s">
        <v>26</v>
      </c>
      <c r="Q8" s="4">
        <v>45923.49774305556</v>
      </c>
      <c r="R8" s="6" t="s">
        <v>36</v>
      </c>
      <c r="S8" s="1" t="s">
        <v>32</v>
      </c>
      <c r="T8" s="2">
        <v>1.0</v>
      </c>
      <c r="U8" s="5">
        <v>45658.0</v>
      </c>
    </row>
    <row r="9">
      <c r="A9" s="1" t="s">
        <v>29</v>
      </c>
      <c r="B9" s="3" t="str">
        <f>HYPERLINK("https://hawk-eye.atlassian.net/browse/BAS-1337?atlOrigin=eyJpIjoiYzgwYTQ0ZjEyNzQzNGJhN2JmNjEyZTM0NmRhZWZhNjIiLCJwIjoic2hlZXRzLWppcmEifQ","BAS-1337")</f>
        <v>BAS-1337</v>
      </c>
      <c r="C9" s="1" t="s">
        <v>46</v>
      </c>
      <c r="D9" s="1" t="s">
        <v>34</v>
      </c>
      <c r="E9" s="1" t="s">
        <v>41</v>
      </c>
      <c r="F9" s="4">
        <v>45911.763194444444</v>
      </c>
      <c r="G9" s="3" t="str">
        <f>HYPERLINK("https://hawk-eye.atlassian.net/browse/BAS-1338?atlOrigin=eyJpIjoiYzgwYTQ0ZjEyNzQzNGJhN2JmNjEyZTM0NmRhZWZhNjIiLCJwIjoic2hlZXRzLWppcmEifQ","BAS-1338")</f>
        <v>BAS-1338</v>
      </c>
      <c r="H9" s="1" t="s">
        <v>25</v>
      </c>
      <c r="I9" s="1" t="s">
        <v>26</v>
      </c>
      <c r="J9" s="1" t="s">
        <v>26</v>
      </c>
      <c r="K9" s="1" t="s">
        <v>26</v>
      </c>
      <c r="L9" s="1" t="s">
        <v>26</v>
      </c>
      <c r="M9" s="1" t="s">
        <v>27</v>
      </c>
      <c r="N9" s="1" t="s">
        <v>27</v>
      </c>
      <c r="O9" s="1" t="s">
        <v>27</v>
      </c>
      <c r="P9" s="1" t="s">
        <v>26</v>
      </c>
      <c r="Q9" s="4">
        <v>45932.5875</v>
      </c>
      <c r="R9" s="6" t="s">
        <v>43</v>
      </c>
      <c r="S9" s="1" t="s">
        <v>32</v>
      </c>
      <c r="T9" s="2">
        <v>1.0</v>
      </c>
      <c r="U9" s="5">
        <v>45662.0</v>
      </c>
    </row>
    <row r="10" hidden="1">
      <c r="A10" s="1" t="s">
        <v>29</v>
      </c>
      <c r="B10" s="3" t="str">
        <f>HYPERLINK("https://hawk-eye.atlassian.net/browse/BAS-1328?atlOrigin=eyJpIjoiYzgwYTQ0ZjEyNzQzNGJhN2JmNjEyZTM0NmRhZWZhNjIiLCJwIjoic2hlZXRzLWppcmEifQ","BAS-1328")</f>
        <v>BAS-1328</v>
      </c>
      <c r="C10" s="1" t="s">
        <v>47</v>
      </c>
      <c r="D10" s="1" t="s">
        <v>48</v>
      </c>
      <c r="E10" s="1" t="s">
        <v>31</v>
      </c>
      <c r="F10" s="4">
        <v>45909.68887731482</v>
      </c>
      <c r="G10" s="3" t="str">
        <f t="shared" ref="G10:G13" si="1">HYPERLINK("https://hawk-eye.atlassian.net/browse/?atlOrigin=eyJpIjoiYzgwYTQ0ZjEyNzQzNGJhN2JmNjEyZTM0NmRhZWZhNjIiLCJwIjoic2hlZXRzLWppcmEifQ","")</f>
        <v/>
      </c>
      <c r="H10" s="1" t="s">
        <v>25</v>
      </c>
      <c r="I10" s="1" t="s">
        <v>26</v>
      </c>
      <c r="J10" s="1" t="s">
        <v>26</v>
      </c>
      <c r="K10" s="1" t="s">
        <v>26</v>
      </c>
      <c r="L10" s="1" t="s">
        <v>26</v>
      </c>
      <c r="M10" s="1" t="s">
        <v>27</v>
      </c>
      <c r="N10" s="1" t="s">
        <v>27</v>
      </c>
      <c r="O10" s="1" t="s">
        <v>27</v>
      </c>
      <c r="P10" s="1" t="s">
        <v>26</v>
      </c>
      <c r="Q10" s="4">
        <v>45909.68887731482</v>
      </c>
      <c r="R10" s="1" t="s">
        <v>26</v>
      </c>
      <c r="S10" s="1" t="s">
        <v>28</v>
      </c>
      <c r="U10" s="5">
        <v>45699.0</v>
      </c>
    </row>
    <row r="11" hidden="1">
      <c r="A11" s="1" t="s">
        <v>29</v>
      </c>
      <c r="B11" s="3" t="str">
        <f>HYPERLINK("https://hawk-eye.atlassian.net/browse/BAS-1326?atlOrigin=eyJpIjoiYzgwYTQ0ZjEyNzQzNGJhN2JmNjEyZTM0NmRhZWZhNjIiLCJwIjoic2hlZXRzLWppcmEifQ","BAS-1326")</f>
        <v>BAS-1326</v>
      </c>
      <c r="C11" s="1" t="s">
        <v>49</v>
      </c>
      <c r="D11" s="1" t="s">
        <v>34</v>
      </c>
      <c r="E11" s="1" t="s">
        <v>45</v>
      </c>
      <c r="F11" s="4">
        <v>45901.7268287037</v>
      </c>
      <c r="G11" s="3" t="str">
        <f t="shared" si="1"/>
        <v/>
      </c>
      <c r="H11" s="1" t="s">
        <v>25</v>
      </c>
      <c r="I11" s="1" t="s">
        <v>26</v>
      </c>
      <c r="J11" s="1" t="s">
        <v>26</v>
      </c>
      <c r="K11" s="1" t="s">
        <v>26</v>
      </c>
      <c r="L11" s="1" t="s">
        <v>26</v>
      </c>
      <c r="M11" s="1" t="s">
        <v>27</v>
      </c>
      <c r="N11" s="1" t="s">
        <v>27</v>
      </c>
      <c r="O11" s="1" t="s">
        <v>27</v>
      </c>
      <c r="P11" s="1" t="s">
        <v>26</v>
      </c>
      <c r="Q11" s="4">
        <v>45943.404699074075</v>
      </c>
      <c r="R11" s="6" t="s">
        <v>36</v>
      </c>
      <c r="S11" s="1" t="s">
        <v>32</v>
      </c>
      <c r="U11" s="5">
        <v>45735.0</v>
      </c>
    </row>
    <row r="12" hidden="1">
      <c r="A12" s="1" t="s">
        <v>29</v>
      </c>
      <c r="B12" s="3" t="str">
        <f>HYPERLINK("https://hawk-eye.atlassian.net/browse/BAS-1322?atlOrigin=eyJpIjoiYzgwYTQ0ZjEyNzQzNGJhN2JmNjEyZTM0NmRhZWZhNjIiLCJwIjoic2hlZXRzLWppcmEifQ","BAS-1322")</f>
        <v>BAS-1322</v>
      </c>
      <c r="C12" s="1" t="s">
        <v>50</v>
      </c>
      <c r="D12" s="1" t="s">
        <v>48</v>
      </c>
      <c r="E12" s="1" t="s">
        <v>41</v>
      </c>
      <c r="F12" s="4">
        <v>45897.47993055556</v>
      </c>
      <c r="G12" s="3" t="str">
        <f t="shared" si="1"/>
        <v/>
      </c>
      <c r="H12" s="1" t="s">
        <v>25</v>
      </c>
      <c r="I12" s="1" t="s">
        <v>26</v>
      </c>
      <c r="J12" s="1" t="s">
        <v>26</v>
      </c>
      <c r="K12" s="1" t="s">
        <v>26</v>
      </c>
      <c r="L12" s="1" t="s">
        <v>26</v>
      </c>
      <c r="M12" s="1" t="s">
        <v>27</v>
      </c>
      <c r="N12" s="1" t="s">
        <v>27</v>
      </c>
      <c r="O12" s="1" t="s">
        <v>27</v>
      </c>
      <c r="P12" s="1" t="s">
        <v>26</v>
      </c>
      <c r="Q12" s="4">
        <v>45924.404131944444</v>
      </c>
      <c r="R12" s="6" t="s">
        <v>43</v>
      </c>
      <c r="S12" s="1" t="s">
        <v>32</v>
      </c>
      <c r="U12" s="5">
        <v>45667.0</v>
      </c>
    </row>
    <row r="13" hidden="1">
      <c r="A13" s="1" t="s">
        <v>21</v>
      </c>
      <c r="B13" s="3" t="str">
        <f>HYPERLINK("https://hawk-eye.atlassian.net/browse/BAS-1321?atlOrigin=eyJpIjoiYzgwYTQ0ZjEyNzQzNGJhN2JmNjEyZTM0NmRhZWZhNjIiLCJwIjoic2hlZXRzLWppcmEifQ","BAS-1321")</f>
        <v>BAS-1321</v>
      </c>
      <c r="C13" s="1" t="s">
        <v>51</v>
      </c>
      <c r="D13" s="1" t="s">
        <v>34</v>
      </c>
      <c r="E13" s="1" t="s">
        <v>31</v>
      </c>
      <c r="F13" s="4">
        <v>45894.70674768519</v>
      </c>
      <c r="G13" s="3" t="str">
        <f t="shared" si="1"/>
        <v/>
      </c>
      <c r="H13" s="1" t="s">
        <v>25</v>
      </c>
      <c r="I13" s="1" t="s">
        <v>26</v>
      </c>
      <c r="J13" s="1" t="s">
        <v>26</v>
      </c>
      <c r="K13" s="1" t="s">
        <v>26</v>
      </c>
      <c r="L13" s="1" t="s">
        <v>26</v>
      </c>
      <c r="M13" s="1" t="s">
        <v>27</v>
      </c>
      <c r="N13" s="1" t="s">
        <v>27</v>
      </c>
      <c r="O13" s="1" t="s">
        <v>27</v>
      </c>
      <c r="P13" s="1" t="s">
        <v>26</v>
      </c>
      <c r="Q13" s="4">
        <v>45894.70674768519</v>
      </c>
      <c r="R13" s="1" t="s">
        <v>26</v>
      </c>
      <c r="S13" s="1" t="s">
        <v>52</v>
      </c>
      <c r="U13" s="5">
        <v>45667.0</v>
      </c>
    </row>
    <row r="14">
      <c r="A14" s="1" t="s">
        <v>29</v>
      </c>
      <c r="B14" s="3" t="str">
        <f>HYPERLINK("https://hawk-eye.atlassian.net/browse/BAS-1320?atlOrigin=eyJpIjoiYzgwYTQ0ZjEyNzQzNGJhN2JmNjEyZTM0NmRhZWZhNjIiLCJwIjoic2hlZXRzLWppcmEifQ","BAS-1320")</f>
        <v>BAS-1320</v>
      </c>
      <c r="C14" s="1" t="s">
        <v>53</v>
      </c>
      <c r="D14" s="1" t="s">
        <v>23</v>
      </c>
      <c r="E14" s="1" t="s">
        <v>41</v>
      </c>
      <c r="F14" s="4">
        <v>45889.758263888885</v>
      </c>
      <c r="G14" s="3" t="str">
        <f>HYPERLINK("https://hawk-eye.atlassian.net/browse/BAS-1140?atlOrigin=eyJpIjoiYzgwYTQ0ZjEyNzQzNGJhN2JmNjEyZTM0NmRhZWZhNjIiLCJwIjoic2hlZXRzLWppcmEifQ","BAS-1140")</f>
        <v>BAS-1140</v>
      </c>
      <c r="H14" s="1" t="s">
        <v>25</v>
      </c>
      <c r="I14" s="1" t="s">
        <v>26</v>
      </c>
      <c r="J14" s="1" t="s">
        <v>26</v>
      </c>
      <c r="K14" s="1" t="s">
        <v>26</v>
      </c>
      <c r="L14" s="1" t="s">
        <v>26</v>
      </c>
      <c r="M14" s="1" t="s">
        <v>27</v>
      </c>
      <c r="N14" s="1" t="s">
        <v>27</v>
      </c>
      <c r="O14" s="1" t="s">
        <v>27</v>
      </c>
      <c r="P14" s="1" t="s">
        <v>26</v>
      </c>
      <c r="Q14" s="4">
        <v>45924.40483796296</v>
      </c>
      <c r="R14" s="6" t="s">
        <v>43</v>
      </c>
      <c r="S14" s="1" t="s">
        <v>32</v>
      </c>
      <c r="T14" s="2">
        <v>1.0</v>
      </c>
      <c r="U14" s="5">
        <v>45662.0</v>
      </c>
    </row>
    <row r="15">
      <c r="A15" s="1" t="s">
        <v>21</v>
      </c>
      <c r="B15" s="3" t="str">
        <f>HYPERLINK("https://hawk-eye.atlassian.net/browse/BAS-1318?atlOrigin=eyJpIjoiYzgwYTQ0ZjEyNzQzNGJhN2JmNjEyZTM0NmRhZWZhNjIiLCJwIjoic2hlZXRzLWppcmEifQ","BAS-1318")</f>
        <v>BAS-1318</v>
      </c>
      <c r="C15" s="1" t="s">
        <v>54</v>
      </c>
      <c r="D15" s="1" t="s">
        <v>23</v>
      </c>
      <c r="E15" s="1" t="s">
        <v>41</v>
      </c>
      <c r="F15" s="4">
        <v>45889.46555555556</v>
      </c>
      <c r="G15" s="3" t="str">
        <f>HYPERLINK("https://hawk-eye.atlassian.net/browse/?atlOrigin=eyJpIjoiYzgwYTQ0ZjEyNzQzNGJhN2JmNjEyZTM0NmRhZWZhNjIiLCJwIjoic2hlZXRzLWppcmEifQ","")</f>
        <v/>
      </c>
      <c r="H15" s="1" t="s">
        <v>25</v>
      </c>
      <c r="I15" s="1" t="s">
        <v>26</v>
      </c>
      <c r="J15" s="1" t="s">
        <v>26</v>
      </c>
      <c r="K15" s="1" t="s">
        <v>26</v>
      </c>
      <c r="L15" s="1" t="s">
        <v>26</v>
      </c>
      <c r="M15" s="1" t="s">
        <v>27</v>
      </c>
      <c r="N15" s="1" t="s">
        <v>27</v>
      </c>
      <c r="O15" s="1" t="s">
        <v>27</v>
      </c>
      <c r="P15" s="1" t="s">
        <v>26</v>
      </c>
      <c r="Q15" s="4">
        <v>45897.42664351852</v>
      </c>
      <c r="R15" s="1" t="s">
        <v>26</v>
      </c>
      <c r="S15" s="1" t="s">
        <v>28</v>
      </c>
      <c r="T15" s="2">
        <v>1.0</v>
      </c>
      <c r="U15" s="5">
        <v>45662.0</v>
      </c>
    </row>
    <row r="16" hidden="1">
      <c r="A16" s="1" t="s">
        <v>29</v>
      </c>
      <c r="B16" s="3" t="str">
        <f>HYPERLINK("https://hawk-eye.atlassian.net/browse/BAS-1316?atlOrigin=eyJpIjoiYzgwYTQ0ZjEyNzQzNGJhN2JmNjEyZTM0NmRhZWZhNjIiLCJwIjoic2hlZXRzLWppcmEifQ","BAS-1316")</f>
        <v>BAS-1316</v>
      </c>
      <c r="C16" s="1" t="s">
        <v>55</v>
      </c>
      <c r="D16" s="1" t="s">
        <v>40</v>
      </c>
      <c r="E16" s="1" t="s">
        <v>41</v>
      </c>
      <c r="F16" s="4">
        <v>45888.87464120371</v>
      </c>
      <c r="G16" s="3" t="str">
        <f>HYPERLINK("https://hawk-eye.atlassian.net/browse/BAS-1317?atlOrigin=eyJpIjoiYzgwYTQ0ZjEyNzQzNGJhN2JmNjEyZTM0NmRhZWZhNjIiLCJwIjoic2hlZXRzLWppcmEifQ","BAS-1317")</f>
        <v>BAS-1317</v>
      </c>
      <c r="H16" s="1" t="s">
        <v>25</v>
      </c>
      <c r="I16" s="1" t="s">
        <v>26</v>
      </c>
      <c r="J16" s="1" t="s">
        <v>26</v>
      </c>
      <c r="K16" s="1" t="s">
        <v>26</v>
      </c>
      <c r="L16" s="1" t="s">
        <v>26</v>
      </c>
      <c r="M16" s="1" t="s">
        <v>27</v>
      </c>
      <c r="N16" s="1" t="s">
        <v>27</v>
      </c>
      <c r="O16" s="1" t="s">
        <v>27</v>
      </c>
      <c r="P16" s="1" t="s">
        <v>26</v>
      </c>
      <c r="Q16" s="4">
        <v>45932.69726851852</v>
      </c>
      <c r="R16" s="6" t="s">
        <v>43</v>
      </c>
      <c r="S16" s="1" t="s">
        <v>56</v>
      </c>
      <c r="U16" s="5">
        <v>45667.0</v>
      </c>
    </row>
    <row r="17" hidden="1">
      <c r="A17" s="1" t="s">
        <v>29</v>
      </c>
      <c r="B17" s="3" t="str">
        <f>HYPERLINK("https://hawk-eye.atlassian.net/browse/BAS-1303?atlOrigin=eyJpIjoiYzgwYTQ0ZjEyNzQzNGJhN2JmNjEyZTM0NmRhZWZhNjIiLCJwIjoic2hlZXRzLWppcmEifQ","BAS-1303")</f>
        <v>BAS-1303</v>
      </c>
      <c r="C17" s="1" t="s">
        <v>57</v>
      </c>
      <c r="D17" s="1" t="s">
        <v>23</v>
      </c>
      <c r="E17" s="1" t="s">
        <v>31</v>
      </c>
      <c r="F17" s="4">
        <v>45874.51190972222</v>
      </c>
      <c r="G17" s="3" t="str">
        <f>HYPERLINK("https://hawk-eye.atlassian.net/browse/BAS-1202?atlOrigin=eyJpIjoiYzgwYTQ0ZjEyNzQzNGJhN2JmNjEyZTM0NmRhZWZhNjIiLCJwIjoic2hlZXRzLWppcmEifQ","BAS-1202")</f>
        <v>BAS-1202</v>
      </c>
      <c r="H17" s="1" t="s">
        <v>25</v>
      </c>
      <c r="I17" s="1" t="s">
        <v>26</v>
      </c>
      <c r="J17" s="1" t="s">
        <v>26</v>
      </c>
      <c r="K17" s="1" t="s">
        <v>26</v>
      </c>
      <c r="L17" s="1" t="s">
        <v>26</v>
      </c>
      <c r="M17" s="1" t="s">
        <v>27</v>
      </c>
      <c r="N17" s="1" t="s">
        <v>27</v>
      </c>
      <c r="O17" s="1" t="s">
        <v>27</v>
      </c>
      <c r="P17" s="1" t="s">
        <v>26</v>
      </c>
      <c r="Q17" s="4">
        <v>45874.511921296296</v>
      </c>
      <c r="R17" s="1" t="s">
        <v>26</v>
      </c>
      <c r="S17" s="1" t="s">
        <v>58</v>
      </c>
      <c r="U17" s="5">
        <v>45667.0</v>
      </c>
    </row>
    <row r="18" hidden="1">
      <c r="A18" s="1" t="s">
        <v>29</v>
      </c>
      <c r="B18" s="3" t="str">
        <f>HYPERLINK("https://hawk-eye.atlassian.net/browse/BAS-1301?atlOrigin=eyJpIjoiYzgwYTQ0ZjEyNzQzNGJhN2JmNjEyZTM0NmRhZWZhNjIiLCJwIjoic2hlZXRzLWppcmEifQ","BAS-1301")</f>
        <v>BAS-1301</v>
      </c>
      <c r="C18" s="1" t="s">
        <v>59</v>
      </c>
      <c r="D18" s="1" t="s">
        <v>34</v>
      </c>
      <c r="E18" s="1" t="s">
        <v>41</v>
      </c>
      <c r="F18" s="4">
        <v>45874.50438657407</v>
      </c>
      <c r="G18" s="3" t="str">
        <f>HYPERLINK("https://hawk-eye.atlassian.net/browse/RTT-11010?atlOrigin=eyJpIjoiYzgwYTQ0ZjEyNzQzNGJhN2JmNjEyZTM0NmRhZWZhNjIiLCJwIjoic2hlZXRzLWppcmEifQ","RTT-11010")</f>
        <v>RTT-11010</v>
      </c>
      <c r="H18" s="1" t="s">
        <v>25</v>
      </c>
      <c r="I18" s="1" t="s">
        <v>26</v>
      </c>
      <c r="J18" s="1" t="s">
        <v>26</v>
      </c>
      <c r="K18" s="1" t="s">
        <v>26</v>
      </c>
      <c r="L18" s="1" t="s">
        <v>26</v>
      </c>
      <c r="M18" s="1" t="s">
        <v>27</v>
      </c>
      <c r="N18" s="1" t="s">
        <v>27</v>
      </c>
      <c r="O18" s="1" t="s">
        <v>27</v>
      </c>
      <c r="P18" s="1" t="s">
        <v>26</v>
      </c>
      <c r="Q18" s="4">
        <v>45937.4162037037</v>
      </c>
      <c r="R18" s="6" t="s">
        <v>43</v>
      </c>
      <c r="S18" s="1" t="s">
        <v>32</v>
      </c>
      <c r="U18" s="5">
        <v>45667.0</v>
      </c>
    </row>
    <row r="19" hidden="1">
      <c r="A19" s="1" t="s">
        <v>21</v>
      </c>
      <c r="B19" s="3" t="str">
        <f>HYPERLINK("https://hawk-eye.atlassian.net/browse/BAS-1299?atlOrigin=eyJpIjoiYzgwYTQ0ZjEyNzQzNGJhN2JmNjEyZTM0NmRhZWZhNjIiLCJwIjoic2hlZXRzLWppcmEifQ","BAS-1299")</f>
        <v>BAS-1299</v>
      </c>
      <c r="C19" s="1" t="s">
        <v>60</v>
      </c>
      <c r="D19" s="1" t="s">
        <v>48</v>
      </c>
      <c r="E19" s="1" t="s">
        <v>31</v>
      </c>
      <c r="F19" s="4">
        <v>45873.3359837963</v>
      </c>
      <c r="G19" s="3" t="str">
        <f>HYPERLINK("https://hawk-eye.atlassian.net/browse/BAS-1054?atlOrigin=eyJpIjoiYzgwYTQ0ZjEyNzQzNGJhN2JmNjEyZTM0NmRhZWZhNjIiLCJwIjoic2hlZXRzLWppcmEifQ","BAS-1054")</f>
        <v>BAS-1054</v>
      </c>
      <c r="H19" s="1" t="s">
        <v>25</v>
      </c>
      <c r="I19" s="1" t="s">
        <v>26</v>
      </c>
      <c r="J19" s="1" t="s">
        <v>26</v>
      </c>
      <c r="K19" s="1" t="s">
        <v>26</v>
      </c>
      <c r="L19" s="1" t="s">
        <v>26</v>
      </c>
      <c r="M19" s="1" t="s">
        <v>27</v>
      </c>
      <c r="N19" s="1" t="s">
        <v>27</v>
      </c>
      <c r="O19" s="1" t="s">
        <v>27</v>
      </c>
      <c r="P19" s="1" t="s">
        <v>26</v>
      </c>
      <c r="Q19" s="4">
        <v>45873.3359837963</v>
      </c>
      <c r="R19" s="1" t="s">
        <v>26</v>
      </c>
      <c r="S19" s="1" t="s">
        <v>61</v>
      </c>
      <c r="U19" s="5">
        <v>45667.0</v>
      </c>
    </row>
    <row r="20" hidden="1">
      <c r="A20" s="1" t="s">
        <v>29</v>
      </c>
      <c r="B20" s="3" t="str">
        <f>HYPERLINK("https://hawk-eye.atlassian.net/browse/BAS-1297?atlOrigin=eyJpIjoiYzgwYTQ0ZjEyNzQzNGJhN2JmNjEyZTM0NmRhZWZhNjIiLCJwIjoic2hlZXRzLWppcmEifQ","BAS-1297")</f>
        <v>BAS-1297</v>
      </c>
      <c r="C20" s="1" t="s">
        <v>62</v>
      </c>
      <c r="D20" s="1" t="s">
        <v>48</v>
      </c>
      <c r="E20" s="1" t="s">
        <v>41</v>
      </c>
      <c r="F20" s="4">
        <v>45868.62162037037</v>
      </c>
      <c r="G20" s="3" t="str">
        <f t="shared" ref="G20:G23" si="2">HYPERLINK("https://hawk-eye.atlassian.net/browse/?atlOrigin=eyJpIjoiYzgwYTQ0ZjEyNzQzNGJhN2JmNjEyZTM0NmRhZWZhNjIiLCJwIjoic2hlZXRzLWppcmEifQ","")</f>
        <v/>
      </c>
      <c r="H20" s="1" t="s">
        <v>25</v>
      </c>
      <c r="I20" s="1" t="s">
        <v>26</v>
      </c>
      <c r="J20" s="1" t="s">
        <v>26</v>
      </c>
      <c r="K20" s="1" t="s">
        <v>26</v>
      </c>
      <c r="L20" s="1" t="s">
        <v>26</v>
      </c>
      <c r="M20" s="1" t="s">
        <v>27</v>
      </c>
      <c r="N20" s="1" t="s">
        <v>27</v>
      </c>
      <c r="O20" s="1" t="s">
        <v>27</v>
      </c>
      <c r="P20" s="1" t="s">
        <v>26</v>
      </c>
      <c r="Q20" s="4">
        <v>45912.496041666665</v>
      </c>
      <c r="R20" s="6" t="s">
        <v>43</v>
      </c>
      <c r="S20" s="1" t="s">
        <v>28</v>
      </c>
      <c r="U20" s="5">
        <v>45667.0</v>
      </c>
    </row>
    <row r="21" hidden="1">
      <c r="A21" s="1" t="s">
        <v>29</v>
      </c>
      <c r="B21" s="3" t="str">
        <f>HYPERLINK("https://hawk-eye.atlassian.net/browse/BAS-1294?atlOrigin=eyJpIjoiYzgwYTQ0ZjEyNzQzNGJhN2JmNjEyZTM0NmRhZWZhNjIiLCJwIjoic2hlZXRzLWppcmEifQ","BAS-1294")</f>
        <v>BAS-1294</v>
      </c>
      <c r="C21" s="1" t="s">
        <v>63</v>
      </c>
      <c r="D21" s="1" t="s">
        <v>23</v>
      </c>
      <c r="E21" s="1" t="s">
        <v>41</v>
      </c>
      <c r="F21" s="4">
        <v>45868.545266203706</v>
      </c>
      <c r="G21" s="3" t="str">
        <f t="shared" si="2"/>
        <v/>
      </c>
      <c r="H21" s="1" t="s">
        <v>25</v>
      </c>
      <c r="I21" s="1" t="s">
        <v>26</v>
      </c>
      <c r="J21" s="1" t="s">
        <v>26</v>
      </c>
      <c r="K21" s="1" t="s">
        <v>26</v>
      </c>
      <c r="L21" s="1" t="s">
        <v>26</v>
      </c>
      <c r="M21" s="1" t="s">
        <v>27</v>
      </c>
      <c r="N21" s="1" t="s">
        <v>27</v>
      </c>
      <c r="O21" s="1" t="s">
        <v>27</v>
      </c>
      <c r="P21" s="1" t="s">
        <v>26</v>
      </c>
      <c r="Q21" s="4">
        <v>45884.445810185185</v>
      </c>
      <c r="R21" s="1" t="s">
        <v>64</v>
      </c>
      <c r="S21" s="1" t="s">
        <v>61</v>
      </c>
      <c r="U21" s="5">
        <v>45667.0</v>
      </c>
    </row>
    <row r="22" hidden="1">
      <c r="A22" s="1" t="s">
        <v>29</v>
      </c>
      <c r="B22" s="3" t="str">
        <f>HYPERLINK("https://hawk-eye.atlassian.net/browse/BAS-1285?atlOrigin=eyJpIjoiYzgwYTQ0ZjEyNzQzNGJhN2JmNjEyZTM0NmRhZWZhNjIiLCJwIjoic2hlZXRzLWppcmEifQ","BAS-1285")</f>
        <v>BAS-1285</v>
      </c>
      <c r="C22" s="1" t="s">
        <v>65</v>
      </c>
      <c r="D22" s="1" t="s">
        <v>48</v>
      </c>
      <c r="E22" s="1" t="s">
        <v>66</v>
      </c>
      <c r="F22" s="4">
        <v>45866.48504629629</v>
      </c>
      <c r="G22" s="3" t="str">
        <f t="shared" si="2"/>
        <v/>
      </c>
      <c r="H22" s="1" t="s">
        <v>25</v>
      </c>
      <c r="I22" s="1" t="s">
        <v>26</v>
      </c>
      <c r="J22" s="1" t="s">
        <v>26</v>
      </c>
      <c r="K22" s="1" t="s">
        <v>26</v>
      </c>
      <c r="L22" s="1" t="s">
        <v>26</v>
      </c>
      <c r="M22" s="1" t="s">
        <v>27</v>
      </c>
      <c r="N22" s="1" t="s">
        <v>27</v>
      </c>
      <c r="O22" s="1" t="s">
        <v>27</v>
      </c>
      <c r="P22" s="1" t="s">
        <v>26</v>
      </c>
      <c r="Q22" s="4">
        <v>45903.61796296296</v>
      </c>
      <c r="R22" s="1" t="s">
        <v>26</v>
      </c>
      <c r="S22" s="1" t="s">
        <v>28</v>
      </c>
      <c r="U22" s="5">
        <v>45667.0</v>
      </c>
    </row>
    <row r="23" hidden="1">
      <c r="A23" s="1" t="s">
        <v>21</v>
      </c>
      <c r="B23" s="3" t="str">
        <f>HYPERLINK("https://hawk-eye.atlassian.net/browse/BAS-1277?atlOrigin=eyJpIjoiYzgwYTQ0ZjEyNzQzNGJhN2JmNjEyZTM0NmRhZWZhNjIiLCJwIjoic2hlZXRzLWppcmEifQ","BAS-1277")</f>
        <v>BAS-1277</v>
      </c>
      <c r="C23" s="1" t="s">
        <v>67</v>
      </c>
      <c r="D23" s="1" t="s">
        <v>34</v>
      </c>
      <c r="E23" s="1" t="s">
        <v>41</v>
      </c>
      <c r="F23" s="4">
        <v>45862.61715277778</v>
      </c>
      <c r="G23" s="3" t="str">
        <f t="shared" si="2"/>
        <v/>
      </c>
      <c r="H23" s="1" t="s">
        <v>25</v>
      </c>
      <c r="I23" s="1" t="s">
        <v>26</v>
      </c>
      <c r="J23" s="1" t="s">
        <v>26</v>
      </c>
      <c r="K23" s="1" t="s">
        <v>26</v>
      </c>
      <c r="L23" s="1" t="s">
        <v>26</v>
      </c>
      <c r="M23" s="1" t="s">
        <v>27</v>
      </c>
      <c r="N23" s="1" t="s">
        <v>27</v>
      </c>
      <c r="O23" s="1" t="s">
        <v>27</v>
      </c>
      <c r="P23" s="1" t="s">
        <v>26</v>
      </c>
      <c r="Q23" s="4">
        <v>45937.69734953704</v>
      </c>
      <c r="R23" s="1" t="s">
        <v>26</v>
      </c>
      <c r="S23" s="1" t="s">
        <v>68</v>
      </c>
      <c r="U23" s="5">
        <v>45691.0</v>
      </c>
    </row>
    <row r="24" hidden="1">
      <c r="A24" s="1" t="s">
        <v>29</v>
      </c>
      <c r="B24" s="3" t="str">
        <f>HYPERLINK("https://hawk-eye.atlassian.net/browse/BAS-1276?atlOrigin=eyJpIjoiYzgwYTQ0ZjEyNzQzNGJhN2JmNjEyZTM0NmRhZWZhNjIiLCJwIjoic2hlZXRzLWppcmEifQ","BAS-1276")</f>
        <v>BAS-1276</v>
      </c>
      <c r="C24" s="1" t="s">
        <v>69</v>
      </c>
      <c r="D24" s="1" t="s">
        <v>48</v>
      </c>
      <c r="E24" s="1" t="s">
        <v>45</v>
      </c>
      <c r="F24" s="4">
        <v>45862.45278935185</v>
      </c>
      <c r="G24" s="3" t="str">
        <f>HYPERLINK("https://hawk-eye.atlassian.net/browse/BAS-1174?atlOrigin=eyJpIjoiYzgwYTQ0ZjEyNzQzNGJhN2JmNjEyZTM0NmRhZWZhNjIiLCJwIjoic2hlZXRzLWppcmEifQ","BAS-1174")</f>
        <v>BAS-1174</v>
      </c>
      <c r="H24" s="1" t="s">
        <v>25</v>
      </c>
      <c r="I24" s="1" t="s">
        <v>26</v>
      </c>
      <c r="J24" s="1" t="s">
        <v>26</v>
      </c>
      <c r="K24" s="1" t="s">
        <v>26</v>
      </c>
      <c r="L24" s="1" t="s">
        <v>26</v>
      </c>
      <c r="M24" s="1" t="s">
        <v>27</v>
      </c>
      <c r="N24" s="1" t="s">
        <v>27</v>
      </c>
      <c r="O24" s="1" t="s">
        <v>27</v>
      </c>
      <c r="P24" s="1" t="s">
        <v>26</v>
      </c>
      <c r="Q24" s="4">
        <v>45937.426145833335</v>
      </c>
      <c r="R24" s="6" t="s">
        <v>43</v>
      </c>
      <c r="S24" s="1" t="s">
        <v>70</v>
      </c>
      <c r="U24" s="5">
        <v>45691.0</v>
      </c>
    </row>
    <row r="25" hidden="1">
      <c r="A25" s="1" t="s">
        <v>29</v>
      </c>
      <c r="B25" s="3" t="str">
        <f>HYPERLINK("https://hawk-eye.atlassian.net/browse/BAS-1275?atlOrigin=eyJpIjoiYzgwYTQ0ZjEyNzQzNGJhN2JmNjEyZTM0NmRhZWZhNjIiLCJwIjoic2hlZXRzLWppcmEifQ","BAS-1275")</f>
        <v>BAS-1275</v>
      </c>
      <c r="C25" s="1" t="s">
        <v>71</v>
      </c>
      <c r="D25" s="1" t="s">
        <v>40</v>
      </c>
      <c r="E25" s="1" t="s">
        <v>41</v>
      </c>
      <c r="F25" s="4">
        <v>45861.87986111111</v>
      </c>
      <c r="G25" s="3" t="str">
        <f>HYPERLINK("https://hawk-eye.atlassian.net/browse/?atlOrigin=eyJpIjoiYzgwYTQ0ZjEyNzQzNGJhN2JmNjEyZTM0NmRhZWZhNjIiLCJwIjoic2hlZXRzLWppcmEifQ","")</f>
        <v/>
      </c>
      <c r="H25" s="1" t="s">
        <v>25</v>
      </c>
      <c r="I25" s="1" t="s">
        <v>26</v>
      </c>
      <c r="J25" s="1" t="s">
        <v>26</v>
      </c>
      <c r="K25" s="1" t="s">
        <v>26</v>
      </c>
      <c r="L25" s="1" t="s">
        <v>26</v>
      </c>
      <c r="M25" s="1" t="s">
        <v>27</v>
      </c>
      <c r="N25" s="1" t="s">
        <v>27</v>
      </c>
      <c r="O25" s="1" t="s">
        <v>27</v>
      </c>
      <c r="P25" s="1" t="s">
        <v>26</v>
      </c>
      <c r="Q25" s="4">
        <v>45932.69986111111</v>
      </c>
      <c r="R25" s="6" t="s">
        <v>43</v>
      </c>
      <c r="S25" s="1" t="s">
        <v>32</v>
      </c>
      <c r="U25" s="5">
        <v>45672.0</v>
      </c>
    </row>
    <row r="26" hidden="1">
      <c r="A26" s="1" t="s">
        <v>29</v>
      </c>
      <c r="B26" s="3" t="str">
        <f>HYPERLINK("https://hawk-eye.atlassian.net/browse/BAS-1274?atlOrigin=eyJpIjoiYzgwYTQ0ZjEyNzQzNGJhN2JmNjEyZTM0NmRhZWZhNjIiLCJwIjoic2hlZXRzLWppcmEifQ","BAS-1274")</f>
        <v>BAS-1274</v>
      </c>
      <c r="C26" s="1" t="s">
        <v>72</v>
      </c>
      <c r="D26" s="1" t="s">
        <v>34</v>
      </c>
      <c r="E26" s="1" t="s">
        <v>41</v>
      </c>
      <c r="F26" s="4">
        <v>45861.86988425926</v>
      </c>
      <c r="G26" s="3" t="str">
        <f>HYPERLINK("https://hawk-eye.atlassian.net/browse/BAS-1352?atlOrigin=eyJpIjoiYzgwYTQ0ZjEyNzQzNGJhN2JmNjEyZTM0NmRhZWZhNjIiLCJwIjoic2hlZXRzLWppcmEifQ","BAS-1352")</f>
        <v>BAS-1352</v>
      </c>
      <c r="H26" s="1" t="s">
        <v>25</v>
      </c>
      <c r="I26" s="1" t="s">
        <v>26</v>
      </c>
      <c r="J26" s="1" t="s">
        <v>26</v>
      </c>
      <c r="K26" s="1" t="s">
        <v>26</v>
      </c>
      <c r="L26" s="1" t="s">
        <v>26</v>
      </c>
      <c r="M26" s="1" t="s">
        <v>27</v>
      </c>
      <c r="N26" s="1" t="s">
        <v>27</v>
      </c>
      <c r="O26" s="1" t="s">
        <v>27</v>
      </c>
      <c r="P26" s="1" t="s">
        <v>26</v>
      </c>
      <c r="Q26" s="4">
        <v>45931.73217592593</v>
      </c>
      <c r="R26" s="6" t="s">
        <v>43</v>
      </c>
      <c r="S26" s="1" t="s">
        <v>32</v>
      </c>
      <c r="U26" s="5">
        <v>45691.0</v>
      </c>
    </row>
    <row r="27" hidden="1">
      <c r="A27" s="1" t="s">
        <v>29</v>
      </c>
      <c r="B27" s="3" t="str">
        <f>HYPERLINK("https://hawk-eye.atlassian.net/browse/BAS-1272?atlOrigin=eyJpIjoiYzgwYTQ0ZjEyNzQzNGJhN2JmNjEyZTM0NmRhZWZhNjIiLCJwIjoic2hlZXRzLWppcmEifQ","BAS-1272")</f>
        <v>BAS-1272</v>
      </c>
      <c r="C27" s="1" t="s">
        <v>73</v>
      </c>
      <c r="D27" s="1" t="s">
        <v>23</v>
      </c>
      <c r="E27" s="1" t="s">
        <v>41</v>
      </c>
      <c r="F27" s="4">
        <v>45861.83949074074</v>
      </c>
      <c r="G27" s="3" t="str">
        <f>HYPERLINK("https://hawk-eye.atlassian.net/issues/?atlOrigin=eyJpIjoiYzgwYTQ0ZjEyNzQzNGJhN2JmNjEyZTM0NmRhZWZhNjIiLCJwIjoic2hlZXRzLWppcmEifQ&amp;jql=key+in+%28BAS-1189%2CDEVOPS-1004%2CBAS-1314%29","BAS-1189;DEVOPS-1004;BAS-1314")</f>
        <v>BAS-1189;DEVOPS-1004;BAS-1314</v>
      </c>
      <c r="H27" s="1" t="s">
        <v>25</v>
      </c>
      <c r="I27" s="1" t="s">
        <v>26</v>
      </c>
      <c r="J27" s="1" t="s">
        <v>26</v>
      </c>
      <c r="K27" s="1" t="s">
        <v>26</v>
      </c>
      <c r="L27" s="1" t="s">
        <v>26</v>
      </c>
      <c r="M27" s="1" t="s">
        <v>27</v>
      </c>
      <c r="N27" s="1" t="s">
        <v>27</v>
      </c>
      <c r="O27" s="1" t="s">
        <v>27</v>
      </c>
      <c r="P27" s="1" t="s">
        <v>26</v>
      </c>
      <c r="Q27" s="4">
        <v>45897.42628472222</v>
      </c>
      <c r="R27" s="1" t="s">
        <v>26</v>
      </c>
      <c r="S27" s="1" t="s">
        <v>74</v>
      </c>
      <c r="U27" s="5">
        <v>45672.0</v>
      </c>
    </row>
    <row r="28" hidden="1">
      <c r="A28" s="1" t="s">
        <v>29</v>
      </c>
      <c r="B28" s="3" t="str">
        <f>HYPERLINK("https://hawk-eye.atlassian.net/browse/BAS-1249?atlOrigin=eyJpIjoiYzgwYTQ0ZjEyNzQzNGJhN2JmNjEyZTM0NmRhZWZhNjIiLCJwIjoic2hlZXRzLWppcmEifQ","BAS-1249")</f>
        <v>BAS-1249</v>
      </c>
      <c r="C28" s="1" t="s">
        <v>75</v>
      </c>
      <c r="D28" s="1" t="s">
        <v>34</v>
      </c>
      <c r="E28" s="1" t="s">
        <v>41</v>
      </c>
      <c r="F28" s="4">
        <v>45855.66667824074</v>
      </c>
      <c r="G28" s="3" t="str">
        <f>HYPERLINK("https://hawk-eye.atlassian.net/issues/?atlOrigin=eyJpIjoiYzgwYTQ0ZjEyNzQzNGJhN2JmNjEyZTM0NmRhZWZhNjIiLCJwIjoic2hlZXRzLWppcmEifQ&amp;jql=key+in+%28BAS-742%2CBAS-1345%29","BAS-742;BAS-1345")</f>
        <v>BAS-742;BAS-1345</v>
      </c>
      <c r="H28" s="1" t="s">
        <v>25</v>
      </c>
      <c r="I28" s="1" t="s">
        <v>26</v>
      </c>
      <c r="J28" s="1" t="s">
        <v>26</v>
      </c>
      <c r="K28" s="1" t="s">
        <v>26</v>
      </c>
      <c r="L28" s="1" t="s">
        <v>26</v>
      </c>
      <c r="M28" s="1" t="s">
        <v>27</v>
      </c>
      <c r="N28" s="1" t="s">
        <v>27</v>
      </c>
      <c r="O28" s="1" t="s">
        <v>27</v>
      </c>
      <c r="P28" s="1" t="s">
        <v>26</v>
      </c>
      <c r="Q28" s="4">
        <v>45860.46344907407</v>
      </c>
      <c r="R28" s="1" t="s">
        <v>26</v>
      </c>
      <c r="S28" s="1" t="s">
        <v>28</v>
      </c>
      <c r="U28" s="5">
        <v>45672.0</v>
      </c>
    </row>
    <row r="29" hidden="1">
      <c r="A29" s="1" t="s">
        <v>29</v>
      </c>
      <c r="B29" s="3" t="str">
        <f>HYPERLINK("https://hawk-eye.atlassian.net/browse/BAS-1227?atlOrigin=eyJpIjoiYzgwYTQ0ZjEyNzQzNGJhN2JmNjEyZTM0NmRhZWZhNjIiLCJwIjoic2hlZXRzLWppcmEifQ","BAS-1227")</f>
        <v>BAS-1227</v>
      </c>
      <c r="C29" s="1" t="s">
        <v>76</v>
      </c>
      <c r="D29" s="1" t="s">
        <v>23</v>
      </c>
      <c r="E29" s="1" t="s">
        <v>41</v>
      </c>
      <c r="F29" s="4">
        <v>45831.006840277776</v>
      </c>
      <c r="G29" s="3" t="str">
        <f>HYPERLINK("https://hawk-eye.atlassian.net/browse/?atlOrigin=eyJpIjoiYzgwYTQ0ZjEyNzQzNGJhN2JmNjEyZTM0NmRhZWZhNjIiLCJwIjoic2hlZXRzLWppcmEifQ","")</f>
        <v/>
      </c>
      <c r="H29" s="1" t="s">
        <v>25</v>
      </c>
      <c r="I29" s="1" t="s">
        <v>26</v>
      </c>
      <c r="J29" s="1" t="s">
        <v>26</v>
      </c>
      <c r="K29" s="1" t="s">
        <v>26</v>
      </c>
      <c r="L29" s="1" t="s">
        <v>26</v>
      </c>
      <c r="M29" s="1" t="s">
        <v>27</v>
      </c>
      <c r="N29" s="1" t="s">
        <v>27</v>
      </c>
      <c r="O29" s="1" t="s">
        <v>27</v>
      </c>
      <c r="P29" s="1" t="s">
        <v>26</v>
      </c>
      <c r="Q29" s="4">
        <v>45860.7603125</v>
      </c>
      <c r="R29" s="1" t="s">
        <v>26</v>
      </c>
      <c r="S29" s="1" t="s">
        <v>32</v>
      </c>
      <c r="U29" s="5">
        <v>45672.0</v>
      </c>
    </row>
    <row r="30" hidden="1">
      <c r="A30" s="1" t="s">
        <v>29</v>
      </c>
      <c r="B30" s="3" t="str">
        <f>HYPERLINK("https://hawk-eye.atlassian.net/browse/BAS-1226?atlOrigin=eyJpIjoiYzgwYTQ0ZjEyNzQzNGJhN2JmNjEyZTM0NmRhZWZhNjIiLCJwIjoic2hlZXRzLWppcmEifQ","BAS-1226")</f>
        <v>BAS-1226</v>
      </c>
      <c r="C30" s="1" t="s">
        <v>77</v>
      </c>
      <c r="D30" s="1" t="s">
        <v>40</v>
      </c>
      <c r="E30" s="1" t="s">
        <v>41</v>
      </c>
      <c r="F30" s="4">
        <v>45831.00226851852</v>
      </c>
      <c r="G30" s="3" t="str">
        <f>HYPERLINK("https://hawk-eye.atlassian.net/issues/?atlOrigin=eyJpIjoiYzgwYTQ0ZjEyNzQzNGJhN2JmNjEyZTM0NmRhZWZhNjIiLCJwIjoic2hlZXRzLWppcmEifQ&amp;jql=key+in+%28BAS-1034%2CBAS-1228%2CBAS-1327%2CBAS-1344%2CBAS-1346%2CBAS-1354%29","BAS-1034;BAS-1228;BAS-1327;BAS-1344;BAS-1346;BAS-1354")</f>
        <v>BAS-1034;BAS-1228;BAS-1327;BAS-1344;BAS-1346;BAS-1354</v>
      </c>
      <c r="H30" s="1" t="s">
        <v>25</v>
      </c>
      <c r="I30" s="1" t="s">
        <v>26</v>
      </c>
      <c r="J30" s="1" t="s">
        <v>26</v>
      </c>
      <c r="K30" s="1" t="s">
        <v>26</v>
      </c>
      <c r="L30" s="1" t="s">
        <v>26</v>
      </c>
      <c r="M30" s="1" t="s">
        <v>27</v>
      </c>
      <c r="N30" s="1" t="s">
        <v>27</v>
      </c>
      <c r="O30" s="1" t="s">
        <v>27</v>
      </c>
      <c r="P30" s="1" t="s">
        <v>26</v>
      </c>
      <c r="Q30" s="4">
        <v>45922.49351851852</v>
      </c>
      <c r="R30" s="6" t="s">
        <v>43</v>
      </c>
      <c r="S30" s="1" t="s">
        <v>32</v>
      </c>
      <c r="U30" s="5">
        <v>45672.0</v>
      </c>
    </row>
    <row r="31">
      <c r="A31" s="1" t="s">
        <v>29</v>
      </c>
      <c r="B31" s="3" t="str">
        <f>HYPERLINK("https://hawk-eye.atlassian.net/browse/BAS-1224?atlOrigin=eyJpIjoiYzgwYTQ0ZjEyNzQzNGJhN2JmNjEyZTM0NmRhZWZhNjIiLCJwIjoic2hlZXRzLWppcmEifQ","BAS-1224")</f>
        <v>BAS-1224</v>
      </c>
      <c r="C31" s="1" t="s">
        <v>78</v>
      </c>
      <c r="D31" s="1" t="s">
        <v>48</v>
      </c>
      <c r="E31" s="1" t="s">
        <v>41</v>
      </c>
      <c r="F31" s="4">
        <v>45827.468935185185</v>
      </c>
      <c r="G31" s="3" t="str">
        <f>HYPERLINK("https://hawk-eye.atlassian.net/browse/?atlOrigin=eyJpIjoiYzgwYTQ0ZjEyNzQzNGJhN2JmNjEyZTM0NmRhZWZhNjIiLCJwIjoic2hlZXRzLWppcmEifQ","")</f>
        <v/>
      </c>
      <c r="H31" s="1" t="s">
        <v>25</v>
      </c>
      <c r="I31" s="1" t="s">
        <v>26</v>
      </c>
      <c r="J31" s="1" t="s">
        <v>26</v>
      </c>
      <c r="K31" s="1" t="s">
        <v>26</v>
      </c>
      <c r="L31" s="1" t="s">
        <v>26</v>
      </c>
      <c r="M31" s="1" t="s">
        <v>27</v>
      </c>
      <c r="N31" s="1" t="s">
        <v>27</v>
      </c>
      <c r="O31" s="1" t="s">
        <v>27</v>
      </c>
      <c r="P31" s="1" t="s">
        <v>26</v>
      </c>
      <c r="Q31" s="4">
        <v>45860.58216435185</v>
      </c>
      <c r="R31" s="6" t="s">
        <v>43</v>
      </c>
      <c r="S31" s="1" t="s">
        <v>32</v>
      </c>
      <c r="T31" s="2">
        <v>1.0</v>
      </c>
      <c r="U31" s="5">
        <v>45665.0</v>
      </c>
    </row>
    <row r="32" hidden="1">
      <c r="A32" s="1" t="s">
        <v>21</v>
      </c>
      <c r="B32" s="3" t="str">
        <f>HYPERLINK("https://hawk-eye.atlassian.net/browse/BAS-1219?atlOrigin=eyJpIjoiYzgwYTQ0ZjEyNzQzNGJhN2JmNjEyZTM0NmRhZWZhNjIiLCJwIjoic2hlZXRzLWppcmEifQ","BAS-1219")</f>
        <v>BAS-1219</v>
      </c>
      <c r="C32" s="1" t="s">
        <v>79</v>
      </c>
      <c r="D32" s="1" t="s">
        <v>48</v>
      </c>
      <c r="E32" s="1" t="s">
        <v>41</v>
      </c>
      <c r="F32" s="4">
        <v>45825.34988425926</v>
      </c>
      <c r="G32" s="3" t="str">
        <f>HYPERLINK("https://hawk-eye.atlassian.net/browse/BAS-1054?atlOrigin=eyJpIjoiYzgwYTQ0ZjEyNzQzNGJhN2JmNjEyZTM0NmRhZWZhNjIiLCJwIjoic2hlZXRzLWppcmEifQ","BAS-1054")</f>
        <v>BAS-1054</v>
      </c>
      <c r="H32" s="1" t="s">
        <v>25</v>
      </c>
      <c r="I32" s="1" t="s">
        <v>26</v>
      </c>
      <c r="J32" s="1" t="s">
        <v>26</v>
      </c>
      <c r="K32" s="1" t="s">
        <v>26</v>
      </c>
      <c r="L32" s="1" t="s">
        <v>26</v>
      </c>
      <c r="M32" s="1" t="s">
        <v>27</v>
      </c>
      <c r="N32" s="1" t="s">
        <v>27</v>
      </c>
      <c r="O32" s="1" t="s">
        <v>27</v>
      </c>
      <c r="P32" s="1" t="s">
        <v>26</v>
      </c>
      <c r="Q32" s="4">
        <v>45869.32722222222</v>
      </c>
      <c r="R32" s="1" t="s">
        <v>64</v>
      </c>
      <c r="S32" s="1" t="s">
        <v>32</v>
      </c>
      <c r="T32" s="6" t="s">
        <v>80</v>
      </c>
      <c r="U32" s="5">
        <v>45741.0</v>
      </c>
    </row>
    <row r="33" hidden="1">
      <c r="A33" s="1" t="s">
        <v>29</v>
      </c>
      <c r="B33" s="3" t="str">
        <f>HYPERLINK("https://hawk-eye.atlassian.net/browse/BAS-1204?atlOrigin=eyJpIjoiYzgwYTQ0ZjEyNzQzNGJhN2JmNjEyZTM0NmRhZWZhNjIiLCJwIjoic2hlZXRzLWppcmEifQ","BAS-1204")</f>
        <v>BAS-1204</v>
      </c>
      <c r="C33" s="1" t="s">
        <v>81</v>
      </c>
      <c r="D33" s="1" t="s">
        <v>23</v>
      </c>
      <c r="E33" s="1" t="s">
        <v>31</v>
      </c>
      <c r="F33" s="4">
        <v>45819.465462962966</v>
      </c>
      <c r="G33" s="3" t="str">
        <f>HYPERLINK("https://hawk-eye.atlassian.net/browse/BAS-1189?atlOrigin=eyJpIjoiYzgwYTQ0ZjEyNzQzNGJhN2JmNjEyZTM0NmRhZWZhNjIiLCJwIjoic2hlZXRzLWppcmEifQ","BAS-1189")</f>
        <v>BAS-1189</v>
      </c>
      <c r="H33" s="1" t="s">
        <v>25</v>
      </c>
      <c r="I33" s="1" t="s">
        <v>26</v>
      </c>
      <c r="J33" s="1" t="s">
        <v>26</v>
      </c>
      <c r="K33" s="1" t="s">
        <v>26</v>
      </c>
      <c r="L33" s="1" t="s">
        <v>26</v>
      </c>
      <c r="M33" s="1" t="s">
        <v>27</v>
      </c>
      <c r="N33" s="1" t="s">
        <v>27</v>
      </c>
      <c r="O33" s="1" t="s">
        <v>27</v>
      </c>
      <c r="P33" s="1" t="s">
        <v>26</v>
      </c>
      <c r="Q33" s="4">
        <v>45819.465474537035</v>
      </c>
      <c r="R33" s="1" t="s">
        <v>26</v>
      </c>
      <c r="S33" s="1" t="s">
        <v>52</v>
      </c>
      <c r="U33" s="5">
        <v>45672.0</v>
      </c>
    </row>
    <row r="34" hidden="1">
      <c r="A34" s="1" t="s">
        <v>21</v>
      </c>
      <c r="B34" s="3" t="str">
        <f>HYPERLINK("https://hawk-eye.atlassian.net/browse/BAS-1186?atlOrigin=eyJpIjoiYzgwYTQ0ZjEyNzQzNGJhN2JmNjEyZTM0NmRhZWZhNjIiLCJwIjoic2hlZXRzLWppcmEifQ","BAS-1186")</f>
        <v>BAS-1186</v>
      </c>
      <c r="C34" s="1" t="s">
        <v>82</v>
      </c>
      <c r="D34" s="1" t="s">
        <v>83</v>
      </c>
      <c r="E34" s="1" t="s">
        <v>31</v>
      </c>
      <c r="F34" s="4">
        <v>45814.61388888889</v>
      </c>
      <c r="G34" s="3" t="str">
        <f>HYPERLINK("https://hawk-eye.atlassian.net/browse/BAS-1070?atlOrigin=eyJpIjoiYzgwYTQ0ZjEyNzQzNGJhN2JmNjEyZTM0NmRhZWZhNjIiLCJwIjoic2hlZXRzLWppcmEifQ","BAS-1070")</f>
        <v>BAS-1070</v>
      </c>
      <c r="H34" s="1" t="s">
        <v>25</v>
      </c>
      <c r="I34" s="1" t="s">
        <v>26</v>
      </c>
      <c r="J34" s="1" t="s">
        <v>26</v>
      </c>
      <c r="K34" s="1" t="s">
        <v>26</v>
      </c>
      <c r="L34" s="1" t="s">
        <v>26</v>
      </c>
      <c r="M34" s="1" t="s">
        <v>27</v>
      </c>
      <c r="N34" s="1" t="s">
        <v>27</v>
      </c>
      <c r="O34" s="1" t="s">
        <v>27</v>
      </c>
      <c r="P34" s="1" t="s">
        <v>26</v>
      </c>
      <c r="Q34" s="4">
        <v>45814.613900462966</v>
      </c>
      <c r="R34" s="1" t="s">
        <v>26</v>
      </c>
      <c r="S34" s="1" t="s">
        <v>70</v>
      </c>
      <c r="U34" s="5">
        <v>45672.0</v>
      </c>
    </row>
    <row r="35" hidden="1">
      <c r="A35" s="1" t="s">
        <v>29</v>
      </c>
      <c r="B35" s="3" t="str">
        <f>HYPERLINK("https://hawk-eye.atlassian.net/browse/BAS-1178?atlOrigin=eyJpIjoiYzgwYTQ0ZjEyNzQzNGJhN2JmNjEyZTM0NmRhZWZhNjIiLCJwIjoic2hlZXRzLWppcmEifQ","BAS-1178")</f>
        <v>BAS-1178</v>
      </c>
      <c r="C35" s="1" t="s">
        <v>84</v>
      </c>
      <c r="D35" s="1" t="s">
        <v>83</v>
      </c>
      <c r="E35" s="1" t="s">
        <v>31</v>
      </c>
      <c r="F35" s="4">
        <v>45810.13872685185</v>
      </c>
      <c r="G35" s="3" t="str">
        <f>HYPERLINK("https://hawk-eye.atlassian.net/browse/BAS-561?atlOrigin=eyJpIjoiYzgwYTQ0ZjEyNzQzNGJhN2JmNjEyZTM0NmRhZWZhNjIiLCJwIjoic2hlZXRzLWppcmEifQ","BAS-561")</f>
        <v>BAS-561</v>
      </c>
      <c r="H35" s="1" t="s">
        <v>25</v>
      </c>
      <c r="I35" s="1" t="s">
        <v>26</v>
      </c>
      <c r="J35" s="1" t="s">
        <v>26</v>
      </c>
      <c r="K35" s="1" t="s">
        <v>26</v>
      </c>
      <c r="L35" s="1" t="s">
        <v>26</v>
      </c>
      <c r="M35" s="1" t="s">
        <v>27</v>
      </c>
      <c r="N35" s="1" t="s">
        <v>27</v>
      </c>
      <c r="O35" s="1" t="s">
        <v>27</v>
      </c>
      <c r="P35" s="1" t="s">
        <v>26</v>
      </c>
      <c r="Q35" s="4">
        <v>45810.13872685185</v>
      </c>
      <c r="R35" s="1" t="s">
        <v>26</v>
      </c>
      <c r="S35" s="1" t="s">
        <v>28</v>
      </c>
      <c r="U35" s="5">
        <v>45672.0</v>
      </c>
    </row>
    <row r="36" hidden="1">
      <c r="A36" s="1" t="s">
        <v>21</v>
      </c>
      <c r="B36" s="3" t="str">
        <f>HYPERLINK("https://hawk-eye.atlassian.net/browse/BAS-1177?atlOrigin=eyJpIjoiYzgwYTQ0ZjEyNzQzNGJhN2JmNjEyZTM0NmRhZWZhNjIiLCJwIjoic2hlZXRzLWppcmEifQ","BAS-1177")</f>
        <v>BAS-1177</v>
      </c>
      <c r="C36" s="1" t="s">
        <v>85</v>
      </c>
      <c r="D36" s="1" t="s">
        <v>34</v>
      </c>
      <c r="E36" s="1" t="s">
        <v>41</v>
      </c>
      <c r="F36" s="4">
        <v>45810.129907407405</v>
      </c>
      <c r="G36" s="3" t="str">
        <f>HYPERLINK("https://hawk-eye.atlassian.net/issues/?atlOrigin=eyJpIjoiYzgwYTQ0ZjEyNzQzNGJhN2JmNjEyZTM0NmRhZWZhNjIiLCJwIjoic2hlZXRzLWppcmEifQ&amp;jql=key+in+%28BAS-1174%2CBAS-1176%29","BAS-1174;BAS-1176")</f>
        <v>BAS-1174;BAS-1176</v>
      </c>
      <c r="H36" s="1" t="s">
        <v>25</v>
      </c>
      <c r="I36" s="1" t="s">
        <v>26</v>
      </c>
      <c r="J36" s="1" t="s">
        <v>26</v>
      </c>
      <c r="K36" s="1" t="s">
        <v>26</v>
      </c>
      <c r="L36" s="1" t="s">
        <v>26</v>
      </c>
      <c r="M36" s="1" t="s">
        <v>27</v>
      </c>
      <c r="N36" s="1" t="s">
        <v>27</v>
      </c>
      <c r="O36" s="1" t="s">
        <v>27</v>
      </c>
      <c r="P36" s="1" t="s">
        <v>26</v>
      </c>
      <c r="Q36" s="4">
        <v>45853.589953703704</v>
      </c>
      <c r="R36" s="1" t="s">
        <v>26</v>
      </c>
      <c r="S36" s="1" t="s">
        <v>28</v>
      </c>
      <c r="U36" s="5">
        <v>45672.0</v>
      </c>
    </row>
    <row r="37" hidden="1">
      <c r="A37" s="1" t="s">
        <v>29</v>
      </c>
      <c r="B37" s="3" t="str">
        <f>HYPERLINK("https://hawk-eye.atlassian.net/browse/BAS-1175?atlOrigin=eyJpIjoiYzgwYTQ0ZjEyNzQzNGJhN2JmNjEyZTM0NmRhZWZhNjIiLCJwIjoic2hlZXRzLWppcmEifQ","BAS-1175")</f>
        <v>BAS-1175</v>
      </c>
      <c r="C37" s="1" t="s">
        <v>86</v>
      </c>
      <c r="D37" s="1" t="s">
        <v>23</v>
      </c>
      <c r="E37" s="1" t="s">
        <v>41</v>
      </c>
      <c r="F37" s="4">
        <v>45810.0906712963</v>
      </c>
      <c r="G37" s="3" t="str">
        <f>HYPERLINK("https://hawk-eye.atlassian.net/browse/BAS-1173?atlOrigin=eyJpIjoiYzgwYTQ0ZjEyNzQzNGJhN2JmNjEyZTM0NmRhZWZhNjIiLCJwIjoic2hlZXRzLWppcmEifQ","BAS-1173")</f>
        <v>BAS-1173</v>
      </c>
      <c r="H37" s="1" t="s">
        <v>25</v>
      </c>
      <c r="I37" s="1" t="s">
        <v>26</v>
      </c>
      <c r="J37" s="1" t="s">
        <v>26</v>
      </c>
      <c r="K37" s="1" t="s">
        <v>26</v>
      </c>
      <c r="L37" s="1" t="s">
        <v>26</v>
      </c>
      <c r="M37" s="1" t="s">
        <v>27</v>
      </c>
      <c r="N37" s="1" t="s">
        <v>27</v>
      </c>
      <c r="O37" s="1" t="s">
        <v>27</v>
      </c>
      <c r="P37" s="1" t="s">
        <v>26</v>
      </c>
      <c r="Q37" s="4">
        <v>45931.670219907406</v>
      </c>
      <c r="R37" s="6" t="s">
        <v>43</v>
      </c>
      <c r="S37" s="1" t="s">
        <v>70</v>
      </c>
      <c r="U37" s="5">
        <v>45672.0</v>
      </c>
    </row>
    <row r="38" hidden="1">
      <c r="A38" s="1" t="s">
        <v>21</v>
      </c>
      <c r="B38" s="3" t="str">
        <f>HYPERLINK("https://hawk-eye.atlassian.net/browse/BAS-1172?atlOrigin=eyJpIjoiYzgwYTQ0ZjEyNzQzNGJhN2JmNjEyZTM0NmRhZWZhNjIiLCJwIjoic2hlZXRzLWppcmEifQ","BAS-1172")</f>
        <v>BAS-1172</v>
      </c>
      <c r="C38" s="1" t="s">
        <v>87</v>
      </c>
      <c r="D38" s="1" t="s">
        <v>23</v>
      </c>
      <c r="E38" s="1" t="s">
        <v>31</v>
      </c>
      <c r="F38" s="4">
        <v>45807.67130787037</v>
      </c>
      <c r="G38" s="3" t="str">
        <f>HYPERLINK("https://hawk-eye.atlassian.net/issues/?atlOrigin=eyJpIjoiYzgwYTQ0ZjEyNzQzNGJhN2JmNjEyZTM0NmRhZWZhNjIiLCJwIjoic2hlZXRzLWppcmEifQ&amp;jql=key+in+%28BAS-714%2CBAS-627%2CBAS-1136%2CBAS-1074%2CBAS-1176%29","BAS-714;BAS-627;BAS-1136;BAS-1074;BAS-1176")</f>
        <v>BAS-714;BAS-627;BAS-1136;BAS-1074;BAS-1176</v>
      </c>
      <c r="H38" s="1" t="s">
        <v>25</v>
      </c>
      <c r="I38" s="1" t="s">
        <v>26</v>
      </c>
      <c r="J38" s="1" t="s">
        <v>26</v>
      </c>
      <c r="K38" s="1" t="s">
        <v>26</v>
      </c>
      <c r="L38" s="1" t="s">
        <v>26</v>
      </c>
      <c r="M38" s="1" t="s">
        <v>27</v>
      </c>
      <c r="N38" s="1" t="s">
        <v>27</v>
      </c>
      <c r="O38" s="1" t="s">
        <v>27</v>
      </c>
      <c r="P38" s="1" t="s">
        <v>26</v>
      </c>
      <c r="Q38" s="4">
        <v>45807.671319444446</v>
      </c>
      <c r="R38" s="1" t="s">
        <v>26</v>
      </c>
      <c r="S38" s="1" t="s">
        <v>70</v>
      </c>
      <c r="U38" s="5">
        <v>45672.0</v>
      </c>
    </row>
    <row r="39" hidden="1">
      <c r="A39" s="1" t="s">
        <v>29</v>
      </c>
      <c r="B39" s="3" t="str">
        <f>HYPERLINK("https://hawk-eye.atlassian.net/browse/BAS-1166?atlOrigin=eyJpIjoiYzgwYTQ0ZjEyNzQzNGJhN2JmNjEyZTM0NmRhZWZhNjIiLCJwIjoic2hlZXRzLWppcmEifQ","BAS-1166")</f>
        <v>BAS-1166</v>
      </c>
      <c r="C39" s="1" t="s">
        <v>88</v>
      </c>
      <c r="D39" s="1" t="s">
        <v>23</v>
      </c>
      <c r="E39" s="1" t="s">
        <v>41</v>
      </c>
      <c r="F39" s="4">
        <v>45804.533796296295</v>
      </c>
      <c r="G39" s="3" t="str">
        <f t="shared" ref="G39:G43" si="3">HYPERLINK("https://hawk-eye.atlassian.net/browse/?atlOrigin=eyJpIjoiYzgwYTQ0ZjEyNzQzNGJhN2JmNjEyZTM0NmRhZWZhNjIiLCJwIjoic2hlZXRzLWppcmEifQ","")</f>
        <v/>
      </c>
      <c r="H39" s="1" t="s">
        <v>25</v>
      </c>
      <c r="I39" s="1" t="s">
        <v>26</v>
      </c>
      <c r="J39" s="1" t="s">
        <v>26</v>
      </c>
      <c r="K39" s="1" t="s">
        <v>26</v>
      </c>
      <c r="L39" s="1" t="s">
        <v>26</v>
      </c>
      <c r="M39" s="1" t="s">
        <v>27</v>
      </c>
      <c r="N39" s="1" t="s">
        <v>27</v>
      </c>
      <c r="O39" s="1" t="s">
        <v>27</v>
      </c>
      <c r="P39" s="1" t="s">
        <v>26</v>
      </c>
      <c r="Q39" s="4">
        <v>45926.42555555556</v>
      </c>
      <c r="R39" s="1" t="s">
        <v>64</v>
      </c>
      <c r="S39" s="1" t="s">
        <v>61</v>
      </c>
      <c r="U39" s="5">
        <v>45672.0</v>
      </c>
    </row>
    <row r="40" hidden="1">
      <c r="A40" s="1" t="s">
        <v>29</v>
      </c>
      <c r="B40" s="3" t="str">
        <f>HYPERLINK("https://hawk-eye.atlassian.net/browse/BAS-1165?atlOrigin=eyJpIjoiYzgwYTQ0ZjEyNzQzNGJhN2JmNjEyZTM0NmRhZWZhNjIiLCJwIjoic2hlZXRzLWppcmEifQ","BAS-1165")</f>
        <v>BAS-1165</v>
      </c>
      <c r="C40" s="1" t="s">
        <v>89</v>
      </c>
      <c r="D40" s="1" t="s">
        <v>23</v>
      </c>
      <c r="E40" s="1" t="s">
        <v>41</v>
      </c>
      <c r="F40" s="4">
        <v>45804.513773148145</v>
      </c>
      <c r="G40" s="3" t="str">
        <f t="shared" si="3"/>
        <v/>
      </c>
      <c r="H40" s="1" t="s">
        <v>25</v>
      </c>
      <c r="I40" s="1" t="s">
        <v>26</v>
      </c>
      <c r="J40" s="1" t="s">
        <v>26</v>
      </c>
      <c r="K40" s="1" t="s">
        <v>26</v>
      </c>
      <c r="L40" s="1" t="s">
        <v>26</v>
      </c>
      <c r="M40" s="1" t="s">
        <v>27</v>
      </c>
      <c r="N40" s="1" t="s">
        <v>27</v>
      </c>
      <c r="O40" s="1" t="s">
        <v>27</v>
      </c>
      <c r="P40" s="1" t="s">
        <v>26</v>
      </c>
      <c r="Q40" s="4">
        <v>45876.71152777778</v>
      </c>
      <c r="R40" s="1" t="s">
        <v>64</v>
      </c>
      <c r="S40" s="1" t="s">
        <v>61</v>
      </c>
      <c r="U40" s="5">
        <v>45672.0</v>
      </c>
    </row>
    <row r="41" hidden="1">
      <c r="A41" s="1" t="s">
        <v>29</v>
      </c>
      <c r="B41" s="3" t="str">
        <f>HYPERLINK("https://hawk-eye.atlassian.net/browse/BAS-1157?atlOrigin=eyJpIjoiYzgwYTQ0ZjEyNzQzNGJhN2JmNjEyZTM0NmRhZWZhNjIiLCJwIjoic2hlZXRzLWppcmEifQ","BAS-1157")</f>
        <v>BAS-1157</v>
      </c>
      <c r="C41" s="1" t="s">
        <v>90</v>
      </c>
      <c r="D41" s="1" t="s">
        <v>40</v>
      </c>
      <c r="E41" s="1" t="s">
        <v>41</v>
      </c>
      <c r="F41" s="4">
        <v>45798.68875</v>
      </c>
      <c r="G41" s="3" t="str">
        <f t="shared" si="3"/>
        <v/>
      </c>
      <c r="H41" s="1" t="s">
        <v>25</v>
      </c>
      <c r="I41" s="1" t="s">
        <v>26</v>
      </c>
      <c r="J41" s="1" t="s">
        <v>26</v>
      </c>
      <c r="K41" s="1" t="s">
        <v>26</v>
      </c>
      <c r="L41" s="1" t="s">
        <v>26</v>
      </c>
      <c r="M41" s="1" t="s">
        <v>27</v>
      </c>
      <c r="N41" s="1" t="s">
        <v>27</v>
      </c>
      <c r="O41" s="1" t="s">
        <v>27</v>
      </c>
      <c r="P41" s="1" t="s">
        <v>26</v>
      </c>
      <c r="Q41" s="4">
        <v>45800.58918981482</v>
      </c>
      <c r="R41" s="1" t="s">
        <v>26</v>
      </c>
      <c r="S41" s="1" t="s">
        <v>32</v>
      </c>
      <c r="U41" s="5">
        <v>45672.0</v>
      </c>
    </row>
    <row r="42" hidden="1">
      <c r="A42" s="1" t="s">
        <v>29</v>
      </c>
      <c r="B42" s="3" t="str">
        <f>HYPERLINK("https://hawk-eye.atlassian.net/browse/BAS-1144?atlOrigin=eyJpIjoiYzgwYTQ0ZjEyNzQzNGJhN2JmNjEyZTM0NmRhZWZhNjIiLCJwIjoic2hlZXRzLWppcmEifQ","BAS-1144")</f>
        <v>BAS-1144</v>
      </c>
      <c r="C42" s="1" t="s">
        <v>91</v>
      </c>
      <c r="D42" s="1" t="s">
        <v>34</v>
      </c>
      <c r="E42" s="1" t="s">
        <v>41</v>
      </c>
      <c r="F42" s="4">
        <v>45776.94395833334</v>
      </c>
      <c r="G42" s="3" t="str">
        <f t="shared" si="3"/>
        <v/>
      </c>
      <c r="H42" s="1" t="s">
        <v>25</v>
      </c>
      <c r="I42" s="1" t="s">
        <v>26</v>
      </c>
      <c r="J42" s="1" t="s">
        <v>26</v>
      </c>
      <c r="K42" s="1" t="s">
        <v>26</v>
      </c>
      <c r="L42" s="1" t="s">
        <v>26</v>
      </c>
      <c r="M42" s="1" t="s">
        <v>27</v>
      </c>
      <c r="N42" s="1" t="s">
        <v>27</v>
      </c>
      <c r="O42" s="1" t="s">
        <v>27</v>
      </c>
      <c r="P42" s="1" t="s">
        <v>26</v>
      </c>
      <c r="Q42" s="4">
        <v>45852.44642361111</v>
      </c>
      <c r="R42" s="6" t="s">
        <v>43</v>
      </c>
      <c r="S42" s="1" t="s">
        <v>74</v>
      </c>
      <c r="U42" s="5">
        <v>45672.0</v>
      </c>
    </row>
    <row r="43" hidden="1">
      <c r="A43" s="1" t="s">
        <v>29</v>
      </c>
      <c r="B43" s="3" t="str">
        <f>HYPERLINK("https://hawk-eye.atlassian.net/browse/BAS-1143?atlOrigin=eyJpIjoiYzgwYTQ0ZjEyNzQzNGJhN2JmNjEyZTM0NmRhZWZhNjIiLCJwIjoic2hlZXRzLWppcmEifQ","BAS-1143")</f>
        <v>BAS-1143</v>
      </c>
      <c r="C43" s="1" t="s">
        <v>92</v>
      </c>
      <c r="D43" s="1" t="s">
        <v>34</v>
      </c>
      <c r="E43" s="1" t="s">
        <v>41</v>
      </c>
      <c r="F43" s="4">
        <v>45772.891284722224</v>
      </c>
      <c r="G43" s="3" t="str">
        <f t="shared" si="3"/>
        <v/>
      </c>
      <c r="H43" s="1" t="s">
        <v>25</v>
      </c>
      <c r="I43" s="1" t="s">
        <v>26</v>
      </c>
      <c r="J43" s="1" t="s">
        <v>26</v>
      </c>
      <c r="K43" s="1" t="s">
        <v>26</v>
      </c>
      <c r="L43" s="1" t="s">
        <v>26</v>
      </c>
      <c r="M43" s="1" t="s">
        <v>27</v>
      </c>
      <c r="N43" s="1" t="s">
        <v>27</v>
      </c>
      <c r="O43" s="1" t="s">
        <v>27</v>
      </c>
      <c r="P43" s="1" t="s">
        <v>26</v>
      </c>
      <c r="Q43" s="4">
        <v>45856.46760416667</v>
      </c>
      <c r="R43" s="1" t="s">
        <v>64</v>
      </c>
      <c r="S43" s="1" t="s">
        <v>61</v>
      </c>
      <c r="U43" s="5">
        <v>45672.0</v>
      </c>
    </row>
    <row r="44" hidden="1">
      <c r="A44" s="1" t="s">
        <v>29</v>
      </c>
      <c r="B44" s="3" t="str">
        <f>HYPERLINK("https://hawk-eye.atlassian.net/browse/BAS-1136?atlOrigin=eyJpIjoiYzgwYTQ0ZjEyNzQzNGJhN2JmNjEyZTM0NmRhZWZhNjIiLCJwIjoic2hlZXRzLWppcmEifQ","BAS-1136")</f>
        <v>BAS-1136</v>
      </c>
      <c r="C44" s="1" t="s">
        <v>93</v>
      </c>
      <c r="D44" s="1" t="s">
        <v>23</v>
      </c>
      <c r="E44" s="1" t="s">
        <v>31</v>
      </c>
      <c r="F44" s="4">
        <v>45770.4447337963</v>
      </c>
      <c r="G44" s="3" t="str">
        <f>HYPERLINK("https://hawk-eye.atlassian.net/issues/?atlOrigin=eyJpIjoiYzgwYTQ0ZjEyNzQzNGJhN2JmNjEyZTM0NmRhZWZhNjIiLCJwIjoic2hlZXRzLWppcmEifQ&amp;jql=key+in+%28BAS-1074%2CBAS-1172%29","BAS-1074;BAS-1172")</f>
        <v>BAS-1074;BAS-1172</v>
      </c>
      <c r="H44" s="1" t="s">
        <v>25</v>
      </c>
      <c r="I44" s="1" t="s">
        <v>26</v>
      </c>
      <c r="J44" s="1" t="s">
        <v>26</v>
      </c>
      <c r="K44" s="1" t="s">
        <v>26</v>
      </c>
      <c r="L44" s="1" t="s">
        <v>26</v>
      </c>
      <c r="M44" s="1" t="s">
        <v>27</v>
      </c>
      <c r="N44" s="1" t="s">
        <v>27</v>
      </c>
      <c r="O44" s="1" t="s">
        <v>27</v>
      </c>
      <c r="P44" s="1" t="s">
        <v>26</v>
      </c>
      <c r="Q44" s="4">
        <v>45770.44474537037</v>
      </c>
      <c r="R44" s="1" t="s">
        <v>26</v>
      </c>
      <c r="S44" s="1" t="s">
        <v>70</v>
      </c>
      <c r="U44" s="5">
        <v>45672.0</v>
      </c>
    </row>
    <row r="45" hidden="1">
      <c r="A45" s="1" t="s">
        <v>29</v>
      </c>
      <c r="B45" s="3" t="str">
        <f>HYPERLINK("https://hawk-eye.atlassian.net/browse/BAS-1135?atlOrigin=eyJpIjoiYzgwYTQ0ZjEyNzQzNGJhN2JmNjEyZTM0NmRhZWZhNjIiLCJwIjoic2hlZXRzLWppcmEifQ","BAS-1135")</f>
        <v>BAS-1135</v>
      </c>
      <c r="C45" s="1" t="s">
        <v>94</v>
      </c>
      <c r="D45" s="1" t="s">
        <v>48</v>
      </c>
      <c r="E45" s="1" t="s">
        <v>31</v>
      </c>
      <c r="F45" s="4">
        <v>45769.414513888885</v>
      </c>
      <c r="G45" s="3" t="str">
        <f>HYPERLINK("https://hawk-eye.atlassian.net/browse/?atlOrigin=eyJpIjoiYzgwYTQ0ZjEyNzQzNGJhN2JmNjEyZTM0NmRhZWZhNjIiLCJwIjoic2hlZXRzLWppcmEifQ","")</f>
        <v/>
      </c>
      <c r="H45" s="1" t="s">
        <v>25</v>
      </c>
      <c r="I45" s="1" t="s">
        <v>26</v>
      </c>
      <c r="J45" s="1" t="s">
        <v>26</v>
      </c>
      <c r="K45" s="1" t="s">
        <v>26</v>
      </c>
      <c r="L45" s="1" t="s">
        <v>26</v>
      </c>
      <c r="M45" s="1" t="s">
        <v>27</v>
      </c>
      <c r="N45" s="1" t="s">
        <v>27</v>
      </c>
      <c r="O45" s="1" t="s">
        <v>27</v>
      </c>
      <c r="P45" s="1" t="s">
        <v>26</v>
      </c>
      <c r="Q45" s="4">
        <v>45769.41452546296</v>
      </c>
      <c r="R45" s="1" t="s">
        <v>26</v>
      </c>
      <c r="S45" s="1" t="s">
        <v>28</v>
      </c>
      <c r="U45" s="5">
        <v>45672.0</v>
      </c>
    </row>
    <row r="46" hidden="1">
      <c r="A46" s="1" t="s">
        <v>29</v>
      </c>
      <c r="B46" s="3" t="str">
        <f>HYPERLINK("https://hawk-eye.atlassian.net/browse/BAS-1125?atlOrigin=eyJpIjoiYzgwYTQ0ZjEyNzQzNGJhN2JmNjEyZTM0NmRhZWZhNjIiLCJwIjoic2hlZXRzLWppcmEifQ","BAS-1125")</f>
        <v>BAS-1125</v>
      </c>
      <c r="C46" s="1" t="s">
        <v>95</v>
      </c>
      <c r="D46" s="1" t="s">
        <v>34</v>
      </c>
      <c r="E46" s="1" t="s">
        <v>41</v>
      </c>
      <c r="F46" s="4">
        <v>45758.607523148145</v>
      </c>
      <c r="G46" s="3" t="str">
        <f>HYPERLINK("https://hawk-eye.atlassian.net/issues/?atlOrigin=eyJpIjoiYzgwYTQ0ZjEyNzQzNGJhN2JmNjEyZTM0NmRhZWZhNjIiLCJwIjoic2hlZXRzLWppcmEifQ&amp;jql=key+in+%28BAS-1119%2CBAS-1121%29","BAS-1119;BAS-1121")</f>
        <v>BAS-1119;BAS-1121</v>
      </c>
      <c r="H46" s="1" t="s">
        <v>25</v>
      </c>
      <c r="I46" s="1" t="s">
        <v>26</v>
      </c>
      <c r="J46" s="1" t="s">
        <v>26</v>
      </c>
      <c r="K46" s="1" t="s">
        <v>26</v>
      </c>
      <c r="L46" s="1" t="s">
        <v>26</v>
      </c>
      <c r="M46" s="1" t="s">
        <v>27</v>
      </c>
      <c r="N46" s="1" t="s">
        <v>27</v>
      </c>
      <c r="O46" s="1" t="s">
        <v>27</v>
      </c>
      <c r="P46" s="1" t="s">
        <v>26</v>
      </c>
      <c r="Q46" s="4">
        <v>45786.6615625</v>
      </c>
      <c r="R46" s="6" t="s">
        <v>96</v>
      </c>
      <c r="S46" s="1" t="s">
        <v>28</v>
      </c>
      <c r="U46" s="5">
        <v>45672.0</v>
      </c>
    </row>
    <row r="47" hidden="1">
      <c r="A47" s="1" t="s">
        <v>29</v>
      </c>
      <c r="B47" s="3" t="str">
        <f>HYPERLINK("https://hawk-eye.atlassian.net/browse/BAS-1122?atlOrigin=eyJpIjoiYzgwYTQ0ZjEyNzQzNGJhN2JmNjEyZTM0NmRhZWZhNjIiLCJwIjoic2hlZXRzLWppcmEifQ","BAS-1122")</f>
        <v>BAS-1122</v>
      </c>
      <c r="C47" s="1" t="s">
        <v>97</v>
      </c>
      <c r="D47" s="1" t="s">
        <v>23</v>
      </c>
      <c r="E47" s="1" t="s">
        <v>41</v>
      </c>
      <c r="F47" s="4">
        <v>45757.41247685185</v>
      </c>
      <c r="G47" s="3" t="str">
        <f>HYPERLINK("https://hawk-eye.atlassian.net/browse/?atlOrigin=eyJpIjoiYzgwYTQ0ZjEyNzQzNGJhN2JmNjEyZTM0NmRhZWZhNjIiLCJwIjoic2hlZXRzLWppcmEifQ","")</f>
        <v/>
      </c>
      <c r="H47" s="1" t="s">
        <v>25</v>
      </c>
      <c r="I47" s="1" t="s">
        <v>26</v>
      </c>
      <c r="J47" s="1" t="s">
        <v>26</v>
      </c>
      <c r="K47" s="1" t="s">
        <v>26</v>
      </c>
      <c r="L47" s="1" t="s">
        <v>26</v>
      </c>
      <c r="M47" s="1" t="s">
        <v>27</v>
      </c>
      <c r="N47" s="1" t="s">
        <v>27</v>
      </c>
      <c r="O47" s="1" t="s">
        <v>27</v>
      </c>
      <c r="P47" s="1" t="s">
        <v>26</v>
      </c>
      <c r="Q47" s="4">
        <v>45786.66149305556</v>
      </c>
      <c r="R47" s="6" t="s">
        <v>96</v>
      </c>
      <c r="S47" s="1" t="s">
        <v>28</v>
      </c>
      <c r="U47" s="5">
        <v>45672.0</v>
      </c>
    </row>
    <row r="48" hidden="1">
      <c r="A48" s="1" t="s">
        <v>29</v>
      </c>
      <c r="B48" s="3" t="str">
        <f>HYPERLINK("https://hawk-eye.atlassian.net/browse/BAS-1121?atlOrigin=eyJpIjoiYzgwYTQ0ZjEyNzQzNGJhN2JmNjEyZTM0NmRhZWZhNjIiLCJwIjoic2hlZXRzLWppcmEifQ","BAS-1121")</f>
        <v>BAS-1121</v>
      </c>
      <c r="C48" s="1" t="s">
        <v>98</v>
      </c>
      <c r="D48" s="1" t="s">
        <v>34</v>
      </c>
      <c r="E48" s="1" t="s">
        <v>41</v>
      </c>
      <c r="F48" s="4">
        <v>45757.40846064815</v>
      </c>
      <c r="G48" s="3" t="str">
        <f>HYPERLINK("https://hawk-eye.atlassian.net/browse/BAS-1125?atlOrigin=eyJpIjoiYzgwYTQ0ZjEyNzQzNGJhN2JmNjEyZTM0NmRhZWZhNjIiLCJwIjoic2hlZXRzLWppcmEifQ","BAS-1125")</f>
        <v>BAS-1125</v>
      </c>
      <c r="H48" s="1" t="s">
        <v>25</v>
      </c>
      <c r="I48" s="1" t="s">
        <v>26</v>
      </c>
      <c r="J48" s="1" t="s">
        <v>26</v>
      </c>
      <c r="K48" s="1" t="s">
        <v>26</v>
      </c>
      <c r="L48" s="1" t="s">
        <v>26</v>
      </c>
      <c r="M48" s="1" t="s">
        <v>27</v>
      </c>
      <c r="N48" s="1" t="s">
        <v>27</v>
      </c>
      <c r="O48" s="1" t="s">
        <v>27</v>
      </c>
      <c r="P48" s="1" t="s">
        <v>26</v>
      </c>
      <c r="Q48" s="4">
        <v>45786.661458333336</v>
      </c>
      <c r="R48" s="6" t="s">
        <v>96</v>
      </c>
      <c r="S48" s="1" t="s">
        <v>28</v>
      </c>
      <c r="U48" s="5">
        <v>45672.0</v>
      </c>
    </row>
    <row r="49" hidden="1">
      <c r="A49" s="1" t="s">
        <v>29</v>
      </c>
      <c r="B49" s="3" t="str">
        <f>HYPERLINK("https://hawk-eye.atlassian.net/browse/BAS-1120?atlOrigin=eyJpIjoiYzgwYTQ0ZjEyNzQzNGJhN2JmNjEyZTM0NmRhZWZhNjIiLCJwIjoic2hlZXRzLWppcmEifQ","BAS-1120")</f>
        <v>BAS-1120</v>
      </c>
      <c r="C49" s="1" t="s">
        <v>99</v>
      </c>
      <c r="D49" s="1" t="s">
        <v>34</v>
      </c>
      <c r="E49" s="1" t="s">
        <v>41</v>
      </c>
      <c r="F49" s="4">
        <v>45757.400729166664</v>
      </c>
      <c r="G49" s="3" t="str">
        <f>HYPERLINK("https://hawk-eye.atlassian.net/browse/?atlOrigin=eyJpIjoiYzgwYTQ0ZjEyNzQzNGJhN2JmNjEyZTM0NmRhZWZhNjIiLCJwIjoic2hlZXRzLWppcmEifQ","")</f>
        <v/>
      </c>
      <c r="H49" s="1" t="s">
        <v>25</v>
      </c>
      <c r="I49" s="1" t="s">
        <v>26</v>
      </c>
      <c r="J49" s="1" t="s">
        <v>26</v>
      </c>
      <c r="K49" s="1" t="s">
        <v>26</v>
      </c>
      <c r="L49" s="1" t="s">
        <v>26</v>
      </c>
      <c r="M49" s="1" t="s">
        <v>27</v>
      </c>
      <c r="N49" s="1" t="s">
        <v>27</v>
      </c>
      <c r="O49" s="1" t="s">
        <v>27</v>
      </c>
      <c r="P49" s="1" t="s">
        <v>26</v>
      </c>
      <c r="Q49" s="4">
        <v>45786.661527777775</v>
      </c>
      <c r="R49" s="6" t="s">
        <v>96</v>
      </c>
      <c r="S49" s="1" t="s">
        <v>28</v>
      </c>
      <c r="U49" s="5">
        <v>45672.0</v>
      </c>
    </row>
    <row r="50">
      <c r="A50" s="1" t="s">
        <v>29</v>
      </c>
      <c r="B50" s="3" t="str">
        <f>HYPERLINK("https://hawk-eye.atlassian.net/browse/BAS-1119?atlOrigin=eyJpIjoiYzgwYTQ0ZjEyNzQzNGJhN2JmNjEyZTM0NmRhZWZhNjIiLCJwIjoic2hlZXRzLWppcmEifQ","BAS-1119")</f>
        <v>BAS-1119</v>
      </c>
      <c r="C50" s="1" t="s">
        <v>100</v>
      </c>
      <c r="D50" s="1" t="s">
        <v>34</v>
      </c>
      <c r="E50" s="1" t="s">
        <v>41</v>
      </c>
      <c r="F50" s="4">
        <v>45757.385092592594</v>
      </c>
      <c r="G50" s="3" t="str">
        <f>HYPERLINK("https://hawk-eye.atlassian.net/browse/BAS-1125?atlOrigin=eyJpIjoiYzgwYTQ0ZjEyNzQzNGJhN2JmNjEyZTM0NmRhZWZhNjIiLCJwIjoic2hlZXRzLWppcmEifQ","BAS-1125")</f>
        <v>BAS-1125</v>
      </c>
      <c r="H50" s="1" t="s">
        <v>25</v>
      </c>
      <c r="I50" s="1" t="s">
        <v>26</v>
      </c>
      <c r="J50" s="1" t="s">
        <v>26</v>
      </c>
      <c r="K50" s="1" t="s">
        <v>26</v>
      </c>
      <c r="L50" s="1" t="s">
        <v>26</v>
      </c>
      <c r="M50" s="1" t="s">
        <v>27</v>
      </c>
      <c r="N50" s="1" t="s">
        <v>27</v>
      </c>
      <c r="O50" s="1" t="s">
        <v>27</v>
      </c>
      <c r="P50" s="1" t="s">
        <v>26</v>
      </c>
      <c r="Q50" s="4">
        <v>45786.66155092593</v>
      </c>
      <c r="R50" s="6" t="s">
        <v>96</v>
      </c>
      <c r="S50" s="1" t="s">
        <v>28</v>
      </c>
      <c r="T50" s="2">
        <v>1.0</v>
      </c>
      <c r="U50" s="5">
        <v>45665.0</v>
      </c>
    </row>
    <row r="51">
      <c r="A51" s="1" t="s">
        <v>29</v>
      </c>
      <c r="B51" s="3" t="str">
        <f>HYPERLINK("https://hawk-eye.atlassian.net/browse/BAS-1105?atlOrigin=eyJpIjoiYzgwYTQ0ZjEyNzQzNGJhN2JmNjEyZTM0NmRhZWZhNjIiLCJwIjoic2hlZXRzLWppcmEifQ","BAS-1105")</f>
        <v>BAS-1105</v>
      </c>
      <c r="C51" s="1" t="s">
        <v>101</v>
      </c>
      <c r="D51" s="1" t="s">
        <v>23</v>
      </c>
      <c r="E51" s="1" t="s">
        <v>31</v>
      </c>
      <c r="F51" s="4">
        <v>45747.7671412037</v>
      </c>
      <c r="G51" s="3" t="str">
        <f>HYPERLINK("https://hawk-eye.atlassian.net/browse/?atlOrigin=eyJpIjoiYzgwYTQ0ZjEyNzQzNGJhN2JmNjEyZTM0NmRhZWZhNjIiLCJwIjoic2hlZXRzLWppcmEifQ","")</f>
        <v/>
      </c>
      <c r="H51" s="1" t="s">
        <v>25</v>
      </c>
      <c r="I51" s="1" t="s">
        <v>26</v>
      </c>
      <c r="J51" s="1" t="s">
        <v>26</v>
      </c>
      <c r="K51" s="1" t="s">
        <v>26</v>
      </c>
      <c r="L51" s="1" t="s">
        <v>26</v>
      </c>
      <c r="M51" s="1" t="s">
        <v>27</v>
      </c>
      <c r="N51" s="1" t="s">
        <v>27</v>
      </c>
      <c r="O51" s="1" t="s">
        <v>27</v>
      </c>
      <c r="P51" s="1" t="s">
        <v>26</v>
      </c>
      <c r="Q51" s="4">
        <v>45747.76715277778</v>
      </c>
      <c r="R51" s="1" t="s">
        <v>26</v>
      </c>
      <c r="S51" s="1" t="s">
        <v>102</v>
      </c>
      <c r="T51" s="2">
        <v>1.0</v>
      </c>
      <c r="U51" s="5">
        <v>45665.0</v>
      </c>
    </row>
    <row r="52">
      <c r="A52" s="1" t="s">
        <v>29</v>
      </c>
      <c r="B52" s="3" t="str">
        <f>HYPERLINK("https://hawk-eye.atlassian.net/browse/BAS-1097?atlOrigin=eyJpIjoiYzgwYTQ0ZjEyNzQzNGJhN2JmNjEyZTM0NmRhZWZhNjIiLCJwIjoic2hlZXRzLWppcmEifQ","BAS-1097")</f>
        <v>BAS-1097</v>
      </c>
      <c r="C52" s="1" t="s">
        <v>103</v>
      </c>
      <c r="D52" s="1" t="s">
        <v>23</v>
      </c>
      <c r="E52" s="1" t="s">
        <v>31</v>
      </c>
      <c r="F52" s="4">
        <v>45743.92998842592</v>
      </c>
      <c r="G52" s="3" t="str">
        <f>HYPERLINK("https://hawk-eye.atlassian.net/issues/?atlOrigin=eyJpIjoiYzgwYTQ0ZjEyNzQzNGJhN2JmNjEyZTM0NmRhZWZhNjIiLCJwIjoic2hlZXRzLWppcmEifQ&amp;jql=key+in+%28BAS-663%2CBAS-1001%29","BAS-663;BAS-1001")</f>
        <v>BAS-663;BAS-1001</v>
      </c>
      <c r="H52" s="1" t="s">
        <v>25</v>
      </c>
      <c r="I52" s="1" t="s">
        <v>26</v>
      </c>
      <c r="J52" s="1" t="s">
        <v>26</v>
      </c>
      <c r="K52" s="1" t="s">
        <v>26</v>
      </c>
      <c r="L52" s="1" t="s">
        <v>26</v>
      </c>
      <c r="M52" s="1" t="s">
        <v>27</v>
      </c>
      <c r="N52" s="1" t="s">
        <v>27</v>
      </c>
      <c r="O52" s="1" t="s">
        <v>27</v>
      </c>
      <c r="P52" s="1" t="s">
        <v>26</v>
      </c>
      <c r="Q52" s="4">
        <v>45743.93005787037</v>
      </c>
      <c r="R52" s="1" t="s">
        <v>26</v>
      </c>
      <c r="S52" s="1" t="s">
        <v>28</v>
      </c>
      <c r="T52" s="2">
        <v>1.0</v>
      </c>
      <c r="U52" s="5">
        <v>45665.0</v>
      </c>
    </row>
    <row r="53" hidden="1">
      <c r="A53" s="1" t="s">
        <v>29</v>
      </c>
      <c r="B53" s="3" t="str">
        <f>HYPERLINK("https://hawk-eye.atlassian.net/browse/BAS-1095?atlOrigin=eyJpIjoiYzgwYTQ0ZjEyNzQzNGJhN2JmNjEyZTM0NmRhZWZhNjIiLCJwIjoic2hlZXRzLWppcmEifQ","BAS-1095")</f>
        <v>BAS-1095</v>
      </c>
      <c r="C53" s="1" t="s">
        <v>104</v>
      </c>
      <c r="D53" s="1" t="s">
        <v>83</v>
      </c>
      <c r="E53" s="1" t="s">
        <v>31</v>
      </c>
      <c r="F53" s="4">
        <v>45742.87938657407</v>
      </c>
      <c r="G53" s="3" t="str">
        <f>HYPERLINK("https://hawk-eye.atlassian.net/browse/?atlOrigin=eyJpIjoiYzgwYTQ0ZjEyNzQzNGJhN2JmNjEyZTM0NmRhZWZhNjIiLCJwIjoic2hlZXRzLWppcmEifQ","")</f>
        <v/>
      </c>
      <c r="H53" s="1" t="s">
        <v>25</v>
      </c>
      <c r="I53" s="1" t="s">
        <v>26</v>
      </c>
      <c r="J53" s="1" t="s">
        <v>26</v>
      </c>
      <c r="K53" s="1" t="s">
        <v>26</v>
      </c>
      <c r="L53" s="1" t="s">
        <v>26</v>
      </c>
      <c r="M53" s="1" t="s">
        <v>27</v>
      </c>
      <c r="N53" s="1" t="s">
        <v>27</v>
      </c>
      <c r="O53" s="1" t="s">
        <v>27</v>
      </c>
      <c r="P53" s="1" t="s">
        <v>26</v>
      </c>
      <c r="Q53" s="4">
        <v>45742.87938657407</v>
      </c>
      <c r="R53" s="1" t="s">
        <v>26</v>
      </c>
      <c r="S53" s="1" t="s">
        <v>102</v>
      </c>
      <c r="U53" s="5">
        <v>45674.0</v>
      </c>
    </row>
    <row r="54" hidden="1">
      <c r="A54" s="1" t="s">
        <v>29</v>
      </c>
      <c r="B54" s="3" t="str">
        <f>HYPERLINK("https://hawk-eye.atlassian.net/browse/BAS-1092?atlOrigin=eyJpIjoiYzgwYTQ0ZjEyNzQzNGJhN2JmNjEyZTM0NmRhZWZhNjIiLCJwIjoic2hlZXRzLWppcmEifQ","BAS-1092")</f>
        <v>BAS-1092</v>
      </c>
      <c r="C54" s="1" t="s">
        <v>105</v>
      </c>
      <c r="D54" s="1" t="s">
        <v>23</v>
      </c>
      <c r="E54" s="1" t="s">
        <v>41</v>
      </c>
      <c r="F54" s="4">
        <v>45742.809895833336</v>
      </c>
      <c r="G54" s="3" t="str">
        <f>HYPERLINK("https://hawk-eye.atlassian.net/browse/BAS-1050?atlOrigin=eyJpIjoiYzgwYTQ0ZjEyNzQzNGJhN2JmNjEyZTM0NmRhZWZhNjIiLCJwIjoic2hlZXRzLWppcmEifQ","BAS-1050")</f>
        <v>BAS-1050</v>
      </c>
      <c r="H54" s="1" t="s">
        <v>25</v>
      </c>
      <c r="I54" s="1" t="s">
        <v>26</v>
      </c>
      <c r="J54" s="1" t="s">
        <v>26</v>
      </c>
      <c r="K54" s="1" t="s">
        <v>26</v>
      </c>
      <c r="L54" s="1" t="s">
        <v>26</v>
      </c>
      <c r="M54" s="1" t="s">
        <v>27</v>
      </c>
      <c r="N54" s="1" t="s">
        <v>27</v>
      </c>
      <c r="O54" s="1" t="s">
        <v>27</v>
      </c>
      <c r="P54" s="1" t="s">
        <v>26</v>
      </c>
      <c r="Q54" s="4">
        <v>45824.45119212963</v>
      </c>
      <c r="R54" s="1" t="s">
        <v>64</v>
      </c>
      <c r="S54" s="1" t="s">
        <v>61</v>
      </c>
      <c r="U54" s="5">
        <v>45674.0</v>
      </c>
    </row>
    <row r="55" hidden="1">
      <c r="A55" s="1" t="s">
        <v>29</v>
      </c>
      <c r="B55" s="3" t="str">
        <f>HYPERLINK("https://hawk-eye.atlassian.net/browse/BAS-1089?atlOrigin=eyJpIjoiYzgwYTQ0ZjEyNzQzNGJhN2JmNjEyZTM0NmRhZWZhNjIiLCJwIjoic2hlZXRzLWppcmEifQ","BAS-1089")</f>
        <v>BAS-1089</v>
      </c>
      <c r="C55" s="1" t="s">
        <v>106</v>
      </c>
      <c r="D55" s="1" t="s">
        <v>40</v>
      </c>
      <c r="E55" s="1" t="s">
        <v>41</v>
      </c>
      <c r="F55" s="4">
        <v>45741.39671296296</v>
      </c>
      <c r="G55" s="3" t="str">
        <f>HYPERLINK("https://hawk-eye.atlassian.net/browse/BAS-1088?atlOrigin=eyJpIjoiYzgwYTQ0ZjEyNzQzNGJhN2JmNjEyZTM0NmRhZWZhNjIiLCJwIjoic2hlZXRzLWppcmEifQ","BAS-1088")</f>
        <v>BAS-1088</v>
      </c>
      <c r="H55" s="1" t="s">
        <v>25</v>
      </c>
      <c r="I55" s="1" t="s">
        <v>26</v>
      </c>
      <c r="J55" s="1" t="s">
        <v>26</v>
      </c>
      <c r="K55" s="1" t="s">
        <v>26</v>
      </c>
      <c r="L55" s="1" t="s">
        <v>26</v>
      </c>
      <c r="M55" s="1" t="s">
        <v>27</v>
      </c>
      <c r="N55" s="1" t="s">
        <v>27</v>
      </c>
      <c r="O55" s="1" t="s">
        <v>27</v>
      </c>
      <c r="P55" s="1" t="s">
        <v>26</v>
      </c>
      <c r="Q55" s="4">
        <v>45741.695914351854</v>
      </c>
      <c r="R55" s="1" t="s">
        <v>107</v>
      </c>
      <c r="S55" s="1" t="s">
        <v>28</v>
      </c>
      <c r="U55" s="5">
        <v>45674.0</v>
      </c>
    </row>
    <row r="56" hidden="1">
      <c r="A56" s="1" t="s">
        <v>21</v>
      </c>
      <c r="B56" s="3" t="str">
        <f>HYPERLINK("https://hawk-eye.atlassian.net/browse/BAS-1088?atlOrigin=eyJpIjoiYzgwYTQ0ZjEyNzQzNGJhN2JmNjEyZTM0NmRhZWZhNjIiLCJwIjoic2hlZXRzLWppcmEifQ","BAS-1088")</f>
        <v>BAS-1088</v>
      </c>
      <c r="C56" s="1" t="s">
        <v>106</v>
      </c>
      <c r="D56" s="1" t="s">
        <v>40</v>
      </c>
      <c r="E56" s="1" t="s">
        <v>41</v>
      </c>
      <c r="F56" s="4">
        <v>45741.38172453704</v>
      </c>
      <c r="G56" s="3" t="str">
        <f>HYPERLINK("https://hawk-eye.atlassian.net/browse/BAS-1089?atlOrigin=eyJpIjoiYzgwYTQ0ZjEyNzQzNGJhN2JmNjEyZTM0NmRhZWZhNjIiLCJwIjoic2hlZXRzLWppcmEifQ","BAS-1089")</f>
        <v>BAS-1089</v>
      </c>
      <c r="H56" s="1" t="s">
        <v>25</v>
      </c>
      <c r="I56" s="1" t="s">
        <v>26</v>
      </c>
      <c r="J56" s="1" t="s">
        <v>26</v>
      </c>
      <c r="K56" s="1" t="s">
        <v>26</v>
      </c>
      <c r="L56" s="1" t="s">
        <v>26</v>
      </c>
      <c r="M56" s="1" t="s">
        <v>27</v>
      </c>
      <c r="N56" s="1" t="s">
        <v>27</v>
      </c>
      <c r="O56" s="1" t="s">
        <v>27</v>
      </c>
      <c r="P56" s="1" t="s">
        <v>26</v>
      </c>
      <c r="Q56" s="4">
        <v>45742.55502314815</v>
      </c>
      <c r="R56" s="1" t="s">
        <v>26</v>
      </c>
      <c r="S56" s="1" t="s">
        <v>28</v>
      </c>
      <c r="U56" s="5">
        <v>45674.0</v>
      </c>
    </row>
    <row r="57" hidden="1">
      <c r="A57" s="1" t="s">
        <v>29</v>
      </c>
      <c r="B57" s="3" t="str">
        <f>HYPERLINK("https://hawk-eye.atlassian.net/browse/BAS-1084?atlOrigin=eyJpIjoiYzgwYTQ0ZjEyNzQzNGJhN2JmNjEyZTM0NmRhZWZhNjIiLCJwIjoic2hlZXRzLWppcmEifQ","BAS-1084")</f>
        <v>BAS-1084</v>
      </c>
      <c r="C57" s="1" t="s">
        <v>108</v>
      </c>
      <c r="D57" s="1" t="s">
        <v>34</v>
      </c>
      <c r="E57" s="1" t="s">
        <v>41</v>
      </c>
      <c r="F57" s="4">
        <v>45734.67915509259</v>
      </c>
      <c r="G57" s="3" t="str">
        <f>HYPERLINK("https://hawk-eye.atlassian.net/browse/BAS-1083?atlOrigin=eyJpIjoiYzgwYTQ0ZjEyNzQzNGJhN2JmNjEyZTM0NmRhZWZhNjIiLCJwIjoic2hlZXRzLWppcmEifQ","BAS-1083")</f>
        <v>BAS-1083</v>
      </c>
      <c r="H57" s="1" t="s">
        <v>25</v>
      </c>
      <c r="I57" s="1" t="s">
        <v>26</v>
      </c>
      <c r="J57" s="1" t="s">
        <v>26</v>
      </c>
      <c r="K57" s="1" t="s">
        <v>26</v>
      </c>
      <c r="L57" s="1" t="s">
        <v>26</v>
      </c>
      <c r="M57" s="1" t="s">
        <v>27</v>
      </c>
      <c r="N57" s="1" t="s">
        <v>27</v>
      </c>
      <c r="O57" s="1" t="s">
        <v>27</v>
      </c>
      <c r="P57" s="1" t="s">
        <v>26</v>
      </c>
      <c r="Q57" s="4">
        <v>45757.645370370374</v>
      </c>
      <c r="R57" s="1" t="s">
        <v>26</v>
      </c>
      <c r="S57" s="1" t="s">
        <v>28</v>
      </c>
      <c r="U57" s="5">
        <v>45674.0</v>
      </c>
    </row>
    <row r="58" hidden="1">
      <c r="A58" s="1" t="s">
        <v>29</v>
      </c>
      <c r="B58" s="3" t="str">
        <f>HYPERLINK("https://hawk-eye.atlassian.net/browse/BAS-1083?atlOrigin=eyJpIjoiYzgwYTQ0ZjEyNzQzNGJhN2JmNjEyZTM0NmRhZWZhNjIiLCJwIjoic2hlZXRzLWppcmEifQ","BAS-1083")</f>
        <v>BAS-1083</v>
      </c>
      <c r="C58" s="1" t="s">
        <v>109</v>
      </c>
      <c r="D58" s="1" t="s">
        <v>34</v>
      </c>
      <c r="E58" s="1" t="s">
        <v>41</v>
      </c>
      <c r="F58" s="4">
        <v>45734.674259259256</v>
      </c>
      <c r="G58" s="3" t="str">
        <f>HYPERLINK("https://hawk-eye.atlassian.net/issues/?atlOrigin=eyJpIjoiYzgwYTQ0ZjEyNzQzNGJhN2JmNjEyZTM0NmRhZWZhNjIiLCJwIjoic2hlZXRzLWppcmEifQ&amp;jql=key+in+%28BAS-1082%2CBAS-1084%29","BAS-1082;BAS-1084")</f>
        <v>BAS-1082;BAS-1084</v>
      </c>
      <c r="H58" s="1" t="s">
        <v>25</v>
      </c>
      <c r="I58" s="1" t="s">
        <v>26</v>
      </c>
      <c r="J58" s="1" t="s">
        <v>26</v>
      </c>
      <c r="K58" s="1" t="s">
        <v>26</v>
      </c>
      <c r="L58" s="1" t="s">
        <v>26</v>
      </c>
      <c r="M58" s="1" t="s">
        <v>27</v>
      </c>
      <c r="N58" s="1" t="s">
        <v>27</v>
      </c>
      <c r="O58" s="1" t="s">
        <v>27</v>
      </c>
      <c r="P58" s="1" t="s">
        <v>26</v>
      </c>
      <c r="Q58" s="4">
        <v>45757.64534722222</v>
      </c>
      <c r="R58" s="1" t="s">
        <v>26</v>
      </c>
      <c r="S58" s="1" t="s">
        <v>28</v>
      </c>
      <c r="U58" s="5">
        <v>45674.0</v>
      </c>
    </row>
    <row r="59" hidden="1">
      <c r="A59" s="1" t="s">
        <v>29</v>
      </c>
      <c r="B59" s="3" t="str">
        <f>HYPERLINK("https://hawk-eye.atlassian.net/browse/BAS-1082?atlOrigin=eyJpIjoiYzgwYTQ0ZjEyNzQzNGJhN2JmNjEyZTM0NmRhZWZhNjIiLCJwIjoic2hlZXRzLWppcmEifQ","BAS-1082")</f>
        <v>BAS-1082</v>
      </c>
      <c r="C59" s="1" t="s">
        <v>110</v>
      </c>
      <c r="D59" s="1" t="s">
        <v>34</v>
      </c>
      <c r="E59" s="1" t="s">
        <v>41</v>
      </c>
      <c r="F59" s="4">
        <v>45734.666180555556</v>
      </c>
      <c r="G59" s="3" t="str">
        <f>HYPERLINK("https://hawk-eye.atlassian.net/browse/BAS-1083?atlOrigin=eyJpIjoiYzgwYTQ0ZjEyNzQzNGJhN2JmNjEyZTM0NmRhZWZhNjIiLCJwIjoic2hlZXRzLWppcmEifQ","BAS-1083")</f>
        <v>BAS-1083</v>
      </c>
      <c r="H59" s="1" t="s">
        <v>25</v>
      </c>
      <c r="I59" s="1" t="s">
        <v>26</v>
      </c>
      <c r="J59" s="1" t="s">
        <v>26</v>
      </c>
      <c r="K59" s="1" t="s">
        <v>26</v>
      </c>
      <c r="L59" s="1" t="s">
        <v>26</v>
      </c>
      <c r="M59" s="1" t="s">
        <v>27</v>
      </c>
      <c r="N59" s="1" t="s">
        <v>27</v>
      </c>
      <c r="O59" s="1" t="s">
        <v>27</v>
      </c>
      <c r="P59" s="1" t="s">
        <v>26</v>
      </c>
      <c r="Q59" s="4">
        <v>45757.645324074074</v>
      </c>
      <c r="R59" s="1" t="s">
        <v>26</v>
      </c>
      <c r="S59" s="1" t="s">
        <v>28</v>
      </c>
      <c r="U59" s="5">
        <v>45674.0</v>
      </c>
    </row>
    <row r="60" hidden="1">
      <c r="A60" s="1" t="s">
        <v>29</v>
      </c>
      <c r="B60" s="3" t="str">
        <f>HYPERLINK("https://hawk-eye.atlassian.net/browse/BAS-1076?atlOrigin=eyJpIjoiYzgwYTQ0ZjEyNzQzNGJhN2JmNjEyZTM0NmRhZWZhNjIiLCJwIjoic2hlZXRzLWppcmEifQ","BAS-1076")</f>
        <v>BAS-1076</v>
      </c>
      <c r="C60" s="1" t="s">
        <v>111</v>
      </c>
      <c r="D60" s="1" t="s">
        <v>83</v>
      </c>
      <c r="E60" s="1" t="s">
        <v>31</v>
      </c>
      <c r="F60" s="4">
        <v>45729.87703703704</v>
      </c>
      <c r="G60" s="3" t="str">
        <f>HYPERLINK("https://hawk-eye.atlassian.net/browse/?atlOrigin=eyJpIjoiYzgwYTQ0ZjEyNzQzNGJhN2JmNjEyZTM0NmRhZWZhNjIiLCJwIjoic2hlZXRzLWppcmEifQ","")</f>
        <v/>
      </c>
      <c r="H60" s="1" t="s">
        <v>25</v>
      </c>
      <c r="I60" s="1" t="s">
        <v>26</v>
      </c>
      <c r="J60" s="1" t="s">
        <v>26</v>
      </c>
      <c r="K60" s="1" t="s">
        <v>26</v>
      </c>
      <c r="L60" s="1" t="s">
        <v>26</v>
      </c>
      <c r="M60" s="1" t="s">
        <v>27</v>
      </c>
      <c r="N60" s="1" t="s">
        <v>27</v>
      </c>
      <c r="O60" s="1" t="s">
        <v>27</v>
      </c>
      <c r="P60" s="1" t="s">
        <v>26</v>
      </c>
      <c r="Q60" s="4">
        <v>45729.87703703704</v>
      </c>
      <c r="R60" s="1" t="s">
        <v>26</v>
      </c>
      <c r="S60" s="1" t="s">
        <v>70</v>
      </c>
      <c r="U60" s="5">
        <v>45674.0</v>
      </c>
    </row>
    <row r="61" hidden="1">
      <c r="A61" s="1" t="s">
        <v>29</v>
      </c>
      <c r="B61" s="3" t="str">
        <f>HYPERLINK("https://hawk-eye.atlassian.net/browse/BAS-1075?atlOrigin=eyJpIjoiYzgwYTQ0ZjEyNzQzNGJhN2JmNjEyZTM0NmRhZWZhNjIiLCJwIjoic2hlZXRzLWppcmEifQ","BAS-1075")</f>
        <v>BAS-1075</v>
      </c>
      <c r="C61" s="1" t="s">
        <v>112</v>
      </c>
      <c r="D61" s="1" t="s">
        <v>23</v>
      </c>
      <c r="E61" s="1" t="s">
        <v>41</v>
      </c>
      <c r="F61" s="4">
        <v>45727.96774305555</v>
      </c>
      <c r="G61" s="3" t="str">
        <f>HYPERLINK("https://hawk-eye.atlassian.net/browse/BAS-1074?atlOrigin=eyJpIjoiYzgwYTQ0ZjEyNzQzNGJhN2JmNjEyZTM0NmRhZWZhNjIiLCJwIjoic2hlZXRzLWppcmEifQ","BAS-1074")</f>
        <v>BAS-1074</v>
      </c>
      <c r="H61" s="1" t="s">
        <v>25</v>
      </c>
      <c r="I61" s="1" t="s">
        <v>26</v>
      </c>
      <c r="J61" s="1" t="s">
        <v>26</v>
      </c>
      <c r="K61" s="1" t="s">
        <v>26</v>
      </c>
      <c r="L61" s="1" t="s">
        <v>26</v>
      </c>
      <c r="M61" s="1" t="s">
        <v>27</v>
      </c>
      <c r="N61" s="1" t="s">
        <v>27</v>
      </c>
      <c r="O61" s="1" t="s">
        <v>27</v>
      </c>
      <c r="P61" s="1" t="s">
        <v>26</v>
      </c>
      <c r="Q61" s="4">
        <v>45763.5590625</v>
      </c>
      <c r="R61" s="6" t="s">
        <v>113</v>
      </c>
      <c r="S61" s="1" t="s">
        <v>28</v>
      </c>
      <c r="U61" s="5">
        <v>45674.0</v>
      </c>
    </row>
    <row r="62" hidden="1">
      <c r="A62" s="1" t="s">
        <v>29</v>
      </c>
      <c r="B62" s="3" t="str">
        <f>HYPERLINK("https://hawk-eye.atlassian.net/browse/BAS-1074?atlOrigin=eyJpIjoiYzgwYTQ0ZjEyNzQzNGJhN2JmNjEyZTM0NmRhZWZhNjIiLCJwIjoic2hlZXRzLWppcmEifQ","BAS-1074")</f>
        <v>BAS-1074</v>
      </c>
      <c r="C62" s="1" t="s">
        <v>114</v>
      </c>
      <c r="D62" s="1" t="s">
        <v>34</v>
      </c>
      <c r="E62" s="1" t="s">
        <v>41</v>
      </c>
      <c r="F62" s="4">
        <v>45727.923101851855</v>
      </c>
      <c r="G62" s="3" t="str">
        <f>HYPERLINK("https://hawk-eye.atlassian.net/issues/?atlOrigin=eyJpIjoiYzgwYTQ0ZjEyNzQzNGJhN2JmNjEyZTM0NmRhZWZhNjIiLCJwIjoic2hlZXRzLWppcmEifQ&amp;jql=key+in+%28BAS-1075%2CBAS-1136%2CBAS-1172%29","BAS-1075;BAS-1136;BAS-1172")</f>
        <v>BAS-1075;BAS-1136;BAS-1172</v>
      </c>
      <c r="H62" s="1" t="s">
        <v>25</v>
      </c>
      <c r="I62" s="1" t="s">
        <v>26</v>
      </c>
      <c r="J62" s="1" t="s">
        <v>26</v>
      </c>
      <c r="K62" s="1" t="s">
        <v>26</v>
      </c>
      <c r="L62" s="1" t="s">
        <v>26</v>
      </c>
      <c r="M62" s="1" t="s">
        <v>27</v>
      </c>
      <c r="N62" s="1" t="s">
        <v>27</v>
      </c>
      <c r="O62" s="1" t="s">
        <v>27</v>
      </c>
      <c r="P62" s="1" t="s">
        <v>26</v>
      </c>
      <c r="Q62" s="4">
        <v>45770.4468287037</v>
      </c>
      <c r="R62" s="1" t="s">
        <v>26</v>
      </c>
      <c r="S62" s="1" t="s">
        <v>28</v>
      </c>
      <c r="U62" s="5">
        <v>45674.0</v>
      </c>
    </row>
    <row r="63" hidden="1">
      <c r="A63" s="1" t="s">
        <v>29</v>
      </c>
      <c r="B63" s="3" t="str">
        <f>HYPERLINK("https://hawk-eye.atlassian.net/browse/BAS-1073?atlOrigin=eyJpIjoiYzgwYTQ0ZjEyNzQzNGJhN2JmNjEyZTM0NmRhZWZhNjIiLCJwIjoic2hlZXRzLWppcmEifQ","BAS-1073")</f>
        <v>BAS-1073</v>
      </c>
      <c r="C63" s="1" t="s">
        <v>115</v>
      </c>
      <c r="D63" s="1" t="s">
        <v>34</v>
      </c>
      <c r="E63" s="1" t="s">
        <v>41</v>
      </c>
      <c r="F63" s="4">
        <v>45727.89733796296</v>
      </c>
      <c r="G63" s="3" t="str">
        <f>HYPERLINK("https://hawk-eye.atlassian.net/issues/?atlOrigin=eyJpIjoiYzgwYTQ0ZjEyNzQzNGJhN2JmNjEyZTM0NmRhZWZhNjIiLCJwIjoic2hlZXRzLWppcmEifQ&amp;jql=key+in+%28BAS-841%2CBAS-1173%29","BAS-841;BAS-1173")</f>
        <v>BAS-841;BAS-1173</v>
      </c>
      <c r="H63" s="1" t="s">
        <v>25</v>
      </c>
      <c r="I63" s="1" t="s">
        <v>26</v>
      </c>
      <c r="J63" s="1" t="s">
        <v>26</v>
      </c>
      <c r="K63" s="1" t="s">
        <v>26</v>
      </c>
      <c r="L63" s="1" t="s">
        <v>26</v>
      </c>
      <c r="M63" s="1" t="s">
        <v>27</v>
      </c>
      <c r="N63" s="1" t="s">
        <v>27</v>
      </c>
      <c r="O63" s="1" t="s">
        <v>27</v>
      </c>
      <c r="P63" s="1" t="s">
        <v>26</v>
      </c>
      <c r="Q63" s="4">
        <v>45770.587696759256</v>
      </c>
      <c r="R63" s="6" t="s">
        <v>113</v>
      </c>
      <c r="S63" s="1" t="s">
        <v>28</v>
      </c>
      <c r="U63" s="5">
        <v>45674.0</v>
      </c>
    </row>
    <row r="64" hidden="1">
      <c r="A64" s="1" t="s">
        <v>29</v>
      </c>
      <c r="B64" s="3" t="str">
        <f>HYPERLINK("https://hawk-eye.atlassian.net/browse/BAS-1070?atlOrigin=eyJpIjoiYzgwYTQ0ZjEyNzQzNGJhN2JmNjEyZTM0NmRhZWZhNjIiLCJwIjoic2hlZXRzLWppcmEifQ","BAS-1070")</f>
        <v>BAS-1070</v>
      </c>
      <c r="C64" s="1" t="s">
        <v>116</v>
      </c>
      <c r="D64" s="1" t="s">
        <v>48</v>
      </c>
      <c r="E64" s="1" t="s">
        <v>41</v>
      </c>
      <c r="F64" s="4">
        <v>45727.474340277775</v>
      </c>
      <c r="G64" s="3" t="str">
        <f>HYPERLINK("https://hawk-eye.atlassian.net/issues/?atlOrigin=eyJpIjoiYzgwYTQ0ZjEyNzQzNGJhN2JmNjEyZTM0NmRhZWZhNjIiLCJwIjoic2hlZXRzLWppcmEifQ&amp;jql=key+in+%28BAS-836%2CBAS-1186%29","BAS-836;BAS-1186")</f>
        <v>BAS-836;BAS-1186</v>
      </c>
      <c r="H64" s="1" t="s">
        <v>25</v>
      </c>
      <c r="I64" s="1" t="s">
        <v>26</v>
      </c>
      <c r="J64" s="1" t="s">
        <v>26</v>
      </c>
      <c r="K64" s="1" t="s">
        <v>26</v>
      </c>
      <c r="L64" s="1" t="s">
        <v>26</v>
      </c>
      <c r="M64" s="1" t="s">
        <v>27</v>
      </c>
      <c r="N64" s="1" t="s">
        <v>27</v>
      </c>
      <c r="O64" s="1" t="s">
        <v>27</v>
      </c>
      <c r="P64" s="1" t="s">
        <v>26</v>
      </c>
      <c r="Q64" s="4">
        <v>45763.465636574074</v>
      </c>
      <c r="R64" s="6" t="s">
        <v>113</v>
      </c>
      <c r="S64" s="1" t="s">
        <v>28</v>
      </c>
      <c r="U64" s="5">
        <v>45674.0</v>
      </c>
    </row>
    <row r="65" hidden="1">
      <c r="A65" s="1" t="s">
        <v>29</v>
      </c>
      <c r="B65" s="3" t="str">
        <f>HYPERLINK("https://hawk-eye.atlassian.net/browse/BAS-1066?atlOrigin=eyJpIjoiYzgwYTQ0ZjEyNzQzNGJhN2JmNjEyZTM0NmRhZWZhNjIiLCJwIjoic2hlZXRzLWppcmEifQ","BAS-1066")</f>
        <v>BAS-1066</v>
      </c>
      <c r="C65" s="1" t="s">
        <v>117</v>
      </c>
      <c r="D65" s="1" t="s">
        <v>34</v>
      </c>
      <c r="E65" s="1" t="s">
        <v>41</v>
      </c>
      <c r="F65" s="4">
        <v>45726.66322916667</v>
      </c>
      <c r="G65" s="3" t="str">
        <f t="shared" ref="G65:G66" si="4">HYPERLINK("https://hawk-eye.atlassian.net/browse/?atlOrigin=eyJpIjoiYzgwYTQ0ZjEyNzQzNGJhN2JmNjEyZTM0NmRhZWZhNjIiLCJwIjoic2hlZXRzLWppcmEifQ","")</f>
        <v/>
      </c>
      <c r="H65" s="1" t="s">
        <v>25</v>
      </c>
      <c r="I65" s="1" t="s">
        <v>26</v>
      </c>
      <c r="J65" s="1" t="s">
        <v>26</v>
      </c>
      <c r="K65" s="1" t="s">
        <v>26</v>
      </c>
      <c r="L65" s="1" t="s">
        <v>26</v>
      </c>
      <c r="M65" s="1" t="s">
        <v>27</v>
      </c>
      <c r="N65" s="1" t="s">
        <v>27</v>
      </c>
      <c r="O65" s="1" t="s">
        <v>27</v>
      </c>
      <c r="P65" s="1" t="s">
        <v>26</v>
      </c>
      <c r="Q65" s="4">
        <v>45757.645208333335</v>
      </c>
      <c r="R65" s="1" t="s">
        <v>26</v>
      </c>
      <c r="S65" s="1" t="s">
        <v>28</v>
      </c>
      <c r="U65" s="5">
        <v>45674.0</v>
      </c>
    </row>
    <row r="66" hidden="1">
      <c r="A66" s="1" t="s">
        <v>29</v>
      </c>
      <c r="B66" s="3" t="str">
        <f>HYPERLINK("https://hawk-eye.atlassian.net/browse/BAS-1062?atlOrigin=eyJpIjoiYzgwYTQ0ZjEyNzQzNGJhN2JmNjEyZTM0NmRhZWZhNjIiLCJwIjoic2hlZXRzLWppcmEifQ","BAS-1062")</f>
        <v>BAS-1062</v>
      </c>
      <c r="C66" s="1" t="s">
        <v>118</v>
      </c>
      <c r="D66" s="1" t="s">
        <v>34</v>
      </c>
      <c r="E66" s="1" t="s">
        <v>41</v>
      </c>
      <c r="F66" s="4">
        <v>45722.47399305556</v>
      </c>
      <c r="G66" s="3" t="str">
        <f t="shared" si="4"/>
        <v/>
      </c>
      <c r="H66" s="1" t="s">
        <v>25</v>
      </c>
      <c r="I66" s="1" t="s">
        <v>26</v>
      </c>
      <c r="J66" s="1" t="s">
        <v>26</v>
      </c>
      <c r="K66" s="1" t="s">
        <v>26</v>
      </c>
      <c r="L66" s="1" t="s">
        <v>26</v>
      </c>
      <c r="M66" s="1" t="s">
        <v>27</v>
      </c>
      <c r="N66" s="1" t="s">
        <v>27</v>
      </c>
      <c r="O66" s="1" t="s">
        <v>27</v>
      </c>
      <c r="P66" s="1" t="s">
        <v>26</v>
      </c>
      <c r="Q66" s="4">
        <v>45805.58603009259</v>
      </c>
      <c r="R66" s="6" t="s">
        <v>43</v>
      </c>
      <c r="S66" s="1" t="s">
        <v>32</v>
      </c>
      <c r="U66" s="5">
        <v>45674.0</v>
      </c>
    </row>
    <row r="67" hidden="1">
      <c r="A67" s="1" t="s">
        <v>29</v>
      </c>
      <c r="B67" s="3" t="str">
        <f>HYPERLINK("https://hawk-eye.atlassian.net/browse/BAS-1060?atlOrigin=eyJpIjoiYzgwYTQ0ZjEyNzQzNGJhN2JmNjEyZTM0NmRhZWZhNjIiLCJwIjoic2hlZXRzLWppcmEifQ","BAS-1060")</f>
        <v>BAS-1060</v>
      </c>
      <c r="C67" s="1" t="s">
        <v>119</v>
      </c>
      <c r="D67" s="1" t="s">
        <v>34</v>
      </c>
      <c r="E67" s="1" t="s">
        <v>41</v>
      </c>
      <c r="F67" s="4">
        <v>45715.533055555556</v>
      </c>
      <c r="G67" s="3" t="str">
        <f>HYPERLINK("https://hawk-eye.atlassian.net/browse/BAS-1087?atlOrigin=eyJpIjoiYzgwYTQ0ZjEyNzQzNGJhN2JmNjEyZTM0NmRhZWZhNjIiLCJwIjoic2hlZXRzLWppcmEifQ","BAS-1087")</f>
        <v>BAS-1087</v>
      </c>
      <c r="H67" s="1" t="s">
        <v>25</v>
      </c>
      <c r="I67" s="1" t="s">
        <v>26</v>
      </c>
      <c r="J67" s="1" t="s">
        <v>26</v>
      </c>
      <c r="K67" s="1" t="s">
        <v>26</v>
      </c>
      <c r="L67" s="1" t="s">
        <v>26</v>
      </c>
      <c r="M67" s="1" t="s">
        <v>27</v>
      </c>
      <c r="N67" s="1" t="s">
        <v>27</v>
      </c>
      <c r="O67" s="1" t="s">
        <v>27</v>
      </c>
      <c r="P67" s="1" t="s">
        <v>26</v>
      </c>
      <c r="Q67" s="4">
        <v>45756.45076388889</v>
      </c>
      <c r="R67" s="1" t="s">
        <v>26</v>
      </c>
      <c r="S67" s="1" t="s">
        <v>28</v>
      </c>
      <c r="U67" s="5">
        <v>45674.0</v>
      </c>
    </row>
    <row r="68" hidden="1">
      <c r="A68" s="1" t="s">
        <v>29</v>
      </c>
      <c r="B68" s="3" t="str">
        <f>HYPERLINK("https://hawk-eye.atlassian.net/browse/BAS-1054?atlOrigin=eyJpIjoiYzgwYTQ0ZjEyNzQzNGJhN2JmNjEyZTM0NmRhZWZhNjIiLCJwIjoic2hlZXRzLWppcmEifQ","BAS-1054")</f>
        <v>BAS-1054</v>
      </c>
      <c r="C68" s="1" t="s">
        <v>120</v>
      </c>
      <c r="D68" s="1" t="s">
        <v>23</v>
      </c>
      <c r="E68" s="1" t="s">
        <v>41</v>
      </c>
      <c r="F68" s="4">
        <v>45712.91081018518</v>
      </c>
      <c r="G68" s="3" t="str">
        <f>HYPERLINK("https://hawk-eye.atlassian.net/issues/?atlOrigin=eyJpIjoiYzgwYTQ0ZjEyNzQzNGJhN2JmNjEyZTM0NmRhZWZhNjIiLCJwIjoic2hlZXRzLWppcmEifQ&amp;jql=key+in+%28BAS-1053%2CBAS-1219%2CBAS-1299%29","BAS-1053;BAS-1219;BAS-1299")</f>
        <v>BAS-1053;BAS-1219;BAS-1299</v>
      </c>
      <c r="H68" s="1" t="s">
        <v>25</v>
      </c>
      <c r="I68" s="1" t="s">
        <v>26</v>
      </c>
      <c r="J68" s="1" t="s">
        <v>26</v>
      </c>
      <c r="K68" s="1" t="s">
        <v>26</v>
      </c>
      <c r="L68" s="1" t="s">
        <v>26</v>
      </c>
      <c r="M68" s="1" t="s">
        <v>27</v>
      </c>
      <c r="N68" s="1" t="s">
        <v>27</v>
      </c>
      <c r="O68" s="1" t="s">
        <v>27</v>
      </c>
      <c r="P68" s="1" t="s">
        <v>26</v>
      </c>
      <c r="Q68" s="4">
        <v>45876.70915509259</v>
      </c>
      <c r="R68" s="1" t="s">
        <v>64</v>
      </c>
      <c r="S68" s="1" t="s">
        <v>61</v>
      </c>
      <c r="U68" s="5">
        <v>45674.0</v>
      </c>
    </row>
    <row r="69" hidden="1">
      <c r="A69" s="1" t="s">
        <v>29</v>
      </c>
      <c r="B69" s="3" t="str">
        <f>HYPERLINK("https://hawk-eye.atlassian.net/browse/BAS-1053?atlOrigin=eyJpIjoiYzgwYTQ0ZjEyNzQzNGJhN2JmNjEyZTM0NmRhZWZhNjIiLCJwIjoic2hlZXRzLWppcmEifQ","BAS-1053")</f>
        <v>BAS-1053</v>
      </c>
      <c r="C69" s="1" t="s">
        <v>121</v>
      </c>
      <c r="D69" s="1" t="s">
        <v>23</v>
      </c>
      <c r="E69" s="1" t="s">
        <v>41</v>
      </c>
      <c r="F69" s="4">
        <v>45712.90116898148</v>
      </c>
      <c r="G69" s="3" t="str">
        <f>HYPERLINK("https://hawk-eye.atlassian.net/issues/?atlOrigin=eyJpIjoiYzgwYTQ0ZjEyNzQzNGJhN2JmNjEyZTM0NmRhZWZhNjIiLCJwIjoic2hlZXRzLWppcmEifQ&amp;jql=key+in+%28BAS-1050%2CBAS-1054%29","BAS-1050;BAS-1054")</f>
        <v>BAS-1050;BAS-1054</v>
      </c>
      <c r="H69" s="1" t="s">
        <v>25</v>
      </c>
      <c r="I69" s="1" t="s">
        <v>26</v>
      </c>
      <c r="J69" s="1" t="s">
        <v>26</v>
      </c>
      <c r="K69" s="1" t="s">
        <v>26</v>
      </c>
      <c r="L69" s="1" t="s">
        <v>26</v>
      </c>
      <c r="M69" s="1" t="s">
        <v>27</v>
      </c>
      <c r="N69" s="1" t="s">
        <v>27</v>
      </c>
      <c r="O69" s="1" t="s">
        <v>27</v>
      </c>
      <c r="P69" s="1" t="s">
        <v>26</v>
      </c>
      <c r="Q69" s="4">
        <v>45824.4128587963</v>
      </c>
      <c r="R69" s="1" t="s">
        <v>64</v>
      </c>
      <c r="S69" s="1" t="s">
        <v>61</v>
      </c>
      <c r="U69" s="5">
        <v>45674.0</v>
      </c>
    </row>
    <row r="70">
      <c r="A70" s="1" t="s">
        <v>29</v>
      </c>
      <c r="B70" s="3" t="str">
        <f>HYPERLINK("https://hawk-eye.atlassian.net/browse/BAS-1050?atlOrigin=eyJpIjoiYzgwYTQ0ZjEyNzQzNGJhN2JmNjEyZTM0NmRhZWZhNjIiLCJwIjoic2hlZXRzLWppcmEifQ","BAS-1050")</f>
        <v>BAS-1050</v>
      </c>
      <c r="C70" s="1" t="s">
        <v>122</v>
      </c>
      <c r="D70" s="1" t="s">
        <v>23</v>
      </c>
      <c r="E70" s="1" t="s">
        <v>41</v>
      </c>
      <c r="F70" s="4">
        <v>45712.88322916667</v>
      </c>
      <c r="G70" s="3" t="str">
        <f>HYPERLINK("https://hawk-eye.atlassian.net/issues/?atlOrigin=eyJpIjoiYzgwYTQ0ZjEyNzQzNGJhN2JmNjEyZTM0NmRhZWZhNjIiLCJwIjoic2hlZXRzLWppcmEifQ&amp;jql=key+in+%28BAS-1044%2CBAS-1053%2CBAS-1092%29","BAS-1044;BAS-1053;BAS-1092")</f>
        <v>BAS-1044;BAS-1053;BAS-1092</v>
      </c>
      <c r="H70" s="1" t="s">
        <v>25</v>
      </c>
      <c r="I70" s="1" t="s">
        <v>26</v>
      </c>
      <c r="J70" s="1" t="s">
        <v>26</v>
      </c>
      <c r="K70" s="1" t="s">
        <v>26</v>
      </c>
      <c r="L70" s="1" t="s">
        <v>26</v>
      </c>
      <c r="M70" s="1" t="s">
        <v>27</v>
      </c>
      <c r="N70" s="1" t="s">
        <v>27</v>
      </c>
      <c r="O70" s="1" t="s">
        <v>27</v>
      </c>
      <c r="P70" s="1" t="s">
        <v>26</v>
      </c>
      <c r="Q70" s="4">
        <v>45824.495208333334</v>
      </c>
      <c r="R70" s="1" t="s">
        <v>64</v>
      </c>
      <c r="S70" s="1" t="s">
        <v>61</v>
      </c>
      <c r="T70" s="2">
        <v>1.0</v>
      </c>
      <c r="U70" s="5">
        <v>45667.0</v>
      </c>
    </row>
    <row r="71" hidden="1">
      <c r="A71" s="1" t="s">
        <v>29</v>
      </c>
      <c r="B71" s="3" t="str">
        <f>HYPERLINK("https://hawk-eye.atlassian.net/browse/BAS-1044?atlOrigin=eyJpIjoiYzgwYTQ0ZjEyNzQzNGJhN2JmNjEyZTM0NmRhZWZhNjIiLCJwIjoic2hlZXRzLWppcmEifQ","BAS-1044")</f>
        <v>BAS-1044</v>
      </c>
      <c r="C71" s="1" t="s">
        <v>123</v>
      </c>
      <c r="D71" s="1" t="s">
        <v>23</v>
      </c>
      <c r="E71" s="1" t="s">
        <v>41</v>
      </c>
      <c r="F71" s="4">
        <v>45712.570810185185</v>
      </c>
      <c r="G71" s="3" t="str">
        <f>HYPERLINK("https://hawk-eye.atlassian.net/browse/BAS-1050?atlOrigin=eyJpIjoiYzgwYTQ0ZjEyNzQzNGJhN2JmNjEyZTM0NmRhZWZhNjIiLCJwIjoic2hlZXRzLWppcmEifQ","BAS-1050")</f>
        <v>BAS-1050</v>
      </c>
      <c r="H71" s="1" t="s">
        <v>25</v>
      </c>
      <c r="I71" s="1" t="s">
        <v>26</v>
      </c>
      <c r="J71" s="1" t="s">
        <v>26</v>
      </c>
      <c r="K71" s="1" t="s">
        <v>26</v>
      </c>
      <c r="L71" s="1" t="s">
        <v>26</v>
      </c>
      <c r="M71" s="1" t="s">
        <v>27</v>
      </c>
      <c r="N71" s="1" t="s">
        <v>27</v>
      </c>
      <c r="O71" s="1" t="s">
        <v>27</v>
      </c>
      <c r="P71" s="1" t="s">
        <v>26</v>
      </c>
      <c r="Q71" s="4">
        <v>45824.557962962965</v>
      </c>
      <c r="R71" s="1" t="s">
        <v>64</v>
      </c>
      <c r="S71" s="1" t="s">
        <v>61</v>
      </c>
      <c r="U71" s="5">
        <v>45674.0</v>
      </c>
    </row>
    <row r="72" hidden="1">
      <c r="A72" s="1" t="s">
        <v>21</v>
      </c>
      <c r="B72" s="3" t="str">
        <f>HYPERLINK("https://hawk-eye.atlassian.net/browse/BAS-1038?atlOrigin=eyJpIjoiYzgwYTQ0ZjEyNzQzNGJhN2JmNjEyZTM0NmRhZWZhNjIiLCJwIjoic2hlZXRzLWppcmEifQ","BAS-1038")</f>
        <v>BAS-1038</v>
      </c>
      <c r="C72" s="1" t="s">
        <v>124</v>
      </c>
      <c r="D72" s="1" t="s">
        <v>34</v>
      </c>
      <c r="E72" s="1" t="s">
        <v>41</v>
      </c>
      <c r="F72" s="4">
        <v>45709.40584490741</v>
      </c>
      <c r="G72" s="3" t="str">
        <f>HYPERLINK("https://hawk-eye.atlassian.net/issues/?atlOrigin=eyJpIjoiYzgwYTQ0ZjEyNzQzNGJhN2JmNjEyZTM0NmRhZWZhNjIiLCJwIjoic2hlZXRzLWppcmEifQ&amp;jql=key+in+%28BAS-824%2CBAS-580%29","BAS-824;BAS-580")</f>
        <v>BAS-824;BAS-580</v>
      </c>
      <c r="H72" s="1" t="s">
        <v>25</v>
      </c>
      <c r="I72" s="1" t="s">
        <v>26</v>
      </c>
      <c r="J72" s="1" t="s">
        <v>26</v>
      </c>
      <c r="K72" s="1" t="s">
        <v>26</v>
      </c>
      <c r="L72" s="1" t="s">
        <v>26</v>
      </c>
      <c r="M72" s="1" t="s">
        <v>27</v>
      </c>
      <c r="N72" s="1" t="s">
        <v>27</v>
      </c>
      <c r="O72" s="1" t="s">
        <v>27</v>
      </c>
      <c r="P72" s="1" t="s">
        <v>26</v>
      </c>
      <c r="Q72" s="4">
        <v>45720.56668981481</v>
      </c>
      <c r="R72" s="1" t="s">
        <v>26</v>
      </c>
      <c r="S72" s="1" t="s">
        <v>28</v>
      </c>
      <c r="U72" s="5">
        <v>45674.0</v>
      </c>
    </row>
    <row r="73">
      <c r="A73" s="1" t="s">
        <v>21</v>
      </c>
      <c r="B73" s="3" t="str">
        <f>HYPERLINK("https://hawk-eye.atlassian.net/browse/BAS-1036?atlOrigin=eyJpIjoiYzgwYTQ0ZjEyNzQzNGJhN2JmNjEyZTM0NmRhZWZhNjIiLCJwIjoic2hlZXRzLWppcmEifQ","BAS-1036")</f>
        <v>BAS-1036</v>
      </c>
      <c r="C73" s="1" t="s">
        <v>125</v>
      </c>
      <c r="D73" s="1" t="s">
        <v>48</v>
      </c>
      <c r="E73" s="1" t="s">
        <v>41</v>
      </c>
      <c r="F73" s="4">
        <v>45708.64525462963</v>
      </c>
      <c r="G73" s="3" t="str">
        <f>HYPERLINK("https://hawk-eye.atlassian.net/browse/BAS-835?atlOrigin=eyJpIjoiYzgwYTQ0ZjEyNzQzNGJhN2JmNjEyZTM0NmRhZWZhNjIiLCJwIjoic2hlZXRzLWppcmEifQ","BAS-835")</f>
        <v>BAS-835</v>
      </c>
      <c r="H73" s="1" t="s">
        <v>25</v>
      </c>
      <c r="I73" s="1" t="s">
        <v>26</v>
      </c>
      <c r="J73" s="1" t="s">
        <v>26</v>
      </c>
      <c r="K73" s="1" t="s">
        <v>26</v>
      </c>
      <c r="L73" s="1" t="s">
        <v>26</v>
      </c>
      <c r="M73" s="1" t="s">
        <v>27</v>
      </c>
      <c r="N73" s="1" t="s">
        <v>27</v>
      </c>
      <c r="O73" s="1" t="s">
        <v>27</v>
      </c>
      <c r="P73" s="1" t="s">
        <v>26</v>
      </c>
      <c r="Q73" s="4">
        <v>45715.614386574074</v>
      </c>
      <c r="R73" s="1" t="s">
        <v>26</v>
      </c>
      <c r="S73" s="1" t="s">
        <v>28</v>
      </c>
      <c r="T73" s="2">
        <v>1.0</v>
      </c>
      <c r="U73" s="5">
        <v>45667.0</v>
      </c>
    </row>
    <row r="74" hidden="1">
      <c r="A74" s="1" t="s">
        <v>29</v>
      </c>
      <c r="B74" s="3" t="str">
        <f>HYPERLINK("https://hawk-eye.atlassian.net/browse/BAS-1034?atlOrigin=eyJpIjoiYzgwYTQ0ZjEyNzQzNGJhN2JmNjEyZTM0NmRhZWZhNjIiLCJwIjoic2hlZXRzLWppcmEifQ","BAS-1034")</f>
        <v>BAS-1034</v>
      </c>
      <c r="C74" s="1" t="s">
        <v>126</v>
      </c>
      <c r="D74" s="1" t="s">
        <v>48</v>
      </c>
      <c r="E74" s="1" t="s">
        <v>41</v>
      </c>
      <c r="F74" s="4">
        <v>45707.454050925924</v>
      </c>
      <c r="G74" s="3" t="str">
        <f>HYPERLINK("https://hawk-eye.atlassian.net/issues/?atlOrigin=eyJpIjoiYzgwYTQ0ZjEyNzQzNGJhN2JmNjEyZTM0NmRhZWZhNjIiLCJwIjoic2hlZXRzLWppcmEifQ&amp;jql=key+in+%28BAS-1022%2CDEVOPS-944%2CBAS-1226%29","BAS-1022;DEVOPS-944;BAS-1226")</f>
        <v>BAS-1022;DEVOPS-944;BAS-1226</v>
      </c>
      <c r="H74" s="1" t="s">
        <v>25</v>
      </c>
      <c r="I74" s="1" t="s">
        <v>26</v>
      </c>
      <c r="J74" s="1" t="s">
        <v>26</v>
      </c>
      <c r="K74" s="1" t="s">
        <v>26</v>
      </c>
      <c r="L74" s="1" t="s">
        <v>26</v>
      </c>
      <c r="M74" s="1" t="s">
        <v>27</v>
      </c>
      <c r="N74" s="1" t="s">
        <v>27</v>
      </c>
      <c r="O74" s="1" t="s">
        <v>27</v>
      </c>
      <c r="P74" s="1" t="s">
        <v>26</v>
      </c>
      <c r="Q74" s="4">
        <v>45762.58880787037</v>
      </c>
      <c r="R74" s="1" t="s">
        <v>26</v>
      </c>
      <c r="S74" s="1" t="s">
        <v>28</v>
      </c>
      <c r="U74" s="5">
        <v>45674.0</v>
      </c>
    </row>
    <row r="75" hidden="1">
      <c r="A75" s="1" t="s">
        <v>29</v>
      </c>
      <c r="B75" s="3" t="str">
        <f>HYPERLINK("https://hawk-eye.atlassian.net/browse/BAS-1023?atlOrigin=eyJpIjoiYzgwYTQ0ZjEyNzQzNGJhN2JmNjEyZTM0NmRhZWZhNjIiLCJwIjoic2hlZXRzLWppcmEifQ","BAS-1023")</f>
        <v>BAS-1023</v>
      </c>
      <c r="C75" s="1" t="s">
        <v>127</v>
      </c>
      <c r="D75" s="1" t="s">
        <v>48</v>
      </c>
      <c r="E75" s="1" t="s">
        <v>41</v>
      </c>
      <c r="F75" s="4">
        <v>45701.42986111111</v>
      </c>
      <c r="G75" s="3" t="str">
        <f t="shared" ref="G75:G77" si="5">HYPERLINK("https://hawk-eye.atlassian.net/browse/?atlOrigin=eyJpIjoiYzgwYTQ0ZjEyNzQzNGJhN2JmNjEyZTM0NmRhZWZhNjIiLCJwIjoic2hlZXRzLWppcmEifQ","")</f>
        <v/>
      </c>
      <c r="H75" s="1" t="s">
        <v>25</v>
      </c>
      <c r="I75" s="1" t="s">
        <v>26</v>
      </c>
      <c r="J75" s="1" t="s">
        <v>26</v>
      </c>
      <c r="K75" s="1" t="s">
        <v>26</v>
      </c>
      <c r="L75" s="1" t="s">
        <v>26</v>
      </c>
      <c r="M75" s="1" t="s">
        <v>27</v>
      </c>
      <c r="N75" s="1" t="s">
        <v>27</v>
      </c>
      <c r="O75" s="1" t="s">
        <v>27</v>
      </c>
      <c r="P75" s="1" t="s">
        <v>26</v>
      </c>
      <c r="Q75" s="4">
        <v>45742.597916666666</v>
      </c>
      <c r="R75" s="1" t="s">
        <v>26</v>
      </c>
      <c r="S75" s="1" t="s">
        <v>28</v>
      </c>
      <c r="U75" s="5">
        <v>45674.0</v>
      </c>
    </row>
    <row r="76" hidden="1">
      <c r="A76" s="1" t="s">
        <v>29</v>
      </c>
      <c r="B76" s="3" t="str">
        <f>HYPERLINK("https://hawk-eye.atlassian.net/browse/BAS-1018?atlOrigin=eyJpIjoiYzgwYTQ0ZjEyNzQzNGJhN2JmNjEyZTM0NmRhZWZhNjIiLCJwIjoic2hlZXRzLWppcmEifQ","BAS-1018")</f>
        <v>BAS-1018</v>
      </c>
      <c r="C76" s="1" t="s">
        <v>128</v>
      </c>
      <c r="D76" s="1" t="s">
        <v>23</v>
      </c>
      <c r="E76" s="1" t="s">
        <v>41</v>
      </c>
      <c r="F76" s="4">
        <v>45698.77394675926</v>
      </c>
      <c r="G76" s="3" t="str">
        <f t="shared" si="5"/>
        <v/>
      </c>
      <c r="H76" s="1" t="s">
        <v>25</v>
      </c>
      <c r="I76" s="1" t="s">
        <v>26</v>
      </c>
      <c r="J76" s="1" t="s">
        <v>26</v>
      </c>
      <c r="K76" s="1" t="s">
        <v>26</v>
      </c>
      <c r="L76" s="1" t="s">
        <v>26</v>
      </c>
      <c r="M76" s="1" t="s">
        <v>27</v>
      </c>
      <c r="N76" s="1" t="s">
        <v>27</v>
      </c>
      <c r="O76" s="1" t="s">
        <v>27</v>
      </c>
      <c r="P76" s="1" t="s">
        <v>26</v>
      </c>
      <c r="Q76" s="4">
        <v>45735.63391203704</v>
      </c>
      <c r="R76" s="1" t="s">
        <v>129</v>
      </c>
      <c r="S76" s="1" t="s">
        <v>28</v>
      </c>
      <c r="U76" s="5">
        <v>45692.0</v>
      </c>
    </row>
    <row r="77" hidden="1">
      <c r="A77" s="1" t="s">
        <v>29</v>
      </c>
      <c r="B77" s="3" t="str">
        <f>HYPERLINK("https://hawk-eye.atlassian.net/browse/BAS-1017?atlOrigin=eyJpIjoiYzgwYTQ0ZjEyNzQzNGJhN2JmNjEyZTM0NmRhZWZhNjIiLCJwIjoic2hlZXRzLWppcmEifQ","BAS-1017")</f>
        <v>BAS-1017</v>
      </c>
      <c r="C77" s="1" t="s">
        <v>130</v>
      </c>
      <c r="D77" s="1" t="s">
        <v>48</v>
      </c>
      <c r="E77" s="1" t="s">
        <v>41</v>
      </c>
      <c r="F77" s="4">
        <v>45698.63793981481</v>
      </c>
      <c r="G77" s="3" t="str">
        <f t="shared" si="5"/>
        <v/>
      </c>
      <c r="H77" s="1" t="s">
        <v>25</v>
      </c>
      <c r="I77" s="1" t="s">
        <v>26</v>
      </c>
      <c r="J77" s="1" t="s">
        <v>26</v>
      </c>
      <c r="K77" s="1" t="s">
        <v>26</v>
      </c>
      <c r="L77" s="1" t="s">
        <v>26</v>
      </c>
      <c r="M77" s="1" t="s">
        <v>27</v>
      </c>
      <c r="N77" s="1" t="s">
        <v>27</v>
      </c>
      <c r="O77" s="1" t="s">
        <v>27</v>
      </c>
      <c r="P77" s="1" t="s">
        <v>26</v>
      </c>
      <c r="Q77" s="4">
        <v>45699.42849537037</v>
      </c>
      <c r="R77" s="6" t="s">
        <v>131</v>
      </c>
      <c r="S77" s="1" t="s">
        <v>28</v>
      </c>
      <c r="U77" s="5">
        <v>45658.0</v>
      </c>
    </row>
    <row r="78" hidden="1">
      <c r="A78" s="1" t="s">
        <v>21</v>
      </c>
      <c r="B78" s="3" t="str">
        <f>HYPERLINK("https://hawk-eye.atlassian.net/browse/BAS-1010?atlOrigin=eyJpIjoiYzgwYTQ0ZjEyNzQzNGJhN2JmNjEyZTM0NmRhZWZhNjIiLCJwIjoic2hlZXRzLWppcmEifQ","BAS-1010")</f>
        <v>BAS-1010</v>
      </c>
      <c r="C78" s="1" t="s">
        <v>132</v>
      </c>
      <c r="D78" s="1" t="s">
        <v>23</v>
      </c>
      <c r="E78" s="1" t="s">
        <v>41</v>
      </c>
      <c r="F78" s="4">
        <v>45694.35267361111</v>
      </c>
      <c r="G78" s="3" t="str">
        <f>HYPERLINK("https://hawk-eye.atlassian.net/browse/BAS-733?atlOrigin=eyJpIjoiYzgwYTQ0ZjEyNzQzNGJhN2JmNjEyZTM0NmRhZWZhNjIiLCJwIjoic2hlZXRzLWppcmEifQ","BAS-733")</f>
        <v>BAS-733</v>
      </c>
      <c r="H78" s="1" t="s">
        <v>25</v>
      </c>
      <c r="I78" s="1" t="s">
        <v>26</v>
      </c>
      <c r="J78" s="1" t="s">
        <v>26</v>
      </c>
      <c r="K78" s="1" t="s">
        <v>26</v>
      </c>
      <c r="L78" s="1" t="s">
        <v>26</v>
      </c>
      <c r="M78" s="1" t="s">
        <v>27</v>
      </c>
      <c r="N78" s="1" t="s">
        <v>27</v>
      </c>
      <c r="O78" s="1" t="s">
        <v>27</v>
      </c>
      <c r="P78" s="1" t="s">
        <v>26</v>
      </c>
      <c r="Q78" s="4">
        <v>45695.59303240741</v>
      </c>
      <c r="R78" s="6" t="s">
        <v>80</v>
      </c>
      <c r="S78" s="1" t="s">
        <v>28</v>
      </c>
      <c r="U78" s="5">
        <v>45658.0</v>
      </c>
    </row>
    <row r="79">
      <c r="A79" s="1" t="s">
        <v>21</v>
      </c>
      <c r="B79" s="3" t="str">
        <f>HYPERLINK("https://hawk-eye.atlassian.net/browse/BAS-1002?atlOrigin=eyJpIjoiYzgwYTQ0ZjEyNzQzNGJhN2JmNjEyZTM0NmRhZWZhNjIiLCJwIjoic2hlZXRzLWppcmEifQ","BAS-1002")</f>
        <v>BAS-1002</v>
      </c>
      <c r="C79" s="1" t="s">
        <v>133</v>
      </c>
      <c r="D79" s="1" t="s">
        <v>40</v>
      </c>
      <c r="E79" s="1" t="s">
        <v>41</v>
      </c>
      <c r="F79" s="4">
        <v>45688.377118055556</v>
      </c>
      <c r="G79" s="3" t="str">
        <f>HYPERLINK("https://hawk-eye.atlassian.net/browse/?atlOrigin=eyJpIjoiYzgwYTQ0ZjEyNzQzNGJhN2JmNjEyZTM0NmRhZWZhNjIiLCJwIjoic2hlZXRzLWppcmEifQ","")</f>
        <v/>
      </c>
      <c r="H79" s="1" t="s">
        <v>25</v>
      </c>
      <c r="I79" s="1" t="s">
        <v>26</v>
      </c>
      <c r="J79" s="1" t="s">
        <v>26</v>
      </c>
      <c r="K79" s="1" t="s">
        <v>26</v>
      </c>
      <c r="L79" s="1" t="s">
        <v>26</v>
      </c>
      <c r="M79" s="1" t="s">
        <v>27</v>
      </c>
      <c r="N79" s="1" t="s">
        <v>27</v>
      </c>
      <c r="O79" s="1" t="s">
        <v>27</v>
      </c>
      <c r="P79" s="1" t="s">
        <v>26</v>
      </c>
      <c r="Q79" s="4">
        <v>45693.4369212963</v>
      </c>
      <c r="R79" s="6" t="s">
        <v>80</v>
      </c>
      <c r="S79" s="1" t="s">
        <v>28</v>
      </c>
      <c r="T79" s="2">
        <v>1.0</v>
      </c>
      <c r="U79" s="5">
        <v>45667.0</v>
      </c>
    </row>
    <row r="80">
      <c r="A80" s="1" t="s">
        <v>21</v>
      </c>
      <c r="B80" s="3" t="str">
        <f>HYPERLINK("https://hawk-eye.atlassian.net/browse/BAS-1001?atlOrigin=eyJpIjoiYzgwYTQ0ZjEyNzQzNGJhN2JmNjEyZTM0NmRhZWZhNjIiLCJwIjoic2hlZXRzLWppcmEifQ","BAS-1001")</f>
        <v>BAS-1001</v>
      </c>
      <c r="C80" s="1" t="s">
        <v>134</v>
      </c>
      <c r="D80" s="1" t="s">
        <v>48</v>
      </c>
      <c r="E80" s="1" t="s">
        <v>31</v>
      </c>
      <c r="F80" s="4">
        <v>45687.96822916667</v>
      </c>
      <c r="G80" s="3" t="str">
        <f>HYPERLINK("https://hawk-eye.atlassian.net/issues/?atlOrigin=eyJpIjoiYzgwYTQ0ZjEyNzQzNGJhN2JmNjEyZTM0NmRhZWZhNjIiLCJwIjoic2hlZXRzLWppcmEifQ&amp;jql=key+in+%28BAS-663%2CBAS-1097%29","BAS-663;BAS-1097")</f>
        <v>BAS-663;BAS-1097</v>
      </c>
      <c r="H80" s="1" t="s">
        <v>25</v>
      </c>
      <c r="I80" s="1" t="s">
        <v>26</v>
      </c>
      <c r="J80" s="1" t="s">
        <v>26</v>
      </c>
      <c r="K80" s="1" t="s">
        <v>26</v>
      </c>
      <c r="L80" s="1" t="s">
        <v>26</v>
      </c>
      <c r="M80" s="1" t="s">
        <v>27</v>
      </c>
      <c r="N80" s="1" t="s">
        <v>27</v>
      </c>
      <c r="O80" s="1" t="s">
        <v>27</v>
      </c>
      <c r="P80" s="1" t="s">
        <v>26</v>
      </c>
      <c r="Q80" s="4">
        <v>45838.46318287037</v>
      </c>
      <c r="R80" s="1" t="s">
        <v>26</v>
      </c>
      <c r="S80" s="1" t="s">
        <v>70</v>
      </c>
      <c r="T80" s="2">
        <v>2.1</v>
      </c>
      <c r="U80" s="5">
        <v>45672.0</v>
      </c>
    </row>
    <row r="81" hidden="1">
      <c r="A81" s="1" t="s">
        <v>29</v>
      </c>
      <c r="B81" s="3" t="str">
        <f>HYPERLINK("https://hawk-eye.atlassian.net/browse/BAS-972?atlOrigin=eyJpIjoiYzgwYTQ0ZjEyNzQzNGJhN2JmNjEyZTM0NmRhZWZhNjIiLCJwIjoic2hlZXRzLWppcmEifQ","BAS-972")</f>
        <v>BAS-972</v>
      </c>
      <c r="C81" s="1" t="s">
        <v>135</v>
      </c>
      <c r="D81" s="1" t="s">
        <v>83</v>
      </c>
      <c r="E81" s="1" t="s">
        <v>31</v>
      </c>
      <c r="F81" s="4">
        <v>45674.8484375</v>
      </c>
      <c r="G81" s="3" t="str">
        <f>HYPERLINK("https://hawk-eye.atlassian.net/browse/?atlOrigin=eyJpIjoiYzgwYTQ0ZjEyNzQzNGJhN2JmNjEyZTM0NmRhZWZhNjIiLCJwIjoic2hlZXRzLWppcmEifQ","")</f>
        <v/>
      </c>
      <c r="H81" s="1" t="s">
        <v>25</v>
      </c>
      <c r="I81" s="1" t="s">
        <v>26</v>
      </c>
      <c r="J81" s="1" t="s">
        <v>26</v>
      </c>
      <c r="K81" s="1" t="s">
        <v>26</v>
      </c>
      <c r="L81" s="1" t="s">
        <v>26</v>
      </c>
      <c r="M81" s="1" t="s">
        <v>27</v>
      </c>
      <c r="N81" s="1" t="s">
        <v>27</v>
      </c>
      <c r="O81" s="1" t="s">
        <v>27</v>
      </c>
      <c r="P81" s="1" t="s">
        <v>26</v>
      </c>
      <c r="Q81" s="4">
        <v>45674.848449074074</v>
      </c>
      <c r="R81" s="1" t="s">
        <v>26</v>
      </c>
      <c r="S81" s="1" t="s">
        <v>28</v>
      </c>
      <c r="U81" s="5">
        <v>45658.0</v>
      </c>
    </row>
    <row r="82">
      <c r="A82" s="1" t="s">
        <v>29</v>
      </c>
      <c r="B82" s="3" t="str">
        <f>HYPERLINK("https://hawk-eye.atlassian.net/browse/BAS-967?atlOrigin=eyJpIjoiYzgwYTQ0ZjEyNzQzNGJhN2JmNjEyZTM0NmRhZWZhNjIiLCJwIjoic2hlZXRzLWppcmEifQ","BAS-967")</f>
        <v>BAS-967</v>
      </c>
      <c r="C82" s="1" t="s">
        <v>136</v>
      </c>
      <c r="D82" s="1" t="s">
        <v>48</v>
      </c>
      <c r="E82" s="1" t="s">
        <v>24</v>
      </c>
      <c r="F82" s="4">
        <v>45674.34428240741</v>
      </c>
      <c r="G82" s="3" t="str">
        <f>HYPERLINK("https://hawk-eye.atlassian.net/issues/?atlOrigin=eyJpIjoiYzgwYTQ0ZjEyNzQzNGJhN2JmNjEyZTM0NmRhZWZhNjIiLCJwIjoic2hlZXRzLWppcmEifQ&amp;jql=key+in+%28BAS-968%2CBAS-969%2CBAS-667%29","BAS-968;BAS-969;BAS-667")</f>
        <v>BAS-968;BAS-969;BAS-667</v>
      </c>
      <c r="H82" s="1" t="s">
        <v>25</v>
      </c>
      <c r="I82" s="1" t="s">
        <v>26</v>
      </c>
      <c r="J82" s="1" t="s">
        <v>26</v>
      </c>
      <c r="K82" s="1" t="s">
        <v>26</v>
      </c>
      <c r="L82" s="1" t="s">
        <v>26</v>
      </c>
      <c r="M82" s="1" t="s">
        <v>27</v>
      </c>
      <c r="N82" s="1" t="s">
        <v>27</v>
      </c>
      <c r="O82" s="1" t="s">
        <v>27</v>
      </c>
      <c r="P82" s="1" t="s">
        <v>26</v>
      </c>
      <c r="Q82" s="4">
        <v>45714.39037037037</v>
      </c>
      <c r="R82" s="1" t="s">
        <v>26</v>
      </c>
      <c r="S82" s="1" t="s">
        <v>28</v>
      </c>
      <c r="T82" s="2">
        <v>2.1</v>
      </c>
      <c r="U82" s="5">
        <v>45672.0</v>
      </c>
    </row>
    <row r="83" hidden="1">
      <c r="A83" s="1" t="s">
        <v>21</v>
      </c>
      <c r="B83" s="3" t="str">
        <f>HYPERLINK("https://hawk-eye.atlassian.net/browse/BAS-964?atlOrigin=eyJpIjoiYzgwYTQ0ZjEyNzQzNGJhN2JmNjEyZTM0NmRhZWZhNjIiLCJwIjoic2hlZXRzLWppcmEifQ","BAS-964")</f>
        <v>BAS-964</v>
      </c>
      <c r="C83" s="1" t="s">
        <v>137</v>
      </c>
      <c r="D83" s="1" t="s">
        <v>40</v>
      </c>
      <c r="E83" s="1" t="s">
        <v>41</v>
      </c>
      <c r="F83" s="4">
        <v>45672.582662037035</v>
      </c>
      <c r="G83" s="3" t="str">
        <f>HYPERLINK("https://hawk-eye.atlassian.net/issues/?atlOrigin=eyJpIjoiYzgwYTQ0ZjEyNzQzNGJhN2JmNjEyZTM0NmRhZWZhNjIiLCJwIjoic2hlZXRzLWppcmEifQ&amp;jql=key+in+%28BAS-838%2CBAS-971%29","BAS-838;BAS-971")</f>
        <v>BAS-838;BAS-971</v>
      </c>
      <c r="H83" s="1" t="s">
        <v>25</v>
      </c>
      <c r="I83" s="1" t="s">
        <v>26</v>
      </c>
      <c r="J83" s="1" t="s">
        <v>26</v>
      </c>
      <c r="K83" s="1" t="s">
        <v>26</v>
      </c>
      <c r="L83" s="1" t="s">
        <v>26</v>
      </c>
      <c r="M83" s="1" t="s">
        <v>27</v>
      </c>
      <c r="N83" s="1" t="s">
        <v>27</v>
      </c>
      <c r="O83" s="1" t="s">
        <v>27</v>
      </c>
      <c r="P83" s="1" t="s">
        <v>26</v>
      </c>
      <c r="Q83" s="4">
        <v>45691.448796296296</v>
      </c>
      <c r="R83" s="6" t="s">
        <v>80</v>
      </c>
      <c r="S83" s="1" t="s">
        <v>28</v>
      </c>
      <c r="U83" s="5">
        <v>45699.0</v>
      </c>
    </row>
    <row r="84" hidden="1">
      <c r="A84" s="1" t="s">
        <v>29</v>
      </c>
      <c r="B84" s="3" t="str">
        <f>HYPERLINK("https://hawk-eye.atlassian.net/browse/BAS-959?atlOrigin=eyJpIjoiYzgwYTQ0ZjEyNzQzNGJhN2JmNjEyZTM0NmRhZWZhNjIiLCJwIjoic2hlZXRzLWppcmEifQ","BAS-959")</f>
        <v>BAS-959</v>
      </c>
      <c r="C84" s="1" t="s">
        <v>138</v>
      </c>
      <c r="D84" s="1" t="s">
        <v>23</v>
      </c>
      <c r="E84" s="1" t="s">
        <v>45</v>
      </c>
      <c r="F84" s="4">
        <v>45670.88636574074</v>
      </c>
      <c r="G84" s="3" t="str">
        <f t="shared" ref="G84:G90" si="6">HYPERLINK("https://hawk-eye.atlassian.net/browse/?atlOrigin=eyJpIjoiYzgwYTQ0ZjEyNzQzNGJhN2JmNjEyZTM0NmRhZWZhNjIiLCJwIjoic2hlZXRzLWppcmEifQ","")</f>
        <v/>
      </c>
      <c r="H84" s="1" t="s">
        <v>25</v>
      </c>
      <c r="I84" s="1" t="s">
        <v>26</v>
      </c>
      <c r="J84" s="1" t="s">
        <v>26</v>
      </c>
      <c r="K84" s="1" t="s">
        <v>26</v>
      </c>
      <c r="L84" s="1" t="s">
        <v>26</v>
      </c>
      <c r="M84" s="1" t="s">
        <v>27</v>
      </c>
      <c r="N84" s="1" t="s">
        <v>27</v>
      </c>
      <c r="O84" s="1" t="s">
        <v>27</v>
      </c>
      <c r="P84" s="1" t="s">
        <v>26</v>
      </c>
      <c r="Q84" s="4">
        <v>45691.50939814815</v>
      </c>
      <c r="R84" s="1" t="s">
        <v>139</v>
      </c>
      <c r="S84" s="1" t="s">
        <v>102</v>
      </c>
      <c r="U84" s="5">
        <v>45699.0</v>
      </c>
    </row>
    <row r="85" hidden="1">
      <c r="A85" s="1" t="s">
        <v>29</v>
      </c>
      <c r="B85" s="3" t="str">
        <f>HYPERLINK("https://hawk-eye.atlassian.net/browse/BAS-957?atlOrigin=eyJpIjoiYzgwYTQ0ZjEyNzQzNGJhN2JmNjEyZTM0NmRhZWZhNjIiLCJwIjoic2hlZXRzLWppcmEifQ","BAS-957")</f>
        <v>BAS-957</v>
      </c>
      <c r="C85" s="1" t="s">
        <v>140</v>
      </c>
      <c r="D85" s="1" t="s">
        <v>23</v>
      </c>
      <c r="E85" s="1" t="s">
        <v>41</v>
      </c>
      <c r="F85" s="4">
        <v>45670.521631944444</v>
      </c>
      <c r="G85" s="3" t="str">
        <f t="shared" si="6"/>
        <v/>
      </c>
      <c r="H85" s="1" t="s">
        <v>25</v>
      </c>
      <c r="I85" s="1" t="s">
        <v>26</v>
      </c>
      <c r="J85" s="1" t="s">
        <v>26</v>
      </c>
      <c r="K85" s="1" t="s">
        <v>26</v>
      </c>
      <c r="L85" s="1" t="s">
        <v>26</v>
      </c>
      <c r="M85" s="1" t="s">
        <v>27</v>
      </c>
      <c r="N85" s="1" t="s">
        <v>27</v>
      </c>
      <c r="O85" s="1" t="s">
        <v>27</v>
      </c>
      <c r="P85" s="1" t="s">
        <v>26</v>
      </c>
      <c r="Q85" s="4">
        <v>45692.65599537037</v>
      </c>
      <c r="R85" s="6" t="s">
        <v>80</v>
      </c>
      <c r="S85" s="1" t="s">
        <v>28</v>
      </c>
      <c r="U85" s="5">
        <v>45662.0</v>
      </c>
    </row>
    <row r="86">
      <c r="A86" s="1" t="s">
        <v>21</v>
      </c>
      <c r="B86" s="3" t="str">
        <f>HYPERLINK("https://hawk-eye.atlassian.net/browse/BAS-956?atlOrigin=eyJpIjoiYzgwYTQ0ZjEyNzQzNGJhN2JmNjEyZTM0NmRhZWZhNjIiLCJwIjoic2hlZXRzLWppcmEifQ","BAS-956")</f>
        <v>BAS-956</v>
      </c>
      <c r="C86" s="1" t="s">
        <v>141</v>
      </c>
      <c r="D86" s="1" t="s">
        <v>83</v>
      </c>
      <c r="E86" s="1" t="s">
        <v>31</v>
      </c>
      <c r="F86" s="4">
        <v>45670.39400462963</v>
      </c>
      <c r="G86" s="3" t="str">
        <f t="shared" si="6"/>
        <v/>
      </c>
      <c r="H86" s="1" t="s">
        <v>25</v>
      </c>
      <c r="I86" s="1" t="s">
        <v>26</v>
      </c>
      <c r="J86" s="1" t="s">
        <v>26</v>
      </c>
      <c r="K86" s="1" t="s">
        <v>26</v>
      </c>
      <c r="L86" s="1" t="s">
        <v>26</v>
      </c>
      <c r="M86" s="1" t="s">
        <v>27</v>
      </c>
      <c r="N86" s="1" t="s">
        <v>27</v>
      </c>
      <c r="O86" s="1" t="s">
        <v>27</v>
      </c>
      <c r="P86" s="1" t="s">
        <v>26</v>
      </c>
      <c r="Q86" s="4">
        <v>45670.39400462963</v>
      </c>
      <c r="R86" s="1" t="s">
        <v>26</v>
      </c>
      <c r="S86" s="1" t="s">
        <v>28</v>
      </c>
      <c r="T86" s="2">
        <v>2.1</v>
      </c>
      <c r="U86" s="5">
        <v>45672.0</v>
      </c>
    </row>
    <row r="87">
      <c r="A87" s="1" t="s">
        <v>29</v>
      </c>
      <c r="B87" s="3" t="str">
        <f>HYPERLINK("https://hawk-eye.atlassian.net/browse/BAS-845?atlOrigin=eyJpIjoiYzgwYTQ0ZjEyNzQzNGJhN2JmNjEyZTM0NmRhZWZhNjIiLCJwIjoic2hlZXRzLWppcmEifQ","BAS-845")</f>
        <v>BAS-845</v>
      </c>
      <c r="C87" s="1" t="s">
        <v>142</v>
      </c>
      <c r="D87" s="1" t="s">
        <v>34</v>
      </c>
      <c r="E87" s="1" t="s">
        <v>41</v>
      </c>
      <c r="F87" s="4">
        <v>45649.69630787037</v>
      </c>
      <c r="G87" s="3" t="str">
        <f t="shared" si="6"/>
        <v/>
      </c>
      <c r="H87" s="1" t="s">
        <v>25</v>
      </c>
      <c r="I87" s="1" t="s">
        <v>26</v>
      </c>
      <c r="J87" s="1" t="s">
        <v>26</v>
      </c>
      <c r="K87" s="1" t="s">
        <v>26</v>
      </c>
      <c r="L87" s="1" t="s">
        <v>26</v>
      </c>
      <c r="M87" s="1" t="s">
        <v>27</v>
      </c>
      <c r="N87" s="1" t="s">
        <v>27</v>
      </c>
      <c r="O87" s="1" t="s">
        <v>27</v>
      </c>
      <c r="P87" s="1" t="s">
        <v>26</v>
      </c>
      <c r="Q87" s="4">
        <v>45667.97016203704</v>
      </c>
      <c r="R87" s="1" t="s">
        <v>26</v>
      </c>
      <c r="S87" s="1" t="s">
        <v>28</v>
      </c>
      <c r="T87" s="2">
        <v>2.1</v>
      </c>
      <c r="U87" s="5">
        <v>45672.0</v>
      </c>
    </row>
    <row r="88">
      <c r="A88" s="1" t="s">
        <v>21</v>
      </c>
      <c r="B88" s="3" t="str">
        <f>HYPERLINK("https://hawk-eye.atlassian.net/browse/BAS-844?atlOrigin=eyJpIjoiYzgwYTQ0ZjEyNzQzNGJhN2JmNjEyZTM0NmRhZWZhNjIiLCJwIjoic2hlZXRzLWppcmEifQ","BAS-844")</f>
        <v>BAS-844</v>
      </c>
      <c r="C88" s="1" t="s">
        <v>143</v>
      </c>
      <c r="D88" s="1" t="s">
        <v>48</v>
      </c>
      <c r="E88" s="1" t="s">
        <v>41</v>
      </c>
      <c r="F88" s="4">
        <v>45645.44511574074</v>
      </c>
      <c r="G88" s="3" t="str">
        <f t="shared" si="6"/>
        <v/>
      </c>
      <c r="H88" s="1" t="s">
        <v>25</v>
      </c>
      <c r="I88" s="1" t="s">
        <v>26</v>
      </c>
      <c r="J88" s="1" t="s">
        <v>26</v>
      </c>
      <c r="K88" s="1" t="s">
        <v>26</v>
      </c>
      <c r="L88" s="1" t="s">
        <v>26</v>
      </c>
      <c r="M88" s="1" t="s">
        <v>27</v>
      </c>
      <c r="N88" s="1" t="s">
        <v>27</v>
      </c>
      <c r="O88" s="1" t="s">
        <v>27</v>
      </c>
      <c r="P88" s="1" t="s">
        <v>26</v>
      </c>
      <c r="Q88" s="4">
        <v>45684.525092592594</v>
      </c>
      <c r="R88" s="6" t="s">
        <v>80</v>
      </c>
      <c r="S88" s="1" t="s">
        <v>28</v>
      </c>
      <c r="T88" s="2">
        <v>2.1</v>
      </c>
      <c r="U88" s="5">
        <v>45674.0</v>
      </c>
    </row>
    <row r="89" hidden="1">
      <c r="A89" s="1" t="s">
        <v>21</v>
      </c>
      <c r="B89" s="3" t="str">
        <f>HYPERLINK("https://hawk-eye.atlassian.net/browse/BAS-843?atlOrigin=eyJpIjoiYzgwYTQ0ZjEyNzQzNGJhN2JmNjEyZTM0NmRhZWZhNjIiLCJwIjoic2hlZXRzLWppcmEifQ","BAS-843")</f>
        <v>BAS-843</v>
      </c>
      <c r="C89" s="1" t="s">
        <v>144</v>
      </c>
      <c r="D89" s="1" t="s">
        <v>40</v>
      </c>
      <c r="E89" s="1" t="s">
        <v>41</v>
      </c>
      <c r="F89" s="4">
        <v>45645.1016087963</v>
      </c>
      <c r="G89" s="3" t="str">
        <f t="shared" si="6"/>
        <v/>
      </c>
      <c r="H89" s="1" t="s">
        <v>25</v>
      </c>
      <c r="I89" s="1" t="s">
        <v>26</v>
      </c>
      <c r="J89" s="1" t="s">
        <v>26</v>
      </c>
      <c r="K89" s="1" t="s">
        <v>26</v>
      </c>
      <c r="L89" s="1" t="s">
        <v>26</v>
      </c>
      <c r="M89" s="1" t="s">
        <v>27</v>
      </c>
      <c r="N89" s="1" t="s">
        <v>27</v>
      </c>
      <c r="O89" s="1" t="s">
        <v>27</v>
      </c>
      <c r="P89" s="1" t="s">
        <v>26</v>
      </c>
      <c r="Q89" s="4">
        <v>45660.55233796296</v>
      </c>
      <c r="R89" s="1" t="s">
        <v>145</v>
      </c>
      <c r="S89" s="1" t="s">
        <v>28</v>
      </c>
      <c r="U89" s="5">
        <v>45699.0</v>
      </c>
    </row>
    <row r="90">
      <c r="A90" s="1" t="s">
        <v>21</v>
      </c>
      <c r="B90" s="3" t="str">
        <f>HYPERLINK("https://hawk-eye.atlassian.net/browse/BAS-842?atlOrigin=eyJpIjoiYzgwYTQ0ZjEyNzQzNGJhN2JmNjEyZTM0NmRhZWZhNjIiLCJwIjoic2hlZXRzLWppcmEifQ","BAS-842")</f>
        <v>BAS-842</v>
      </c>
      <c r="C90" s="1" t="s">
        <v>146</v>
      </c>
      <c r="D90" s="1" t="s">
        <v>34</v>
      </c>
      <c r="E90" s="1" t="s">
        <v>41</v>
      </c>
      <c r="F90" s="4">
        <v>45645.01665509259</v>
      </c>
      <c r="G90" s="3" t="str">
        <f t="shared" si="6"/>
        <v/>
      </c>
      <c r="H90" s="1" t="s">
        <v>25</v>
      </c>
      <c r="I90" s="1" t="s">
        <v>26</v>
      </c>
      <c r="J90" s="1" t="s">
        <v>26</v>
      </c>
      <c r="K90" s="1" t="s">
        <v>26</v>
      </c>
      <c r="L90" s="1" t="s">
        <v>26</v>
      </c>
      <c r="M90" s="1" t="s">
        <v>27</v>
      </c>
      <c r="N90" s="1" t="s">
        <v>27</v>
      </c>
      <c r="O90" s="1" t="s">
        <v>27</v>
      </c>
      <c r="P90" s="1" t="s">
        <v>26</v>
      </c>
      <c r="Q90" s="4">
        <v>45646.65935185185</v>
      </c>
      <c r="R90" s="1" t="s">
        <v>145</v>
      </c>
      <c r="S90" s="1" t="s">
        <v>28</v>
      </c>
      <c r="T90" s="2">
        <v>2.2</v>
      </c>
      <c r="U90" s="5">
        <v>45674.0</v>
      </c>
    </row>
    <row r="91">
      <c r="A91" s="1" t="s">
        <v>21</v>
      </c>
      <c r="B91" s="3" t="str">
        <f>HYPERLINK("https://hawk-eye.atlassian.net/browse/BAS-841?atlOrigin=eyJpIjoiYzgwYTQ0ZjEyNzQzNGJhN2JmNjEyZTM0NmRhZWZhNjIiLCJwIjoic2hlZXRzLWppcmEifQ","BAS-841")</f>
        <v>BAS-841</v>
      </c>
      <c r="C91" s="1" t="s">
        <v>147</v>
      </c>
      <c r="D91" s="1" t="s">
        <v>34</v>
      </c>
      <c r="E91" s="1" t="s">
        <v>41</v>
      </c>
      <c r="F91" s="4">
        <v>45644.97820601852</v>
      </c>
      <c r="G91" s="3" t="str">
        <f>HYPERLINK("https://hawk-eye.atlassian.net/browse/BAS-1073?atlOrigin=eyJpIjoiYzgwYTQ0ZjEyNzQzNGJhN2JmNjEyZTM0NmRhZWZhNjIiLCJwIjoic2hlZXRzLWppcmEifQ","BAS-1073")</f>
        <v>BAS-1073</v>
      </c>
      <c r="H91" s="1" t="s">
        <v>25</v>
      </c>
      <c r="I91" s="1" t="s">
        <v>26</v>
      </c>
      <c r="J91" s="1" t="s">
        <v>26</v>
      </c>
      <c r="K91" s="1" t="s">
        <v>26</v>
      </c>
      <c r="L91" s="1" t="s">
        <v>26</v>
      </c>
      <c r="M91" s="1" t="s">
        <v>27</v>
      </c>
      <c r="N91" s="1" t="s">
        <v>27</v>
      </c>
      <c r="O91" s="1" t="s">
        <v>27</v>
      </c>
      <c r="P91" s="1" t="s">
        <v>26</v>
      </c>
      <c r="Q91" s="4">
        <v>45770.29491898148</v>
      </c>
      <c r="R91" s="1" t="s">
        <v>26</v>
      </c>
      <c r="S91" s="1" t="s">
        <v>28</v>
      </c>
      <c r="T91" s="1" t="s">
        <v>145</v>
      </c>
      <c r="U91" s="7">
        <v>45646.0</v>
      </c>
    </row>
    <row r="92" hidden="1">
      <c r="A92" s="1" t="s">
        <v>21</v>
      </c>
      <c r="B92" s="3" t="str">
        <f>HYPERLINK("https://hawk-eye.atlassian.net/browse/BAS-840?atlOrigin=eyJpIjoiYzgwYTQ0ZjEyNzQzNGJhN2JmNjEyZTM0NmRhZWZhNjIiLCJwIjoic2hlZXRzLWppcmEifQ","BAS-840")</f>
        <v>BAS-840</v>
      </c>
      <c r="C92" s="1" t="s">
        <v>148</v>
      </c>
      <c r="D92" s="1" t="s">
        <v>34</v>
      </c>
      <c r="E92" s="1" t="s">
        <v>41</v>
      </c>
      <c r="F92" s="4">
        <v>45644.95756944444</v>
      </c>
      <c r="G92" s="3" t="str">
        <f>HYPERLINK("https://hawk-eye.atlassian.net/browse/?atlOrigin=eyJpIjoiYzgwYTQ0ZjEyNzQzNGJhN2JmNjEyZTM0NmRhZWZhNjIiLCJwIjoic2hlZXRzLWppcmEifQ","")</f>
        <v/>
      </c>
      <c r="H92" s="1" t="s">
        <v>25</v>
      </c>
      <c r="I92" s="1" t="s">
        <v>26</v>
      </c>
      <c r="J92" s="1" t="s">
        <v>26</v>
      </c>
      <c r="K92" s="1" t="s">
        <v>26</v>
      </c>
      <c r="L92" s="1" t="s">
        <v>26</v>
      </c>
      <c r="M92" s="1" t="s">
        <v>27</v>
      </c>
      <c r="N92" s="1" t="s">
        <v>27</v>
      </c>
      <c r="O92" s="1" t="s">
        <v>27</v>
      </c>
      <c r="P92" s="1" t="s">
        <v>26</v>
      </c>
      <c r="Q92" s="4">
        <v>45854.59417824074</v>
      </c>
      <c r="R92" s="1" t="s">
        <v>26</v>
      </c>
      <c r="S92" s="1" t="s">
        <v>28</v>
      </c>
      <c r="U92" s="5">
        <v>45699.0</v>
      </c>
    </row>
    <row r="93" hidden="1">
      <c r="A93" s="1" t="s">
        <v>21</v>
      </c>
      <c r="B93" s="3" t="str">
        <f>HYPERLINK("https://hawk-eye.atlassian.net/browse/BAS-838?atlOrigin=eyJpIjoiYzgwYTQ0ZjEyNzQzNGJhN2JmNjEyZTM0NmRhZWZhNjIiLCJwIjoic2hlZXRzLWppcmEifQ","BAS-838")</f>
        <v>BAS-838</v>
      </c>
      <c r="C93" s="1" t="s">
        <v>149</v>
      </c>
      <c r="D93" s="1" t="s">
        <v>40</v>
      </c>
      <c r="E93" s="1" t="s">
        <v>41</v>
      </c>
      <c r="F93" s="4">
        <v>45644.93798611111</v>
      </c>
      <c r="G93" s="3" t="str">
        <f>HYPERLINK("https://hawk-eye.atlassian.net/browse/BAS-964?atlOrigin=eyJpIjoiYzgwYTQ0ZjEyNzQzNGJhN2JmNjEyZTM0NmRhZWZhNjIiLCJwIjoic2hlZXRzLWppcmEifQ","BAS-964")</f>
        <v>BAS-964</v>
      </c>
      <c r="H93" s="1" t="s">
        <v>25</v>
      </c>
      <c r="I93" s="1" t="s">
        <v>26</v>
      </c>
      <c r="J93" s="1" t="s">
        <v>26</v>
      </c>
      <c r="K93" s="1" t="s">
        <v>26</v>
      </c>
      <c r="L93" s="1" t="s">
        <v>26</v>
      </c>
      <c r="M93" s="1" t="s">
        <v>27</v>
      </c>
      <c r="N93" s="1" t="s">
        <v>27</v>
      </c>
      <c r="O93" s="1" t="s">
        <v>27</v>
      </c>
      <c r="P93" s="1" t="s">
        <v>26</v>
      </c>
      <c r="Q93" s="4">
        <v>45691.44802083333</v>
      </c>
      <c r="R93" s="6" t="s">
        <v>80</v>
      </c>
      <c r="S93" s="1" t="s">
        <v>28</v>
      </c>
      <c r="U93" s="5">
        <v>45691.0</v>
      </c>
    </row>
    <row r="94">
      <c r="A94" s="1" t="s">
        <v>29</v>
      </c>
      <c r="B94" s="3" t="str">
        <f>HYPERLINK("https://hawk-eye.atlassian.net/browse/BAS-836?atlOrigin=eyJpIjoiYzgwYTQ0ZjEyNzQzNGJhN2JmNjEyZTM0NmRhZWZhNjIiLCJwIjoic2hlZXRzLWppcmEifQ","BAS-836")</f>
        <v>BAS-836</v>
      </c>
      <c r="C94" s="1" t="s">
        <v>150</v>
      </c>
      <c r="D94" s="1" t="s">
        <v>23</v>
      </c>
      <c r="E94" s="1" t="s">
        <v>41</v>
      </c>
      <c r="F94" s="4">
        <v>45642.948587962965</v>
      </c>
      <c r="G94" s="3" t="str">
        <f>HYPERLINK("https://hawk-eye.atlassian.net/browse/BAS-1070?atlOrigin=eyJpIjoiYzgwYTQ0ZjEyNzQzNGJhN2JmNjEyZTM0NmRhZWZhNjIiLCJwIjoic2hlZXRzLWppcmEifQ","BAS-1070")</f>
        <v>BAS-1070</v>
      </c>
      <c r="H94" s="1" t="s">
        <v>25</v>
      </c>
      <c r="I94" s="1" t="s">
        <v>26</v>
      </c>
      <c r="J94" s="1" t="s">
        <v>26</v>
      </c>
      <c r="K94" s="1" t="s">
        <v>26</v>
      </c>
      <c r="L94" s="1" t="s">
        <v>26</v>
      </c>
      <c r="M94" s="1" t="s">
        <v>27</v>
      </c>
      <c r="N94" s="1" t="s">
        <v>27</v>
      </c>
      <c r="O94" s="1" t="s">
        <v>27</v>
      </c>
      <c r="P94" s="1" t="s">
        <v>26</v>
      </c>
      <c r="Q94" s="4">
        <v>45770.588171296295</v>
      </c>
      <c r="R94" s="6" t="s">
        <v>113</v>
      </c>
      <c r="S94" s="1" t="s">
        <v>28</v>
      </c>
      <c r="T94" s="1" t="s">
        <v>145</v>
      </c>
      <c r="U94" s="7">
        <v>45646.0</v>
      </c>
    </row>
    <row r="95">
      <c r="A95" s="1" t="s">
        <v>29</v>
      </c>
      <c r="B95" s="3" t="str">
        <f>HYPERLINK("https://hawk-eye.atlassian.net/browse/BAS-835?atlOrigin=eyJpIjoiYzgwYTQ0ZjEyNzQzNGJhN2JmNjEyZTM0NmRhZWZhNjIiLCJwIjoic2hlZXRzLWppcmEifQ","BAS-835")</f>
        <v>BAS-835</v>
      </c>
      <c r="C95" s="1" t="s">
        <v>151</v>
      </c>
      <c r="D95" s="1" t="s">
        <v>48</v>
      </c>
      <c r="E95" s="1" t="s">
        <v>41</v>
      </c>
      <c r="F95" s="4">
        <v>45638.44373842593</v>
      </c>
      <c r="G95" s="3" t="str">
        <f>HYPERLINK("https://hawk-eye.atlassian.net/issues/?atlOrigin=eyJpIjoiYzgwYTQ0ZjEyNzQzNGJhN2JmNjEyZTM0NmRhZWZhNjIiLCJwIjoic2hlZXRzLWppcmEifQ&amp;jql=key+in+%28BAS-809%2CBAS-1036%29","BAS-809;BAS-1036")</f>
        <v>BAS-809;BAS-1036</v>
      </c>
      <c r="H95" s="1" t="s">
        <v>25</v>
      </c>
      <c r="I95" s="1" t="s">
        <v>26</v>
      </c>
      <c r="J95" s="1" t="s">
        <v>26</v>
      </c>
      <c r="K95" s="1" t="s">
        <v>26</v>
      </c>
      <c r="L95" s="1" t="s">
        <v>26</v>
      </c>
      <c r="M95" s="1" t="s">
        <v>27</v>
      </c>
      <c r="N95" s="1" t="s">
        <v>27</v>
      </c>
      <c r="O95" s="1" t="s">
        <v>27</v>
      </c>
      <c r="P95" s="1" t="s">
        <v>26</v>
      </c>
      <c r="Q95" s="4">
        <v>45714.367060185185</v>
      </c>
      <c r="R95" s="6" t="s">
        <v>131</v>
      </c>
      <c r="S95" s="1" t="s">
        <v>28</v>
      </c>
      <c r="T95" s="6" t="s">
        <v>152</v>
      </c>
      <c r="U95" s="5">
        <v>45665.0</v>
      </c>
    </row>
    <row r="96">
      <c r="A96" s="1" t="s">
        <v>21</v>
      </c>
      <c r="B96" s="3" t="str">
        <f>HYPERLINK("https://hawk-eye.atlassian.net/browse/BAS-833?atlOrigin=eyJpIjoiYzgwYTQ0ZjEyNzQzNGJhN2JmNjEyZTM0NmRhZWZhNjIiLCJwIjoic2hlZXRzLWppcmEifQ","BAS-833")</f>
        <v>BAS-833</v>
      </c>
      <c r="C96" s="1" t="s">
        <v>153</v>
      </c>
      <c r="D96" s="1" t="s">
        <v>23</v>
      </c>
      <c r="E96" s="1" t="s">
        <v>31</v>
      </c>
      <c r="F96" s="4">
        <v>45637.491956018515</v>
      </c>
      <c r="G96" s="3" t="str">
        <f>HYPERLINK("https://hawk-eye.atlassian.net/browse/?atlOrigin=eyJpIjoiYzgwYTQ0ZjEyNzQzNGJhN2JmNjEyZTM0NmRhZWZhNjIiLCJwIjoic2hlZXRzLWppcmEifQ","")</f>
        <v/>
      </c>
      <c r="H96" s="1" t="s">
        <v>25</v>
      </c>
      <c r="I96" s="1" t="s">
        <v>26</v>
      </c>
      <c r="J96" s="1" t="s">
        <v>26</v>
      </c>
      <c r="K96" s="1" t="s">
        <v>26</v>
      </c>
      <c r="L96" s="1" t="s">
        <v>26</v>
      </c>
      <c r="M96" s="1" t="s">
        <v>27</v>
      </c>
      <c r="N96" s="1" t="s">
        <v>27</v>
      </c>
      <c r="O96" s="1" t="s">
        <v>27</v>
      </c>
      <c r="P96" s="1" t="s">
        <v>26</v>
      </c>
      <c r="Q96" s="4">
        <v>45637.49196759259</v>
      </c>
      <c r="R96" s="1" t="s">
        <v>26</v>
      </c>
      <c r="S96" s="1" t="s">
        <v>28</v>
      </c>
      <c r="T96" s="6" t="s">
        <v>152</v>
      </c>
      <c r="U96" s="5">
        <v>45692.0</v>
      </c>
    </row>
    <row r="97">
      <c r="A97" s="1" t="s">
        <v>21</v>
      </c>
      <c r="B97" s="3" t="str">
        <f>HYPERLINK("https://hawk-eye.atlassian.net/browse/BAS-824?atlOrigin=eyJpIjoiYzgwYTQ0ZjEyNzQzNGJhN2JmNjEyZTM0NmRhZWZhNjIiLCJwIjoic2hlZXRzLWppcmEifQ","BAS-824")</f>
        <v>BAS-824</v>
      </c>
      <c r="C97" s="1" t="s">
        <v>154</v>
      </c>
      <c r="D97" s="1" t="s">
        <v>34</v>
      </c>
      <c r="E97" s="1" t="s">
        <v>41</v>
      </c>
      <c r="F97" s="4">
        <v>45629.92729166667</v>
      </c>
      <c r="G97" s="3" t="str">
        <f>HYPERLINK("https://hawk-eye.atlassian.net/issues/?atlOrigin=eyJpIjoiYzgwYTQ0ZjEyNzQzNGJhN2JmNjEyZTM0NmRhZWZhNjIiLCJwIjoic2hlZXRzLWppcmEifQ&amp;jql=key+in+%28BAS-580%2CBAS-1038%29","BAS-580;BAS-1038")</f>
        <v>BAS-580;BAS-1038</v>
      </c>
      <c r="H97" s="1" t="s">
        <v>25</v>
      </c>
      <c r="I97" s="1" t="s">
        <v>26</v>
      </c>
      <c r="J97" s="1" t="s">
        <v>26</v>
      </c>
      <c r="K97" s="1" t="s">
        <v>26</v>
      </c>
      <c r="L97" s="1" t="s">
        <v>26</v>
      </c>
      <c r="M97" s="1" t="s">
        <v>27</v>
      </c>
      <c r="N97" s="1" t="s">
        <v>27</v>
      </c>
      <c r="O97" s="1" t="s">
        <v>27</v>
      </c>
      <c r="P97" s="1" t="s">
        <v>26</v>
      </c>
      <c r="Q97" s="4">
        <v>45709.40644675926</v>
      </c>
      <c r="R97" s="6" t="s">
        <v>131</v>
      </c>
      <c r="S97" s="1" t="s">
        <v>28</v>
      </c>
      <c r="T97" s="6" t="s">
        <v>152</v>
      </c>
      <c r="U97" s="5">
        <v>45692.0</v>
      </c>
    </row>
    <row r="98">
      <c r="A98" s="1" t="s">
        <v>29</v>
      </c>
      <c r="B98" s="3" t="str">
        <f>HYPERLINK("https://hawk-eye.atlassian.net/browse/BAS-821?atlOrigin=eyJpIjoiYzgwYTQ0ZjEyNzQzNGJhN2JmNjEyZTM0NmRhZWZhNjIiLCJwIjoic2hlZXRzLWppcmEifQ","BAS-821")</f>
        <v>BAS-821</v>
      </c>
      <c r="C98" s="1" t="s">
        <v>155</v>
      </c>
      <c r="D98" s="1" t="s">
        <v>34</v>
      </c>
      <c r="E98" s="1" t="s">
        <v>41</v>
      </c>
      <c r="F98" s="4">
        <v>45624.984305555554</v>
      </c>
      <c r="G98" s="3" t="str">
        <f t="shared" ref="G98:G99" si="7">HYPERLINK("https://hawk-eye.atlassian.net/browse/?atlOrigin=eyJpIjoiYzgwYTQ0ZjEyNzQzNGJhN2JmNjEyZTM0NmRhZWZhNjIiLCJwIjoic2hlZXRzLWppcmEifQ","")</f>
        <v/>
      </c>
      <c r="H98" s="1" t="s">
        <v>25</v>
      </c>
      <c r="I98" s="1" t="s">
        <v>26</v>
      </c>
      <c r="J98" s="1" t="s">
        <v>26</v>
      </c>
      <c r="K98" s="1" t="s">
        <v>26</v>
      </c>
      <c r="L98" s="1" t="s">
        <v>26</v>
      </c>
      <c r="M98" s="1" t="s">
        <v>27</v>
      </c>
      <c r="N98" s="1" t="s">
        <v>27</v>
      </c>
      <c r="O98" s="1" t="s">
        <v>27</v>
      </c>
      <c r="P98" s="1" t="s">
        <v>26</v>
      </c>
      <c r="Q98" s="4">
        <v>45712.545694444445</v>
      </c>
      <c r="R98" s="6" t="s">
        <v>131</v>
      </c>
      <c r="S98" s="1" t="s">
        <v>28</v>
      </c>
      <c r="T98" s="6" t="s">
        <v>80</v>
      </c>
      <c r="U98" s="5">
        <v>45692.0</v>
      </c>
    </row>
    <row r="99">
      <c r="A99" s="1" t="s">
        <v>21</v>
      </c>
      <c r="B99" s="3" t="str">
        <f>HYPERLINK("https://hawk-eye.atlassian.net/browse/BAS-815?atlOrigin=eyJpIjoiYzgwYTQ0ZjEyNzQzNGJhN2JmNjEyZTM0NmRhZWZhNjIiLCJwIjoic2hlZXRzLWppcmEifQ","BAS-815")</f>
        <v>BAS-815</v>
      </c>
      <c r="C99" s="1" t="s">
        <v>156</v>
      </c>
      <c r="D99" s="1" t="s">
        <v>48</v>
      </c>
      <c r="E99" s="1" t="s">
        <v>31</v>
      </c>
      <c r="F99" s="4">
        <v>45616.581412037034</v>
      </c>
      <c r="G99" s="3" t="str">
        <f t="shared" si="7"/>
        <v/>
      </c>
      <c r="H99" s="1" t="s">
        <v>25</v>
      </c>
      <c r="I99" s="1" t="s">
        <v>26</v>
      </c>
      <c r="J99" s="1" t="s">
        <v>26</v>
      </c>
      <c r="K99" s="1" t="s">
        <v>26</v>
      </c>
      <c r="L99" s="1" t="s">
        <v>26</v>
      </c>
      <c r="M99" s="1" t="s">
        <v>27</v>
      </c>
      <c r="N99" s="1" t="s">
        <v>27</v>
      </c>
      <c r="O99" s="1" t="s">
        <v>27</v>
      </c>
      <c r="P99" s="1" t="s">
        <v>26</v>
      </c>
      <c r="Q99" s="4">
        <v>45616.581412037034</v>
      </c>
      <c r="R99" s="1" t="s">
        <v>26</v>
      </c>
      <c r="S99" s="1" t="s">
        <v>28</v>
      </c>
      <c r="T99" s="6" t="s">
        <v>80</v>
      </c>
      <c r="U99" s="5">
        <v>45692.0</v>
      </c>
    </row>
    <row r="100" hidden="1">
      <c r="A100" s="1" t="s">
        <v>21</v>
      </c>
      <c r="B100" s="3" t="str">
        <f>HYPERLINK("https://hawk-eye.atlassian.net/browse/BAS-813?atlOrigin=eyJpIjoiYzgwYTQ0ZjEyNzQzNGJhN2JmNjEyZTM0NmRhZWZhNjIiLCJwIjoic2hlZXRzLWppcmEifQ","BAS-813")</f>
        <v>BAS-813</v>
      </c>
      <c r="C100" s="1" t="s">
        <v>157</v>
      </c>
      <c r="D100" s="1" t="s">
        <v>23</v>
      </c>
      <c r="E100" s="1" t="s">
        <v>41</v>
      </c>
      <c r="F100" s="4">
        <v>45615.70615740741</v>
      </c>
      <c r="G100" s="3" t="str">
        <f>HYPERLINK("https://hawk-eye.atlassian.net/browse/BAS-802?atlOrigin=eyJpIjoiYzgwYTQ0ZjEyNzQzNGJhN2JmNjEyZTM0NmRhZWZhNjIiLCJwIjoic2hlZXRzLWppcmEifQ","BAS-802")</f>
        <v>BAS-802</v>
      </c>
      <c r="H100" s="1" t="s">
        <v>25</v>
      </c>
      <c r="I100" s="1" t="s">
        <v>26</v>
      </c>
      <c r="J100" s="1" t="s">
        <v>26</v>
      </c>
      <c r="K100" s="1" t="s">
        <v>26</v>
      </c>
      <c r="L100" s="1" t="s">
        <v>26</v>
      </c>
      <c r="M100" s="1" t="s">
        <v>27</v>
      </c>
      <c r="N100" s="1" t="s">
        <v>27</v>
      </c>
      <c r="O100" s="1" t="s">
        <v>27</v>
      </c>
      <c r="P100" s="1" t="s">
        <v>26</v>
      </c>
      <c r="Q100" s="4">
        <v>45712.54542824074</v>
      </c>
      <c r="R100" s="1" t="s">
        <v>26</v>
      </c>
      <c r="S100" s="1" t="s">
        <v>28</v>
      </c>
      <c r="U100" s="5">
        <v>45665.0</v>
      </c>
    </row>
    <row r="101">
      <c r="A101" s="1" t="s">
        <v>21</v>
      </c>
      <c r="B101" s="3" t="str">
        <f>HYPERLINK("https://hawk-eye.atlassian.net/browse/BAS-812?atlOrigin=eyJpIjoiYzgwYTQ0ZjEyNzQzNGJhN2JmNjEyZTM0NmRhZWZhNjIiLCJwIjoic2hlZXRzLWppcmEifQ","BAS-812")</f>
        <v>BAS-812</v>
      </c>
      <c r="C101" s="1" t="s">
        <v>158</v>
      </c>
      <c r="D101" s="1" t="s">
        <v>34</v>
      </c>
      <c r="E101" s="1" t="s">
        <v>41</v>
      </c>
      <c r="F101" s="4">
        <v>45614.96511574074</v>
      </c>
      <c r="G101" s="3" t="str">
        <f t="shared" ref="G101:G108" si="8">HYPERLINK("https://hawk-eye.atlassian.net/browse/?atlOrigin=eyJpIjoiYzgwYTQ0ZjEyNzQzNGJhN2JmNjEyZTM0NmRhZWZhNjIiLCJwIjoic2hlZXRzLWppcmEifQ","")</f>
        <v/>
      </c>
      <c r="H101" s="1" t="s">
        <v>25</v>
      </c>
      <c r="I101" s="1" t="s">
        <v>26</v>
      </c>
      <c r="J101" s="1" t="s">
        <v>26</v>
      </c>
      <c r="K101" s="1" t="s">
        <v>26</v>
      </c>
      <c r="L101" s="1" t="s">
        <v>26</v>
      </c>
      <c r="M101" s="1" t="s">
        <v>27</v>
      </c>
      <c r="N101" s="1" t="s">
        <v>27</v>
      </c>
      <c r="O101" s="1" t="s">
        <v>27</v>
      </c>
      <c r="P101" s="1" t="s">
        <v>26</v>
      </c>
      <c r="Q101" s="4">
        <v>45665.363217592596</v>
      </c>
      <c r="R101" s="6" t="s">
        <v>152</v>
      </c>
      <c r="S101" s="1" t="s">
        <v>28</v>
      </c>
      <c r="T101" s="6" t="s">
        <v>80</v>
      </c>
      <c r="U101" s="5">
        <v>45692.0</v>
      </c>
    </row>
    <row r="102" hidden="1">
      <c r="A102" s="1" t="s">
        <v>29</v>
      </c>
      <c r="B102" s="3" t="str">
        <f>HYPERLINK("https://hawk-eye.atlassian.net/browse/BAS-811?atlOrigin=eyJpIjoiYzgwYTQ0ZjEyNzQzNGJhN2JmNjEyZTM0NmRhZWZhNjIiLCJwIjoic2hlZXRzLWppcmEifQ","BAS-811")</f>
        <v>BAS-811</v>
      </c>
      <c r="C102" s="1" t="s">
        <v>159</v>
      </c>
      <c r="D102" s="1" t="s">
        <v>34</v>
      </c>
      <c r="E102" s="1" t="s">
        <v>41</v>
      </c>
      <c r="F102" s="4">
        <v>45614.95670138889</v>
      </c>
      <c r="G102" s="3" t="str">
        <f t="shared" si="8"/>
        <v/>
      </c>
      <c r="H102" s="1" t="s">
        <v>25</v>
      </c>
      <c r="I102" s="1" t="s">
        <v>26</v>
      </c>
      <c r="J102" s="1" t="s">
        <v>26</v>
      </c>
      <c r="K102" s="1" t="s">
        <v>26</v>
      </c>
      <c r="L102" s="1" t="s">
        <v>26</v>
      </c>
      <c r="M102" s="1" t="s">
        <v>27</v>
      </c>
      <c r="N102" s="1" t="s">
        <v>27</v>
      </c>
      <c r="O102" s="1" t="s">
        <v>27</v>
      </c>
      <c r="P102" s="1" t="s">
        <v>26</v>
      </c>
      <c r="Q102" s="4">
        <v>45679.592453703706</v>
      </c>
      <c r="R102" s="1" t="s">
        <v>26</v>
      </c>
      <c r="S102" s="1" t="s">
        <v>28</v>
      </c>
      <c r="U102" s="5">
        <v>45665.0</v>
      </c>
    </row>
    <row r="103" hidden="1">
      <c r="A103" s="1" t="s">
        <v>29</v>
      </c>
      <c r="B103" s="3" t="str">
        <f>HYPERLINK("https://hawk-eye.atlassian.net/browse/BAS-808?atlOrigin=eyJpIjoiYzgwYTQ0ZjEyNzQzNGJhN2JmNjEyZTM0NmRhZWZhNjIiLCJwIjoic2hlZXRzLWppcmEifQ","BAS-808")</f>
        <v>BAS-808</v>
      </c>
      <c r="C103" s="1" t="s">
        <v>160</v>
      </c>
      <c r="D103" s="1" t="s">
        <v>23</v>
      </c>
      <c r="E103" s="1" t="s">
        <v>41</v>
      </c>
      <c r="F103" s="4">
        <v>45614.93696759259</v>
      </c>
      <c r="G103" s="3" t="str">
        <f t="shared" si="8"/>
        <v/>
      </c>
      <c r="H103" s="1" t="s">
        <v>25</v>
      </c>
      <c r="I103" s="1" t="s">
        <v>26</v>
      </c>
      <c r="J103" s="1" t="s">
        <v>26</v>
      </c>
      <c r="K103" s="1" t="s">
        <v>26</v>
      </c>
      <c r="L103" s="1" t="s">
        <v>26</v>
      </c>
      <c r="M103" s="1" t="s">
        <v>27</v>
      </c>
      <c r="N103" s="1" t="s">
        <v>27</v>
      </c>
      <c r="O103" s="1" t="s">
        <v>27</v>
      </c>
      <c r="P103" s="1" t="s">
        <v>26</v>
      </c>
      <c r="Q103" s="4">
        <v>45707.557800925926</v>
      </c>
      <c r="R103" s="6" t="s">
        <v>131</v>
      </c>
      <c r="S103" s="1" t="s">
        <v>28</v>
      </c>
      <c r="U103" s="5">
        <v>45665.0</v>
      </c>
    </row>
    <row r="104" hidden="1">
      <c r="A104" s="1" t="s">
        <v>29</v>
      </c>
      <c r="B104" s="3" t="str">
        <f>HYPERLINK("https://hawk-eye.atlassian.net/browse/BAS-807?atlOrigin=eyJpIjoiYzgwYTQ0ZjEyNzQzNGJhN2JmNjEyZTM0NmRhZWZhNjIiLCJwIjoic2hlZXRzLWppcmEifQ","BAS-807")</f>
        <v>BAS-807</v>
      </c>
      <c r="C104" s="1" t="s">
        <v>161</v>
      </c>
      <c r="D104" s="1" t="s">
        <v>34</v>
      </c>
      <c r="E104" s="1" t="s">
        <v>41</v>
      </c>
      <c r="F104" s="4">
        <v>45614.7696875</v>
      </c>
      <c r="G104" s="3" t="str">
        <f t="shared" si="8"/>
        <v/>
      </c>
      <c r="H104" s="1" t="s">
        <v>25</v>
      </c>
      <c r="I104" s="1" t="s">
        <v>26</v>
      </c>
      <c r="J104" s="1" t="s">
        <v>26</v>
      </c>
      <c r="K104" s="1" t="s">
        <v>26</v>
      </c>
      <c r="L104" s="1" t="s">
        <v>26</v>
      </c>
      <c r="M104" s="1" t="s">
        <v>27</v>
      </c>
      <c r="N104" s="1" t="s">
        <v>27</v>
      </c>
      <c r="O104" s="1" t="s">
        <v>27</v>
      </c>
      <c r="P104" s="1" t="s">
        <v>26</v>
      </c>
      <c r="Q104" s="4">
        <v>45706.53337962963</v>
      </c>
      <c r="R104" s="6" t="s">
        <v>131</v>
      </c>
      <c r="S104" s="1" t="s">
        <v>28</v>
      </c>
      <c r="U104" s="5">
        <v>45665.0</v>
      </c>
    </row>
    <row r="105" hidden="1">
      <c r="A105" s="1" t="s">
        <v>21</v>
      </c>
      <c r="B105" s="3" t="str">
        <f>HYPERLINK("https://hawk-eye.atlassian.net/browse/BAS-792?atlOrigin=eyJpIjoiYzgwYTQ0ZjEyNzQzNGJhN2JmNjEyZTM0NmRhZWZhNjIiLCJwIjoic2hlZXRzLWppcmEifQ","BAS-792")</f>
        <v>BAS-792</v>
      </c>
      <c r="C105" s="1" t="s">
        <v>162</v>
      </c>
      <c r="D105" s="1" t="s">
        <v>23</v>
      </c>
      <c r="E105" s="1" t="s">
        <v>41</v>
      </c>
      <c r="F105" s="4">
        <v>45596.974710648145</v>
      </c>
      <c r="G105" s="3" t="str">
        <f t="shared" si="8"/>
        <v/>
      </c>
      <c r="H105" s="1" t="s">
        <v>25</v>
      </c>
      <c r="I105" s="1" t="s">
        <v>26</v>
      </c>
      <c r="J105" s="1" t="s">
        <v>26</v>
      </c>
      <c r="K105" s="1" t="s">
        <v>26</v>
      </c>
      <c r="L105" s="1" t="s">
        <v>26</v>
      </c>
      <c r="M105" s="1" t="s">
        <v>27</v>
      </c>
      <c r="N105" s="1" t="s">
        <v>27</v>
      </c>
      <c r="O105" s="1" t="s">
        <v>27</v>
      </c>
      <c r="P105" s="1" t="s">
        <v>26</v>
      </c>
      <c r="Q105" s="4">
        <v>45708.77018518518</v>
      </c>
      <c r="R105" s="1" t="s">
        <v>26</v>
      </c>
      <c r="S105" s="1" t="s">
        <v>28</v>
      </c>
      <c r="U105" s="5">
        <v>45665.0</v>
      </c>
    </row>
    <row r="106">
      <c r="A106" s="1" t="s">
        <v>29</v>
      </c>
      <c r="B106" s="3" t="str">
        <f>HYPERLINK("https://hawk-eye.atlassian.net/browse/BAS-783?atlOrigin=eyJpIjoiYzgwYTQ0ZjEyNzQzNGJhN2JmNjEyZTM0NmRhZWZhNjIiLCJwIjoic2hlZXRzLWppcmEifQ","BAS-783")</f>
        <v>BAS-783</v>
      </c>
      <c r="C106" s="1" t="s">
        <v>163</v>
      </c>
      <c r="D106" s="1" t="s">
        <v>48</v>
      </c>
      <c r="E106" s="1" t="s">
        <v>41</v>
      </c>
      <c r="F106" s="4">
        <v>45589.512557870374</v>
      </c>
      <c r="G106" s="3" t="str">
        <f t="shared" si="8"/>
        <v/>
      </c>
      <c r="H106" s="1" t="s">
        <v>25</v>
      </c>
      <c r="I106" s="1" t="s">
        <v>26</v>
      </c>
      <c r="J106" s="1" t="s">
        <v>26</v>
      </c>
      <c r="K106" s="1" t="s">
        <v>26</v>
      </c>
      <c r="L106" s="1" t="s">
        <v>26</v>
      </c>
      <c r="M106" s="1" t="s">
        <v>27</v>
      </c>
      <c r="N106" s="1" t="s">
        <v>27</v>
      </c>
      <c r="O106" s="1" t="s">
        <v>27</v>
      </c>
      <c r="P106" s="1" t="s">
        <v>26</v>
      </c>
      <c r="Q106" s="4">
        <v>45751.386296296296</v>
      </c>
      <c r="R106" s="1" t="s">
        <v>26</v>
      </c>
      <c r="S106" s="1" t="s">
        <v>28</v>
      </c>
      <c r="T106" s="6" t="s">
        <v>152</v>
      </c>
      <c r="U106" s="5">
        <v>45699.0</v>
      </c>
    </row>
    <row r="107" hidden="1">
      <c r="A107" s="1" t="s">
        <v>21</v>
      </c>
      <c r="B107" s="3" t="str">
        <f>HYPERLINK("https://hawk-eye.atlassian.net/browse/BAS-765?atlOrigin=eyJpIjoiYzgwYTQ0ZjEyNzQzNGJhN2JmNjEyZTM0NmRhZWZhNjIiLCJwIjoic2hlZXRzLWppcmEifQ","BAS-765")</f>
        <v>BAS-765</v>
      </c>
      <c r="C107" s="1" t="s">
        <v>164</v>
      </c>
      <c r="D107" s="1" t="s">
        <v>23</v>
      </c>
      <c r="E107" s="1" t="s">
        <v>31</v>
      </c>
      <c r="F107" s="4">
        <v>45574.929710648146</v>
      </c>
      <c r="G107" s="3" t="str">
        <f t="shared" si="8"/>
        <v/>
      </c>
      <c r="H107" s="1" t="s">
        <v>25</v>
      </c>
      <c r="I107" s="1" t="s">
        <v>26</v>
      </c>
      <c r="J107" s="1" t="s">
        <v>26</v>
      </c>
      <c r="K107" s="1" t="s">
        <v>26</v>
      </c>
      <c r="L107" s="1" t="s">
        <v>26</v>
      </c>
      <c r="M107" s="1" t="s">
        <v>27</v>
      </c>
      <c r="N107" s="1" t="s">
        <v>27</v>
      </c>
      <c r="O107" s="1" t="s">
        <v>27</v>
      </c>
      <c r="P107" s="1" t="s">
        <v>26</v>
      </c>
      <c r="Q107" s="4">
        <v>45574.92980324074</v>
      </c>
      <c r="R107" s="1" t="s">
        <v>26</v>
      </c>
      <c r="S107" s="1" t="s">
        <v>28</v>
      </c>
      <c r="U107" s="5">
        <v>45674.0</v>
      </c>
    </row>
    <row r="108" hidden="1">
      <c r="A108" s="1" t="s">
        <v>21</v>
      </c>
      <c r="B108" s="3" t="str">
        <f>HYPERLINK("https://hawk-eye.atlassian.net/browse/BAS-757?atlOrigin=eyJpIjoiYzgwYTQ0ZjEyNzQzNGJhN2JmNjEyZTM0NmRhZWZhNjIiLCJwIjoic2hlZXRzLWppcmEifQ","BAS-757")</f>
        <v>BAS-757</v>
      </c>
      <c r="C108" s="1" t="s">
        <v>165</v>
      </c>
      <c r="D108" s="1" t="s">
        <v>23</v>
      </c>
      <c r="E108" s="1" t="s">
        <v>31</v>
      </c>
      <c r="F108" s="4">
        <v>45569.094143518516</v>
      </c>
      <c r="G108" s="3" t="str">
        <f t="shared" si="8"/>
        <v/>
      </c>
      <c r="H108" s="1" t="s">
        <v>25</v>
      </c>
      <c r="I108" s="1" t="s">
        <v>26</v>
      </c>
      <c r="J108" s="1" t="s">
        <v>26</v>
      </c>
      <c r="K108" s="1" t="s">
        <v>26</v>
      </c>
      <c r="L108" s="1" t="s">
        <v>26</v>
      </c>
      <c r="M108" s="1" t="s">
        <v>27</v>
      </c>
      <c r="N108" s="1" t="s">
        <v>27</v>
      </c>
      <c r="O108" s="1" t="s">
        <v>27</v>
      </c>
      <c r="P108" s="1" t="s">
        <v>26</v>
      </c>
      <c r="Q108" s="4">
        <v>45569.094189814816</v>
      </c>
      <c r="R108" s="1" t="s">
        <v>26</v>
      </c>
      <c r="S108" s="1" t="s">
        <v>28</v>
      </c>
    </row>
    <row r="109" hidden="1">
      <c r="A109" s="1" t="s">
        <v>29</v>
      </c>
      <c r="B109" s="3" t="str">
        <f>HYPERLINK("https://hawk-eye.atlassian.net/browse/BAS-746?atlOrigin=eyJpIjoiYzgwYTQ0ZjEyNzQzNGJhN2JmNjEyZTM0NmRhZWZhNjIiLCJwIjoic2hlZXRzLWppcmEifQ","BAS-746")</f>
        <v>BAS-746</v>
      </c>
      <c r="C109" s="1" t="s">
        <v>166</v>
      </c>
      <c r="D109" s="1" t="s">
        <v>23</v>
      </c>
      <c r="E109" s="1" t="s">
        <v>31</v>
      </c>
      <c r="F109" s="4">
        <v>45561.47241898148</v>
      </c>
      <c r="G109" s="3" t="str">
        <f>HYPERLINK("https://hawk-eye.atlassian.net/browse/BAS-678?atlOrigin=eyJpIjoiYzgwYTQ0ZjEyNzQzNGJhN2JmNjEyZTM0NmRhZWZhNjIiLCJwIjoic2hlZXRzLWppcmEifQ","BAS-678")</f>
        <v>BAS-678</v>
      </c>
      <c r="H109" s="1" t="s">
        <v>25</v>
      </c>
      <c r="I109" s="1" t="s">
        <v>26</v>
      </c>
      <c r="J109" s="1" t="s">
        <v>26</v>
      </c>
      <c r="K109" s="1" t="s">
        <v>26</v>
      </c>
      <c r="L109" s="1" t="s">
        <v>26</v>
      </c>
      <c r="M109" s="1" t="s">
        <v>27</v>
      </c>
      <c r="N109" s="1" t="s">
        <v>27</v>
      </c>
      <c r="O109" s="1" t="s">
        <v>27</v>
      </c>
      <c r="P109" s="1" t="s">
        <v>26</v>
      </c>
      <c r="Q109" s="4">
        <v>45561.47243055556</v>
      </c>
      <c r="R109" s="1" t="s">
        <v>26</v>
      </c>
      <c r="S109" s="1" t="s">
        <v>28</v>
      </c>
    </row>
    <row r="110" hidden="1">
      <c r="A110" s="1" t="s">
        <v>29</v>
      </c>
      <c r="B110" s="3" t="str">
        <f>HYPERLINK("https://hawk-eye.atlassian.net/browse/BAS-742?atlOrigin=eyJpIjoiYzgwYTQ0ZjEyNzQzNGJhN2JmNjEyZTM0NmRhZWZhNjIiLCJwIjoic2hlZXRzLWppcmEifQ","BAS-742")</f>
        <v>BAS-742</v>
      </c>
      <c r="C110" s="1" t="s">
        <v>167</v>
      </c>
      <c r="D110" s="1" t="s">
        <v>34</v>
      </c>
      <c r="E110" s="1" t="s">
        <v>41</v>
      </c>
      <c r="F110" s="4">
        <v>45558.91019675926</v>
      </c>
      <c r="G110" s="3" t="str">
        <f>HYPERLINK("https://hawk-eye.atlassian.net/browse/BAS-1249?atlOrigin=eyJpIjoiYzgwYTQ0ZjEyNzQzNGJhN2JmNjEyZTM0NmRhZWZhNjIiLCJwIjoic2hlZXRzLWppcmEifQ","BAS-1249")</f>
        <v>BAS-1249</v>
      </c>
      <c r="H110" s="1" t="s">
        <v>25</v>
      </c>
      <c r="I110" s="1" t="s">
        <v>26</v>
      </c>
      <c r="J110" s="1" t="s">
        <v>26</v>
      </c>
      <c r="K110" s="1" t="s">
        <v>26</v>
      </c>
      <c r="L110" s="1" t="s">
        <v>26</v>
      </c>
      <c r="M110" s="1" t="s">
        <v>27</v>
      </c>
      <c r="N110" s="1" t="s">
        <v>27</v>
      </c>
      <c r="O110" s="1" t="s">
        <v>27</v>
      </c>
      <c r="P110" s="1" t="s">
        <v>26</v>
      </c>
      <c r="Q110" s="4">
        <v>45852.55755787037</v>
      </c>
      <c r="R110" s="6" t="s">
        <v>43</v>
      </c>
      <c r="S110" s="1" t="s">
        <v>32</v>
      </c>
    </row>
    <row r="111" hidden="1">
      <c r="A111" s="1" t="s">
        <v>29</v>
      </c>
      <c r="B111" s="3" t="str">
        <f>HYPERLINK("https://hawk-eye.atlassian.net/browse/BAS-733?atlOrigin=eyJpIjoiYzgwYTQ0ZjEyNzQzNGJhN2JmNjEyZTM0NmRhZWZhNjIiLCJwIjoic2hlZXRzLWppcmEifQ","BAS-733")</f>
        <v>BAS-733</v>
      </c>
      <c r="C111" s="1" t="s">
        <v>168</v>
      </c>
      <c r="D111" s="1" t="s">
        <v>23</v>
      </c>
      <c r="E111" s="1" t="s">
        <v>41</v>
      </c>
      <c r="F111" s="4">
        <v>45551.982523148145</v>
      </c>
      <c r="G111" s="3" t="str">
        <f>HYPERLINK("https://hawk-eye.atlassian.net/browse/BAS-1010?atlOrigin=eyJpIjoiYzgwYTQ0ZjEyNzQzNGJhN2JmNjEyZTM0NmRhZWZhNjIiLCJwIjoic2hlZXRzLWppcmEifQ","BAS-1010")</f>
        <v>BAS-1010</v>
      </c>
      <c r="H111" s="1" t="s">
        <v>25</v>
      </c>
      <c r="I111" s="1" t="s">
        <v>26</v>
      </c>
      <c r="J111" s="1" t="s">
        <v>26</v>
      </c>
      <c r="K111" s="1" t="s">
        <v>26</v>
      </c>
      <c r="L111" s="1" t="s">
        <v>26</v>
      </c>
      <c r="M111" s="1" t="s">
        <v>27</v>
      </c>
      <c r="N111" s="1" t="s">
        <v>27</v>
      </c>
      <c r="O111" s="1" t="s">
        <v>27</v>
      </c>
      <c r="P111" s="1" t="s">
        <v>26</v>
      </c>
      <c r="Q111" s="4">
        <v>45695.59284722222</v>
      </c>
      <c r="R111" s="6" t="s">
        <v>80</v>
      </c>
      <c r="S111" s="1" t="s">
        <v>28</v>
      </c>
    </row>
    <row r="112" hidden="1">
      <c r="A112" s="1" t="s">
        <v>29</v>
      </c>
      <c r="B112" s="3" t="str">
        <f>HYPERLINK("https://hawk-eye.atlassian.net/browse/BAS-724?atlOrigin=eyJpIjoiYzgwYTQ0ZjEyNzQzNGJhN2JmNjEyZTM0NmRhZWZhNjIiLCJwIjoic2hlZXRzLWppcmEifQ","BAS-724")</f>
        <v>BAS-724</v>
      </c>
      <c r="C112" s="1" t="s">
        <v>169</v>
      </c>
      <c r="D112" s="1" t="s">
        <v>23</v>
      </c>
      <c r="E112" s="1" t="s">
        <v>35</v>
      </c>
      <c r="F112" s="4">
        <v>45538.8137037037</v>
      </c>
      <c r="G112" s="3" t="str">
        <f>HYPERLINK("https://hawk-eye.atlassian.net/browse/?atlOrigin=eyJpIjoiYzgwYTQ0ZjEyNzQzNGJhN2JmNjEyZTM0NmRhZWZhNjIiLCJwIjoic2hlZXRzLWppcmEifQ","")</f>
        <v/>
      </c>
      <c r="H112" s="1" t="s">
        <v>25</v>
      </c>
      <c r="I112" s="1" t="s">
        <v>26</v>
      </c>
      <c r="J112" s="1" t="s">
        <v>26</v>
      </c>
      <c r="K112" s="1" t="s">
        <v>26</v>
      </c>
      <c r="L112" s="1" t="s">
        <v>26</v>
      </c>
      <c r="M112" s="1" t="s">
        <v>27</v>
      </c>
      <c r="N112" s="1" t="s">
        <v>27</v>
      </c>
      <c r="O112" s="1" t="s">
        <v>27</v>
      </c>
      <c r="P112" s="1" t="s">
        <v>26</v>
      </c>
      <c r="Q112" s="4">
        <v>45635.89460648148</v>
      </c>
      <c r="R112" s="1" t="s">
        <v>26</v>
      </c>
      <c r="S112" s="1" t="s">
        <v>28</v>
      </c>
    </row>
    <row r="113" hidden="1">
      <c r="A113" s="1" t="s">
        <v>29</v>
      </c>
      <c r="B113" s="3" t="str">
        <f>HYPERLINK("https://hawk-eye.atlassian.net/browse/BAS-695?atlOrigin=eyJpIjoiYzgwYTQ0ZjEyNzQzNGJhN2JmNjEyZTM0NmRhZWZhNjIiLCJwIjoic2hlZXRzLWppcmEifQ","BAS-695")</f>
        <v>BAS-695</v>
      </c>
      <c r="C113" s="1" t="s">
        <v>170</v>
      </c>
      <c r="D113" s="1" t="s">
        <v>23</v>
      </c>
      <c r="E113" s="1" t="s">
        <v>31</v>
      </c>
      <c r="F113" s="4">
        <v>45497.396145833336</v>
      </c>
      <c r="G113" s="3" t="str">
        <f>HYPERLINK("https://hawk-eye.atlassian.net/browse/BAS-545?atlOrigin=eyJpIjoiYzgwYTQ0ZjEyNzQzNGJhN2JmNjEyZTM0NmRhZWZhNjIiLCJwIjoic2hlZXRzLWppcmEifQ","BAS-545")</f>
        <v>BAS-545</v>
      </c>
      <c r="H113" s="1" t="s">
        <v>25</v>
      </c>
      <c r="I113" s="1" t="s">
        <v>26</v>
      </c>
      <c r="J113" s="1" t="s">
        <v>26</v>
      </c>
      <c r="K113" s="1" t="s">
        <v>26</v>
      </c>
      <c r="L113" s="1" t="s">
        <v>26</v>
      </c>
      <c r="M113" s="1" t="s">
        <v>27</v>
      </c>
      <c r="N113" s="1" t="s">
        <v>27</v>
      </c>
      <c r="O113" s="1" t="s">
        <v>27</v>
      </c>
      <c r="P113" s="1" t="s">
        <v>26</v>
      </c>
      <c r="Q113" s="4">
        <v>45497.396157407406</v>
      </c>
      <c r="R113" s="1" t="s">
        <v>26</v>
      </c>
      <c r="S113" s="1" t="s">
        <v>28</v>
      </c>
    </row>
    <row r="114" hidden="1">
      <c r="A114" s="1" t="s">
        <v>21</v>
      </c>
      <c r="B114" s="3" t="str">
        <f>HYPERLINK("https://hawk-eye.atlassian.net/browse/BAS-683?atlOrigin=eyJpIjoiYzgwYTQ0ZjEyNzQzNGJhN2JmNjEyZTM0NmRhZWZhNjIiLCJwIjoic2hlZXRzLWppcmEifQ","BAS-683")</f>
        <v>BAS-683</v>
      </c>
      <c r="C114" s="1" t="s">
        <v>171</v>
      </c>
      <c r="D114" s="1" t="s">
        <v>23</v>
      </c>
      <c r="E114" s="1" t="s">
        <v>31</v>
      </c>
      <c r="F114" s="4">
        <v>45491.722280092596</v>
      </c>
      <c r="G114" s="3" t="str">
        <f t="shared" ref="G114:G117" si="9">HYPERLINK("https://hawk-eye.atlassian.net/browse/?atlOrigin=eyJpIjoiYzgwYTQ0ZjEyNzQzNGJhN2JmNjEyZTM0NmRhZWZhNjIiLCJwIjoic2hlZXRzLWppcmEifQ","")</f>
        <v/>
      </c>
      <c r="H114" s="1" t="s">
        <v>25</v>
      </c>
      <c r="I114" s="1" t="s">
        <v>26</v>
      </c>
      <c r="J114" s="1" t="s">
        <v>26</v>
      </c>
      <c r="K114" s="1" t="s">
        <v>26</v>
      </c>
      <c r="L114" s="1" t="s">
        <v>26</v>
      </c>
      <c r="M114" s="1" t="s">
        <v>27</v>
      </c>
      <c r="N114" s="1" t="s">
        <v>27</v>
      </c>
      <c r="O114" s="1" t="s">
        <v>27</v>
      </c>
      <c r="P114" s="1" t="s">
        <v>26</v>
      </c>
      <c r="Q114" s="4">
        <v>45491.722291666665</v>
      </c>
      <c r="R114" s="1" t="s">
        <v>26</v>
      </c>
      <c r="S114" s="1" t="s">
        <v>28</v>
      </c>
    </row>
    <row r="115" hidden="1">
      <c r="A115" s="1" t="s">
        <v>29</v>
      </c>
      <c r="B115" s="3" t="str">
        <f>HYPERLINK("https://hawk-eye.atlassian.net/browse/BAS-679?atlOrigin=eyJpIjoiYzgwYTQ0ZjEyNzQzNGJhN2JmNjEyZTM0NmRhZWZhNjIiLCJwIjoic2hlZXRzLWppcmEifQ","BAS-679")</f>
        <v>BAS-679</v>
      </c>
      <c r="C115" s="1" t="s">
        <v>172</v>
      </c>
      <c r="D115" s="1" t="s">
        <v>23</v>
      </c>
      <c r="E115" s="1" t="s">
        <v>31</v>
      </c>
      <c r="F115" s="4">
        <v>45490.70835648148</v>
      </c>
      <c r="G115" s="3" t="str">
        <f t="shared" si="9"/>
        <v/>
      </c>
      <c r="H115" s="1" t="s">
        <v>25</v>
      </c>
      <c r="I115" s="1" t="s">
        <v>26</v>
      </c>
      <c r="J115" s="1" t="s">
        <v>26</v>
      </c>
      <c r="K115" s="1" t="s">
        <v>26</v>
      </c>
      <c r="L115" s="1" t="s">
        <v>26</v>
      </c>
      <c r="M115" s="1" t="s">
        <v>27</v>
      </c>
      <c r="N115" s="1" t="s">
        <v>27</v>
      </c>
      <c r="O115" s="1" t="s">
        <v>27</v>
      </c>
      <c r="P115" s="1" t="s">
        <v>26</v>
      </c>
      <c r="Q115" s="4">
        <v>45490.70836805556</v>
      </c>
      <c r="R115" s="1" t="s">
        <v>26</v>
      </c>
      <c r="S115" s="1" t="s">
        <v>28</v>
      </c>
    </row>
    <row r="116" hidden="1">
      <c r="A116" s="1" t="s">
        <v>29</v>
      </c>
      <c r="B116" s="3" t="str">
        <f>HYPERLINK("https://hawk-eye.atlassian.net/browse/BAS-677?atlOrigin=eyJpIjoiYzgwYTQ0ZjEyNzQzNGJhN2JmNjEyZTM0NmRhZWZhNjIiLCJwIjoic2hlZXRzLWppcmEifQ","BAS-677")</f>
        <v>BAS-677</v>
      </c>
      <c r="C116" s="1" t="s">
        <v>173</v>
      </c>
      <c r="D116" s="1" t="s">
        <v>23</v>
      </c>
      <c r="E116" s="1" t="s">
        <v>31</v>
      </c>
      <c r="F116" s="4">
        <v>45490.70732638889</v>
      </c>
      <c r="G116" s="3" t="str">
        <f t="shared" si="9"/>
        <v/>
      </c>
      <c r="H116" s="1" t="s">
        <v>25</v>
      </c>
      <c r="I116" s="1" t="s">
        <v>26</v>
      </c>
      <c r="J116" s="1" t="s">
        <v>26</v>
      </c>
      <c r="K116" s="1" t="s">
        <v>26</v>
      </c>
      <c r="L116" s="1" t="s">
        <v>26</v>
      </c>
      <c r="M116" s="1" t="s">
        <v>27</v>
      </c>
      <c r="N116" s="1" t="s">
        <v>27</v>
      </c>
      <c r="O116" s="1" t="s">
        <v>27</v>
      </c>
      <c r="P116" s="1" t="s">
        <v>26</v>
      </c>
      <c r="Q116" s="4">
        <v>45490.70732638889</v>
      </c>
      <c r="R116" s="1" t="s">
        <v>26</v>
      </c>
      <c r="S116" s="1" t="s">
        <v>28</v>
      </c>
    </row>
    <row r="117" hidden="1">
      <c r="A117" s="1" t="s">
        <v>21</v>
      </c>
      <c r="B117" s="3" t="str">
        <f>HYPERLINK("https://hawk-eye.atlassian.net/browse/BAS-673?atlOrigin=eyJpIjoiYzgwYTQ0ZjEyNzQzNGJhN2JmNjEyZTM0NmRhZWZhNjIiLCJwIjoic2hlZXRzLWppcmEifQ","BAS-673")</f>
        <v>BAS-673</v>
      </c>
      <c r="C117" s="1" t="s">
        <v>174</v>
      </c>
      <c r="D117" s="1" t="s">
        <v>48</v>
      </c>
      <c r="E117" s="1" t="s">
        <v>31</v>
      </c>
      <c r="F117" s="4">
        <v>45489.957280092596</v>
      </c>
      <c r="G117" s="3" t="str">
        <f t="shared" si="9"/>
        <v/>
      </c>
      <c r="H117" s="1" t="s">
        <v>25</v>
      </c>
      <c r="I117" s="1" t="s">
        <v>26</v>
      </c>
      <c r="J117" s="1" t="s">
        <v>26</v>
      </c>
      <c r="K117" s="1" t="s">
        <v>26</v>
      </c>
      <c r="L117" s="1" t="s">
        <v>26</v>
      </c>
      <c r="M117" s="1" t="s">
        <v>27</v>
      </c>
      <c r="N117" s="1" t="s">
        <v>27</v>
      </c>
      <c r="O117" s="1" t="s">
        <v>27</v>
      </c>
      <c r="P117" s="1" t="s">
        <v>26</v>
      </c>
      <c r="Q117" s="4">
        <v>45489.957291666666</v>
      </c>
      <c r="R117" s="1" t="s">
        <v>26</v>
      </c>
      <c r="S117" s="1" t="s">
        <v>28</v>
      </c>
    </row>
    <row r="118" hidden="1">
      <c r="A118" s="1" t="s">
        <v>29</v>
      </c>
      <c r="B118" s="3" t="str">
        <f>HYPERLINK("https://hawk-eye.atlassian.net/browse/BAS-672?atlOrigin=eyJpIjoiYzgwYTQ0ZjEyNzQzNGJhN2JmNjEyZTM0NmRhZWZhNjIiLCJwIjoic2hlZXRzLWppcmEifQ","BAS-672")</f>
        <v>BAS-672</v>
      </c>
      <c r="C118" s="1" t="s">
        <v>175</v>
      </c>
      <c r="D118" s="1" t="s">
        <v>23</v>
      </c>
      <c r="E118" s="1" t="s">
        <v>31</v>
      </c>
      <c r="F118" s="4">
        <v>45489.74078703704</v>
      </c>
      <c r="G118" s="3" t="str">
        <f>HYPERLINK("https://hawk-eye.atlassian.net/browse/BAS-670?atlOrigin=eyJpIjoiYzgwYTQ0ZjEyNzQzNGJhN2JmNjEyZTM0NmRhZWZhNjIiLCJwIjoic2hlZXRzLWppcmEifQ","BAS-670")</f>
        <v>BAS-670</v>
      </c>
      <c r="H118" s="1" t="s">
        <v>25</v>
      </c>
      <c r="I118" s="1" t="s">
        <v>26</v>
      </c>
      <c r="J118" s="1" t="s">
        <v>26</v>
      </c>
      <c r="K118" s="1" t="s">
        <v>26</v>
      </c>
      <c r="L118" s="1" t="s">
        <v>26</v>
      </c>
      <c r="M118" s="1" t="s">
        <v>27</v>
      </c>
      <c r="N118" s="1" t="s">
        <v>27</v>
      </c>
      <c r="O118" s="1" t="s">
        <v>27</v>
      </c>
      <c r="P118" s="1" t="s">
        <v>26</v>
      </c>
      <c r="Q118" s="4">
        <v>45489.74078703704</v>
      </c>
      <c r="R118" s="1" t="s">
        <v>26</v>
      </c>
      <c r="S118" s="1" t="s">
        <v>28</v>
      </c>
    </row>
    <row r="119" hidden="1">
      <c r="A119" s="1" t="s">
        <v>29</v>
      </c>
      <c r="B119" s="3" t="str">
        <f>HYPERLINK("https://hawk-eye.atlassian.net/browse/BAS-671?atlOrigin=eyJpIjoiYzgwYTQ0ZjEyNzQzNGJhN2JmNjEyZTM0NmRhZWZhNjIiLCJwIjoic2hlZXRzLWppcmEifQ","BAS-671")</f>
        <v>BAS-671</v>
      </c>
      <c r="C119" s="1" t="s">
        <v>176</v>
      </c>
      <c r="D119" s="1" t="s">
        <v>23</v>
      </c>
      <c r="E119" s="1" t="s">
        <v>31</v>
      </c>
      <c r="F119" s="4">
        <v>45489.73180555556</v>
      </c>
      <c r="G119" s="3" t="str">
        <f>HYPERLINK("https://hawk-eye.atlassian.net/browse/BAS-653?atlOrigin=eyJpIjoiYzgwYTQ0ZjEyNzQzNGJhN2JmNjEyZTM0NmRhZWZhNjIiLCJwIjoic2hlZXRzLWppcmEifQ","BAS-653")</f>
        <v>BAS-653</v>
      </c>
      <c r="H119" s="1" t="s">
        <v>25</v>
      </c>
      <c r="I119" s="1" t="s">
        <v>26</v>
      </c>
      <c r="J119" s="1" t="s">
        <v>26</v>
      </c>
      <c r="K119" s="1" t="s">
        <v>26</v>
      </c>
      <c r="L119" s="1" t="s">
        <v>26</v>
      </c>
      <c r="M119" s="1" t="s">
        <v>27</v>
      </c>
      <c r="N119" s="1" t="s">
        <v>27</v>
      </c>
      <c r="O119" s="1" t="s">
        <v>27</v>
      </c>
      <c r="P119" s="1" t="s">
        <v>26</v>
      </c>
      <c r="Q119" s="4">
        <v>45489.73180555556</v>
      </c>
      <c r="R119" s="1" t="s">
        <v>26</v>
      </c>
      <c r="S119" s="1" t="s">
        <v>28</v>
      </c>
    </row>
    <row r="120" hidden="1">
      <c r="A120" s="1" t="s">
        <v>29</v>
      </c>
      <c r="B120" s="3" t="str">
        <f>HYPERLINK("https://hawk-eye.atlassian.net/browse/BAS-670?atlOrigin=eyJpIjoiYzgwYTQ0ZjEyNzQzNGJhN2JmNjEyZTM0NmRhZWZhNjIiLCJwIjoic2hlZXRzLWppcmEifQ","BAS-670")</f>
        <v>BAS-670</v>
      </c>
      <c r="C120" s="1" t="s">
        <v>177</v>
      </c>
      <c r="D120" s="1" t="s">
        <v>23</v>
      </c>
      <c r="E120" s="1" t="s">
        <v>31</v>
      </c>
      <c r="F120" s="4">
        <v>45489.72298611111</v>
      </c>
      <c r="G120" s="3" t="str">
        <f>HYPERLINK("https://hawk-eye.atlassian.net/browse/BAS-672?atlOrigin=eyJpIjoiYzgwYTQ0ZjEyNzQzNGJhN2JmNjEyZTM0NmRhZWZhNjIiLCJwIjoic2hlZXRzLWppcmEifQ","BAS-672")</f>
        <v>BAS-672</v>
      </c>
      <c r="H120" s="1" t="s">
        <v>25</v>
      </c>
      <c r="I120" s="1" t="s">
        <v>26</v>
      </c>
      <c r="J120" s="1" t="s">
        <v>26</v>
      </c>
      <c r="K120" s="1" t="s">
        <v>26</v>
      </c>
      <c r="L120" s="1" t="s">
        <v>26</v>
      </c>
      <c r="M120" s="1" t="s">
        <v>27</v>
      </c>
      <c r="N120" s="1" t="s">
        <v>27</v>
      </c>
      <c r="O120" s="1" t="s">
        <v>27</v>
      </c>
      <c r="P120" s="1" t="s">
        <v>26</v>
      </c>
      <c r="Q120" s="4">
        <v>45489.72299768519</v>
      </c>
      <c r="R120" s="1" t="s">
        <v>26</v>
      </c>
      <c r="S120" s="1" t="s">
        <v>28</v>
      </c>
    </row>
    <row r="121" hidden="1">
      <c r="A121" s="1" t="s">
        <v>29</v>
      </c>
      <c r="B121" s="3" t="str">
        <f>HYPERLINK("https://hawk-eye.atlassian.net/browse/BAS-667?atlOrigin=eyJpIjoiYzgwYTQ0ZjEyNzQzNGJhN2JmNjEyZTM0NmRhZWZhNjIiLCJwIjoic2hlZXRzLWppcmEifQ","BAS-667")</f>
        <v>BAS-667</v>
      </c>
      <c r="C121" s="1" t="s">
        <v>178</v>
      </c>
      <c r="D121" s="1" t="s">
        <v>48</v>
      </c>
      <c r="E121" s="1" t="s">
        <v>35</v>
      </c>
      <c r="F121" s="4">
        <v>45489.48467592592</v>
      </c>
      <c r="G121" s="3" t="str">
        <f>HYPERLINK("https://hawk-eye.atlassian.net/browse/BAS-967?atlOrigin=eyJpIjoiYzgwYTQ0ZjEyNzQzNGJhN2JmNjEyZTM0NmRhZWZhNjIiLCJwIjoic2hlZXRzLWppcmEifQ","BAS-967")</f>
        <v>BAS-967</v>
      </c>
      <c r="H121" s="1" t="s">
        <v>25</v>
      </c>
      <c r="I121" s="1" t="s">
        <v>26</v>
      </c>
      <c r="J121" s="1" t="s">
        <v>26</v>
      </c>
      <c r="K121" s="1" t="s">
        <v>26</v>
      </c>
      <c r="L121" s="1" t="s">
        <v>26</v>
      </c>
      <c r="M121" s="1" t="s">
        <v>27</v>
      </c>
      <c r="N121" s="1" t="s">
        <v>27</v>
      </c>
      <c r="O121" s="1" t="s">
        <v>27</v>
      </c>
      <c r="P121" s="1" t="s">
        <v>26</v>
      </c>
      <c r="Q121" s="4">
        <v>45723.65589120371</v>
      </c>
      <c r="R121" s="1" t="s">
        <v>26</v>
      </c>
      <c r="S121" s="1" t="s">
        <v>28</v>
      </c>
    </row>
    <row r="122" hidden="1">
      <c r="A122" s="1" t="s">
        <v>29</v>
      </c>
      <c r="B122" s="3" t="str">
        <f>HYPERLINK("https://hawk-eye.atlassian.net/browse/BAS-661?atlOrigin=eyJpIjoiYzgwYTQ0ZjEyNzQzNGJhN2JmNjEyZTM0NmRhZWZhNjIiLCJwIjoic2hlZXRzLWppcmEifQ","BAS-661")</f>
        <v>BAS-661</v>
      </c>
      <c r="C122" s="1" t="s">
        <v>179</v>
      </c>
      <c r="D122" s="1" t="s">
        <v>23</v>
      </c>
      <c r="E122" s="1" t="s">
        <v>31</v>
      </c>
      <c r="F122" s="4">
        <v>45485.59263888889</v>
      </c>
      <c r="G122" s="3" t="str">
        <f t="shared" ref="G122:G123" si="10">HYPERLINK("https://hawk-eye.atlassian.net/browse/?atlOrigin=eyJpIjoiYzgwYTQ0ZjEyNzQzNGJhN2JmNjEyZTM0NmRhZWZhNjIiLCJwIjoic2hlZXRzLWppcmEifQ","")</f>
        <v/>
      </c>
      <c r="H122" s="1" t="s">
        <v>25</v>
      </c>
      <c r="I122" s="1" t="s">
        <v>26</v>
      </c>
      <c r="J122" s="1" t="s">
        <v>26</v>
      </c>
      <c r="K122" s="1" t="s">
        <v>26</v>
      </c>
      <c r="L122" s="1" t="s">
        <v>26</v>
      </c>
      <c r="M122" s="1" t="s">
        <v>27</v>
      </c>
      <c r="N122" s="1" t="s">
        <v>27</v>
      </c>
      <c r="O122" s="1" t="s">
        <v>27</v>
      </c>
      <c r="P122" s="1" t="s">
        <v>26</v>
      </c>
      <c r="Q122" s="4">
        <v>45485.59263888889</v>
      </c>
      <c r="R122" s="1" t="s">
        <v>26</v>
      </c>
      <c r="S122" s="1" t="s">
        <v>28</v>
      </c>
    </row>
    <row r="123" hidden="1">
      <c r="A123" s="1" t="s">
        <v>29</v>
      </c>
      <c r="B123" s="3" t="str">
        <f>HYPERLINK("https://hawk-eye.atlassian.net/browse/BAS-659?atlOrigin=eyJpIjoiYzgwYTQ0ZjEyNzQzNGJhN2JmNjEyZTM0NmRhZWZhNjIiLCJwIjoic2hlZXRzLWppcmEifQ","BAS-659")</f>
        <v>BAS-659</v>
      </c>
      <c r="C123" s="1" t="s">
        <v>180</v>
      </c>
      <c r="D123" s="1" t="s">
        <v>23</v>
      </c>
      <c r="E123" s="1" t="s">
        <v>31</v>
      </c>
      <c r="F123" s="4">
        <v>45483.43943287037</v>
      </c>
      <c r="G123" s="3" t="str">
        <f t="shared" si="10"/>
        <v/>
      </c>
      <c r="H123" s="1" t="s">
        <v>25</v>
      </c>
      <c r="I123" s="1" t="s">
        <v>26</v>
      </c>
      <c r="J123" s="1" t="s">
        <v>26</v>
      </c>
      <c r="K123" s="1" t="s">
        <v>26</v>
      </c>
      <c r="L123" s="1" t="s">
        <v>26</v>
      </c>
      <c r="M123" s="1" t="s">
        <v>27</v>
      </c>
      <c r="N123" s="1" t="s">
        <v>27</v>
      </c>
      <c r="O123" s="1" t="s">
        <v>27</v>
      </c>
      <c r="P123" s="1" t="s">
        <v>26</v>
      </c>
      <c r="Q123" s="4">
        <v>45483.43944444445</v>
      </c>
      <c r="R123" s="1" t="s">
        <v>26</v>
      </c>
      <c r="S123" s="1" t="s">
        <v>28</v>
      </c>
    </row>
    <row r="124" hidden="1">
      <c r="A124" s="1" t="s">
        <v>29</v>
      </c>
      <c r="B124" s="3" t="str">
        <f>HYPERLINK("https://hawk-eye.atlassian.net/browse/BAS-658?atlOrigin=eyJpIjoiYzgwYTQ0ZjEyNzQzNGJhN2JmNjEyZTM0NmRhZWZhNjIiLCJwIjoic2hlZXRzLWppcmEifQ","BAS-658")</f>
        <v>BAS-658</v>
      </c>
      <c r="C124" s="1" t="s">
        <v>181</v>
      </c>
      <c r="D124" s="1" t="s">
        <v>23</v>
      </c>
      <c r="E124" s="1" t="s">
        <v>31</v>
      </c>
      <c r="F124" s="4">
        <v>45483.43908564815</v>
      </c>
      <c r="G124" s="3" t="str">
        <f>HYPERLINK("https://hawk-eye.atlassian.net/issues/?atlOrigin=eyJpIjoiYzgwYTQ0ZjEyNzQzNGJhN2JmNjEyZTM0NmRhZWZhNjIiLCJwIjoic2hlZXRzLWppcmEifQ&amp;jql=key+in+%28BAS-655%2CBAS-656%29","BAS-655;BAS-656")</f>
        <v>BAS-655;BAS-656</v>
      </c>
      <c r="H124" s="1" t="s">
        <v>25</v>
      </c>
      <c r="I124" s="1" t="s">
        <v>26</v>
      </c>
      <c r="J124" s="1" t="s">
        <v>26</v>
      </c>
      <c r="K124" s="1" t="s">
        <v>26</v>
      </c>
      <c r="L124" s="1" t="s">
        <v>26</v>
      </c>
      <c r="M124" s="1" t="s">
        <v>27</v>
      </c>
      <c r="N124" s="1" t="s">
        <v>27</v>
      </c>
      <c r="O124" s="1" t="s">
        <v>27</v>
      </c>
      <c r="P124" s="1" t="s">
        <v>26</v>
      </c>
      <c r="Q124" s="4">
        <v>45483.439097222225</v>
      </c>
      <c r="R124" s="1" t="s">
        <v>26</v>
      </c>
      <c r="S124" s="1" t="s">
        <v>28</v>
      </c>
    </row>
    <row r="125" hidden="1">
      <c r="A125" s="1" t="s">
        <v>29</v>
      </c>
      <c r="B125" s="3" t="str">
        <f>HYPERLINK("https://hawk-eye.atlassian.net/browse/BAS-657?atlOrigin=eyJpIjoiYzgwYTQ0ZjEyNzQzNGJhN2JmNjEyZTM0NmRhZWZhNjIiLCJwIjoic2hlZXRzLWppcmEifQ","BAS-657")</f>
        <v>BAS-657</v>
      </c>
      <c r="C125" s="1" t="s">
        <v>182</v>
      </c>
      <c r="D125" s="1" t="s">
        <v>23</v>
      </c>
      <c r="E125" s="1" t="s">
        <v>31</v>
      </c>
      <c r="F125" s="4">
        <v>45483.43885416666</v>
      </c>
      <c r="G125" s="3" t="str">
        <f>HYPERLINK("https://hawk-eye.atlassian.net/browse/?atlOrigin=eyJpIjoiYzgwYTQ0ZjEyNzQzNGJhN2JmNjEyZTM0NmRhZWZhNjIiLCJwIjoic2hlZXRzLWppcmEifQ","")</f>
        <v/>
      </c>
      <c r="H125" s="1" t="s">
        <v>25</v>
      </c>
      <c r="I125" s="1" t="s">
        <v>26</v>
      </c>
      <c r="J125" s="1" t="s">
        <v>26</v>
      </c>
      <c r="K125" s="1" t="s">
        <v>26</v>
      </c>
      <c r="L125" s="1" t="s">
        <v>26</v>
      </c>
      <c r="M125" s="1" t="s">
        <v>27</v>
      </c>
      <c r="N125" s="1" t="s">
        <v>27</v>
      </c>
      <c r="O125" s="1" t="s">
        <v>27</v>
      </c>
      <c r="P125" s="1" t="s">
        <v>26</v>
      </c>
      <c r="Q125" s="4">
        <v>45483.43885416666</v>
      </c>
      <c r="R125" s="1" t="s">
        <v>26</v>
      </c>
      <c r="S125" s="1" t="s">
        <v>28</v>
      </c>
    </row>
    <row r="126" hidden="1">
      <c r="A126" s="1" t="s">
        <v>29</v>
      </c>
      <c r="B126" s="3" t="str">
        <f>HYPERLINK("https://hawk-eye.atlassian.net/browse/BAS-656?atlOrigin=eyJpIjoiYzgwYTQ0ZjEyNzQzNGJhN2JmNjEyZTM0NmRhZWZhNjIiLCJwIjoic2hlZXRzLWppcmEifQ","BAS-656")</f>
        <v>BAS-656</v>
      </c>
      <c r="C126" s="1" t="s">
        <v>183</v>
      </c>
      <c r="D126" s="1" t="s">
        <v>23</v>
      </c>
      <c r="E126" s="1" t="s">
        <v>31</v>
      </c>
      <c r="F126" s="4">
        <v>45483.43853009259</v>
      </c>
      <c r="G126" s="3" t="str">
        <f>HYPERLINK("https://hawk-eye.atlassian.net/issues/?atlOrigin=eyJpIjoiYzgwYTQ0ZjEyNzQzNGJhN2JmNjEyZTM0NmRhZWZhNjIiLCJwIjoic2hlZXRzLWppcmEifQ&amp;jql=key+in+%28BAS-655%2CBAS-658%29","BAS-655;BAS-658")</f>
        <v>BAS-655;BAS-658</v>
      </c>
      <c r="H126" s="1" t="s">
        <v>25</v>
      </c>
      <c r="I126" s="1" t="s">
        <v>26</v>
      </c>
      <c r="J126" s="1" t="s">
        <v>26</v>
      </c>
      <c r="K126" s="1" t="s">
        <v>26</v>
      </c>
      <c r="L126" s="1" t="s">
        <v>26</v>
      </c>
      <c r="M126" s="1" t="s">
        <v>27</v>
      </c>
      <c r="N126" s="1" t="s">
        <v>27</v>
      </c>
      <c r="O126" s="1" t="s">
        <v>27</v>
      </c>
      <c r="P126" s="1" t="s">
        <v>26</v>
      </c>
      <c r="Q126" s="4">
        <v>45483.43854166667</v>
      </c>
      <c r="R126" s="1" t="s">
        <v>26</v>
      </c>
      <c r="S126" s="1" t="s">
        <v>28</v>
      </c>
    </row>
    <row r="127" hidden="1">
      <c r="A127" s="1" t="s">
        <v>29</v>
      </c>
      <c r="B127" s="3" t="str">
        <f>HYPERLINK("https://hawk-eye.atlassian.net/browse/BAS-655?atlOrigin=eyJpIjoiYzgwYTQ0ZjEyNzQzNGJhN2JmNjEyZTM0NmRhZWZhNjIiLCJwIjoic2hlZXRzLWppcmEifQ","BAS-655")</f>
        <v>BAS-655</v>
      </c>
      <c r="C127" s="1" t="s">
        <v>184</v>
      </c>
      <c r="D127" s="1" t="s">
        <v>23</v>
      </c>
      <c r="E127" s="1" t="s">
        <v>31</v>
      </c>
      <c r="F127" s="4">
        <v>45483.437569444446</v>
      </c>
      <c r="G127" s="3" t="str">
        <f>HYPERLINK("https://hawk-eye.atlassian.net/issues/?atlOrigin=eyJpIjoiYzgwYTQ0ZjEyNzQzNGJhN2JmNjEyZTM0NmRhZWZhNjIiLCJwIjoic2hlZXRzLWppcmEifQ&amp;jql=key+in+%28BAS-658%2CBAS-656%29","BAS-658;BAS-656")</f>
        <v>BAS-658;BAS-656</v>
      </c>
      <c r="H127" s="1" t="s">
        <v>25</v>
      </c>
      <c r="I127" s="1" t="s">
        <v>26</v>
      </c>
      <c r="J127" s="1" t="s">
        <v>26</v>
      </c>
      <c r="K127" s="1" t="s">
        <v>26</v>
      </c>
      <c r="L127" s="1" t="s">
        <v>26</v>
      </c>
      <c r="M127" s="1" t="s">
        <v>27</v>
      </c>
      <c r="N127" s="1" t="s">
        <v>27</v>
      </c>
      <c r="O127" s="1" t="s">
        <v>27</v>
      </c>
      <c r="P127" s="1" t="s">
        <v>26</v>
      </c>
      <c r="Q127" s="4">
        <v>45483.437569444446</v>
      </c>
      <c r="R127" s="1" t="s">
        <v>26</v>
      </c>
      <c r="S127" s="1" t="s">
        <v>28</v>
      </c>
    </row>
    <row r="128" hidden="1">
      <c r="A128" s="1" t="s">
        <v>29</v>
      </c>
      <c r="B128" s="3" t="str">
        <f>HYPERLINK("https://hawk-eye.atlassian.net/browse/BAS-654?atlOrigin=eyJpIjoiYzgwYTQ0ZjEyNzQzNGJhN2JmNjEyZTM0NmRhZWZhNjIiLCJwIjoic2hlZXRzLWppcmEifQ","BAS-654")</f>
        <v>BAS-654</v>
      </c>
      <c r="C128" s="1" t="s">
        <v>185</v>
      </c>
      <c r="D128" s="1" t="s">
        <v>23</v>
      </c>
      <c r="E128" s="1" t="s">
        <v>24</v>
      </c>
      <c r="F128" s="4">
        <v>45483.43702546296</v>
      </c>
      <c r="G128" s="3" t="str">
        <f>HYPERLINK("https://hawk-eye.atlassian.net/browse/BAS-653?atlOrigin=eyJpIjoiYzgwYTQ0ZjEyNzQzNGJhN2JmNjEyZTM0NmRhZWZhNjIiLCJwIjoic2hlZXRzLWppcmEifQ","BAS-653")</f>
        <v>BAS-653</v>
      </c>
      <c r="H128" s="1" t="s">
        <v>25</v>
      </c>
      <c r="I128" s="1" t="s">
        <v>26</v>
      </c>
      <c r="J128" s="1" t="s">
        <v>26</v>
      </c>
      <c r="K128" s="1" t="s">
        <v>26</v>
      </c>
      <c r="L128" s="1" t="s">
        <v>26</v>
      </c>
      <c r="M128" s="1" t="s">
        <v>27</v>
      </c>
      <c r="N128" s="1" t="s">
        <v>27</v>
      </c>
      <c r="O128" s="1" t="s">
        <v>27</v>
      </c>
      <c r="P128" s="1" t="s">
        <v>26</v>
      </c>
      <c r="Q128" s="4">
        <v>45699.42821759259</v>
      </c>
      <c r="R128" s="1" t="s">
        <v>26</v>
      </c>
      <c r="S128" s="1" t="s">
        <v>28</v>
      </c>
    </row>
    <row r="129" hidden="1">
      <c r="A129" s="1" t="s">
        <v>29</v>
      </c>
      <c r="B129" s="3" t="str">
        <f>HYPERLINK("https://hawk-eye.atlassian.net/browse/BAS-653?atlOrigin=eyJpIjoiYzgwYTQ0ZjEyNzQzNGJhN2JmNjEyZTM0NmRhZWZhNjIiLCJwIjoic2hlZXRzLWppcmEifQ","BAS-653")</f>
        <v>BAS-653</v>
      </c>
      <c r="C129" s="1" t="s">
        <v>186</v>
      </c>
      <c r="D129" s="1" t="s">
        <v>23</v>
      </c>
      <c r="E129" s="1" t="s">
        <v>41</v>
      </c>
      <c r="F129" s="4">
        <v>45483.43659722222</v>
      </c>
      <c r="G129" s="3" t="str">
        <f>HYPERLINK("https://hawk-eye.atlassian.net/issues/?atlOrigin=eyJpIjoiYzgwYTQ0ZjEyNzQzNGJhN2JmNjEyZTM0NmRhZWZhNjIiLCJwIjoic2hlZXRzLWppcmEifQ&amp;jql=key+in+%28BAS-654%2CBAS-671%29","BAS-654;BAS-671")</f>
        <v>BAS-654;BAS-671</v>
      </c>
      <c r="H129" s="1" t="s">
        <v>25</v>
      </c>
      <c r="I129" s="1" t="s">
        <v>26</v>
      </c>
      <c r="J129" s="1" t="s">
        <v>26</v>
      </c>
      <c r="K129" s="1" t="s">
        <v>26</v>
      </c>
      <c r="L129" s="1" t="s">
        <v>26</v>
      </c>
      <c r="M129" s="1" t="s">
        <v>27</v>
      </c>
      <c r="N129" s="1" t="s">
        <v>27</v>
      </c>
      <c r="O129" s="1" t="s">
        <v>27</v>
      </c>
      <c r="P129" s="1" t="s">
        <v>26</v>
      </c>
      <c r="Q129" s="4">
        <v>45700.71487268519</v>
      </c>
      <c r="R129" s="1" t="s">
        <v>26</v>
      </c>
      <c r="S129" s="1" t="s">
        <v>28</v>
      </c>
    </row>
    <row r="130" hidden="1">
      <c r="A130" s="1" t="s">
        <v>29</v>
      </c>
      <c r="B130" s="3" t="str">
        <f>HYPERLINK("https://hawk-eye.atlassian.net/browse/BAS-651?atlOrigin=eyJpIjoiYzgwYTQ0ZjEyNzQzNGJhN2JmNjEyZTM0NmRhZWZhNjIiLCJwIjoic2hlZXRzLWppcmEifQ","BAS-651")</f>
        <v>BAS-651</v>
      </c>
      <c r="C130" s="1" t="s">
        <v>187</v>
      </c>
      <c r="D130" s="1" t="s">
        <v>23</v>
      </c>
      <c r="E130" s="1" t="s">
        <v>31</v>
      </c>
      <c r="F130" s="4">
        <v>45483.43579861111</v>
      </c>
      <c r="G130" s="3" t="str">
        <f t="shared" ref="G130:G141" si="11">HYPERLINK("https://hawk-eye.atlassian.net/browse/?atlOrigin=eyJpIjoiYzgwYTQ0ZjEyNzQzNGJhN2JmNjEyZTM0NmRhZWZhNjIiLCJwIjoic2hlZXRzLWppcmEifQ","")</f>
        <v/>
      </c>
      <c r="H130" s="1" t="s">
        <v>25</v>
      </c>
      <c r="I130" s="1" t="s">
        <v>26</v>
      </c>
      <c r="J130" s="1" t="s">
        <v>26</v>
      </c>
      <c r="K130" s="1" t="s">
        <v>26</v>
      </c>
      <c r="L130" s="1" t="s">
        <v>26</v>
      </c>
      <c r="M130" s="1" t="s">
        <v>27</v>
      </c>
      <c r="N130" s="1" t="s">
        <v>27</v>
      </c>
      <c r="O130" s="1" t="s">
        <v>27</v>
      </c>
      <c r="P130" s="1" t="s">
        <v>26</v>
      </c>
      <c r="Q130" s="4">
        <v>45727.494837962964</v>
      </c>
      <c r="R130" s="1" t="s">
        <v>26</v>
      </c>
      <c r="S130" s="1" t="s">
        <v>28</v>
      </c>
    </row>
    <row r="131" hidden="1">
      <c r="A131" s="1" t="s">
        <v>29</v>
      </c>
      <c r="B131" s="3" t="str">
        <f>HYPERLINK("https://hawk-eye.atlassian.net/browse/BAS-637?atlOrigin=eyJpIjoiYzgwYTQ0ZjEyNzQzNGJhN2JmNjEyZTM0NmRhZWZhNjIiLCJwIjoic2hlZXRzLWppcmEifQ","BAS-637")</f>
        <v>BAS-637</v>
      </c>
      <c r="C131" s="1" t="s">
        <v>188</v>
      </c>
      <c r="D131" s="1" t="s">
        <v>23</v>
      </c>
      <c r="E131" s="1" t="s">
        <v>31</v>
      </c>
      <c r="F131" s="4">
        <v>45455.81380787037</v>
      </c>
      <c r="G131" s="3" t="str">
        <f t="shared" si="11"/>
        <v/>
      </c>
      <c r="H131" s="1" t="s">
        <v>25</v>
      </c>
      <c r="I131" s="1" t="s">
        <v>26</v>
      </c>
      <c r="J131" s="1" t="s">
        <v>26</v>
      </c>
      <c r="K131" s="1" t="s">
        <v>26</v>
      </c>
      <c r="L131" s="1" t="s">
        <v>26</v>
      </c>
      <c r="M131" s="1" t="s">
        <v>27</v>
      </c>
      <c r="N131" s="1" t="s">
        <v>27</v>
      </c>
      <c r="O131" s="1" t="s">
        <v>27</v>
      </c>
      <c r="P131" s="1" t="s">
        <v>26</v>
      </c>
      <c r="Q131" s="4">
        <v>45455.81381944445</v>
      </c>
      <c r="R131" s="1" t="s">
        <v>26</v>
      </c>
      <c r="S131" s="1" t="s">
        <v>28</v>
      </c>
    </row>
    <row r="132" hidden="1">
      <c r="A132" s="1" t="s">
        <v>29</v>
      </c>
      <c r="B132" s="3" t="str">
        <f>HYPERLINK("https://hawk-eye.atlassian.net/browse/BAS-616?atlOrigin=eyJpIjoiYzgwYTQ0ZjEyNzQzNGJhN2JmNjEyZTM0NmRhZWZhNjIiLCJwIjoic2hlZXRzLWppcmEifQ","BAS-616")</f>
        <v>BAS-616</v>
      </c>
      <c r="C132" s="1" t="s">
        <v>189</v>
      </c>
      <c r="D132" s="1" t="s">
        <v>48</v>
      </c>
      <c r="E132" s="1" t="s">
        <v>31</v>
      </c>
      <c r="F132" s="4">
        <v>45435.45186342593</v>
      </c>
      <c r="G132" s="3" t="str">
        <f t="shared" si="11"/>
        <v/>
      </c>
      <c r="H132" s="1" t="s">
        <v>25</v>
      </c>
      <c r="I132" s="1" t="s">
        <v>26</v>
      </c>
      <c r="J132" s="1" t="s">
        <v>26</v>
      </c>
      <c r="K132" s="1" t="s">
        <v>26</v>
      </c>
      <c r="L132" s="1" t="s">
        <v>26</v>
      </c>
      <c r="M132" s="1" t="s">
        <v>27</v>
      </c>
      <c r="N132" s="1" t="s">
        <v>27</v>
      </c>
      <c r="O132" s="1" t="s">
        <v>27</v>
      </c>
      <c r="P132" s="1" t="s">
        <v>26</v>
      </c>
      <c r="Q132" s="4">
        <v>45435.45186342593</v>
      </c>
      <c r="R132" s="1" t="s">
        <v>26</v>
      </c>
      <c r="S132" s="1" t="s">
        <v>28</v>
      </c>
    </row>
    <row r="133" hidden="1">
      <c r="A133" s="1" t="s">
        <v>29</v>
      </c>
      <c r="B133" s="3" t="str">
        <f>HYPERLINK("https://hawk-eye.atlassian.net/browse/BAS-600?atlOrigin=eyJpIjoiYzgwYTQ0ZjEyNzQzNGJhN2JmNjEyZTM0NmRhZWZhNjIiLCJwIjoic2hlZXRzLWppcmEifQ","BAS-600")</f>
        <v>BAS-600</v>
      </c>
      <c r="C133" s="1" t="s">
        <v>190</v>
      </c>
      <c r="D133" s="1" t="s">
        <v>23</v>
      </c>
      <c r="E133" s="1" t="s">
        <v>31</v>
      </c>
      <c r="F133" s="4">
        <v>45414.66459490741</v>
      </c>
      <c r="G133" s="3" t="str">
        <f t="shared" si="11"/>
        <v/>
      </c>
      <c r="H133" s="1" t="s">
        <v>25</v>
      </c>
      <c r="I133" s="1" t="s">
        <v>26</v>
      </c>
      <c r="J133" s="1" t="s">
        <v>26</v>
      </c>
      <c r="K133" s="1" t="s">
        <v>26</v>
      </c>
      <c r="L133" s="1" t="s">
        <v>26</v>
      </c>
      <c r="M133" s="1" t="s">
        <v>27</v>
      </c>
      <c r="N133" s="1" t="s">
        <v>27</v>
      </c>
      <c r="O133" s="1" t="s">
        <v>27</v>
      </c>
      <c r="P133" s="1" t="s">
        <v>26</v>
      </c>
      <c r="Q133" s="4">
        <v>45414.664606481485</v>
      </c>
      <c r="R133" s="1" t="s">
        <v>26</v>
      </c>
      <c r="S133" s="1" t="s">
        <v>28</v>
      </c>
    </row>
    <row r="134" hidden="1">
      <c r="A134" s="1" t="s">
        <v>29</v>
      </c>
      <c r="B134" s="3" t="str">
        <f>HYPERLINK("https://hawk-eye.atlassian.net/browse/BAS-597?atlOrigin=eyJpIjoiYzgwYTQ0ZjEyNzQzNGJhN2JmNjEyZTM0NmRhZWZhNjIiLCJwIjoic2hlZXRzLWppcmEifQ","BAS-597")</f>
        <v>BAS-597</v>
      </c>
      <c r="C134" s="1" t="s">
        <v>191</v>
      </c>
      <c r="D134" s="1" t="s">
        <v>23</v>
      </c>
      <c r="E134" s="1" t="s">
        <v>31</v>
      </c>
      <c r="F134" s="4">
        <v>45414.6472337963</v>
      </c>
      <c r="G134" s="3" t="str">
        <f t="shared" si="11"/>
        <v/>
      </c>
      <c r="H134" s="1" t="s">
        <v>25</v>
      </c>
      <c r="I134" s="1" t="s">
        <v>26</v>
      </c>
      <c r="J134" s="1" t="s">
        <v>26</v>
      </c>
      <c r="K134" s="1" t="s">
        <v>26</v>
      </c>
      <c r="L134" s="1" t="s">
        <v>26</v>
      </c>
      <c r="M134" s="1" t="s">
        <v>27</v>
      </c>
      <c r="N134" s="1" t="s">
        <v>27</v>
      </c>
      <c r="O134" s="1" t="s">
        <v>27</v>
      </c>
      <c r="P134" s="1" t="s">
        <v>26</v>
      </c>
      <c r="Q134" s="4">
        <v>45722.72325231481</v>
      </c>
      <c r="R134" s="1" t="s">
        <v>26</v>
      </c>
      <c r="S134" s="1" t="s">
        <v>28</v>
      </c>
    </row>
    <row r="135" hidden="1">
      <c r="A135" s="1" t="s">
        <v>21</v>
      </c>
      <c r="B135" s="3" t="str">
        <f>HYPERLINK("https://hawk-eye.atlassian.net/browse/BAS-594?atlOrigin=eyJpIjoiYzgwYTQ0ZjEyNzQzNGJhN2JmNjEyZTM0NmRhZWZhNjIiLCJwIjoic2hlZXRzLWppcmEifQ","BAS-594")</f>
        <v>BAS-594</v>
      </c>
      <c r="C135" s="1" t="s">
        <v>192</v>
      </c>
      <c r="D135" s="1" t="s">
        <v>23</v>
      </c>
      <c r="E135" s="1" t="s">
        <v>31</v>
      </c>
      <c r="F135" s="4">
        <v>45413.864652777775</v>
      </c>
      <c r="G135" s="3" t="str">
        <f t="shared" si="11"/>
        <v/>
      </c>
      <c r="H135" s="1" t="s">
        <v>25</v>
      </c>
      <c r="I135" s="1" t="s">
        <v>26</v>
      </c>
      <c r="J135" s="1" t="s">
        <v>26</v>
      </c>
      <c r="K135" s="1" t="s">
        <v>26</v>
      </c>
      <c r="L135" s="1" t="s">
        <v>26</v>
      </c>
      <c r="M135" s="1" t="s">
        <v>27</v>
      </c>
      <c r="N135" s="1" t="s">
        <v>27</v>
      </c>
      <c r="O135" s="1" t="s">
        <v>27</v>
      </c>
      <c r="P135" s="1" t="s">
        <v>26</v>
      </c>
      <c r="Q135" s="4">
        <v>45413.864652777775</v>
      </c>
      <c r="R135" s="1" t="s">
        <v>26</v>
      </c>
      <c r="S135" s="1" t="s">
        <v>28</v>
      </c>
    </row>
    <row r="136" hidden="1">
      <c r="A136" s="1" t="s">
        <v>21</v>
      </c>
      <c r="B136" s="3" t="str">
        <f>HYPERLINK("https://hawk-eye.atlassian.net/browse/BAS-573?atlOrigin=eyJpIjoiYzgwYTQ0ZjEyNzQzNGJhN2JmNjEyZTM0NmRhZWZhNjIiLCJwIjoic2hlZXRzLWppcmEifQ","BAS-573")</f>
        <v>BAS-573</v>
      </c>
      <c r="C136" s="1" t="s">
        <v>193</v>
      </c>
      <c r="D136" s="1" t="s">
        <v>23</v>
      </c>
      <c r="E136" s="1" t="s">
        <v>31</v>
      </c>
      <c r="F136" s="4">
        <v>45387.35537037037</v>
      </c>
      <c r="G136" s="3" t="str">
        <f t="shared" si="11"/>
        <v/>
      </c>
      <c r="H136" s="1" t="s">
        <v>25</v>
      </c>
      <c r="I136" s="1" t="s">
        <v>26</v>
      </c>
      <c r="J136" s="1" t="s">
        <v>26</v>
      </c>
      <c r="K136" s="1" t="s">
        <v>26</v>
      </c>
      <c r="L136" s="1" t="s">
        <v>26</v>
      </c>
      <c r="M136" s="1" t="s">
        <v>27</v>
      </c>
      <c r="N136" s="1" t="s">
        <v>27</v>
      </c>
      <c r="O136" s="1" t="s">
        <v>27</v>
      </c>
      <c r="P136" s="1" t="s">
        <v>26</v>
      </c>
      <c r="Q136" s="4">
        <v>45387.35537037037</v>
      </c>
      <c r="R136" s="1" t="s">
        <v>26</v>
      </c>
      <c r="S136" s="1" t="s">
        <v>28</v>
      </c>
    </row>
    <row r="137" hidden="1">
      <c r="A137" s="1" t="s">
        <v>21</v>
      </c>
      <c r="B137" s="3" t="str">
        <f>HYPERLINK("https://hawk-eye.atlassian.net/browse/BAS-565?atlOrigin=eyJpIjoiYzgwYTQ0ZjEyNzQzNGJhN2JmNjEyZTM0NmRhZWZhNjIiLCJwIjoic2hlZXRzLWppcmEifQ","BAS-565")</f>
        <v>BAS-565</v>
      </c>
      <c r="C137" s="1" t="s">
        <v>194</v>
      </c>
      <c r="D137" s="1" t="s">
        <v>23</v>
      </c>
      <c r="E137" s="1" t="s">
        <v>31</v>
      </c>
      <c r="F137" s="4">
        <v>45377.6690625</v>
      </c>
      <c r="G137" s="3" t="str">
        <f t="shared" si="11"/>
        <v/>
      </c>
      <c r="H137" s="1" t="s">
        <v>25</v>
      </c>
      <c r="I137" s="1" t="s">
        <v>26</v>
      </c>
      <c r="J137" s="1" t="s">
        <v>26</v>
      </c>
      <c r="K137" s="1" t="s">
        <v>26</v>
      </c>
      <c r="L137" s="1" t="s">
        <v>26</v>
      </c>
      <c r="M137" s="1" t="s">
        <v>27</v>
      </c>
      <c r="N137" s="1" t="s">
        <v>27</v>
      </c>
      <c r="O137" s="1" t="s">
        <v>27</v>
      </c>
      <c r="P137" s="1" t="s">
        <v>26</v>
      </c>
      <c r="Q137" s="4">
        <v>45377.6690625</v>
      </c>
      <c r="R137" s="1" t="s">
        <v>26</v>
      </c>
      <c r="S137" s="1" t="s">
        <v>28</v>
      </c>
    </row>
    <row r="138" hidden="1">
      <c r="A138" s="1" t="s">
        <v>29</v>
      </c>
      <c r="B138" s="3" t="str">
        <f>HYPERLINK("https://hawk-eye.atlassian.net/browse/BAS-557?atlOrigin=eyJpIjoiYzgwYTQ0ZjEyNzQzNGJhN2JmNjEyZTM0NmRhZWZhNjIiLCJwIjoic2hlZXRzLWppcmEifQ","BAS-557")</f>
        <v>BAS-557</v>
      </c>
      <c r="C138" s="1" t="s">
        <v>195</v>
      </c>
      <c r="D138" s="1" t="s">
        <v>48</v>
      </c>
      <c r="E138" s="1" t="s">
        <v>31</v>
      </c>
      <c r="F138" s="4">
        <v>45370.36035879629</v>
      </c>
      <c r="G138" s="3" t="str">
        <f t="shared" si="11"/>
        <v/>
      </c>
      <c r="H138" s="1" t="s">
        <v>25</v>
      </c>
      <c r="I138" s="1" t="s">
        <v>26</v>
      </c>
      <c r="J138" s="1" t="s">
        <v>26</v>
      </c>
      <c r="K138" s="1" t="s">
        <v>26</v>
      </c>
      <c r="L138" s="1" t="s">
        <v>26</v>
      </c>
      <c r="M138" s="1" t="s">
        <v>27</v>
      </c>
      <c r="N138" s="1" t="s">
        <v>27</v>
      </c>
      <c r="O138" s="1" t="s">
        <v>27</v>
      </c>
      <c r="P138" s="1" t="s">
        <v>26</v>
      </c>
      <c r="Q138" s="4">
        <v>45370.36035879629</v>
      </c>
      <c r="R138" s="1" t="s">
        <v>26</v>
      </c>
      <c r="S138" s="1" t="s">
        <v>28</v>
      </c>
    </row>
    <row r="139" hidden="1">
      <c r="A139" s="1" t="s">
        <v>29</v>
      </c>
      <c r="B139" s="3" t="str">
        <f>HYPERLINK("https://hawk-eye.atlassian.net/browse/BAS-550?atlOrigin=eyJpIjoiYzgwYTQ0ZjEyNzQzNGJhN2JmNjEyZTM0NmRhZWZhNjIiLCJwIjoic2hlZXRzLWppcmEifQ","BAS-550")</f>
        <v>BAS-550</v>
      </c>
      <c r="C139" s="1" t="s">
        <v>196</v>
      </c>
      <c r="D139" s="1" t="s">
        <v>48</v>
      </c>
      <c r="E139" s="1" t="s">
        <v>31</v>
      </c>
      <c r="F139" s="4">
        <v>45364.559953703705</v>
      </c>
      <c r="G139" s="3" t="str">
        <f t="shared" si="11"/>
        <v/>
      </c>
      <c r="H139" s="1" t="s">
        <v>25</v>
      </c>
      <c r="I139" s="1" t="s">
        <v>26</v>
      </c>
      <c r="J139" s="1" t="s">
        <v>26</v>
      </c>
      <c r="K139" s="1" t="s">
        <v>26</v>
      </c>
      <c r="L139" s="1" t="s">
        <v>26</v>
      </c>
      <c r="M139" s="1" t="s">
        <v>27</v>
      </c>
      <c r="N139" s="1" t="s">
        <v>27</v>
      </c>
      <c r="O139" s="1" t="s">
        <v>27</v>
      </c>
      <c r="P139" s="1" t="s">
        <v>26</v>
      </c>
      <c r="Q139" s="4">
        <v>45364.559953703705</v>
      </c>
      <c r="R139" s="1" t="s">
        <v>26</v>
      </c>
      <c r="S139" s="1" t="s">
        <v>28</v>
      </c>
    </row>
    <row r="140" hidden="1">
      <c r="A140" s="1" t="s">
        <v>29</v>
      </c>
      <c r="B140" s="3" t="str">
        <f>HYPERLINK("https://hawk-eye.atlassian.net/browse/BAS-549?atlOrigin=eyJpIjoiYzgwYTQ0ZjEyNzQzNGJhN2JmNjEyZTM0NmRhZWZhNjIiLCJwIjoic2hlZXRzLWppcmEifQ","BAS-549")</f>
        <v>BAS-549</v>
      </c>
      <c r="C140" s="1" t="s">
        <v>197</v>
      </c>
      <c r="D140" s="1" t="s">
        <v>48</v>
      </c>
      <c r="E140" s="1" t="s">
        <v>41</v>
      </c>
      <c r="F140" s="4">
        <v>45364.55946759259</v>
      </c>
      <c r="G140" s="3" t="str">
        <f t="shared" si="11"/>
        <v/>
      </c>
      <c r="H140" s="1" t="s">
        <v>25</v>
      </c>
      <c r="I140" s="1" t="s">
        <v>26</v>
      </c>
      <c r="J140" s="1" t="s">
        <v>26</v>
      </c>
      <c r="K140" s="1" t="s">
        <v>26</v>
      </c>
      <c r="L140" s="1" t="s">
        <v>26</v>
      </c>
      <c r="M140" s="1" t="s">
        <v>27</v>
      </c>
      <c r="N140" s="1" t="s">
        <v>27</v>
      </c>
      <c r="O140" s="1" t="s">
        <v>27</v>
      </c>
      <c r="P140" s="1" t="s">
        <v>26</v>
      </c>
      <c r="Q140" s="4">
        <v>45854.68462962963</v>
      </c>
      <c r="R140" s="1" t="s">
        <v>26</v>
      </c>
      <c r="S140" s="1" t="s">
        <v>28</v>
      </c>
    </row>
    <row r="141" hidden="1">
      <c r="A141" s="1" t="s">
        <v>29</v>
      </c>
      <c r="B141" s="3" t="str">
        <f>HYPERLINK("https://hawk-eye.atlassian.net/browse/BAS-547?atlOrigin=eyJpIjoiYzgwYTQ0ZjEyNzQzNGJhN2JmNjEyZTM0NmRhZWZhNjIiLCJwIjoic2hlZXRzLWppcmEifQ","BAS-547")</f>
        <v>BAS-547</v>
      </c>
      <c r="C141" s="1" t="s">
        <v>198</v>
      </c>
      <c r="D141" s="1" t="s">
        <v>48</v>
      </c>
      <c r="E141" s="1" t="s">
        <v>31</v>
      </c>
      <c r="F141" s="4">
        <v>45364.55883101852</v>
      </c>
      <c r="G141" s="3" t="str">
        <f t="shared" si="11"/>
        <v/>
      </c>
      <c r="H141" s="1" t="s">
        <v>25</v>
      </c>
      <c r="I141" s="1" t="s">
        <v>26</v>
      </c>
      <c r="J141" s="1" t="s">
        <v>26</v>
      </c>
      <c r="K141" s="1" t="s">
        <v>26</v>
      </c>
      <c r="L141" s="1" t="s">
        <v>26</v>
      </c>
      <c r="M141" s="1" t="s">
        <v>27</v>
      </c>
      <c r="N141" s="1" t="s">
        <v>27</v>
      </c>
      <c r="O141" s="1" t="s">
        <v>27</v>
      </c>
      <c r="P141" s="1" t="s">
        <v>26</v>
      </c>
      <c r="Q141" s="4">
        <v>45364.558842592596</v>
      </c>
      <c r="R141" s="1" t="s">
        <v>26</v>
      </c>
      <c r="S141" s="1" t="s">
        <v>28</v>
      </c>
    </row>
    <row r="142" hidden="1">
      <c r="A142" s="1" t="s">
        <v>29</v>
      </c>
      <c r="B142" s="3" t="str">
        <f>HYPERLINK("https://hawk-eye.atlassian.net/browse/BAS-546?atlOrigin=eyJpIjoiYzgwYTQ0ZjEyNzQzNGJhN2JmNjEyZTM0NmRhZWZhNjIiLCJwIjoic2hlZXRzLWppcmEifQ","BAS-546")</f>
        <v>BAS-546</v>
      </c>
      <c r="C142" s="1" t="s">
        <v>199</v>
      </c>
      <c r="D142" s="1" t="s">
        <v>48</v>
      </c>
      <c r="E142" s="1" t="s">
        <v>41</v>
      </c>
      <c r="F142" s="4">
        <v>45364.55869212963</v>
      </c>
      <c r="G142" s="3" t="str">
        <f>HYPERLINK("https://hawk-eye.atlassian.net/browse/BAS-1026?atlOrigin=eyJpIjoiYzgwYTQ0ZjEyNzQzNGJhN2JmNjEyZTM0NmRhZWZhNjIiLCJwIjoic2hlZXRzLWppcmEifQ","BAS-1026")</f>
        <v>BAS-1026</v>
      </c>
      <c r="H142" s="1" t="s">
        <v>25</v>
      </c>
      <c r="I142" s="1" t="s">
        <v>26</v>
      </c>
      <c r="J142" s="1" t="s">
        <v>26</v>
      </c>
      <c r="K142" s="1" t="s">
        <v>26</v>
      </c>
      <c r="L142" s="1" t="s">
        <v>26</v>
      </c>
      <c r="M142" s="1" t="s">
        <v>27</v>
      </c>
      <c r="N142" s="1" t="s">
        <v>27</v>
      </c>
      <c r="O142" s="1" t="s">
        <v>27</v>
      </c>
      <c r="P142" s="1" t="s">
        <v>26</v>
      </c>
      <c r="Q142" s="4">
        <v>45756.58483796296</v>
      </c>
      <c r="R142" s="1" t="s">
        <v>26</v>
      </c>
      <c r="S142" s="1" t="s">
        <v>28</v>
      </c>
    </row>
    <row r="143" hidden="1">
      <c r="A143" s="1" t="s">
        <v>29</v>
      </c>
      <c r="B143" s="3" t="str">
        <f>HYPERLINK("https://hawk-eye.atlassian.net/browse/BAS-545?atlOrigin=eyJpIjoiYzgwYTQ0ZjEyNzQzNGJhN2JmNjEyZTM0NmRhZWZhNjIiLCJwIjoic2hlZXRzLWppcmEifQ","BAS-545")</f>
        <v>BAS-545</v>
      </c>
      <c r="C143" s="1" t="s">
        <v>200</v>
      </c>
      <c r="D143" s="1" t="s">
        <v>48</v>
      </c>
      <c r="E143" s="1" t="s">
        <v>31</v>
      </c>
      <c r="F143" s="4">
        <v>45364.55767361111</v>
      </c>
      <c r="G143" s="3" t="str">
        <f>HYPERLINK("https://hawk-eye.atlassian.net/browse/BAS-695?atlOrigin=eyJpIjoiYzgwYTQ0ZjEyNzQzNGJhN2JmNjEyZTM0NmRhZWZhNjIiLCJwIjoic2hlZXRzLWppcmEifQ","BAS-695")</f>
        <v>BAS-695</v>
      </c>
      <c r="H143" s="1" t="s">
        <v>25</v>
      </c>
      <c r="I143" s="1" t="s">
        <v>26</v>
      </c>
      <c r="J143" s="1" t="s">
        <v>26</v>
      </c>
      <c r="K143" s="1" t="s">
        <v>26</v>
      </c>
      <c r="L143" s="1" t="s">
        <v>26</v>
      </c>
      <c r="M143" s="1" t="s">
        <v>27</v>
      </c>
      <c r="N143" s="1" t="s">
        <v>27</v>
      </c>
      <c r="O143" s="1" t="s">
        <v>27</v>
      </c>
      <c r="P143" s="1" t="s">
        <v>26</v>
      </c>
      <c r="Q143" s="4">
        <v>45364.55767361111</v>
      </c>
      <c r="R143" s="1" t="s">
        <v>26</v>
      </c>
      <c r="S143" s="1" t="s">
        <v>28</v>
      </c>
    </row>
    <row r="144" hidden="1">
      <c r="A144" s="1" t="s">
        <v>29</v>
      </c>
      <c r="B144" s="3" t="str">
        <f>HYPERLINK("https://hawk-eye.atlassian.net/browse/BAS-510?atlOrigin=eyJpIjoiYzgwYTQ0ZjEyNzQzNGJhN2JmNjEyZTM0NmRhZWZhNjIiLCJwIjoic2hlZXRzLWppcmEifQ","BAS-510")</f>
        <v>BAS-510</v>
      </c>
      <c r="C144" s="1" t="s">
        <v>201</v>
      </c>
      <c r="D144" s="1" t="s">
        <v>23</v>
      </c>
      <c r="E144" s="1" t="s">
        <v>31</v>
      </c>
      <c r="F144" s="4">
        <v>45331.4552662037</v>
      </c>
      <c r="G144" s="3" t="str">
        <f t="shared" ref="G144:G145" si="12">HYPERLINK("https://hawk-eye.atlassian.net/browse/?atlOrigin=eyJpIjoiYzgwYTQ0ZjEyNzQzNGJhN2JmNjEyZTM0NmRhZWZhNjIiLCJwIjoic2hlZXRzLWppcmEifQ","")</f>
        <v/>
      </c>
      <c r="H144" s="1" t="s">
        <v>25</v>
      </c>
      <c r="I144" s="1" t="s">
        <v>26</v>
      </c>
      <c r="J144" s="1" t="s">
        <v>26</v>
      </c>
      <c r="K144" s="1" t="s">
        <v>26</v>
      </c>
      <c r="L144" s="1" t="s">
        <v>26</v>
      </c>
      <c r="M144" s="1" t="s">
        <v>27</v>
      </c>
      <c r="N144" s="1" t="s">
        <v>27</v>
      </c>
      <c r="O144" s="1" t="s">
        <v>27</v>
      </c>
      <c r="P144" s="1" t="s">
        <v>26</v>
      </c>
      <c r="Q144" s="4">
        <v>45331.45527777778</v>
      </c>
      <c r="R144" s="1" t="s">
        <v>26</v>
      </c>
      <c r="S144" s="1" t="s">
        <v>28</v>
      </c>
    </row>
    <row r="145" hidden="1">
      <c r="A145" s="1" t="s">
        <v>21</v>
      </c>
      <c r="B145" s="3" t="str">
        <f>HYPERLINK("https://hawk-eye.atlassian.net/browse/BAS-502?atlOrigin=eyJpIjoiYzgwYTQ0ZjEyNzQzNGJhN2JmNjEyZTM0NmRhZWZhNjIiLCJwIjoic2hlZXRzLWppcmEifQ","BAS-502")</f>
        <v>BAS-502</v>
      </c>
      <c r="C145" s="1" t="s">
        <v>202</v>
      </c>
      <c r="D145" s="1" t="s">
        <v>83</v>
      </c>
      <c r="E145" s="1" t="s">
        <v>31</v>
      </c>
      <c r="F145" s="4">
        <v>45323.718506944446</v>
      </c>
      <c r="G145" s="3" t="str">
        <f t="shared" si="12"/>
        <v/>
      </c>
      <c r="H145" s="1" t="s">
        <v>25</v>
      </c>
      <c r="I145" s="1" t="s">
        <v>26</v>
      </c>
      <c r="J145" s="1" t="s">
        <v>26</v>
      </c>
      <c r="K145" s="1" t="s">
        <v>26</v>
      </c>
      <c r="L145" s="1" t="s">
        <v>26</v>
      </c>
      <c r="M145" s="1" t="s">
        <v>27</v>
      </c>
      <c r="N145" s="1" t="s">
        <v>27</v>
      </c>
      <c r="O145" s="1" t="s">
        <v>27</v>
      </c>
      <c r="P145" s="1" t="s">
        <v>26</v>
      </c>
      <c r="Q145" s="4">
        <v>45323.718518518515</v>
      </c>
      <c r="R145" s="1" t="s">
        <v>26</v>
      </c>
      <c r="S145" s="1" t="s">
        <v>28</v>
      </c>
    </row>
    <row r="146" hidden="1">
      <c r="A146" s="1" t="s">
        <v>29</v>
      </c>
      <c r="B146" s="3" t="str">
        <f>HYPERLINK("https://hawk-eye.atlassian.net/browse/BAS-493?atlOrigin=eyJpIjoiYzgwYTQ0ZjEyNzQzNGJhN2JmNjEyZTM0NmRhZWZhNjIiLCJwIjoic2hlZXRzLWppcmEifQ","BAS-493")</f>
        <v>BAS-493</v>
      </c>
      <c r="C146" s="1" t="s">
        <v>203</v>
      </c>
      <c r="D146" s="1" t="s">
        <v>23</v>
      </c>
      <c r="E146" s="1" t="s">
        <v>31</v>
      </c>
      <c r="F146" s="4">
        <v>45315.849178240744</v>
      </c>
      <c r="G146" s="3" t="str">
        <f>HYPERLINK("https://hawk-eye.atlassian.net/browse/BAS-477?atlOrigin=eyJpIjoiYzgwYTQ0ZjEyNzQzNGJhN2JmNjEyZTM0NmRhZWZhNjIiLCJwIjoic2hlZXRzLWppcmEifQ","BAS-477")</f>
        <v>BAS-477</v>
      </c>
      <c r="H146" s="1" t="s">
        <v>25</v>
      </c>
      <c r="I146" s="1" t="s">
        <v>26</v>
      </c>
      <c r="J146" s="1" t="s">
        <v>26</v>
      </c>
      <c r="K146" s="1" t="s">
        <v>26</v>
      </c>
      <c r="L146" s="1" t="s">
        <v>26</v>
      </c>
      <c r="M146" s="1" t="s">
        <v>27</v>
      </c>
      <c r="N146" s="1" t="s">
        <v>27</v>
      </c>
      <c r="O146" s="1" t="s">
        <v>27</v>
      </c>
      <c r="P146" s="1" t="s">
        <v>26</v>
      </c>
      <c r="Q146" s="4">
        <v>45315.849178240744</v>
      </c>
      <c r="R146" s="1" t="s">
        <v>26</v>
      </c>
      <c r="S146" s="1" t="s">
        <v>28</v>
      </c>
    </row>
    <row r="147" hidden="1">
      <c r="A147" s="1" t="s">
        <v>29</v>
      </c>
      <c r="B147" s="3" t="str">
        <f>HYPERLINK("https://hawk-eye.atlassian.net/browse/BAS-491?atlOrigin=eyJpIjoiYzgwYTQ0ZjEyNzQzNGJhN2JmNjEyZTM0NmRhZWZhNjIiLCJwIjoic2hlZXRzLWppcmEifQ","BAS-491")</f>
        <v>BAS-491</v>
      </c>
      <c r="C147" s="1" t="s">
        <v>204</v>
      </c>
      <c r="D147" s="1" t="s">
        <v>23</v>
      </c>
      <c r="E147" s="1" t="s">
        <v>24</v>
      </c>
      <c r="F147" s="4">
        <v>45315.18890046296</v>
      </c>
      <c r="G147" s="3" t="str">
        <f t="shared" ref="G147:G148" si="13">HYPERLINK("https://hawk-eye.atlassian.net/browse/?atlOrigin=eyJpIjoiYzgwYTQ0ZjEyNzQzNGJhN2JmNjEyZTM0NmRhZWZhNjIiLCJwIjoic2hlZXRzLWppcmEifQ","")</f>
        <v/>
      </c>
      <c r="H147" s="1" t="s">
        <v>25</v>
      </c>
      <c r="I147" s="1" t="s">
        <v>26</v>
      </c>
      <c r="J147" s="1" t="s">
        <v>26</v>
      </c>
      <c r="K147" s="1" t="s">
        <v>26</v>
      </c>
      <c r="L147" s="1" t="s">
        <v>26</v>
      </c>
      <c r="M147" s="1" t="s">
        <v>27</v>
      </c>
      <c r="N147" s="1" t="s">
        <v>27</v>
      </c>
      <c r="O147" s="1" t="s">
        <v>27</v>
      </c>
      <c r="P147" s="1" t="s">
        <v>26</v>
      </c>
      <c r="Q147" s="4">
        <v>45335.50096064815</v>
      </c>
      <c r="R147" s="1" t="s">
        <v>26</v>
      </c>
      <c r="S147" s="1" t="s">
        <v>28</v>
      </c>
    </row>
    <row r="148" hidden="1">
      <c r="A148" s="1" t="s">
        <v>29</v>
      </c>
      <c r="B148" s="3" t="str">
        <f>HYPERLINK("https://hawk-eye.atlassian.net/browse/BAS-487?atlOrigin=eyJpIjoiYzgwYTQ0ZjEyNzQzNGJhN2JmNjEyZTM0NmRhZWZhNjIiLCJwIjoic2hlZXRzLWppcmEifQ","BAS-487")</f>
        <v>BAS-487</v>
      </c>
      <c r="C148" s="1" t="s">
        <v>205</v>
      </c>
      <c r="D148" s="1" t="s">
        <v>83</v>
      </c>
      <c r="E148" s="1" t="s">
        <v>31</v>
      </c>
      <c r="F148" s="4">
        <v>45309.923414351855</v>
      </c>
      <c r="G148" s="3" t="str">
        <f t="shared" si="13"/>
        <v/>
      </c>
      <c r="H148" s="1" t="s">
        <v>25</v>
      </c>
      <c r="I148" s="1" t="s">
        <v>26</v>
      </c>
      <c r="J148" s="1" t="s">
        <v>26</v>
      </c>
      <c r="K148" s="1" t="s">
        <v>26</v>
      </c>
      <c r="L148" s="1" t="s">
        <v>26</v>
      </c>
      <c r="M148" s="1" t="s">
        <v>27</v>
      </c>
      <c r="N148" s="1" t="s">
        <v>27</v>
      </c>
      <c r="O148" s="1" t="s">
        <v>27</v>
      </c>
      <c r="P148" s="1" t="s">
        <v>26</v>
      </c>
      <c r="Q148" s="4">
        <v>45309.923414351855</v>
      </c>
      <c r="R148" s="1" t="s">
        <v>26</v>
      </c>
      <c r="S148" s="1" t="s">
        <v>28</v>
      </c>
    </row>
    <row r="149" hidden="1">
      <c r="F149" s="4"/>
      <c r="Q149" s="4"/>
    </row>
    <row r="150" hidden="1">
      <c r="F150" s="4"/>
      <c r="Q150" s="4"/>
    </row>
    <row r="151" hidden="1">
      <c r="F151" s="4"/>
      <c r="Q151" s="4"/>
    </row>
    <row r="152" hidden="1">
      <c r="F152" s="4"/>
      <c r="Q152" s="4"/>
    </row>
    <row r="153" hidden="1">
      <c r="F153" s="4"/>
      <c r="Q153" s="4"/>
    </row>
    <row r="154" hidden="1">
      <c r="F154" s="4"/>
      <c r="Q154" s="4"/>
    </row>
    <row r="155" hidden="1">
      <c r="F155" s="4"/>
      <c r="Q155" s="4"/>
    </row>
    <row r="156" hidden="1">
      <c r="F156" s="4"/>
      <c r="Q156" s="4"/>
    </row>
    <row r="157" hidden="1">
      <c r="F157" s="4"/>
      <c r="Q157" s="4"/>
    </row>
    <row r="158" hidden="1">
      <c r="F158" s="4"/>
      <c r="Q158" s="4"/>
    </row>
    <row r="159" hidden="1">
      <c r="F159" s="4"/>
      <c r="Q159" s="4"/>
    </row>
    <row r="160" hidden="1">
      <c r="F160" s="4"/>
      <c r="Q160" s="4"/>
    </row>
    <row r="161" hidden="1">
      <c r="F161" s="4"/>
      <c r="Q161" s="4"/>
    </row>
    <row r="162" hidden="1">
      <c r="F162" s="4"/>
      <c r="Q162" s="4"/>
    </row>
    <row r="163" hidden="1">
      <c r="F163" s="4"/>
      <c r="Q163" s="4"/>
    </row>
    <row r="164" hidden="1">
      <c r="F164" s="4"/>
      <c r="Q164" s="4"/>
    </row>
    <row r="165" hidden="1">
      <c r="F165" s="4"/>
      <c r="Q165" s="4"/>
    </row>
    <row r="166" hidden="1">
      <c r="F166" s="4"/>
      <c r="Q166" s="4"/>
    </row>
    <row r="167" hidden="1">
      <c r="F167" s="4"/>
      <c r="Q167" s="4"/>
    </row>
    <row r="168" hidden="1">
      <c r="F168" s="4"/>
      <c r="Q168" s="4"/>
    </row>
    <row r="169" hidden="1">
      <c r="F169" s="4"/>
      <c r="Q169" s="4"/>
    </row>
    <row r="170" hidden="1">
      <c r="F170" s="4"/>
      <c r="Q170" s="4"/>
    </row>
    <row r="171" hidden="1">
      <c r="F171" s="4"/>
      <c r="Q171" s="4"/>
    </row>
    <row r="172" hidden="1">
      <c r="F172" s="4"/>
      <c r="Q172" s="4"/>
    </row>
    <row r="173" hidden="1">
      <c r="F173" s="4"/>
      <c r="Q173" s="4"/>
    </row>
    <row r="174" hidden="1">
      <c r="F174" s="4"/>
      <c r="Q174" s="4"/>
    </row>
    <row r="175" hidden="1">
      <c r="F175" s="4"/>
      <c r="Q175" s="4"/>
    </row>
    <row r="176" hidden="1">
      <c r="F176" s="4"/>
      <c r="Q176" s="4"/>
    </row>
    <row r="177" hidden="1">
      <c r="F177" s="4"/>
      <c r="Q177" s="4"/>
    </row>
    <row r="178" hidden="1">
      <c r="F178" s="4"/>
      <c r="Q178" s="4"/>
    </row>
    <row r="179" hidden="1">
      <c r="F179" s="4"/>
      <c r="Q179" s="4"/>
    </row>
    <row r="180" hidden="1">
      <c r="F180" s="4"/>
      <c r="Q180" s="4"/>
    </row>
    <row r="181" hidden="1">
      <c r="F181" s="4"/>
      <c r="Q181" s="4"/>
    </row>
    <row r="182" hidden="1">
      <c r="F182" s="4"/>
      <c r="Q182" s="4"/>
    </row>
    <row r="183" hidden="1">
      <c r="F183" s="4"/>
      <c r="Q183" s="4"/>
    </row>
    <row r="184" hidden="1">
      <c r="F184" s="4"/>
      <c r="Q184" s="4"/>
    </row>
    <row r="185" hidden="1">
      <c r="F185" s="4"/>
      <c r="Q185" s="4"/>
    </row>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0">
      <filters>
        <filter val="Bug"/>
      </filters>
    </filterColumn>
    <sortState ref="A1:Z1000">
      <sortCondition ref="R1:R100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4" max="4" width="14.88"/>
    <col customWidth="1" min="5" max="5" width="16.5"/>
  </cols>
  <sheetData>
    <row r="1">
      <c r="B1" s="8"/>
      <c r="C1" s="8"/>
    </row>
    <row r="2">
      <c r="B2" s="9" t="s">
        <v>206</v>
      </c>
      <c r="F2" s="10" t="s">
        <v>207</v>
      </c>
      <c r="G2" s="2" t="s">
        <v>64</v>
      </c>
    </row>
    <row r="3">
      <c r="B3" s="11" t="s">
        <v>208</v>
      </c>
    </row>
    <row r="4">
      <c r="B4" s="12">
        <f>now()</f>
        <v>46053.43426</v>
      </c>
    </row>
    <row r="5">
      <c r="B5" s="13" t="s">
        <v>209</v>
      </c>
      <c r="C5" s="14"/>
      <c r="E5" s="15" t="s">
        <v>210</v>
      </c>
    </row>
    <row r="6">
      <c r="B6" s="16" t="str">
        <f>IF(COUNTIF(F7:G7,"Red")&gt;0,"Red",if(COUNTIF(F7:G7,"Amber")&gt;0,"Amber","Green"))</f>
        <v>Green</v>
      </c>
      <c r="C6" s="17"/>
      <c r="E6" s="2" t="s">
        <v>211</v>
      </c>
      <c r="F6" s="2" t="s">
        <v>212</v>
      </c>
      <c r="G6" s="2" t="s">
        <v>213</v>
      </c>
      <c r="H6" s="2" t="s">
        <v>214</v>
      </c>
    </row>
    <row r="7">
      <c r="B7" s="18"/>
      <c r="C7" s="19"/>
      <c r="E7" s="20" t="str">
        <f>IF(COUNTIF(N22:P24,"Red")&gt;0,"Red",if(COUNTIF(N22:P24,"Amber")&gt;0,"Amber","Green"))</f>
        <v>Red</v>
      </c>
      <c r="F7" s="20" t="str">
        <f>IF(COUNTIF(N30:P32,"Red")&gt;0,"Red",if(COUNTIF(N30:P32,"Amber")&gt;0,"Amber","Green"))</f>
        <v>Green</v>
      </c>
      <c r="G7" s="20" t="str">
        <f>IF(COUNTIF(J16,"Red")&gt;0,"Red",if(COUNTIF(J16,"Amber")&gt;0,"Amber","Green"))</f>
        <v>Green</v>
      </c>
      <c r="H7" s="21">
        <f>COUNTIF(JIRA!E:E, "In Review")+COUNTIF(JIRA!E:E, "Backlog")+COUNTIF(JIRA!E:E, "On Hold)")</f>
        <v>55</v>
      </c>
    </row>
    <row r="8">
      <c r="B8" s="22"/>
      <c r="C8" s="23"/>
    </row>
    <row r="10">
      <c r="B10" s="24" t="s">
        <v>215</v>
      </c>
      <c r="D10" s="25" t="s">
        <v>216</v>
      </c>
      <c r="E10" s="26"/>
      <c r="F10" s="26"/>
      <c r="G10" s="26"/>
      <c r="H10" s="26"/>
      <c r="I10" s="10" t="s">
        <v>217</v>
      </c>
      <c r="J10" s="25" t="s">
        <v>216</v>
      </c>
    </row>
    <row r="11">
      <c r="C11" s="27"/>
      <c r="D11" s="28" t="s">
        <v>218</v>
      </c>
      <c r="E11" s="29"/>
      <c r="F11" s="29"/>
      <c r="G11" s="30"/>
      <c r="H11" s="26"/>
      <c r="I11" s="21" t="s">
        <v>40</v>
      </c>
      <c r="J11" s="31">
        <f>IF($J$10="Release",COUNTIFS(Issue_Type,"Bug",jira_priority,I11,jira_status,"&lt;&gt;Closed",jira_status,"&lt;&gt;Done",fixVersion,$G$2),COUNTIFS(Issue_Type,"Bug",jira_priority,I11,jira_status,"&lt;&gt;Closed",jira_status,"&lt;&gt;Done"))</f>
        <v>0</v>
      </c>
    </row>
    <row r="12">
      <c r="C12" s="32"/>
      <c r="D12" s="33" t="s">
        <v>219</v>
      </c>
      <c r="E12" s="33" t="s">
        <v>220</v>
      </c>
      <c r="F12" s="34" t="s">
        <v>221</v>
      </c>
      <c r="G12" s="34" t="s">
        <v>222</v>
      </c>
      <c r="I12" s="21" t="s">
        <v>34</v>
      </c>
      <c r="J12" s="31">
        <f>IF($J$10="Release",COUNTIFS(Issue_Type,"Bug",jira_priority,I12,jira_status,"&lt;&gt;Closed",jira_status,"&lt;&gt;Done",fixVersion,$G$2),COUNTIFS(Issue_Type,"Bug",jira_priority,I12,jira_status,"&lt;&gt;Closed",jira_status,"&lt;&gt;Done"))</f>
        <v>0</v>
      </c>
    </row>
    <row r="13">
      <c r="B13" s="35" t="s">
        <v>223</v>
      </c>
      <c r="C13" s="36" t="s">
        <v>224</v>
      </c>
      <c r="D13" s="37">
        <f>IF(D10="Release",COUNTIFS(impact_of_failure,3,Likelihood_of_failure,1,release,G2),COUNTIFS(impact_of_failure,3,Likelihood_of_failure,1))</f>
        <v>0</v>
      </c>
      <c r="E13" s="38">
        <f>if(D10="Release",COUNTIFS(impact_of_failure,2,Likelihood_of_failure,1,release,G2),COUNTIFS(impact_of_failure,2,Likelihood_of_failure,1))</f>
        <v>0</v>
      </c>
      <c r="F13" s="39">
        <f>IF(D10="Release",COUNTIFS(impact_of_failure,1,Likelihood_of_failure,1,release,G2),COUNTIFS(impact_of_failure,1,Likelihood_of_failure,1))</f>
        <v>0</v>
      </c>
      <c r="G13" s="31">
        <f t="shared" ref="G13:G15" si="1">SUM(D13:F13)</f>
        <v>0</v>
      </c>
      <c r="I13" s="21" t="s">
        <v>23</v>
      </c>
      <c r="J13" s="31">
        <f>IF($J$10="Release",COUNTIFS(Issue_Type,"Bug",jira_priority,I13,jira_status,"&lt;&gt;Closed",jira_status,"&lt;&gt;Done",fixVersion,$G$2),COUNTIFS(Issue_Type,"Bug",jira_priority,I13,jira_status,"&lt;&gt;Closed",jira_status,"&lt;&gt;Done"))</f>
        <v>0</v>
      </c>
    </row>
    <row r="14">
      <c r="B14" s="40"/>
      <c r="C14" s="36" t="s">
        <v>225</v>
      </c>
      <c r="D14" s="41">
        <f>IF(D10="Release",COUNTIFS(impact_of_failure,3,Likelihood_of_failure,2,release,G2),COUNTIFS(impact_of_failure,3,Likelihood_of_failure,2))</f>
        <v>0</v>
      </c>
      <c r="E14" s="37">
        <f>IF(D10="Release",COUNTIFS(impact_of_failure,2,Likelihood_of_failure,2,release,G2),COUNTIFS(impact_of_failure,2,Likelihood_of_failure,2))</f>
        <v>0</v>
      </c>
      <c r="F14" s="42">
        <f>IF(D10="Release",COUNTIFS(impact_of_failure,1,Likelihood_of_failure,2,release,G2),COUNTIFS(impact_of_failure,1,Likelihood_of_failure,2))</f>
        <v>0</v>
      </c>
      <c r="G14" s="31">
        <f t="shared" si="1"/>
        <v>0</v>
      </c>
      <c r="I14" s="21" t="s">
        <v>83</v>
      </c>
      <c r="J14" s="31">
        <f>IF($J$10="Release",COUNTIFS(Issue_Type,"Bug",jira_priority,I14,jira_status,"&lt;&gt;Closed",jira_status,"&lt;&gt;Done",fixVersion,$G$2),COUNTIFS(Issue_Type,"Bug",jira_priority,I14,jira_status,"&lt;&gt;Closed",jira_status,"&lt;&gt;Done"))</f>
        <v>0</v>
      </c>
    </row>
    <row r="15">
      <c r="B15" s="40"/>
      <c r="C15" s="43" t="s">
        <v>226</v>
      </c>
      <c r="D15" s="41">
        <f>IF(D10="Release",COUNTIFS(impact_of_failure,3,Likelihood_of_failure,3,release,G2),COUNTIFS(impact_of_failure,3,Likelihood_of_failure,3))</f>
        <v>0</v>
      </c>
      <c r="E15" s="41">
        <f>IF(D10="Release",COUNTIFS(impact_of_failure,2,Likelihood_of_failure,3,release,G2),COUNTIFS(impact_of_failure,2,Likelihood_of_failure,3))</f>
        <v>0</v>
      </c>
      <c r="F15" s="38">
        <f>IF(D10="Release",COUNTIFS(impact_of_failure,1,Likelihood_of_failure,3,release,G2),COUNTIFS(impact_of_failure,1,Likelihood_of_failure,3))</f>
        <v>0</v>
      </c>
      <c r="G15" s="31">
        <f t="shared" si="1"/>
        <v>0</v>
      </c>
      <c r="I15" s="21" t="s">
        <v>227</v>
      </c>
      <c r="J15" s="31">
        <f>IF($J$10="Release",COUNTIFS(Issue_Type,"Bug",jira_priority,I15,jira_status,"&lt;&gt;Closed",jira_status,"&lt;&gt;Done",fixVersion,$G$2),COUNTIFS(Issue_Type,"Bug",jira_priority,I15,jira_status,"&lt;&gt;Closed",jira_status,"&lt;&gt;Done"))</f>
        <v>0</v>
      </c>
    </row>
    <row r="16">
      <c r="B16" s="44"/>
      <c r="C16" s="45" t="s">
        <v>222</v>
      </c>
      <c r="D16" s="46">
        <f t="shared" ref="D16:G16" si="2">SUM(D13:D15)</f>
        <v>0</v>
      </c>
      <c r="E16" s="46">
        <f t="shared" si="2"/>
        <v>0</v>
      </c>
      <c r="F16" s="46">
        <f t="shared" si="2"/>
        <v>0</v>
      </c>
      <c r="G16" s="47">
        <f t="shared" si="2"/>
        <v>0</v>
      </c>
      <c r="I16" s="21" t="s">
        <v>4</v>
      </c>
      <c r="J16" s="48" t="str">
        <f>IF(or(J11&gt;0,J12&gt;0),"Red",if(J13&gt;0,"Amber","Green"))</f>
        <v>Green</v>
      </c>
      <c r="P16" s="49"/>
    </row>
    <row r="18">
      <c r="P18" s="49"/>
    </row>
    <row r="20">
      <c r="B20" s="10" t="s">
        <v>228</v>
      </c>
      <c r="D20" s="25" t="s">
        <v>7</v>
      </c>
    </row>
    <row r="21">
      <c r="B21" s="32"/>
      <c r="C21" s="33" t="s">
        <v>219</v>
      </c>
      <c r="D21" s="33" t="s">
        <v>220</v>
      </c>
      <c r="E21" s="34" t="s">
        <v>221</v>
      </c>
      <c r="F21" s="34" t="s">
        <v>222</v>
      </c>
      <c r="H21" s="32"/>
      <c r="I21" s="33" t="s">
        <v>219</v>
      </c>
      <c r="J21" s="33" t="s">
        <v>220</v>
      </c>
      <c r="K21" s="34" t="s">
        <v>221</v>
      </c>
      <c r="L21" s="50"/>
      <c r="M21" s="32"/>
      <c r="N21" s="33" t="s">
        <v>219</v>
      </c>
      <c r="O21" s="33" t="s">
        <v>220</v>
      </c>
      <c r="P21" s="34" t="s">
        <v>221</v>
      </c>
    </row>
    <row r="22">
      <c r="B22" s="36" t="s">
        <v>224</v>
      </c>
      <c r="C22" s="37">
        <f>IF(D20="Release",COUNTIFS(impact_of_failure,3,Likelihood_of_failure,1,can_be_automated,"Yes",release,H7),COUNTIFS(impact_of_failure,3,Likelihood_of_failure,1,can_be_automated,"Yes"))</f>
        <v>1</v>
      </c>
      <c r="D22" s="38">
        <f>IF(D20="Release",COUNTIFS(impact_of_failure,2,Likelihood_of_failure,1,can_be_automated,"Yes",release,G2),COUNTIFS(impact_of_failure,2,Likelihood_of_failure,1,can_be_automated,"Yes"))</f>
        <v>7</v>
      </c>
      <c r="E22" s="39">
        <f>IF(D20="Release",COUNTIFS(impact_of_failure,1,Likelihood_of_failure,1,can_be_automated,"Yes",release,G2),COUNTIFS(impact_of_failure,1,Likelihood_of_failure,1,can_be_automated,"Yes"))</f>
        <v>14</v>
      </c>
      <c r="F22" s="46">
        <f t="shared" ref="F22:F24" si="3">SUM(C22:E22)</f>
        <v>22</v>
      </c>
      <c r="H22" s="36" t="s">
        <v>224</v>
      </c>
      <c r="I22" s="48">
        <f>IFERROR(if(D20="Release",COUNTIFS(impact_of_failure,3,Likelihood_of_failure,1,Automation_status,"Yes",release,G2),COUNTIFS(impact_of_failure,3,Likelihood_of_failure,1,Automation_status,"Yes"))/C22,1)</f>
        <v>1</v>
      </c>
      <c r="J22" s="51">
        <f>IFERROR(if(D20="Release",COUNTIFS(impact_of_failure,2,Likelihood_of_failure,1,Automation_status,"Yes",release,G2),COUNTIFS(impact_of_failure,2,Likelihood_of_failure,1,Automation_status,"Yes"))/D22,1)</f>
        <v>0.2857142857</v>
      </c>
      <c r="K22" s="52">
        <f>IFERROR(if(D20="Release",COUNTIFS(impact_of_failure,1,Likelihood_of_failure,1,Automation_status,"Yes",release,G2),COUNTIFS(impact_of_failure,1,Likelihood_of_failure,1,Automation_status,"Yes"))/E22,1)</f>
        <v>0.07142857143</v>
      </c>
      <c r="L22" s="53"/>
      <c r="M22" s="36" t="s">
        <v>224</v>
      </c>
      <c r="N22" s="48" t="str">
        <f>if(instructions!C$4=0,"Green",if(I22&lt;instructions!H$4,"Red",if(AND(I22&gt;=instructions!H$4,I22&lt;instructions!C$4),"Amber","Green")))</f>
        <v>Green</v>
      </c>
      <c r="O22" s="48" t="str">
        <f>if(instructions!D4=0,"Green",if(J22&lt;instructions!I4,"Red",if(AND(J22&gt;=instructions!I4,J22&lt;instructions!D4),"Amber","Green")))</f>
        <v>Amber</v>
      </c>
      <c r="P22" s="48" t="str">
        <f>if(instructions!E4=0,"Green",if(K22&lt;instructions!J4,"Red",if(AND(K22&gt;=instructions!J4,K22&lt;instructions!E4),"Amber","Green")))</f>
        <v>Red</v>
      </c>
    </row>
    <row r="23">
      <c r="B23" s="36" t="s">
        <v>225</v>
      </c>
      <c r="C23" s="41">
        <f>IF(D20="Release",COUNTIFS(impact_of_failure,3,Likelihood_of_failure,2,can_be_automated,"Yes",release,G2),COUNTIFS(impact_of_failure,3,Likelihood_of_failure,2,can_be_automated,"Yes"))</f>
        <v>5</v>
      </c>
      <c r="D23" s="37">
        <f>IF(D20="Release",COUNTIFS(impact_of_failure,2,Likelihood_of_failure,2,can_be_automated,"Yes",release,G2),COUNTIFS(impact_of_failure,2,Likelihood_of_failure,2,can_be_automated,"Yes"))</f>
        <v>20</v>
      </c>
      <c r="E23" s="42">
        <f>IF(D20="Release",COUNTIFS(impact_of_failure,1,Likelihood_of_failure,2,can_be_automated,"Yes",release,G2),COUNTIFS(impact_of_failure,1,Likelihood_of_failure,2,can_be_automated,"Yes"))</f>
        <v>28</v>
      </c>
      <c r="F23" s="46">
        <f t="shared" si="3"/>
        <v>53</v>
      </c>
      <c r="H23" s="36" t="s">
        <v>225</v>
      </c>
      <c r="I23" s="54">
        <f>IFERROR(if(D20="Release",COUNTIFS(impact_of_failure,3,Likelihood_of_failure,2,Automation_status,"Yes",release,G2),COUNTIFS(impact_of_failure,3,Likelihood_of_failure,2,Automation_status,"Yes"))/C23,1)</f>
        <v>0</v>
      </c>
      <c r="J23" s="48">
        <f>IFERROR(if(D20="Release", COUNTIFS(impact_of_failure,2,Likelihood_of_failure,2,Automation_status,"Yes",release,G2),COUNTIFS(impact_of_failure,2,Likelihood_of_failure,2,Automation_status,"Yes"))/D23,1)</f>
        <v>0.15</v>
      </c>
      <c r="K23" s="55">
        <f>IFERROR(if(D20="Release",COUNTIFS(impact_of_failure,1,Likelihood_of_failure,2,Automation_status,"Yes",release,G2),COUNTIFS(impact_of_failure,1,Likelihood_of_failure,2,Automation_status,"Yes"))/E23,1)</f>
        <v>0.2142857143</v>
      </c>
      <c r="L23" s="53"/>
      <c r="M23" s="36" t="s">
        <v>225</v>
      </c>
      <c r="N23" s="48" t="str">
        <f>if(instructions!C5=0,"Green",if(I23&lt;instructions!H5,"Red",if(AND(I23&gt;=instructions!H5,I23&lt;instructions!C5),"Amber","Green")))</f>
        <v>Green</v>
      </c>
      <c r="O23" s="48" t="str">
        <f>if(instructions!D5=0,"Green",if(J23&lt;instructions!I5,"Red",if(AND(J23&gt;=instructions!I5,J23&lt;instructions!D5),"Amber","Green")))</f>
        <v>Amber</v>
      </c>
      <c r="P23" s="48" t="str">
        <f>if(instructions!E5=0,"Green",if(K23&lt;instructions!J5,"Red",if(AND(K23&gt;=instructions!J5,K23&lt;instructions!E5),"Amber","Green")))</f>
        <v>Red</v>
      </c>
    </row>
    <row r="24">
      <c r="B24" s="43" t="s">
        <v>226</v>
      </c>
      <c r="C24" s="41">
        <f>IF(D20="Release",COUNTIFS(impact_of_failure,3,Likelihood_of_failure,3,can_be_automated,"Yes",release,G2),COUNTIFS(impact_of_failure,3,Likelihood_of_failure,3,can_be_automated,"Yes"))</f>
        <v>4</v>
      </c>
      <c r="D24" s="41">
        <f>IF(D20="Release",COUNTIFS(impact_of_failure,2,Likelihood_of_failure,3,can_be_automated,"Yes",release,G2),COUNTIFS(impact_of_failure,2,Likelihood_of_failure,3,can_be_automated,"Yes"))</f>
        <v>15</v>
      </c>
      <c r="E24" s="38">
        <f>IF(D20="Release",COUNTIFS(impact_of_failure,1,Likelihood_of_failure,3,can_be_automated,"Yes",release,G2),COUNTIFS(impact_of_failure,1,Likelihood_of_failure,3,can_be_automated,"Yes"))</f>
        <v>13</v>
      </c>
      <c r="F24" s="46">
        <f t="shared" si="3"/>
        <v>32</v>
      </c>
      <c r="H24" s="43" t="s">
        <v>226</v>
      </c>
      <c r="I24" s="54">
        <f>IFERROR(if(D20="Release", COUNTIFS(impact_of_failure,3,Likelihood_of_failure,3,Automation_status,"Yes",release,G2),COUNTIFS(impact_of_failure,3,Likelihood_of_failure,3,Automation_status,"Yes"))/C24,1)</f>
        <v>0</v>
      </c>
      <c r="J24" s="54">
        <f>IFERROR(if(D20="Release",COUNTIFS(impact_of_failure,2,Likelihood_of_failure,3,Automation_status,"Yes",release,G2),COUNTIFS(impact_of_failure,2,Likelihood_of_failure,3,Automation_status,"Yes"))/D24,1)</f>
        <v>0</v>
      </c>
      <c r="K24" s="51">
        <f>IFERROR(if(D20="Release",COUNTIFS(impact_of_failure,1,Likelihood_of_failure,3,Automation_status,"Yes",release,G2),COUNTIFS(impact_of_failure,1,Likelihood_of_failure,3,Automation_status,"Yes"))/E24,1)</f>
        <v>0.2307692308</v>
      </c>
      <c r="L24" s="53"/>
      <c r="M24" s="43" t="s">
        <v>226</v>
      </c>
      <c r="N24" s="48" t="str">
        <f>if(instructions!C6=0,"Green",if(I24&lt;instructions!H6,"Red",if(AND(I24&gt;=instructions!H6,I24&lt;instructions!C6),"Amber","Green")))</f>
        <v>Green</v>
      </c>
      <c r="O24" s="48" t="str">
        <f>if(instructions!D6=0,"Green",if(J24&lt;instructions!I6,"Red",if(AND(J24&gt;=instructions!I6,J24&lt;instructions!D6),"Amber","Green")))</f>
        <v>Green</v>
      </c>
      <c r="P24" s="48" t="str">
        <f>if(instructions!E6=0,"Green",if(K24&lt;instructions!J6,"Red",if(AND(K24&gt;=instructions!J6,K24&lt;instructions!E6),"Amber","Green")))</f>
        <v>Red</v>
      </c>
    </row>
    <row r="25">
      <c r="B25" s="45" t="s">
        <v>222</v>
      </c>
      <c r="C25" s="46">
        <f t="shared" ref="C25:F25" si="4">SUM(C22:C24)</f>
        <v>10</v>
      </c>
      <c r="D25" s="46">
        <f t="shared" si="4"/>
        <v>42</v>
      </c>
      <c r="E25" s="46">
        <f t="shared" si="4"/>
        <v>55</v>
      </c>
      <c r="F25" s="47">
        <f t="shared" si="4"/>
        <v>107</v>
      </c>
      <c r="H25" s="56"/>
      <c r="I25" s="57"/>
      <c r="J25" s="57"/>
      <c r="K25" s="57"/>
      <c r="L25" s="57"/>
    </row>
    <row r="28">
      <c r="B28" s="58" t="s">
        <v>229</v>
      </c>
      <c r="D28" s="25" t="s">
        <v>216</v>
      </c>
    </row>
    <row r="29">
      <c r="B29" s="32"/>
      <c r="C29" s="33" t="s">
        <v>219</v>
      </c>
      <c r="D29" s="33" t="s">
        <v>220</v>
      </c>
      <c r="E29" s="34" t="s">
        <v>221</v>
      </c>
      <c r="F29" s="34" t="s">
        <v>222</v>
      </c>
      <c r="H29" s="32"/>
      <c r="I29" s="33" t="s">
        <v>219</v>
      </c>
      <c r="J29" s="33" t="s">
        <v>220</v>
      </c>
      <c r="K29" s="34" t="s">
        <v>221</v>
      </c>
      <c r="M29" s="32"/>
      <c r="N29" s="33" t="s">
        <v>219</v>
      </c>
      <c r="O29" s="33" t="s">
        <v>220</v>
      </c>
      <c r="P29" s="34" t="s">
        <v>221</v>
      </c>
    </row>
    <row r="30">
      <c r="B30" s="36" t="s">
        <v>224</v>
      </c>
      <c r="C30" s="37">
        <f>IFERROR(if(D28="Release",COUNTIFS(impact_of_failure,3,Likelihood_of_failure,1,status,"Passed",release,G2),COUNTIFS(impact_of_failure,1,Likelihood_of_failure,3,status,"Passed")),0)</f>
        <v>0</v>
      </c>
      <c r="D30" s="38">
        <f>IFERROR(if(D28="Release",COUNTIFS(impact_of_failure,2,Likelihood_of_failure,1,status,"Passed",release,G2),COUNTIFS(impact_of_failure,2,Likelihood_of_failure,1,status,"Passed")),0)</f>
        <v>0</v>
      </c>
      <c r="E30" s="39">
        <f>IFERROR(if(D28="Release",COUNTIFS(impact_of_failure,1,Likelihood_of_failure,1,status,"Passed",release,G2),COUNTIFS(impact_of_failure,1,Likelihood_of_failure,1,status,"Passed")),0)</f>
        <v>0</v>
      </c>
      <c r="F30" s="46">
        <f t="shared" ref="F30:F32" si="6">SUM(C30:E30)</f>
        <v>0</v>
      </c>
      <c r="H30" s="36" t="s">
        <v>224</v>
      </c>
      <c r="I30" s="48">
        <f t="shared" ref="I30:K30" si="5">IFERROR(C30/D13,1)</f>
        <v>1</v>
      </c>
      <c r="J30" s="51">
        <f t="shared" si="5"/>
        <v>1</v>
      </c>
      <c r="K30" s="52">
        <f t="shared" si="5"/>
        <v>1</v>
      </c>
      <c r="M30" s="36" t="s">
        <v>224</v>
      </c>
      <c r="N30" s="48" t="str">
        <f>if(instructions!C$4=0,"Green",if(I30&lt;instructions!H$4,"Red",if(AND(I30&gt;=instructions!H$4,I30&lt;instructions!C$4),"Amber","Green")))</f>
        <v>Green</v>
      </c>
      <c r="O30" s="48" t="str">
        <f>if(instructions!D$4=0,"Green",if(J30&lt;instructions!I$4,"Red",if(AND(J30&gt;=instructions!I$4,J30&lt;instructions!D$4),"Amber","Green")))</f>
        <v>Green</v>
      </c>
      <c r="P30" s="48" t="str">
        <f>if(instructions!E$4=0,"Green",if(K30&lt;instructions!J$4,"Red",if(AND(K30&gt;=instructions!J$4,K30&lt;instructions!E$4),"Amber","Green")))</f>
        <v>Green</v>
      </c>
    </row>
    <row r="31">
      <c r="B31" s="36" t="s">
        <v>225</v>
      </c>
      <c r="C31" s="41">
        <f>IFERROR(if(D28="Release",COUNTIFS(impact_of_failure,3,Likelihood_of_failure,2,status,"Passed",release,G2),COUNTIFS(impact_of_failure,3,Likelihood_of_failure,2,status,"Passed")),0)</f>
        <v>0</v>
      </c>
      <c r="D31" s="37">
        <f>IFERROR(if(D28="Release",COUNTIFS(impact_of_failure,2,Likelihood_of_failure,2,status,"Passed",release,G2),COUNTIFS(impact_of_failure,2,Likelihood_of_failure,2,status,"Passed")),0)</f>
        <v>0</v>
      </c>
      <c r="E31" s="42">
        <f>IFERROR(if(D28="Release",COUNTIFS(impact_of_failure,1,Likelihood_of_failure,2,status,"Passed",release,G2),COUNTIFS(impact_of_failure,1,Likelihood_of_failure,2,status,"Passed")),0)</f>
        <v>0</v>
      </c>
      <c r="F31" s="46">
        <f t="shared" si="6"/>
        <v>0</v>
      </c>
      <c r="H31" s="36" t="s">
        <v>225</v>
      </c>
      <c r="I31" s="54">
        <f t="shared" ref="I31:K31" si="7">IFERROR(C31/D14,1)</f>
        <v>1</v>
      </c>
      <c r="J31" s="48">
        <f t="shared" si="7"/>
        <v>1</v>
      </c>
      <c r="K31" s="55">
        <f t="shared" si="7"/>
        <v>1</v>
      </c>
      <c r="M31" s="36" t="s">
        <v>225</v>
      </c>
      <c r="N31" s="48" t="str">
        <f>if(instructions!C$4=0,"Green",if(I31&lt;instructions!H$4,"Red",if(AND(I31&gt;=instructions!H$4,I31&lt;instructions!C$4),"Amber","Green")))</f>
        <v>Green</v>
      </c>
      <c r="O31" s="48" t="str">
        <f>if(instructions!D$4=0,"Green",if(J31&lt;instructions!I$4,"Red",if(AND(J31&gt;=instructions!I$4,J31&lt;instructions!D$4),"Amber","Green")))</f>
        <v>Green</v>
      </c>
      <c r="P31" s="48" t="str">
        <f>if(instructions!E$4=0,"Green",if(K31&lt;instructions!J$4,"Red",if(AND(K31&gt;=instructions!J$4,K31&lt;instructions!E$4),"Amber","Green")))</f>
        <v>Green</v>
      </c>
    </row>
    <row r="32">
      <c r="B32" s="43" t="s">
        <v>226</v>
      </c>
      <c r="C32" s="41">
        <f>IFERROR(if(D28="Release",COUNTIFS(impact_of_failure,3,Likelihood_of_failure,3,status,"Passed",release,G2),COUNTIFS(impact_of_failure,3,Likelihood_of_failure,3,status,"Passed")),0)</f>
        <v>0</v>
      </c>
      <c r="D32" s="41">
        <f>IFERROR(if(D28="Release",COUNTIFS(impact_of_failure,2,Likelihood_of_failure,3,status,"Passed", release,G2),COUNTIFS(impact_of_failure,2,Likelihood_of_failure,3,status,"Passed")),0)</f>
        <v>0</v>
      </c>
      <c r="E32" s="38">
        <f>IFERROR(if(D28="Release",COUNTIFS(impact_of_failure,1,Likelihood_of_failure,3,status,"Passed",release,G2),COUNTIFS(impact_of_failure,1,Likelihood_of_failure,3,status,"Passed")),0)</f>
        <v>0</v>
      </c>
      <c r="F32" s="46">
        <f t="shared" si="6"/>
        <v>0</v>
      </c>
      <c r="H32" s="43" t="s">
        <v>226</v>
      </c>
      <c r="I32" s="54">
        <f t="shared" ref="I32:K32" si="8">IFERROR(C32/D15,1)</f>
        <v>1</v>
      </c>
      <c r="J32" s="54">
        <f t="shared" si="8"/>
        <v>1</v>
      </c>
      <c r="K32" s="51">
        <f t="shared" si="8"/>
        <v>1</v>
      </c>
      <c r="M32" s="43" t="s">
        <v>226</v>
      </c>
      <c r="N32" s="48" t="str">
        <f>if(instructions!C$4=0,"Green",if(I32&lt;instructions!H$4,"Red",if(AND(I32&gt;=instructions!H$4,I32&lt;instructions!C$4),"Amber","Green")))</f>
        <v>Green</v>
      </c>
      <c r="O32" s="48" t="str">
        <f>if(instructions!D$4=0,"Green",if(J32&lt;instructions!I$4,"Red",if(AND(J32&gt;=instructions!I$4,J32&lt;instructions!D$4),"Amber","Green")))</f>
        <v>Green</v>
      </c>
      <c r="P32" s="48" t="str">
        <f>if(instructions!E$4=0,"Green",if(K32&lt;instructions!J$4,"Red",if(AND(K32&gt;=instructions!J$4,K32&lt;instructions!E$4),"Amber","Green")))</f>
        <v>Green</v>
      </c>
    </row>
    <row r="33">
      <c r="B33" s="45" t="s">
        <v>222</v>
      </c>
      <c r="C33" s="46">
        <f t="shared" ref="C33:F33" si="9">SUM(C30:C32)</f>
        <v>0</v>
      </c>
      <c r="D33" s="46">
        <f t="shared" si="9"/>
        <v>0</v>
      </c>
      <c r="E33" s="46">
        <f t="shared" si="9"/>
        <v>0</v>
      </c>
      <c r="F33" s="47">
        <f t="shared" si="9"/>
        <v>0</v>
      </c>
    </row>
    <row r="36">
      <c r="B36" s="21" t="s">
        <v>230</v>
      </c>
      <c r="C36" s="21" t="s">
        <v>231</v>
      </c>
      <c r="D36" s="21" t="s">
        <v>232</v>
      </c>
    </row>
    <row r="37">
      <c r="B37" s="59" t="str">
        <f>IFERROR(__xludf.DUMMYFUNCTION("FILTER(issue_ID,fixVersion=G2)"),"BAS-1294")</f>
        <v>BAS-1294</v>
      </c>
      <c r="C37" s="60">
        <f>if(B37="","",COUNTIFS(linked_ID,B37))</f>
        <v>0</v>
      </c>
      <c r="D37" s="21">
        <f>if(B37="","",COUNTIFS(linked_ID,B37,status,"Passed"))</f>
        <v>0</v>
      </c>
    </row>
    <row r="38">
      <c r="B38" s="59" t="str">
        <f>IFERROR(__xludf.DUMMYFUNCTION("""COMPUTED_VALUE"""),"BAS-1219")</f>
        <v>BAS-1219</v>
      </c>
      <c r="C38" s="60">
        <f>if(B38="","",COUNTIFS(linked_ID,B38))</f>
        <v>0</v>
      </c>
      <c r="D38" s="21">
        <f>if(B38="","",COUNTIFS(linked_ID,B38,status,"Passed"))</f>
        <v>0</v>
      </c>
    </row>
    <row r="39">
      <c r="B39" s="59" t="str">
        <f>IFERROR(__xludf.DUMMYFUNCTION("""COMPUTED_VALUE"""),"BAS-1166")</f>
        <v>BAS-1166</v>
      </c>
      <c r="C39" s="60">
        <f>if(B39="","",COUNTIFS(linked_ID,B39))</f>
        <v>0</v>
      </c>
      <c r="D39" s="21">
        <f>if(B39="","",COUNTIFS(linked_ID,B39,status,"Passed"))</f>
        <v>0</v>
      </c>
    </row>
    <row r="40">
      <c r="B40" s="59" t="str">
        <f>IFERROR(__xludf.DUMMYFUNCTION("""COMPUTED_VALUE"""),"BAS-1165")</f>
        <v>BAS-1165</v>
      </c>
      <c r="C40" s="60">
        <f>if(B40="","",COUNTIFS(linked_ID,B40))</f>
        <v>0</v>
      </c>
      <c r="D40" s="21">
        <f>if(B40="","",COUNTIFS(linked_ID,B40,status,"Passed"))</f>
        <v>0</v>
      </c>
    </row>
    <row r="41">
      <c r="B41" s="59" t="str">
        <f>IFERROR(__xludf.DUMMYFUNCTION("""COMPUTED_VALUE"""),"BAS-1143")</f>
        <v>BAS-1143</v>
      </c>
      <c r="C41" s="60">
        <f>if(B41="","",COUNTIFS(linked_ID,B41))</f>
        <v>0</v>
      </c>
      <c r="D41" s="21">
        <f>if(B41="","",COUNTIFS(linked_ID,B41,status,"Passed"))</f>
        <v>0</v>
      </c>
    </row>
    <row r="42">
      <c r="B42" s="3" t="str">
        <f>IFERROR(__xludf.DUMMYFUNCTION("""COMPUTED_VALUE"""),"BAS-1092")</f>
        <v>BAS-1092</v>
      </c>
      <c r="C42" s="1">
        <f>if(B42="","",COUNTIFS(linked_ID,B42))</f>
        <v>0</v>
      </c>
    </row>
    <row r="43">
      <c r="B43" s="3" t="str">
        <f>IFERROR(__xludf.DUMMYFUNCTION("""COMPUTED_VALUE"""),"BAS-1054")</f>
        <v>BAS-1054</v>
      </c>
      <c r="C43" s="1">
        <f>if(B43="","",COUNTIFS(linked_ID,B43))</f>
        <v>0</v>
      </c>
    </row>
    <row r="44">
      <c r="B44" s="3" t="str">
        <f>IFERROR(__xludf.DUMMYFUNCTION("""COMPUTED_VALUE"""),"BAS-1053")</f>
        <v>BAS-1053</v>
      </c>
      <c r="C44" s="1">
        <f>if(B44="","",COUNTIFS(linked_ID,B44))</f>
        <v>0</v>
      </c>
    </row>
    <row r="45">
      <c r="B45" s="3" t="str">
        <f>IFERROR(__xludf.DUMMYFUNCTION("""COMPUTED_VALUE"""),"BAS-1050")</f>
        <v>BAS-1050</v>
      </c>
      <c r="C45" s="1">
        <f>if(B45="","",COUNTIFS(linked_ID,B45))</f>
        <v>0</v>
      </c>
    </row>
    <row r="46">
      <c r="B46" s="3" t="str">
        <f>IFERROR(__xludf.DUMMYFUNCTION("""COMPUTED_VALUE"""),"BAS-1044")</f>
        <v>BAS-1044</v>
      </c>
      <c r="C46" s="1">
        <f>if(B46="","",COUNTIFS(linked_ID,B46))</f>
        <v>0</v>
      </c>
    </row>
    <row r="47">
      <c r="C47" s="1" t="str">
        <f>if(B47="","",COUNTIFS(linked_ID,B47))</f>
        <v/>
      </c>
    </row>
    <row r="48">
      <c r="C48" s="1" t="str">
        <f>if(B48="","",COUNTIFS(linked_ID,B48))</f>
        <v/>
      </c>
    </row>
    <row r="49">
      <c r="C49" s="1" t="str">
        <f>if(B49="","",COUNTIFS(linked_ID,B49))</f>
        <v/>
      </c>
    </row>
  </sheetData>
  <mergeCells count="5">
    <mergeCell ref="B2:D2"/>
    <mergeCell ref="B4:C4"/>
    <mergeCell ref="B6:C8"/>
    <mergeCell ref="D11:G11"/>
    <mergeCell ref="B13:B16"/>
  </mergeCells>
  <conditionalFormatting sqref="B6 E7:H7 Q13:R32 S13:S18 J16 P19:P25 N21:N24 O21:O25 S21:S26 P27:P32 N29:O32 F34 F37 F39:G39 F42:G42">
    <cfRule type="cellIs" dxfId="0" priority="1" operator="equal">
      <formula>"Green"</formula>
    </cfRule>
  </conditionalFormatting>
  <conditionalFormatting sqref="B6 E7:H7 Q13:R32 S13:S18 J16 P19:P25 N21:N24 O21:O25 S21:S26 P27:P32 N29:O32 F34 F37 F39:G39 F42:G42">
    <cfRule type="cellIs" dxfId="1" priority="2" operator="equal">
      <formula>"Amber"</formula>
    </cfRule>
  </conditionalFormatting>
  <conditionalFormatting sqref="B6 E7:H7 Q13:R32 S13:S18 J16 P19:P25 N21:N24 O21:O25 S21:S26 P27:P32 N29:O32 F34 F37 F39:G39 F42:G42">
    <cfRule type="cellIs" dxfId="2" priority="3" operator="equal">
      <formula>"Red"</formula>
    </cfRule>
  </conditionalFormatting>
  <conditionalFormatting sqref="O22:O24 O30">
    <cfRule type="cellIs" dxfId="1" priority="4" operator="equal">
      <formula>"Amber"</formula>
    </cfRule>
  </conditionalFormatting>
  <conditionalFormatting sqref="O22:O24 O30">
    <cfRule type="cellIs" dxfId="2" priority="5" operator="equal">
      <formula>"Red"</formula>
    </cfRule>
  </conditionalFormatting>
  <dataValidations>
    <dataValidation type="list" allowBlank="1" showErrorMessage="1" sqref="G2">
      <formula1>JIRA!$R$2:$R$1000</formula1>
    </dataValidation>
    <dataValidation type="list" allowBlank="1" showErrorMessage="1" sqref="D10 J10 D20 D28">
      <formula1>"Project,Release"</formula1>
    </dataValidation>
  </dataValidations>
  <hyperlinks>
    <hyperlink r:id="rId1" ref="B38"/>
    <hyperlink r:id="rId2" ref="B39"/>
    <hyperlink r:id="rId3" ref="B40"/>
    <hyperlink r:id="rId4" ref="B41"/>
    <hyperlink r:id="rId5" ref="B42"/>
    <hyperlink r:id="rId6" ref="B43"/>
    <hyperlink r:id="rId7" ref="B44"/>
    <hyperlink r:id="rId8" ref="B45"/>
    <hyperlink r:id="rId9" ref="B46"/>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2" t="s">
        <v>20</v>
      </c>
      <c r="C3" s="1" t="s">
        <v>17</v>
      </c>
      <c r="D3" s="2" t="s">
        <v>233</v>
      </c>
      <c r="E3" s="2" t="s">
        <v>234</v>
      </c>
      <c r="F3" s="2" t="s">
        <v>235</v>
      </c>
    </row>
    <row r="4">
      <c r="B4" s="61">
        <f>VLOOKUP(C4,JIRA!$R$2:$U$1000,4,FALSE)</f>
        <v>45692</v>
      </c>
      <c r="C4" s="1" t="str">
        <f t="array" ref="C4:C17">UNIQUE(JIRA!R2:R1000)</f>
        <v/>
      </c>
      <c r="D4" s="1">
        <f>COUNTIFS(JIRA!$R$2:$R$1000,C4)</f>
        <v>942</v>
      </c>
      <c r="E4" s="1">
        <f>COUNTIF('testmo-export-repository'!$Y$2:$Y$1000,C4)</f>
        <v>940</v>
      </c>
      <c r="F4" s="1">
        <f>COUNTIFS(JIRA!$T$2:$T$1000,C4,JIRA!$A$2:$A$1000,"Bug")</f>
        <v>25</v>
      </c>
    </row>
    <row r="5">
      <c r="B5" s="61">
        <f>VLOOKUP(C5,JIRA!$R$2:$U$1000,4,FALSE)</f>
        <v>45658</v>
      </c>
      <c r="C5" s="1" t="s">
        <v>36</v>
      </c>
      <c r="D5" s="1">
        <f>COUNTIFS(JIRA!$R$2:$R$1000,C5)</f>
        <v>3</v>
      </c>
      <c r="E5" s="1">
        <f>COUNTIF('testmo-export-repository'!$Y$2:$Y$1000,C5)</f>
        <v>0</v>
      </c>
      <c r="F5" s="1">
        <f>COUNTIFS(JIRA!$T$2:$T$1000,C5,JIRA!$A$2:$A$1000,"Bug")</f>
        <v>0</v>
      </c>
    </row>
    <row r="6">
      <c r="B6" s="61">
        <f>VLOOKUP(C6,JIRA!$R$2:$U$1000,4,FALSE)</f>
        <v>45658</v>
      </c>
      <c r="C6" s="1" t="s">
        <v>43</v>
      </c>
      <c r="D6" s="1">
        <f>COUNTIFS(JIRA!$R$2:$R$1000,C6)</f>
        <v>16</v>
      </c>
      <c r="E6" s="1">
        <f>COUNTIF('testmo-export-repository'!$Y$2:$Y$1000,C6)</f>
        <v>0</v>
      </c>
      <c r="F6" s="1">
        <f>COUNTIFS(JIRA!$T$2:$T$1000,C6,JIRA!$A$2:$A$1000,"Bug")</f>
        <v>0</v>
      </c>
    </row>
    <row r="7">
      <c r="B7" s="61">
        <f>VLOOKUP(C7,JIRA!$R$2:$U$1000,4,FALSE)</f>
        <v>45667</v>
      </c>
      <c r="C7" s="1" t="s">
        <v>64</v>
      </c>
      <c r="D7" s="1">
        <f>COUNTIFS(JIRA!$R$2:$R$1000,C7)</f>
        <v>10</v>
      </c>
      <c r="E7" s="1">
        <f>COUNTIF('testmo-export-repository'!$Y$2:$Y$1000,C7)</f>
        <v>0</v>
      </c>
      <c r="F7" s="1">
        <f>COUNTIFS(JIRA!$T$2:$T$1000,C7,JIRA!$A$2:$A$1000,"Bug")</f>
        <v>0</v>
      </c>
    </row>
    <row r="8">
      <c r="B8" s="61">
        <f>VLOOKUP(C8,JIRA!$R$2:$U$1000,4,FALSE)</f>
        <v>45672</v>
      </c>
      <c r="C8" s="1" t="s">
        <v>96</v>
      </c>
      <c r="D8" s="1">
        <f>COUNTIFS(JIRA!$R$2:$R$1000,C8)</f>
        <v>5</v>
      </c>
      <c r="E8" s="1">
        <f>COUNTIF('testmo-export-repository'!$Y$2:$Y$1000,C8)</f>
        <v>0</v>
      </c>
      <c r="F8" s="1">
        <f>COUNTIFS(JIRA!$T$2:$T$1000,C8,JIRA!$A$2:$A$1000,"Bug")</f>
        <v>0</v>
      </c>
    </row>
    <row r="9">
      <c r="B9" s="61">
        <f>VLOOKUP(C9,JIRA!$R$2:$U$1000,4,FALSE)</f>
        <v>45674</v>
      </c>
      <c r="C9" s="1" t="s">
        <v>107</v>
      </c>
      <c r="D9" s="1">
        <f>COUNTIFS(JIRA!$R$2:$R$1000,C9)</f>
        <v>1</v>
      </c>
      <c r="E9" s="1">
        <f>COUNTIF('testmo-export-repository'!$Y$2:$Y$1000,C9)</f>
        <v>0</v>
      </c>
      <c r="F9" s="1">
        <f>COUNTIFS(JIRA!$T$2:$T$1000,C9,JIRA!$A$2:$A$1000,"Bug")</f>
        <v>0</v>
      </c>
    </row>
    <row r="10">
      <c r="B10" s="61">
        <f>VLOOKUP(C10,JIRA!$R$2:$U$1000,4,FALSE)</f>
        <v>45674</v>
      </c>
      <c r="C10" s="1" t="s">
        <v>113</v>
      </c>
      <c r="D10" s="1">
        <f>COUNTIFS(JIRA!$R$2:$R$1000,C10)</f>
        <v>4</v>
      </c>
      <c r="E10" s="1">
        <f>COUNTIF('testmo-export-repository'!$Y$2:$Y$1000,C10)</f>
        <v>7</v>
      </c>
      <c r="F10" s="1">
        <f>COUNTIFS(JIRA!$T$2:$T$1000,C10,JIRA!$A$2:$A$1000,"Bug")</f>
        <v>0</v>
      </c>
    </row>
    <row r="11">
      <c r="B11" s="61">
        <f>VLOOKUP(C11,JIRA!$R$2:$U$1000,4,FALSE)</f>
        <v>45692</v>
      </c>
      <c r="C11" s="1" t="s">
        <v>129</v>
      </c>
      <c r="D11" s="1">
        <f>COUNTIFS(JIRA!$R$2:$R$1000,C11)</f>
        <v>1</v>
      </c>
      <c r="E11" s="1">
        <f>COUNTIF('testmo-export-repository'!$Y$2:$Y$1000,C11)</f>
        <v>0</v>
      </c>
      <c r="F11" s="1">
        <f>COUNTIFS(JIRA!$T$2:$T$1000,C11,JIRA!$A$2:$A$1000,"Bug")</f>
        <v>0</v>
      </c>
    </row>
    <row r="12">
      <c r="B12" s="61">
        <f>VLOOKUP(C12,JIRA!$R$2:$U$1000,4,FALSE)</f>
        <v>45658</v>
      </c>
      <c r="C12" s="1" t="s">
        <v>131</v>
      </c>
      <c r="D12" s="1">
        <f>COUNTIFS(JIRA!$R$2:$R$1000,C12)</f>
        <v>6</v>
      </c>
      <c r="E12" s="1">
        <f>COUNTIF('testmo-export-repository'!$Y$2:$Y$1000,C12)</f>
        <v>27</v>
      </c>
      <c r="F12" s="1">
        <f>COUNTIFS(JIRA!$T$2:$T$1000,C12,JIRA!$A$2:$A$1000,"Bug")</f>
        <v>0</v>
      </c>
    </row>
    <row r="13">
      <c r="B13" s="61">
        <f>VLOOKUP(C13,JIRA!$R$2:$U$1000,4,FALSE)</f>
        <v>45658</v>
      </c>
      <c r="C13" s="1" t="s">
        <v>80</v>
      </c>
      <c r="D13" s="1">
        <f>COUNTIFS(JIRA!$R$2:$R$1000,C13)</f>
        <v>7</v>
      </c>
      <c r="E13" s="1">
        <f>COUNTIF('testmo-export-repository'!$Y$2:$Y$1000,C13)</f>
        <v>15</v>
      </c>
      <c r="F13" s="1">
        <f>COUNTIFS(JIRA!$T$2:$T$1000,C13,JIRA!$A$2:$A$1000,"Bug")</f>
        <v>3</v>
      </c>
    </row>
    <row r="14">
      <c r="B14" s="61">
        <f>VLOOKUP(C14,JIRA!$R$2:$U$1000,4,FALSE)</f>
        <v>45699</v>
      </c>
      <c r="C14" s="1" t="s">
        <v>139</v>
      </c>
      <c r="D14" s="1">
        <f>COUNTIFS(JIRA!$R$2:$R$1000,C14)</f>
        <v>1</v>
      </c>
      <c r="E14" s="1">
        <f>COUNTIF('testmo-export-repository'!$Y$2:$Y$1000,C14)</f>
        <v>0</v>
      </c>
      <c r="F14" s="1">
        <f>COUNTIFS(JIRA!$T$2:$T$1000,C14,JIRA!$A$2:$A$1000,"Bug")</f>
        <v>0</v>
      </c>
    </row>
    <row r="15">
      <c r="B15" s="61">
        <f>VLOOKUP(C15,JIRA!$R$2:$U$1000,4,FALSE)</f>
        <v>45699</v>
      </c>
      <c r="C15" s="1" t="s">
        <v>145</v>
      </c>
      <c r="D15" s="1">
        <f>COUNTIFS(JIRA!$R$2:$R$1000,C15)</f>
        <v>2</v>
      </c>
      <c r="E15" s="1">
        <f>COUNTIF('testmo-export-repository'!$Y$2:$Y$1000,C15)</f>
        <v>0</v>
      </c>
      <c r="F15" s="1">
        <f>COUNTIFS(JIRA!$T$2:$T$1000,C15,JIRA!$A$2:$A$1000,"Bug")</f>
        <v>1</v>
      </c>
    </row>
    <row r="16">
      <c r="B16" s="61">
        <f>VLOOKUP(C16,JIRA!$R$2:$U$1000,4,FALSE)</f>
        <v>45692</v>
      </c>
      <c r="C16" s="1" t="s">
        <v>152</v>
      </c>
      <c r="D16" s="1">
        <f>COUNTIFS(JIRA!$R$2:$R$1000,C16)</f>
        <v>1</v>
      </c>
      <c r="E16" s="1">
        <f>COUNTIF('testmo-export-repository'!$Y$2:$Y$1000,C16)</f>
        <v>0</v>
      </c>
      <c r="F16" s="1">
        <f>COUNTIFS(JIRA!$T$2:$T$1000,C16,JIRA!$A$2:$A$1000,"Bug")</f>
        <v>2</v>
      </c>
    </row>
    <row r="17">
      <c r="C17" s="1"/>
    </row>
  </sheetData>
  <autoFilter ref="$B$3:$F$1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75"/>
    <col customWidth="1" min="9" max="9" width="98.25"/>
    <col customWidth="1" min="15" max="15" width="15.38"/>
    <col customWidth="1" min="16" max="16" width="14.38"/>
    <col customWidth="1" min="22" max="22" width="14.38"/>
  </cols>
  <sheetData>
    <row r="1">
      <c r="A1" s="2" t="s">
        <v>236</v>
      </c>
      <c r="B1" s="2" t="s">
        <v>237</v>
      </c>
      <c r="C1" s="2" t="s">
        <v>238</v>
      </c>
      <c r="D1" s="2" t="s">
        <v>239</v>
      </c>
      <c r="E1" s="2" t="s">
        <v>240</v>
      </c>
      <c r="F1" s="2" t="s">
        <v>241</v>
      </c>
      <c r="G1" s="2" t="s">
        <v>242</v>
      </c>
      <c r="H1" s="2" t="s">
        <v>243</v>
      </c>
      <c r="I1" s="2" t="s">
        <v>244</v>
      </c>
      <c r="J1" s="2" t="s">
        <v>245</v>
      </c>
      <c r="K1" s="2" t="s">
        <v>246</v>
      </c>
      <c r="L1" s="2" t="s">
        <v>3</v>
      </c>
      <c r="M1" s="2" t="s">
        <v>247</v>
      </c>
      <c r="N1" s="2" t="s">
        <v>248</v>
      </c>
      <c r="O1" s="2" t="s">
        <v>249</v>
      </c>
      <c r="P1" s="2" t="s">
        <v>250</v>
      </c>
      <c r="Q1" s="2" t="s">
        <v>251</v>
      </c>
      <c r="R1" s="2" t="s">
        <v>252</v>
      </c>
      <c r="S1" s="2" t="s">
        <v>253</v>
      </c>
      <c r="T1" s="2" t="s">
        <v>254</v>
      </c>
      <c r="U1" s="2" t="s">
        <v>255</v>
      </c>
      <c r="V1" s="2" t="s">
        <v>256</v>
      </c>
      <c r="W1" s="2" t="s">
        <v>257</v>
      </c>
      <c r="X1" s="2" t="s">
        <v>258</v>
      </c>
      <c r="Y1" s="2" t="s">
        <v>216</v>
      </c>
    </row>
    <row r="2">
      <c r="A2" s="2">
        <v>1110.0</v>
      </c>
      <c r="B2" s="2" t="s">
        <v>259</v>
      </c>
      <c r="D2" s="2" t="s">
        <v>260</v>
      </c>
      <c r="E2" s="2" t="s">
        <v>261</v>
      </c>
      <c r="F2" s="4"/>
      <c r="I2" s="2" t="s">
        <v>262</v>
      </c>
      <c r="K2" s="2" t="s">
        <v>263</v>
      </c>
      <c r="L2" s="2" t="s">
        <v>264</v>
      </c>
      <c r="M2" s="2" t="s">
        <v>265</v>
      </c>
      <c r="N2" s="2" t="s">
        <v>266</v>
      </c>
      <c r="O2" s="2" t="s">
        <v>267</v>
      </c>
      <c r="Q2" s="4"/>
      <c r="S2" s="2" t="s">
        <v>268</v>
      </c>
      <c r="T2" s="2" t="s">
        <v>269</v>
      </c>
      <c r="U2" s="2" t="s">
        <v>261</v>
      </c>
      <c r="V2" s="2" t="s">
        <v>270</v>
      </c>
      <c r="W2" s="2" t="s">
        <v>271</v>
      </c>
      <c r="X2" s="2" t="s">
        <v>272</v>
      </c>
    </row>
    <row r="3">
      <c r="A3" s="2">
        <v>2033.0</v>
      </c>
      <c r="B3" s="2" t="s">
        <v>273</v>
      </c>
      <c r="D3" s="2" t="s">
        <v>274</v>
      </c>
      <c r="E3" s="2" t="s">
        <v>261</v>
      </c>
      <c r="F3" s="2" t="s">
        <v>275</v>
      </c>
      <c r="I3" s="2" t="s">
        <v>276</v>
      </c>
      <c r="K3" s="2" t="s">
        <v>277</v>
      </c>
      <c r="L3" s="2" t="s">
        <v>264</v>
      </c>
      <c r="M3" s="2" t="s">
        <v>265</v>
      </c>
      <c r="Q3" s="4"/>
      <c r="S3" s="2" t="s">
        <v>268</v>
      </c>
      <c r="T3" s="2" t="s">
        <v>278</v>
      </c>
      <c r="U3" s="2" t="s">
        <v>261</v>
      </c>
      <c r="V3" s="2" t="s">
        <v>271</v>
      </c>
      <c r="W3" s="2" t="s">
        <v>271</v>
      </c>
      <c r="X3" s="2" t="s">
        <v>279</v>
      </c>
      <c r="Y3" s="62"/>
    </row>
    <row r="4">
      <c r="A4" s="2">
        <v>2034.0</v>
      </c>
      <c r="B4" s="2" t="s">
        <v>280</v>
      </c>
      <c r="D4" s="2" t="s">
        <v>281</v>
      </c>
      <c r="E4" s="2" t="s">
        <v>261</v>
      </c>
      <c r="F4" s="2" t="s">
        <v>282</v>
      </c>
      <c r="I4" s="2" t="s">
        <v>276</v>
      </c>
      <c r="K4" s="2" t="s">
        <v>277</v>
      </c>
      <c r="L4" s="2" t="s">
        <v>279</v>
      </c>
      <c r="M4" s="2" t="s">
        <v>265</v>
      </c>
      <c r="Q4" s="4"/>
      <c r="S4" s="2" t="s">
        <v>268</v>
      </c>
      <c r="T4" s="2" t="s">
        <v>283</v>
      </c>
      <c r="U4" s="2" t="s">
        <v>261</v>
      </c>
      <c r="V4" s="2" t="s">
        <v>270</v>
      </c>
      <c r="W4" s="2" t="s">
        <v>270</v>
      </c>
      <c r="X4" s="2" t="s">
        <v>279</v>
      </c>
    </row>
    <row r="5">
      <c r="A5" s="2">
        <v>2044.0</v>
      </c>
      <c r="B5" s="2" t="s">
        <v>284</v>
      </c>
      <c r="D5" s="2" t="s">
        <v>285</v>
      </c>
      <c r="E5" s="2" t="s">
        <v>261</v>
      </c>
      <c r="F5" s="2" t="s">
        <v>286</v>
      </c>
      <c r="I5" s="2" t="s">
        <v>287</v>
      </c>
      <c r="K5" s="2" t="s">
        <v>277</v>
      </c>
      <c r="L5" s="2" t="s">
        <v>264</v>
      </c>
      <c r="M5" s="2" t="s">
        <v>265</v>
      </c>
      <c r="Q5" s="4"/>
      <c r="S5" s="2" t="s">
        <v>268</v>
      </c>
      <c r="T5" s="2" t="s">
        <v>288</v>
      </c>
      <c r="U5" s="2" t="s">
        <v>261</v>
      </c>
      <c r="V5" s="2" t="s">
        <v>271</v>
      </c>
      <c r="W5" s="2" t="s">
        <v>271</v>
      </c>
      <c r="X5" s="2" t="s">
        <v>279</v>
      </c>
      <c r="Y5" s="62"/>
    </row>
    <row r="6">
      <c r="A6" s="2">
        <v>2247.0</v>
      </c>
      <c r="B6" s="2" t="s">
        <v>289</v>
      </c>
      <c r="D6" s="2" t="s">
        <v>290</v>
      </c>
      <c r="E6" s="2" t="s">
        <v>261</v>
      </c>
      <c r="F6" s="4"/>
      <c r="I6" s="2" t="s">
        <v>287</v>
      </c>
      <c r="L6" s="2" t="s">
        <v>264</v>
      </c>
      <c r="M6" s="2" t="s">
        <v>265</v>
      </c>
      <c r="Q6" s="4"/>
      <c r="S6" s="2" t="s">
        <v>268</v>
      </c>
      <c r="T6" s="2" t="s">
        <v>291</v>
      </c>
      <c r="U6" s="2" t="s">
        <v>261</v>
      </c>
      <c r="V6" s="2" t="s">
        <v>270</v>
      </c>
      <c r="W6" s="2" t="s">
        <v>271</v>
      </c>
      <c r="X6" s="2" t="s">
        <v>264</v>
      </c>
      <c r="Y6" s="62"/>
    </row>
    <row r="7">
      <c r="A7" s="2">
        <v>2248.0</v>
      </c>
      <c r="B7" s="2" t="s">
        <v>292</v>
      </c>
      <c r="D7" s="2" t="s">
        <v>293</v>
      </c>
      <c r="E7" s="2" t="s">
        <v>261</v>
      </c>
      <c r="F7" s="4"/>
      <c r="I7" s="2" t="s">
        <v>287</v>
      </c>
      <c r="L7" s="2" t="s">
        <v>264</v>
      </c>
      <c r="M7" s="2" t="s">
        <v>265</v>
      </c>
      <c r="Q7" s="4"/>
      <c r="S7" s="2" t="s">
        <v>268</v>
      </c>
      <c r="T7" s="2" t="s">
        <v>294</v>
      </c>
      <c r="U7" s="2" t="s">
        <v>261</v>
      </c>
      <c r="V7" s="2" t="s">
        <v>270</v>
      </c>
      <c r="W7" s="2" t="s">
        <v>271</v>
      </c>
      <c r="X7" s="2" t="s">
        <v>264</v>
      </c>
      <c r="Y7" s="62"/>
    </row>
    <row r="8">
      <c r="A8" s="2">
        <v>2249.0</v>
      </c>
      <c r="B8" s="2" t="s">
        <v>295</v>
      </c>
      <c r="D8" s="2" t="s">
        <v>296</v>
      </c>
      <c r="E8" s="2" t="s">
        <v>261</v>
      </c>
      <c r="F8" s="4"/>
      <c r="I8" s="2" t="s">
        <v>287</v>
      </c>
      <c r="L8" s="2" t="s">
        <v>264</v>
      </c>
      <c r="M8" s="2" t="s">
        <v>265</v>
      </c>
      <c r="Q8" s="4"/>
      <c r="S8" s="2" t="s">
        <v>268</v>
      </c>
      <c r="T8" s="2" t="s">
        <v>297</v>
      </c>
      <c r="U8" s="2" t="s">
        <v>261</v>
      </c>
      <c r="V8" s="2" t="s">
        <v>270</v>
      </c>
      <c r="W8" s="2" t="s">
        <v>271</v>
      </c>
      <c r="X8" s="2" t="s">
        <v>264</v>
      </c>
    </row>
    <row r="9">
      <c r="A9" s="2">
        <v>2250.0</v>
      </c>
      <c r="B9" s="2" t="s">
        <v>298</v>
      </c>
      <c r="D9" s="2" t="s">
        <v>299</v>
      </c>
      <c r="E9" s="2" t="s">
        <v>261</v>
      </c>
      <c r="F9" s="4"/>
      <c r="I9" s="2" t="s">
        <v>287</v>
      </c>
      <c r="L9" s="2" t="s">
        <v>264</v>
      </c>
      <c r="M9" s="2" t="s">
        <v>265</v>
      </c>
      <c r="Q9" s="4"/>
      <c r="S9" s="2" t="s">
        <v>268</v>
      </c>
      <c r="T9" s="2" t="s">
        <v>300</v>
      </c>
      <c r="U9" s="2" t="s">
        <v>261</v>
      </c>
      <c r="V9" s="2" t="s">
        <v>270</v>
      </c>
      <c r="W9" s="2" t="s">
        <v>271</v>
      </c>
      <c r="X9" s="2" t="s">
        <v>264</v>
      </c>
    </row>
    <row r="10">
      <c r="A10" s="2">
        <v>2046.0</v>
      </c>
      <c r="B10" s="2" t="s">
        <v>301</v>
      </c>
      <c r="D10" s="2" t="s">
        <v>302</v>
      </c>
      <c r="E10" s="2" t="s">
        <v>261</v>
      </c>
      <c r="F10" s="2" t="s">
        <v>303</v>
      </c>
      <c r="I10" s="2" t="s">
        <v>304</v>
      </c>
      <c r="K10" s="2" t="s">
        <v>277</v>
      </c>
      <c r="L10" s="2" t="s">
        <v>279</v>
      </c>
      <c r="M10" s="2" t="s">
        <v>265</v>
      </c>
      <c r="Q10" s="4"/>
      <c r="S10" s="2" t="s">
        <v>268</v>
      </c>
      <c r="T10" s="2" t="s">
        <v>305</v>
      </c>
      <c r="U10" s="2" t="s">
        <v>261</v>
      </c>
      <c r="V10" s="2" t="s">
        <v>270</v>
      </c>
      <c r="W10" s="2" t="s">
        <v>271</v>
      </c>
      <c r="X10" s="2" t="s">
        <v>279</v>
      </c>
    </row>
    <row r="11">
      <c r="A11" s="2">
        <v>2047.0</v>
      </c>
      <c r="B11" s="2" t="s">
        <v>306</v>
      </c>
      <c r="D11" s="2" t="s">
        <v>307</v>
      </c>
      <c r="E11" s="2" t="s">
        <v>261</v>
      </c>
      <c r="F11" s="2" t="s">
        <v>308</v>
      </c>
      <c r="I11" s="2" t="s">
        <v>304</v>
      </c>
      <c r="L11" s="2" t="s">
        <v>279</v>
      </c>
      <c r="M11" s="2" t="s">
        <v>265</v>
      </c>
      <c r="Q11" s="4"/>
      <c r="S11" s="2" t="s">
        <v>268</v>
      </c>
      <c r="T11" s="2" t="s">
        <v>309</v>
      </c>
      <c r="U11" s="2" t="s">
        <v>261</v>
      </c>
      <c r="V11" s="2" t="s">
        <v>270</v>
      </c>
      <c r="W11" s="2" t="s">
        <v>271</v>
      </c>
      <c r="X11" s="2" t="s">
        <v>279</v>
      </c>
    </row>
    <row r="12">
      <c r="A12" s="2">
        <v>2224.0</v>
      </c>
      <c r="B12" s="2" t="s">
        <v>310</v>
      </c>
      <c r="D12" s="2" t="s">
        <v>311</v>
      </c>
      <c r="E12" s="2" t="s">
        <v>261</v>
      </c>
      <c r="F12" s="2" t="s">
        <v>312</v>
      </c>
      <c r="I12" s="2" t="s">
        <v>313</v>
      </c>
      <c r="L12" s="2" t="s">
        <v>264</v>
      </c>
      <c r="M12" s="2" t="s">
        <v>265</v>
      </c>
      <c r="Q12" s="4"/>
      <c r="S12" s="2" t="s">
        <v>268</v>
      </c>
      <c r="T12" s="2" t="s">
        <v>314</v>
      </c>
      <c r="U12" s="2" t="s">
        <v>261</v>
      </c>
      <c r="V12" s="2" t="s">
        <v>270</v>
      </c>
      <c r="W12" s="2" t="s">
        <v>271</v>
      </c>
      <c r="X12" s="2" t="s">
        <v>264</v>
      </c>
      <c r="Y12" s="62"/>
    </row>
    <row r="13">
      <c r="A13" s="2">
        <v>7118.0</v>
      </c>
      <c r="B13" s="2" t="s">
        <v>315</v>
      </c>
      <c r="D13" s="2" t="s">
        <v>316</v>
      </c>
      <c r="E13" s="2" t="s">
        <v>261</v>
      </c>
      <c r="F13" s="4"/>
      <c r="I13" s="2" t="s">
        <v>317</v>
      </c>
      <c r="L13" s="2" t="s">
        <v>264</v>
      </c>
      <c r="M13" s="2" t="s">
        <v>265</v>
      </c>
      <c r="Q13" s="4"/>
      <c r="S13" s="2" t="s">
        <v>268</v>
      </c>
      <c r="T13" s="2" t="s">
        <v>318</v>
      </c>
      <c r="U13" s="2" t="s">
        <v>261</v>
      </c>
      <c r="V13" s="2" t="s">
        <v>270</v>
      </c>
      <c r="W13" s="2" t="s">
        <v>271</v>
      </c>
      <c r="X13" s="2" t="s">
        <v>264</v>
      </c>
      <c r="Y13" s="62"/>
    </row>
    <row r="14">
      <c r="A14" s="2">
        <v>2225.0</v>
      </c>
      <c r="B14" s="2" t="s">
        <v>319</v>
      </c>
      <c r="D14" s="2" t="s">
        <v>320</v>
      </c>
      <c r="E14" s="2" t="s">
        <v>261</v>
      </c>
      <c r="F14" s="2" t="s">
        <v>321</v>
      </c>
      <c r="I14" s="2" t="s">
        <v>322</v>
      </c>
      <c r="L14" s="2" t="s">
        <v>264</v>
      </c>
      <c r="M14" s="2" t="s">
        <v>265</v>
      </c>
      <c r="Q14" s="4"/>
      <c r="S14" s="2" t="s">
        <v>268</v>
      </c>
      <c r="T14" s="2" t="s">
        <v>323</v>
      </c>
      <c r="U14" s="2" t="s">
        <v>261</v>
      </c>
      <c r="V14" s="2" t="s">
        <v>270</v>
      </c>
      <c r="W14" s="2" t="s">
        <v>271</v>
      </c>
      <c r="X14" s="2" t="s">
        <v>264</v>
      </c>
      <c r="Y14" s="62"/>
    </row>
    <row r="15">
      <c r="A15" s="2">
        <v>2226.0</v>
      </c>
      <c r="B15" s="2" t="s">
        <v>324</v>
      </c>
      <c r="D15" s="2" t="s">
        <v>325</v>
      </c>
      <c r="E15" s="2" t="s">
        <v>261</v>
      </c>
      <c r="F15" s="2" t="s">
        <v>326</v>
      </c>
      <c r="I15" s="2" t="s">
        <v>327</v>
      </c>
      <c r="L15" s="2" t="s">
        <v>264</v>
      </c>
      <c r="M15" s="2" t="s">
        <v>265</v>
      </c>
      <c r="Q15" s="4"/>
      <c r="S15" s="2" t="s">
        <v>268</v>
      </c>
      <c r="T15" s="2" t="s">
        <v>328</v>
      </c>
      <c r="U15" s="2" t="s">
        <v>261</v>
      </c>
      <c r="V15" s="2" t="s">
        <v>270</v>
      </c>
      <c r="W15" s="2" t="s">
        <v>271</v>
      </c>
      <c r="X15" s="2" t="s">
        <v>279</v>
      </c>
      <c r="Y15" s="62"/>
    </row>
    <row r="16">
      <c r="A16" s="2">
        <v>2228.0</v>
      </c>
      <c r="B16" s="2" t="s">
        <v>329</v>
      </c>
      <c r="D16" s="2" t="s">
        <v>330</v>
      </c>
      <c r="E16" s="2" t="s">
        <v>261</v>
      </c>
      <c r="F16" s="2" t="s">
        <v>331</v>
      </c>
      <c r="I16" s="2" t="s">
        <v>332</v>
      </c>
      <c r="L16" s="2" t="s">
        <v>279</v>
      </c>
      <c r="M16" s="2" t="s">
        <v>265</v>
      </c>
      <c r="Q16" s="4"/>
      <c r="S16" s="2" t="s">
        <v>268</v>
      </c>
      <c r="T16" s="2" t="s">
        <v>333</v>
      </c>
      <c r="U16" s="2" t="s">
        <v>261</v>
      </c>
      <c r="V16" s="2" t="s">
        <v>270</v>
      </c>
      <c r="W16" s="2" t="s">
        <v>271</v>
      </c>
      <c r="X16" s="2" t="s">
        <v>279</v>
      </c>
      <c r="Y16" s="62"/>
    </row>
    <row r="17">
      <c r="A17" s="2">
        <v>2229.0</v>
      </c>
      <c r="B17" s="2" t="s">
        <v>334</v>
      </c>
      <c r="D17" s="2" t="s">
        <v>335</v>
      </c>
      <c r="E17" s="2" t="s">
        <v>261</v>
      </c>
      <c r="F17" s="2" t="s">
        <v>336</v>
      </c>
      <c r="I17" s="2" t="s">
        <v>332</v>
      </c>
      <c r="L17" s="2" t="s">
        <v>279</v>
      </c>
      <c r="M17" s="2" t="s">
        <v>265</v>
      </c>
      <c r="Q17" s="4"/>
      <c r="S17" s="2" t="s">
        <v>268</v>
      </c>
      <c r="T17" s="2" t="s">
        <v>337</v>
      </c>
      <c r="U17" s="2" t="s">
        <v>261</v>
      </c>
      <c r="V17" s="2" t="s">
        <v>270</v>
      </c>
      <c r="W17" s="2" t="s">
        <v>271</v>
      </c>
      <c r="X17" s="2" t="s">
        <v>279</v>
      </c>
      <c r="Y17" s="62"/>
    </row>
    <row r="18">
      <c r="A18" s="2">
        <v>2231.0</v>
      </c>
      <c r="B18" s="2" t="s">
        <v>338</v>
      </c>
      <c r="D18" s="2" t="s">
        <v>339</v>
      </c>
      <c r="E18" s="2" t="s">
        <v>261</v>
      </c>
      <c r="F18" s="2" t="s">
        <v>340</v>
      </c>
      <c r="I18" s="2" t="s">
        <v>332</v>
      </c>
      <c r="L18" s="2" t="s">
        <v>279</v>
      </c>
      <c r="M18" s="2" t="s">
        <v>265</v>
      </c>
      <c r="Q18" s="4"/>
      <c r="S18" s="2" t="s">
        <v>268</v>
      </c>
      <c r="T18" s="2" t="s">
        <v>341</v>
      </c>
      <c r="U18" s="2" t="s">
        <v>261</v>
      </c>
      <c r="V18" s="2" t="s">
        <v>270</v>
      </c>
      <c r="W18" s="2" t="s">
        <v>271</v>
      </c>
      <c r="X18" s="2" t="s">
        <v>279</v>
      </c>
      <c r="Y18" s="62"/>
    </row>
    <row r="19">
      <c r="A19" s="2">
        <v>2230.0</v>
      </c>
      <c r="B19" s="2" t="s">
        <v>342</v>
      </c>
      <c r="D19" s="2" t="s">
        <v>343</v>
      </c>
      <c r="E19" s="2" t="s">
        <v>261</v>
      </c>
      <c r="F19" s="2" t="s">
        <v>344</v>
      </c>
      <c r="I19" s="2" t="s">
        <v>332</v>
      </c>
      <c r="L19" s="2" t="s">
        <v>279</v>
      </c>
      <c r="M19" s="2" t="s">
        <v>265</v>
      </c>
      <c r="Q19" s="4"/>
      <c r="S19" s="2" t="s">
        <v>268</v>
      </c>
      <c r="T19" s="2" t="s">
        <v>345</v>
      </c>
      <c r="U19" s="2" t="s">
        <v>261</v>
      </c>
      <c r="V19" s="2" t="s">
        <v>271</v>
      </c>
      <c r="W19" s="2" t="s">
        <v>271</v>
      </c>
      <c r="X19" s="2" t="s">
        <v>264</v>
      </c>
      <c r="Y19" s="62"/>
    </row>
    <row r="20">
      <c r="A20" s="2">
        <v>2240.0</v>
      </c>
      <c r="B20" s="2" t="s">
        <v>346</v>
      </c>
      <c r="D20" s="2" t="s">
        <v>347</v>
      </c>
      <c r="E20" s="2" t="s">
        <v>261</v>
      </c>
      <c r="F20" s="2" t="s">
        <v>348</v>
      </c>
      <c r="I20" s="2" t="s">
        <v>349</v>
      </c>
      <c r="L20" s="2" t="s">
        <v>279</v>
      </c>
      <c r="M20" s="2" t="s">
        <v>265</v>
      </c>
      <c r="Q20" s="4"/>
      <c r="S20" s="2" t="s">
        <v>268</v>
      </c>
      <c r="T20" s="2" t="s">
        <v>350</v>
      </c>
      <c r="U20" s="2" t="s">
        <v>261</v>
      </c>
      <c r="V20" s="2" t="s">
        <v>271</v>
      </c>
      <c r="W20" s="2" t="s">
        <v>271</v>
      </c>
      <c r="X20" s="2" t="s">
        <v>264</v>
      </c>
      <c r="Y20" s="62"/>
    </row>
    <row r="21">
      <c r="A21" s="2">
        <v>2026.0</v>
      </c>
      <c r="B21" s="2" t="s">
        <v>351</v>
      </c>
      <c r="D21" s="2" t="s">
        <v>352</v>
      </c>
      <c r="E21" s="2" t="s">
        <v>261</v>
      </c>
      <c r="F21" s="2" t="s">
        <v>353</v>
      </c>
      <c r="I21" s="2" t="s">
        <v>354</v>
      </c>
      <c r="L21" s="2" t="s">
        <v>264</v>
      </c>
      <c r="M21" s="2" t="s">
        <v>265</v>
      </c>
      <c r="Q21" s="4"/>
      <c r="S21" s="2" t="s">
        <v>268</v>
      </c>
      <c r="T21" s="2" t="s">
        <v>355</v>
      </c>
      <c r="U21" s="2" t="s">
        <v>261</v>
      </c>
      <c r="V21" s="2" t="s">
        <v>271</v>
      </c>
      <c r="W21" s="2" t="s">
        <v>271</v>
      </c>
      <c r="X21" s="2" t="s">
        <v>279</v>
      </c>
      <c r="Y21" s="62"/>
    </row>
    <row r="22">
      <c r="A22" s="2">
        <v>2241.0</v>
      </c>
      <c r="B22" s="2" t="s">
        <v>356</v>
      </c>
      <c r="D22" s="2" t="s">
        <v>357</v>
      </c>
      <c r="E22" s="2" t="s">
        <v>261</v>
      </c>
      <c r="F22" s="2" t="s">
        <v>358</v>
      </c>
      <c r="I22" s="2" t="s">
        <v>354</v>
      </c>
      <c r="L22" s="2" t="s">
        <v>279</v>
      </c>
      <c r="M22" s="2" t="s">
        <v>265</v>
      </c>
      <c r="Q22" s="4"/>
      <c r="S22" s="2" t="s">
        <v>268</v>
      </c>
      <c r="T22" s="2" t="s">
        <v>359</v>
      </c>
      <c r="U22" s="2" t="s">
        <v>261</v>
      </c>
      <c r="V22" s="2" t="s">
        <v>270</v>
      </c>
      <c r="W22" s="2" t="s">
        <v>271</v>
      </c>
      <c r="X22" s="2" t="s">
        <v>264</v>
      </c>
      <c r="Y22" s="62"/>
    </row>
    <row r="23">
      <c r="A23" s="2">
        <v>2242.0</v>
      </c>
      <c r="B23" s="2" t="s">
        <v>360</v>
      </c>
      <c r="D23" s="2" t="s">
        <v>361</v>
      </c>
      <c r="E23" s="2" t="s">
        <v>261</v>
      </c>
      <c r="F23" s="2" t="s">
        <v>362</v>
      </c>
      <c r="I23" s="2" t="s">
        <v>354</v>
      </c>
      <c r="L23" s="2" t="s">
        <v>264</v>
      </c>
      <c r="M23" s="2" t="s">
        <v>265</v>
      </c>
      <c r="Q23" s="4"/>
      <c r="S23" s="2" t="s">
        <v>268</v>
      </c>
      <c r="T23" s="2" t="s">
        <v>363</v>
      </c>
      <c r="U23" s="2" t="s">
        <v>261</v>
      </c>
      <c r="V23" s="2" t="s">
        <v>271</v>
      </c>
      <c r="W23" s="2" t="s">
        <v>271</v>
      </c>
      <c r="X23" s="2" t="s">
        <v>279</v>
      </c>
    </row>
    <row r="24">
      <c r="A24" s="2">
        <v>2243.0</v>
      </c>
      <c r="B24" s="2" t="s">
        <v>364</v>
      </c>
      <c r="D24" s="2" t="s">
        <v>365</v>
      </c>
      <c r="E24" s="2" t="s">
        <v>261</v>
      </c>
      <c r="I24" s="2" t="s">
        <v>354</v>
      </c>
      <c r="L24" s="2" t="s">
        <v>279</v>
      </c>
      <c r="M24" s="2" t="s">
        <v>265</v>
      </c>
      <c r="S24" s="2" t="s">
        <v>366</v>
      </c>
    </row>
    <row r="25">
      <c r="A25" s="2">
        <v>2244.0</v>
      </c>
      <c r="B25" s="2" t="s">
        <v>367</v>
      </c>
      <c r="D25" s="2" t="s">
        <v>368</v>
      </c>
      <c r="E25" s="2" t="s">
        <v>261</v>
      </c>
      <c r="I25" s="2" t="s">
        <v>354</v>
      </c>
      <c r="L25" s="2" t="s">
        <v>264</v>
      </c>
      <c r="M25" s="2" t="s">
        <v>265</v>
      </c>
      <c r="S25" s="2" t="s">
        <v>268</v>
      </c>
      <c r="T25" s="2" t="s">
        <v>369</v>
      </c>
      <c r="U25" s="2" t="s">
        <v>261</v>
      </c>
      <c r="V25" s="2" t="s">
        <v>270</v>
      </c>
      <c r="W25" s="2" t="s">
        <v>271</v>
      </c>
      <c r="X25" s="2" t="s">
        <v>264</v>
      </c>
      <c r="Y25" s="62"/>
    </row>
    <row r="26">
      <c r="A26" s="2">
        <v>2245.0</v>
      </c>
      <c r="B26" s="2" t="s">
        <v>370</v>
      </c>
      <c r="D26" s="2" t="s">
        <v>371</v>
      </c>
      <c r="E26" s="2" t="s">
        <v>261</v>
      </c>
      <c r="I26" s="2" t="s">
        <v>354</v>
      </c>
      <c r="L26" s="2" t="s">
        <v>279</v>
      </c>
      <c r="M26" s="2" t="s">
        <v>265</v>
      </c>
      <c r="S26" s="2" t="s">
        <v>268</v>
      </c>
      <c r="T26" s="2" t="s">
        <v>372</v>
      </c>
      <c r="U26" s="2" t="s">
        <v>261</v>
      </c>
      <c r="V26" s="2" t="s">
        <v>270</v>
      </c>
      <c r="W26" s="2" t="s">
        <v>271</v>
      </c>
      <c r="X26" s="2" t="s">
        <v>279</v>
      </c>
    </row>
    <row r="27">
      <c r="A27" s="2">
        <v>2246.0</v>
      </c>
      <c r="B27" s="2" t="s">
        <v>373</v>
      </c>
      <c r="D27" s="2" t="s">
        <v>374</v>
      </c>
      <c r="E27" s="2" t="s">
        <v>261</v>
      </c>
      <c r="I27" s="2" t="s">
        <v>354</v>
      </c>
      <c r="L27" s="2" t="s">
        <v>264</v>
      </c>
      <c r="M27" s="2" t="s">
        <v>265</v>
      </c>
      <c r="S27" s="2" t="s">
        <v>268</v>
      </c>
      <c r="T27" s="2" t="s">
        <v>375</v>
      </c>
      <c r="U27" s="2" t="s">
        <v>261</v>
      </c>
      <c r="V27" s="2" t="s">
        <v>270</v>
      </c>
      <c r="W27" s="2" t="s">
        <v>271</v>
      </c>
      <c r="X27" s="2" t="s">
        <v>279</v>
      </c>
      <c r="Y27" s="62"/>
    </row>
    <row r="28">
      <c r="A28" s="2">
        <v>1900.0</v>
      </c>
      <c r="B28" s="2" t="s">
        <v>376</v>
      </c>
      <c r="D28" s="2" t="s">
        <v>377</v>
      </c>
      <c r="E28" s="2" t="s">
        <v>261</v>
      </c>
      <c r="F28" s="2" t="s">
        <v>378</v>
      </c>
      <c r="I28" s="2" t="s">
        <v>379</v>
      </c>
      <c r="K28" s="2" t="s">
        <v>380</v>
      </c>
      <c r="L28" s="2" t="s">
        <v>264</v>
      </c>
      <c r="M28" s="2" t="s">
        <v>265</v>
      </c>
      <c r="N28" s="2" t="s">
        <v>266</v>
      </c>
      <c r="O28" s="2" t="s">
        <v>381</v>
      </c>
      <c r="S28" s="2" t="s">
        <v>268</v>
      </c>
      <c r="T28" s="2" t="s">
        <v>382</v>
      </c>
      <c r="U28" s="2" t="s">
        <v>261</v>
      </c>
      <c r="V28" s="2" t="s">
        <v>271</v>
      </c>
      <c r="W28" s="2" t="s">
        <v>271</v>
      </c>
      <c r="X28" s="2" t="s">
        <v>279</v>
      </c>
      <c r="Y28" s="62"/>
    </row>
    <row r="29">
      <c r="A29" s="2">
        <v>1901.0</v>
      </c>
      <c r="B29" s="2" t="s">
        <v>383</v>
      </c>
      <c r="D29" s="2" t="s">
        <v>384</v>
      </c>
      <c r="E29" s="2" t="s">
        <v>261</v>
      </c>
      <c r="F29" s="2" t="s">
        <v>385</v>
      </c>
      <c r="I29" s="2" t="s">
        <v>379</v>
      </c>
      <c r="K29" s="2" t="s">
        <v>380</v>
      </c>
      <c r="L29" s="2" t="s">
        <v>264</v>
      </c>
      <c r="M29" s="2" t="s">
        <v>265</v>
      </c>
      <c r="N29" s="2" t="s">
        <v>266</v>
      </c>
      <c r="O29" s="2" t="s">
        <v>386</v>
      </c>
      <c r="S29" s="2" t="s">
        <v>268</v>
      </c>
      <c r="T29" s="2" t="s">
        <v>387</v>
      </c>
      <c r="U29" s="2" t="s">
        <v>261</v>
      </c>
      <c r="V29" s="2" t="s">
        <v>271</v>
      </c>
      <c r="W29" s="2" t="s">
        <v>271</v>
      </c>
      <c r="X29" s="2" t="s">
        <v>279</v>
      </c>
      <c r="Y29" s="62"/>
    </row>
    <row r="30">
      <c r="A30" s="2">
        <v>1902.0</v>
      </c>
      <c r="B30" s="2" t="s">
        <v>388</v>
      </c>
      <c r="D30" s="2" t="s">
        <v>389</v>
      </c>
      <c r="E30" s="2" t="s">
        <v>261</v>
      </c>
      <c r="F30" s="2" t="s">
        <v>390</v>
      </c>
      <c r="I30" s="2" t="s">
        <v>379</v>
      </c>
      <c r="K30" s="2" t="s">
        <v>380</v>
      </c>
      <c r="L30" s="2" t="s">
        <v>264</v>
      </c>
      <c r="M30" s="2" t="s">
        <v>265</v>
      </c>
      <c r="N30" s="2" t="s">
        <v>266</v>
      </c>
      <c r="O30" s="2" t="s">
        <v>391</v>
      </c>
      <c r="S30" s="2" t="s">
        <v>268</v>
      </c>
      <c r="T30" s="2" t="s">
        <v>392</v>
      </c>
      <c r="U30" s="2" t="s">
        <v>261</v>
      </c>
      <c r="V30" s="2" t="s">
        <v>270</v>
      </c>
      <c r="W30" s="2" t="s">
        <v>271</v>
      </c>
      <c r="X30" s="2" t="s">
        <v>279</v>
      </c>
      <c r="Y30" s="62"/>
    </row>
    <row r="31">
      <c r="A31" s="2">
        <v>1903.0</v>
      </c>
      <c r="B31" s="2" t="s">
        <v>393</v>
      </c>
      <c r="D31" s="2" t="s">
        <v>394</v>
      </c>
      <c r="E31" s="2" t="s">
        <v>261</v>
      </c>
      <c r="F31" s="2" t="s">
        <v>395</v>
      </c>
      <c r="I31" s="2" t="s">
        <v>379</v>
      </c>
      <c r="K31" s="2" t="s">
        <v>380</v>
      </c>
      <c r="L31" s="2" t="s">
        <v>264</v>
      </c>
      <c r="M31" s="2" t="s">
        <v>265</v>
      </c>
      <c r="N31" s="2" t="s">
        <v>266</v>
      </c>
      <c r="O31" s="2" t="s">
        <v>396</v>
      </c>
      <c r="S31" s="2" t="s">
        <v>268</v>
      </c>
      <c r="T31" s="2" t="s">
        <v>397</v>
      </c>
      <c r="U31" s="2" t="s">
        <v>261</v>
      </c>
      <c r="V31" s="2" t="s">
        <v>270</v>
      </c>
      <c r="W31" s="2" t="s">
        <v>271</v>
      </c>
      <c r="X31" s="2" t="s">
        <v>279</v>
      </c>
      <c r="Y31" s="62"/>
    </row>
    <row r="32">
      <c r="A32" s="2">
        <v>1904.0</v>
      </c>
      <c r="B32" s="2" t="s">
        <v>398</v>
      </c>
      <c r="D32" s="2" t="s">
        <v>399</v>
      </c>
      <c r="E32" s="2" t="s">
        <v>261</v>
      </c>
      <c r="F32" s="2" t="s">
        <v>400</v>
      </c>
      <c r="I32" s="2" t="s">
        <v>401</v>
      </c>
      <c r="K32" s="2" t="s">
        <v>402</v>
      </c>
      <c r="L32" s="2" t="s">
        <v>264</v>
      </c>
      <c r="M32" s="2" t="s">
        <v>265</v>
      </c>
      <c r="N32" s="2" t="s">
        <v>266</v>
      </c>
      <c r="O32" s="2" t="s">
        <v>403</v>
      </c>
      <c r="S32" s="2" t="s">
        <v>268</v>
      </c>
      <c r="T32" s="2" t="s">
        <v>404</v>
      </c>
      <c r="U32" s="2" t="s">
        <v>261</v>
      </c>
      <c r="V32" s="2" t="s">
        <v>271</v>
      </c>
      <c r="W32" s="2" t="s">
        <v>271</v>
      </c>
      <c r="X32" s="2" t="s">
        <v>272</v>
      </c>
    </row>
    <row r="33">
      <c r="A33" s="2">
        <v>1906.0</v>
      </c>
      <c r="B33" s="2" t="s">
        <v>405</v>
      </c>
      <c r="D33" s="2" t="s">
        <v>406</v>
      </c>
      <c r="E33" s="2" t="s">
        <v>261</v>
      </c>
      <c r="F33" s="2" t="s">
        <v>407</v>
      </c>
      <c r="I33" s="2" t="s">
        <v>408</v>
      </c>
      <c r="K33" s="2" t="s">
        <v>409</v>
      </c>
      <c r="L33" s="2" t="s">
        <v>264</v>
      </c>
      <c r="M33" s="2" t="s">
        <v>265</v>
      </c>
      <c r="N33" s="2" t="s">
        <v>266</v>
      </c>
      <c r="O33" s="2" t="s">
        <v>410</v>
      </c>
      <c r="S33" s="2" t="s">
        <v>268</v>
      </c>
      <c r="T33" s="2" t="s">
        <v>411</v>
      </c>
      <c r="U33" s="2" t="s">
        <v>261</v>
      </c>
      <c r="V33" s="2" t="s">
        <v>271</v>
      </c>
      <c r="W33" s="2" t="s">
        <v>271</v>
      </c>
      <c r="X33" s="2" t="s">
        <v>272</v>
      </c>
      <c r="Y33" s="62"/>
    </row>
    <row r="34">
      <c r="A34" s="2">
        <v>1907.0</v>
      </c>
      <c r="B34" s="2" t="s">
        <v>412</v>
      </c>
      <c r="D34" s="2" t="s">
        <v>413</v>
      </c>
      <c r="E34" s="2" t="s">
        <v>261</v>
      </c>
      <c r="F34" s="2" t="s">
        <v>414</v>
      </c>
      <c r="I34" s="2" t="s">
        <v>408</v>
      </c>
      <c r="K34" s="2" t="s">
        <v>409</v>
      </c>
      <c r="L34" s="2" t="s">
        <v>279</v>
      </c>
      <c r="M34" s="2" t="s">
        <v>265</v>
      </c>
      <c r="N34" s="2" t="s">
        <v>266</v>
      </c>
      <c r="O34" s="2" t="s">
        <v>415</v>
      </c>
      <c r="S34" s="2" t="s">
        <v>268</v>
      </c>
      <c r="T34" s="2" t="s">
        <v>416</v>
      </c>
      <c r="U34" s="2" t="s">
        <v>261</v>
      </c>
      <c r="V34" s="2" t="s">
        <v>271</v>
      </c>
      <c r="W34" s="2" t="s">
        <v>271</v>
      </c>
      <c r="X34" s="2" t="s">
        <v>279</v>
      </c>
      <c r="Y34" s="62"/>
    </row>
    <row r="35">
      <c r="A35" s="2">
        <v>1908.0</v>
      </c>
      <c r="B35" s="2" t="s">
        <v>417</v>
      </c>
      <c r="D35" s="2" t="s">
        <v>418</v>
      </c>
      <c r="E35" s="2" t="s">
        <v>261</v>
      </c>
      <c r="F35" s="2" t="s">
        <v>419</v>
      </c>
      <c r="I35" s="2" t="s">
        <v>408</v>
      </c>
      <c r="K35" s="2" t="s">
        <v>409</v>
      </c>
      <c r="L35" s="2" t="s">
        <v>264</v>
      </c>
      <c r="M35" s="2" t="s">
        <v>265</v>
      </c>
      <c r="N35" s="2" t="s">
        <v>266</v>
      </c>
      <c r="O35" s="2" t="s">
        <v>420</v>
      </c>
      <c r="S35" s="2" t="s">
        <v>268</v>
      </c>
      <c r="T35" s="2" t="s">
        <v>421</v>
      </c>
      <c r="U35" s="2" t="s">
        <v>261</v>
      </c>
      <c r="V35" s="2" t="s">
        <v>271</v>
      </c>
      <c r="W35" s="2" t="s">
        <v>271</v>
      </c>
      <c r="X35" s="2" t="s">
        <v>272</v>
      </c>
      <c r="Y35" s="62"/>
    </row>
    <row r="36">
      <c r="A36" s="2">
        <v>1909.0</v>
      </c>
      <c r="B36" s="2" t="s">
        <v>422</v>
      </c>
      <c r="D36" s="2" t="s">
        <v>423</v>
      </c>
      <c r="E36" s="2" t="s">
        <v>261</v>
      </c>
      <c r="I36" s="2" t="s">
        <v>408</v>
      </c>
      <c r="L36" s="2" t="s">
        <v>279</v>
      </c>
      <c r="M36" s="2" t="s">
        <v>265</v>
      </c>
      <c r="N36" s="2" t="s">
        <v>266</v>
      </c>
      <c r="O36" s="2" t="s">
        <v>424</v>
      </c>
      <c r="S36" s="2" t="s">
        <v>268</v>
      </c>
      <c r="T36" s="2" t="s">
        <v>425</v>
      </c>
      <c r="U36" s="2" t="s">
        <v>261</v>
      </c>
      <c r="V36" s="2" t="s">
        <v>271</v>
      </c>
      <c r="W36" s="2" t="s">
        <v>271</v>
      </c>
      <c r="X36" s="2" t="s">
        <v>279</v>
      </c>
      <c r="Y36" s="62"/>
    </row>
    <row r="37">
      <c r="A37" s="2">
        <v>1910.0</v>
      </c>
      <c r="B37" s="2" t="s">
        <v>426</v>
      </c>
      <c r="D37" s="2" t="s">
        <v>427</v>
      </c>
      <c r="E37" s="2" t="s">
        <v>261</v>
      </c>
      <c r="F37" s="2" t="s">
        <v>428</v>
      </c>
      <c r="I37" s="2" t="s">
        <v>408</v>
      </c>
      <c r="K37" s="2" t="s">
        <v>409</v>
      </c>
      <c r="L37" s="2" t="s">
        <v>279</v>
      </c>
      <c r="M37" s="2" t="s">
        <v>265</v>
      </c>
      <c r="N37" s="2" t="s">
        <v>266</v>
      </c>
      <c r="O37" s="2" t="s">
        <v>429</v>
      </c>
      <c r="S37" s="2" t="s">
        <v>268</v>
      </c>
      <c r="T37" s="2" t="s">
        <v>430</v>
      </c>
      <c r="U37" s="2" t="s">
        <v>261</v>
      </c>
      <c r="V37" s="2" t="s">
        <v>271</v>
      </c>
      <c r="W37" s="2" t="s">
        <v>271</v>
      </c>
      <c r="X37" s="2" t="s">
        <v>279</v>
      </c>
      <c r="Y37" s="62"/>
    </row>
    <row r="38">
      <c r="A38" s="2">
        <v>1911.0</v>
      </c>
      <c r="B38" s="2" t="s">
        <v>431</v>
      </c>
      <c r="D38" s="2" t="s">
        <v>432</v>
      </c>
      <c r="E38" s="2" t="s">
        <v>261</v>
      </c>
      <c r="F38" s="2" t="s">
        <v>433</v>
      </c>
      <c r="I38" s="2" t="s">
        <v>408</v>
      </c>
      <c r="K38" s="2" t="s">
        <v>409</v>
      </c>
      <c r="L38" s="2" t="s">
        <v>279</v>
      </c>
      <c r="M38" s="2" t="s">
        <v>265</v>
      </c>
      <c r="N38" s="2" t="s">
        <v>266</v>
      </c>
      <c r="O38" s="2" t="s">
        <v>434</v>
      </c>
      <c r="S38" s="2" t="s">
        <v>268</v>
      </c>
      <c r="T38" s="2" t="s">
        <v>435</v>
      </c>
      <c r="U38" s="2" t="s">
        <v>261</v>
      </c>
      <c r="V38" s="2" t="s">
        <v>270</v>
      </c>
      <c r="W38" s="2" t="s">
        <v>271</v>
      </c>
      <c r="X38" s="2" t="s">
        <v>272</v>
      </c>
      <c r="Y38" s="62"/>
    </row>
    <row r="39">
      <c r="A39" s="2">
        <v>1912.0</v>
      </c>
      <c r="B39" s="2" t="s">
        <v>436</v>
      </c>
      <c r="D39" s="2" t="s">
        <v>437</v>
      </c>
      <c r="E39" s="2" t="s">
        <v>261</v>
      </c>
      <c r="F39" s="2" t="s">
        <v>438</v>
      </c>
      <c r="I39" s="2" t="s">
        <v>408</v>
      </c>
      <c r="K39" s="2" t="s">
        <v>409</v>
      </c>
      <c r="L39" s="2" t="s">
        <v>279</v>
      </c>
      <c r="M39" s="2" t="s">
        <v>265</v>
      </c>
      <c r="N39" s="2" t="s">
        <v>266</v>
      </c>
      <c r="O39" s="2" t="s">
        <v>439</v>
      </c>
      <c r="S39" s="2" t="s">
        <v>268</v>
      </c>
      <c r="T39" s="2" t="s">
        <v>440</v>
      </c>
      <c r="U39" s="2" t="s">
        <v>261</v>
      </c>
      <c r="V39" s="2" t="s">
        <v>270</v>
      </c>
      <c r="W39" s="2" t="s">
        <v>271</v>
      </c>
      <c r="X39" s="2" t="s">
        <v>279</v>
      </c>
      <c r="Y39" s="62"/>
    </row>
    <row r="40">
      <c r="A40" s="2">
        <v>1913.0</v>
      </c>
      <c r="B40" s="2" t="s">
        <v>441</v>
      </c>
      <c r="D40" s="2" t="s">
        <v>442</v>
      </c>
      <c r="E40" s="2" t="s">
        <v>261</v>
      </c>
      <c r="F40" s="2" t="s">
        <v>443</v>
      </c>
      <c r="I40" s="2" t="s">
        <v>408</v>
      </c>
      <c r="K40" s="2" t="s">
        <v>409</v>
      </c>
      <c r="L40" s="2" t="s">
        <v>264</v>
      </c>
      <c r="M40" s="2" t="s">
        <v>265</v>
      </c>
      <c r="N40" s="2" t="s">
        <v>266</v>
      </c>
      <c r="O40" s="2" t="s">
        <v>444</v>
      </c>
      <c r="S40" s="2" t="s">
        <v>268</v>
      </c>
      <c r="T40" s="2" t="s">
        <v>445</v>
      </c>
      <c r="U40" s="2" t="s">
        <v>261</v>
      </c>
      <c r="V40" s="2" t="s">
        <v>270</v>
      </c>
      <c r="W40" s="2" t="s">
        <v>271</v>
      </c>
      <c r="X40" s="2" t="s">
        <v>264</v>
      </c>
      <c r="Y40" s="62"/>
    </row>
    <row r="41">
      <c r="A41" s="2">
        <v>1916.0</v>
      </c>
      <c r="B41" s="2" t="s">
        <v>446</v>
      </c>
      <c r="D41" s="2" t="s">
        <v>447</v>
      </c>
      <c r="E41" s="2" t="s">
        <v>261</v>
      </c>
      <c r="F41" s="2" t="s">
        <v>448</v>
      </c>
      <c r="I41" s="2" t="s">
        <v>449</v>
      </c>
      <c r="K41" s="2" t="s">
        <v>450</v>
      </c>
      <c r="L41" s="2" t="s">
        <v>264</v>
      </c>
      <c r="M41" s="2" t="s">
        <v>265</v>
      </c>
      <c r="N41" s="2" t="s">
        <v>266</v>
      </c>
      <c r="O41" s="2" t="s">
        <v>451</v>
      </c>
      <c r="S41" s="2" t="s">
        <v>268</v>
      </c>
      <c r="T41" s="2" t="s">
        <v>452</v>
      </c>
      <c r="U41" s="2" t="s">
        <v>261</v>
      </c>
      <c r="V41" s="2" t="s">
        <v>270</v>
      </c>
      <c r="W41" s="2" t="s">
        <v>271</v>
      </c>
      <c r="X41" s="2" t="s">
        <v>279</v>
      </c>
      <c r="Y41" s="62"/>
    </row>
    <row r="42">
      <c r="A42" s="2">
        <v>1917.0</v>
      </c>
      <c r="B42" s="2" t="s">
        <v>453</v>
      </c>
      <c r="D42" s="2" t="s">
        <v>454</v>
      </c>
      <c r="E42" s="2" t="s">
        <v>261</v>
      </c>
      <c r="F42" s="2" t="s">
        <v>455</v>
      </c>
      <c r="I42" s="2" t="s">
        <v>449</v>
      </c>
      <c r="K42" s="2" t="s">
        <v>450</v>
      </c>
      <c r="L42" s="2" t="s">
        <v>279</v>
      </c>
      <c r="M42" s="2" t="s">
        <v>265</v>
      </c>
      <c r="N42" s="2" t="s">
        <v>266</v>
      </c>
      <c r="O42" s="2" t="s">
        <v>456</v>
      </c>
      <c r="S42" s="2" t="s">
        <v>268</v>
      </c>
      <c r="T42" s="2" t="s">
        <v>457</v>
      </c>
      <c r="U42" s="2" t="s">
        <v>261</v>
      </c>
      <c r="V42" s="2" t="s">
        <v>270</v>
      </c>
      <c r="W42" s="2" t="s">
        <v>271</v>
      </c>
      <c r="X42" s="2" t="s">
        <v>279</v>
      </c>
      <c r="Y42" s="62"/>
    </row>
    <row r="43">
      <c r="A43" s="2">
        <v>1918.0</v>
      </c>
      <c r="B43" s="2" t="s">
        <v>458</v>
      </c>
      <c r="D43" s="2" t="s">
        <v>459</v>
      </c>
      <c r="E43" s="2" t="s">
        <v>261</v>
      </c>
      <c r="I43" s="2" t="s">
        <v>460</v>
      </c>
      <c r="K43" s="2" t="s">
        <v>461</v>
      </c>
      <c r="L43" s="2" t="s">
        <v>272</v>
      </c>
      <c r="M43" s="2" t="s">
        <v>265</v>
      </c>
      <c r="S43" s="2" t="s">
        <v>268</v>
      </c>
      <c r="T43" s="2" t="s">
        <v>462</v>
      </c>
      <c r="U43" s="2" t="s">
        <v>261</v>
      </c>
      <c r="V43" s="2" t="s">
        <v>270</v>
      </c>
      <c r="W43" s="2" t="s">
        <v>271</v>
      </c>
      <c r="X43" s="2" t="s">
        <v>272</v>
      </c>
      <c r="Y43" s="62"/>
    </row>
    <row r="44">
      <c r="A44" s="2">
        <v>1919.0</v>
      </c>
      <c r="B44" s="2" t="s">
        <v>463</v>
      </c>
      <c r="D44" s="2" t="s">
        <v>464</v>
      </c>
      <c r="E44" s="2" t="s">
        <v>261</v>
      </c>
      <c r="I44" s="2" t="s">
        <v>465</v>
      </c>
      <c r="K44" s="2" t="s">
        <v>263</v>
      </c>
      <c r="L44" s="2" t="s">
        <v>264</v>
      </c>
      <c r="M44" s="2" t="s">
        <v>265</v>
      </c>
      <c r="N44" s="2" t="s">
        <v>266</v>
      </c>
      <c r="O44" s="2" t="s">
        <v>466</v>
      </c>
      <c r="S44" s="2" t="s">
        <v>268</v>
      </c>
      <c r="T44" s="2" t="s">
        <v>467</v>
      </c>
      <c r="U44" s="2" t="s">
        <v>261</v>
      </c>
      <c r="V44" s="2" t="s">
        <v>270</v>
      </c>
      <c r="W44" s="2" t="s">
        <v>271</v>
      </c>
      <c r="X44" s="2" t="s">
        <v>272</v>
      </c>
      <c r="Y44" s="62"/>
    </row>
    <row r="45">
      <c r="A45" s="2">
        <v>2264.0</v>
      </c>
      <c r="B45" s="2" t="s">
        <v>468</v>
      </c>
      <c r="D45" s="2" t="s">
        <v>469</v>
      </c>
      <c r="E45" s="2" t="s">
        <v>261</v>
      </c>
      <c r="F45" s="2" t="s">
        <v>470</v>
      </c>
      <c r="I45" s="2" t="s">
        <v>471</v>
      </c>
      <c r="L45" s="2" t="s">
        <v>264</v>
      </c>
      <c r="M45" s="2" t="s">
        <v>265</v>
      </c>
      <c r="S45" s="2" t="s">
        <v>268</v>
      </c>
      <c r="T45" s="2" t="s">
        <v>472</v>
      </c>
      <c r="U45" s="2" t="s">
        <v>261</v>
      </c>
      <c r="V45" s="2" t="s">
        <v>270</v>
      </c>
      <c r="W45" s="2" t="s">
        <v>271</v>
      </c>
      <c r="X45" s="2" t="s">
        <v>272</v>
      </c>
      <c r="Y45" s="62"/>
    </row>
    <row r="46">
      <c r="A46" s="2">
        <v>5327.0</v>
      </c>
      <c r="B46" s="2" t="s">
        <v>473</v>
      </c>
      <c r="D46" s="2" t="s">
        <v>474</v>
      </c>
      <c r="E46" s="2" t="s">
        <v>261</v>
      </c>
      <c r="I46" s="2" t="s">
        <v>475</v>
      </c>
      <c r="L46" s="2" t="s">
        <v>264</v>
      </c>
      <c r="M46" s="2" t="s">
        <v>265</v>
      </c>
      <c r="S46" s="2" t="s">
        <v>268</v>
      </c>
      <c r="T46" s="2" t="s">
        <v>476</v>
      </c>
      <c r="U46" s="2" t="s">
        <v>261</v>
      </c>
      <c r="V46" s="2" t="s">
        <v>270</v>
      </c>
      <c r="W46" s="2" t="s">
        <v>271</v>
      </c>
      <c r="X46" s="2" t="s">
        <v>272</v>
      </c>
      <c r="Y46" s="62"/>
    </row>
    <row r="47" hidden="1">
      <c r="A47" s="2">
        <v>7114.0</v>
      </c>
      <c r="B47" s="2" t="s">
        <v>477</v>
      </c>
      <c r="D47" s="2" t="s">
        <v>478</v>
      </c>
      <c r="E47" s="2" t="s">
        <v>261</v>
      </c>
      <c r="I47" s="2" t="s">
        <v>479</v>
      </c>
      <c r="K47" s="2" t="s">
        <v>480</v>
      </c>
      <c r="L47" s="2" t="s">
        <v>272</v>
      </c>
      <c r="M47" s="2" t="s">
        <v>265</v>
      </c>
      <c r="N47" s="2" t="s">
        <v>266</v>
      </c>
      <c r="O47" s="2" t="s">
        <v>481</v>
      </c>
      <c r="S47" s="2" t="s">
        <v>268</v>
      </c>
      <c r="T47" s="2" t="s">
        <v>482</v>
      </c>
      <c r="U47" s="2" t="s">
        <v>261</v>
      </c>
      <c r="V47" s="2" t="s">
        <v>270</v>
      </c>
      <c r="W47" s="2" t="s">
        <v>271</v>
      </c>
      <c r="X47" s="2" t="s">
        <v>279</v>
      </c>
      <c r="Y47" s="63" t="s">
        <v>80</v>
      </c>
    </row>
    <row r="48" hidden="1">
      <c r="A48" s="2">
        <v>7115.0</v>
      </c>
      <c r="B48" s="2" t="s">
        <v>483</v>
      </c>
      <c r="D48" s="2" t="s">
        <v>484</v>
      </c>
      <c r="E48" s="2" t="s">
        <v>261</v>
      </c>
      <c r="I48" s="2" t="s">
        <v>479</v>
      </c>
      <c r="K48" s="2" t="s">
        <v>480</v>
      </c>
      <c r="L48" s="2" t="s">
        <v>272</v>
      </c>
      <c r="M48" s="2" t="s">
        <v>265</v>
      </c>
      <c r="N48" s="2" t="s">
        <v>266</v>
      </c>
      <c r="O48" s="2" t="s">
        <v>485</v>
      </c>
      <c r="S48" s="2" t="s">
        <v>268</v>
      </c>
      <c r="T48" s="2" t="s">
        <v>486</v>
      </c>
      <c r="U48" s="2" t="s">
        <v>261</v>
      </c>
      <c r="V48" s="2" t="s">
        <v>270</v>
      </c>
      <c r="W48" s="2" t="s">
        <v>271</v>
      </c>
      <c r="X48" s="2" t="s">
        <v>279</v>
      </c>
      <c r="Y48" s="63" t="s">
        <v>80</v>
      </c>
    </row>
    <row r="49" hidden="1">
      <c r="A49" s="2">
        <v>7116.0</v>
      </c>
      <c r="B49" s="2" t="s">
        <v>487</v>
      </c>
      <c r="D49" s="2" t="s">
        <v>488</v>
      </c>
      <c r="E49" s="2" t="s">
        <v>261</v>
      </c>
      <c r="I49" s="2" t="s">
        <v>479</v>
      </c>
      <c r="K49" s="2" t="s">
        <v>480</v>
      </c>
      <c r="L49" s="2" t="s">
        <v>272</v>
      </c>
      <c r="M49" s="2" t="s">
        <v>265</v>
      </c>
      <c r="N49" s="2" t="s">
        <v>266</v>
      </c>
      <c r="O49" s="2" t="s">
        <v>489</v>
      </c>
      <c r="S49" s="2" t="s">
        <v>268</v>
      </c>
      <c r="T49" s="2" t="s">
        <v>490</v>
      </c>
      <c r="U49" s="2" t="s">
        <v>261</v>
      </c>
      <c r="V49" s="2" t="s">
        <v>270</v>
      </c>
      <c r="W49" s="2" t="s">
        <v>271</v>
      </c>
      <c r="X49" s="2" t="s">
        <v>279</v>
      </c>
      <c r="Y49" s="63" t="s">
        <v>80</v>
      </c>
    </row>
    <row r="50" hidden="1">
      <c r="A50" s="2">
        <v>7117.0</v>
      </c>
      <c r="B50" s="2" t="s">
        <v>491</v>
      </c>
      <c r="D50" s="2" t="s">
        <v>492</v>
      </c>
      <c r="E50" s="2" t="s">
        <v>261</v>
      </c>
      <c r="I50" s="2" t="s">
        <v>479</v>
      </c>
      <c r="K50" s="2" t="s">
        <v>480</v>
      </c>
      <c r="L50" s="2" t="s">
        <v>272</v>
      </c>
      <c r="M50" s="2" t="s">
        <v>265</v>
      </c>
      <c r="N50" s="2" t="s">
        <v>266</v>
      </c>
      <c r="O50" s="2" t="s">
        <v>493</v>
      </c>
      <c r="S50" s="2" t="s">
        <v>268</v>
      </c>
      <c r="T50" s="2" t="s">
        <v>494</v>
      </c>
      <c r="U50" s="2" t="s">
        <v>261</v>
      </c>
      <c r="V50" s="2" t="s">
        <v>270</v>
      </c>
      <c r="W50" s="2" t="s">
        <v>271</v>
      </c>
      <c r="X50" s="2" t="s">
        <v>279</v>
      </c>
      <c r="Y50" s="63" t="s">
        <v>80</v>
      </c>
    </row>
    <row r="51" hidden="1">
      <c r="A51" s="2">
        <v>7120.0</v>
      </c>
      <c r="B51" s="2" t="s">
        <v>495</v>
      </c>
      <c r="D51" s="2" t="s">
        <v>496</v>
      </c>
      <c r="E51" s="2" t="s">
        <v>261</v>
      </c>
      <c r="I51" s="2" t="s">
        <v>497</v>
      </c>
      <c r="K51" s="2" t="s">
        <v>498</v>
      </c>
      <c r="L51" s="2" t="s">
        <v>279</v>
      </c>
      <c r="M51" s="2" t="s">
        <v>265</v>
      </c>
      <c r="N51" s="2" t="s">
        <v>266</v>
      </c>
      <c r="O51" s="2" t="s">
        <v>499</v>
      </c>
      <c r="S51" s="2" t="s">
        <v>268</v>
      </c>
      <c r="T51" s="2" t="s">
        <v>500</v>
      </c>
      <c r="U51" s="2" t="s">
        <v>261</v>
      </c>
      <c r="V51" s="2" t="s">
        <v>270</v>
      </c>
      <c r="W51" s="2" t="s">
        <v>271</v>
      </c>
      <c r="X51" s="2" t="s">
        <v>264</v>
      </c>
      <c r="Y51" s="63" t="s">
        <v>80</v>
      </c>
    </row>
    <row r="52" hidden="1">
      <c r="A52" s="2">
        <v>7121.0</v>
      </c>
      <c r="B52" s="2" t="s">
        <v>143</v>
      </c>
      <c r="D52" s="2" t="s">
        <v>501</v>
      </c>
      <c r="E52" s="2" t="s">
        <v>261</v>
      </c>
      <c r="I52" s="2" t="s">
        <v>502</v>
      </c>
      <c r="K52" s="2" t="s">
        <v>503</v>
      </c>
      <c r="L52" s="2" t="s">
        <v>272</v>
      </c>
      <c r="M52" s="2" t="s">
        <v>265</v>
      </c>
      <c r="N52" s="2" t="s">
        <v>266</v>
      </c>
      <c r="O52" s="2" t="s">
        <v>504</v>
      </c>
      <c r="S52" s="2" t="s">
        <v>268</v>
      </c>
      <c r="T52" s="2" t="s">
        <v>505</v>
      </c>
      <c r="U52" s="2" t="s">
        <v>261</v>
      </c>
      <c r="V52" s="2" t="s">
        <v>270</v>
      </c>
      <c r="W52" s="2" t="s">
        <v>270</v>
      </c>
      <c r="X52" s="2" t="s">
        <v>272</v>
      </c>
      <c r="Y52" s="63" t="s">
        <v>80</v>
      </c>
    </row>
    <row r="53" hidden="1">
      <c r="A53" s="2">
        <v>7138.0</v>
      </c>
      <c r="B53" s="2" t="s">
        <v>506</v>
      </c>
      <c r="D53" s="2" t="s">
        <v>507</v>
      </c>
      <c r="E53" s="2" t="s">
        <v>261</v>
      </c>
      <c r="I53" s="2" t="s">
        <v>508</v>
      </c>
      <c r="K53" s="2" t="s">
        <v>509</v>
      </c>
      <c r="L53" s="2" t="s">
        <v>279</v>
      </c>
      <c r="M53" s="2" t="s">
        <v>265</v>
      </c>
      <c r="N53" s="2" t="s">
        <v>266</v>
      </c>
      <c r="O53" s="2" t="s">
        <v>510</v>
      </c>
      <c r="S53" s="2" t="s">
        <v>268</v>
      </c>
      <c r="T53" s="2" t="s">
        <v>511</v>
      </c>
      <c r="U53" s="2" t="s">
        <v>261</v>
      </c>
      <c r="V53" s="2" t="s">
        <v>270</v>
      </c>
      <c r="W53" s="2" t="s">
        <v>271</v>
      </c>
      <c r="X53" s="2" t="s">
        <v>264</v>
      </c>
      <c r="Y53" s="63" t="s">
        <v>80</v>
      </c>
    </row>
    <row r="54" hidden="1">
      <c r="A54" s="2">
        <v>7131.0</v>
      </c>
      <c r="B54" s="2" t="s">
        <v>512</v>
      </c>
      <c r="D54" s="2" t="s">
        <v>513</v>
      </c>
      <c r="E54" s="2" t="s">
        <v>261</v>
      </c>
      <c r="I54" s="2" t="s">
        <v>514</v>
      </c>
      <c r="K54" s="2" t="s">
        <v>515</v>
      </c>
      <c r="L54" s="2" t="s">
        <v>279</v>
      </c>
      <c r="M54" s="2" t="s">
        <v>265</v>
      </c>
      <c r="N54" s="2" t="s">
        <v>266</v>
      </c>
      <c r="O54" s="2" t="s">
        <v>516</v>
      </c>
      <c r="S54" s="2" t="s">
        <v>268</v>
      </c>
      <c r="T54" s="2" t="s">
        <v>517</v>
      </c>
      <c r="U54" s="2" t="s">
        <v>261</v>
      </c>
      <c r="V54" s="2" t="s">
        <v>270</v>
      </c>
      <c r="W54" s="2" t="s">
        <v>271</v>
      </c>
      <c r="X54" s="2" t="s">
        <v>272</v>
      </c>
      <c r="Y54" s="63" t="s">
        <v>80</v>
      </c>
    </row>
    <row r="55" hidden="1">
      <c r="A55" s="2">
        <v>7132.0</v>
      </c>
      <c r="B55" s="2" t="s">
        <v>518</v>
      </c>
      <c r="D55" s="2" t="s">
        <v>513</v>
      </c>
      <c r="E55" s="2" t="s">
        <v>261</v>
      </c>
      <c r="I55" s="2" t="s">
        <v>514</v>
      </c>
      <c r="K55" s="2" t="s">
        <v>515</v>
      </c>
      <c r="L55" s="2" t="s">
        <v>279</v>
      </c>
      <c r="M55" s="2" t="s">
        <v>265</v>
      </c>
      <c r="N55" s="2" t="s">
        <v>266</v>
      </c>
      <c r="O55" s="2" t="s">
        <v>519</v>
      </c>
      <c r="S55" s="2" t="s">
        <v>268</v>
      </c>
      <c r="T55" s="2" t="s">
        <v>520</v>
      </c>
      <c r="U55" s="2" t="s">
        <v>261</v>
      </c>
      <c r="V55" s="2" t="s">
        <v>270</v>
      </c>
      <c r="W55" s="2" t="s">
        <v>271</v>
      </c>
      <c r="X55" s="2" t="s">
        <v>272</v>
      </c>
      <c r="Y55" s="63" t="s">
        <v>80</v>
      </c>
    </row>
    <row r="56" hidden="1">
      <c r="A56" s="2">
        <v>7133.0</v>
      </c>
      <c r="B56" s="2" t="s">
        <v>521</v>
      </c>
      <c r="D56" s="2" t="s">
        <v>513</v>
      </c>
      <c r="E56" s="2" t="s">
        <v>261</v>
      </c>
      <c r="I56" s="2" t="s">
        <v>514</v>
      </c>
      <c r="K56" s="2" t="s">
        <v>515</v>
      </c>
      <c r="L56" s="2" t="s">
        <v>279</v>
      </c>
      <c r="M56" s="2" t="s">
        <v>265</v>
      </c>
      <c r="N56" s="2" t="s">
        <v>266</v>
      </c>
      <c r="O56" s="2" t="s">
        <v>522</v>
      </c>
      <c r="S56" s="2" t="s">
        <v>268</v>
      </c>
      <c r="T56" s="2" t="s">
        <v>523</v>
      </c>
      <c r="U56" s="2" t="s">
        <v>261</v>
      </c>
      <c r="V56" s="2" t="s">
        <v>270</v>
      </c>
      <c r="W56" s="2" t="s">
        <v>271</v>
      </c>
      <c r="X56" s="2" t="s">
        <v>272</v>
      </c>
      <c r="Y56" s="63" t="s">
        <v>80</v>
      </c>
    </row>
    <row r="57" hidden="1">
      <c r="A57" s="2">
        <v>7134.0</v>
      </c>
      <c r="B57" s="2" t="s">
        <v>524</v>
      </c>
      <c r="D57" s="2" t="s">
        <v>513</v>
      </c>
      <c r="E57" s="2" t="s">
        <v>261</v>
      </c>
      <c r="I57" s="2" t="s">
        <v>514</v>
      </c>
      <c r="K57" s="2" t="s">
        <v>515</v>
      </c>
      <c r="L57" s="2" t="s">
        <v>279</v>
      </c>
      <c r="M57" s="2" t="s">
        <v>265</v>
      </c>
      <c r="N57" s="2" t="s">
        <v>266</v>
      </c>
      <c r="O57" s="2" t="s">
        <v>525</v>
      </c>
      <c r="S57" s="2" t="s">
        <v>268</v>
      </c>
      <c r="T57" s="2" t="s">
        <v>526</v>
      </c>
      <c r="U57" s="2" t="s">
        <v>261</v>
      </c>
      <c r="V57" s="2" t="s">
        <v>270</v>
      </c>
      <c r="W57" s="2" t="s">
        <v>271</v>
      </c>
      <c r="X57" s="2" t="s">
        <v>272</v>
      </c>
      <c r="Y57" s="63" t="s">
        <v>80</v>
      </c>
    </row>
    <row r="58" hidden="1">
      <c r="A58" s="2">
        <v>20376.0</v>
      </c>
      <c r="B58" s="2" t="s">
        <v>527</v>
      </c>
      <c r="D58" s="2" t="s">
        <v>528</v>
      </c>
      <c r="E58" s="2" t="s">
        <v>261</v>
      </c>
      <c r="I58" s="2" t="s">
        <v>529</v>
      </c>
      <c r="K58" s="2" t="s">
        <v>530</v>
      </c>
      <c r="L58" s="2" t="s">
        <v>264</v>
      </c>
      <c r="M58" s="2" t="s">
        <v>265</v>
      </c>
      <c r="S58" s="2" t="s">
        <v>268</v>
      </c>
      <c r="T58" s="62"/>
      <c r="U58" s="62"/>
      <c r="V58" s="2" t="s">
        <v>270</v>
      </c>
      <c r="W58" s="2" t="s">
        <v>271</v>
      </c>
      <c r="X58" s="2" t="s">
        <v>279</v>
      </c>
      <c r="Y58" s="63" t="s">
        <v>131</v>
      </c>
    </row>
    <row r="59" hidden="1">
      <c r="A59" s="2">
        <v>20377.0</v>
      </c>
      <c r="B59" s="2" t="s">
        <v>531</v>
      </c>
      <c r="D59" s="2" t="s">
        <v>528</v>
      </c>
      <c r="E59" s="2" t="s">
        <v>261</v>
      </c>
      <c r="I59" s="2" t="s">
        <v>529</v>
      </c>
      <c r="K59" s="2" t="s">
        <v>530</v>
      </c>
      <c r="L59" s="2" t="s">
        <v>264</v>
      </c>
      <c r="M59" s="2" t="s">
        <v>265</v>
      </c>
      <c r="S59" s="2" t="s">
        <v>268</v>
      </c>
      <c r="T59" s="62"/>
      <c r="U59" s="62"/>
      <c r="V59" s="2" t="s">
        <v>270</v>
      </c>
      <c r="W59" s="2" t="s">
        <v>271</v>
      </c>
      <c r="X59" s="2" t="s">
        <v>279</v>
      </c>
      <c r="Y59" s="63" t="s">
        <v>131</v>
      </c>
    </row>
    <row r="60" hidden="1">
      <c r="A60" s="2">
        <v>20378.0</v>
      </c>
      <c r="B60" s="2" t="s">
        <v>532</v>
      </c>
      <c r="D60" s="2" t="s">
        <v>528</v>
      </c>
      <c r="E60" s="2" t="s">
        <v>261</v>
      </c>
      <c r="I60" s="2" t="s">
        <v>529</v>
      </c>
      <c r="K60" s="2" t="s">
        <v>530</v>
      </c>
      <c r="L60" s="2" t="s">
        <v>264</v>
      </c>
      <c r="M60" s="2" t="s">
        <v>265</v>
      </c>
      <c r="N60" s="62"/>
      <c r="O60" s="62"/>
      <c r="S60" s="2" t="s">
        <v>268</v>
      </c>
      <c r="T60" s="62"/>
      <c r="U60" s="62"/>
      <c r="V60" s="2" t="s">
        <v>270</v>
      </c>
      <c r="W60" s="2" t="s">
        <v>271</v>
      </c>
      <c r="X60" s="2" t="s">
        <v>279</v>
      </c>
      <c r="Y60" s="63" t="s">
        <v>131</v>
      </c>
    </row>
    <row r="61" hidden="1">
      <c r="A61" s="2">
        <v>20379.0</v>
      </c>
      <c r="B61" s="2" t="s">
        <v>533</v>
      </c>
      <c r="D61" s="2" t="s">
        <v>528</v>
      </c>
      <c r="E61" s="2" t="s">
        <v>261</v>
      </c>
      <c r="I61" s="2" t="s">
        <v>534</v>
      </c>
      <c r="K61" s="2" t="s">
        <v>535</v>
      </c>
      <c r="L61" s="2" t="s">
        <v>279</v>
      </c>
      <c r="M61" s="2" t="s">
        <v>265</v>
      </c>
      <c r="N61" s="62"/>
      <c r="O61" s="62"/>
      <c r="R61" s="62"/>
      <c r="S61" s="2" t="s">
        <v>268</v>
      </c>
      <c r="T61" s="62"/>
      <c r="U61" s="62"/>
      <c r="V61" s="2" t="s">
        <v>270</v>
      </c>
      <c r="W61" s="2" t="s">
        <v>271</v>
      </c>
      <c r="X61" s="2" t="s">
        <v>264</v>
      </c>
      <c r="Y61" s="63" t="s">
        <v>131</v>
      </c>
    </row>
    <row r="62" hidden="1">
      <c r="A62" s="2">
        <v>20380.0</v>
      </c>
      <c r="B62" s="2" t="s">
        <v>536</v>
      </c>
      <c r="D62" s="2" t="s">
        <v>528</v>
      </c>
      <c r="E62" s="2" t="s">
        <v>261</v>
      </c>
      <c r="I62" s="2" t="s">
        <v>534</v>
      </c>
      <c r="K62" s="2" t="s">
        <v>535</v>
      </c>
      <c r="L62" s="2" t="s">
        <v>279</v>
      </c>
      <c r="M62" s="2" t="s">
        <v>265</v>
      </c>
      <c r="N62" s="62"/>
      <c r="O62" s="62"/>
      <c r="S62" s="2" t="s">
        <v>268</v>
      </c>
      <c r="T62" s="62"/>
      <c r="U62" s="62"/>
      <c r="V62" s="2" t="s">
        <v>270</v>
      </c>
      <c r="W62" s="2" t="s">
        <v>271</v>
      </c>
      <c r="X62" s="2" t="s">
        <v>279</v>
      </c>
      <c r="Y62" s="63" t="s">
        <v>131</v>
      </c>
    </row>
    <row r="63" hidden="1">
      <c r="A63" s="2">
        <v>20381.0</v>
      </c>
      <c r="B63" s="2" t="s">
        <v>154</v>
      </c>
      <c r="D63" s="2" t="s">
        <v>528</v>
      </c>
      <c r="E63" s="2" t="s">
        <v>261</v>
      </c>
      <c r="I63" s="2" t="s">
        <v>537</v>
      </c>
      <c r="K63" s="62"/>
      <c r="L63" s="2" t="s">
        <v>264</v>
      </c>
      <c r="M63" s="2" t="s">
        <v>265</v>
      </c>
      <c r="N63" s="62"/>
      <c r="O63" s="62"/>
      <c r="S63" s="2" t="s">
        <v>268</v>
      </c>
      <c r="T63" s="62"/>
      <c r="U63" s="62"/>
      <c r="V63" s="2" t="s">
        <v>270</v>
      </c>
      <c r="W63" s="2" t="s">
        <v>271</v>
      </c>
      <c r="X63" s="2" t="s">
        <v>279</v>
      </c>
      <c r="Y63" s="63" t="s">
        <v>131</v>
      </c>
    </row>
    <row r="64" hidden="1">
      <c r="A64" s="2">
        <v>20382.0</v>
      </c>
      <c r="B64" s="2" t="s">
        <v>538</v>
      </c>
      <c r="D64" s="2" t="s">
        <v>528</v>
      </c>
      <c r="E64" s="2" t="s">
        <v>261</v>
      </c>
      <c r="F64" s="2" t="s">
        <v>539</v>
      </c>
      <c r="I64" s="2" t="s">
        <v>540</v>
      </c>
      <c r="K64" s="2" t="s">
        <v>541</v>
      </c>
      <c r="L64" s="2" t="s">
        <v>272</v>
      </c>
      <c r="M64" s="2" t="s">
        <v>265</v>
      </c>
      <c r="N64" s="62"/>
      <c r="O64" s="62"/>
      <c r="S64" s="2" t="s">
        <v>268</v>
      </c>
      <c r="T64" s="2" t="s">
        <v>542</v>
      </c>
      <c r="U64" s="2" t="s">
        <v>261</v>
      </c>
      <c r="V64" s="2" t="s">
        <v>270</v>
      </c>
      <c r="W64" s="2" t="s">
        <v>271</v>
      </c>
      <c r="X64" s="2" t="s">
        <v>272</v>
      </c>
      <c r="Y64" s="63" t="s">
        <v>113</v>
      </c>
    </row>
    <row r="65" hidden="1">
      <c r="A65" s="2">
        <v>9376.0</v>
      </c>
      <c r="B65" s="2" t="s">
        <v>543</v>
      </c>
      <c r="D65" s="2" t="s">
        <v>544</v>
      </c>
      <c r="E65" s="2" t="s">
        <v>261</v>
      </c>
      <c r="I65" s="2" t="s">
        <v>529</v>
      </c>
      <c r="K65" s="2" t="s">
        <v>530</v>
      </c>
      <c r="L65" s="2" t="s">
        <v>264</v>
      </c>
      <c r="M65" s="2" t="s">
        <v>265</v>
      </c>
      <c r="N65" s="2" t="s">
        <v>266</v>
      </c>
      <c r="O65" s="2" t="s">
        <v>545</v>
      </c>
      <c r="S65" s="2" t="s">
        <v>268</v>
      </c>
      <c r="T65" s="2" t="s">
        <v>546</v>
      </c>
      <c r="U65" s="2" t="s">
        <v>261</v>
      </c>
      <c r="V65" s="2" t="s">
        <v>270</v>
      </c>
      <c r="W65" s="2" t="s">
        <v>271</v>
      </c>
      <c r="X65" s="2" t="s">
        <v>279</v>
      </c>
      <c r="Y65" s="63" t="s">
        <v>131</v>
      </c>
    </row>
    <row r="66" hidden="1">
      <c r="A66" s="2">
        <v>9377.0</v>
      </c>
      <c r="B66" s="2" t="s">
        <v>547</v>
      </c>
      <c r="D66" s="2" t="s">
        <v>548</v>
      </c>
      <c r="E66" s="2" t="s">
        <v>261</v>
      </c>
      <c r="I66" s="2" t="s">
        <v>529</v>
      </c>
      <c r="K66" s="2" t="s">
        <v>530</v>
      </c>
      <c r="L66" s="2" t="s">
        <v>264</v>
      </c>
      <c r="M66" s="2" t="s">
        <v>265</v>
      </c>
      <c r="N66" s="2" t="s">
        <v>266</v>
      </c>
      <c r="O66" s="2" t="s">
        <v>549</v>
      </c>
      <c r="S66" s="2" t="s">
        <v>268</v>
      </c>
      <c r="T66" s="2" t="s">
        <v>550</v>
      </c>
      <c r="U66" s="2" t="s">
        <v>261</v>
      </c>
      <c r="V66" s="2" t="s">
        <v>270</v>
      </c>
      <c r="W66" s="2" t="s">
        <v>271</v>
      </c>
      <c r="X66" s="2" t="s">
        <v>279</v>
      </c>
      <c r="Y66" s="63" t="s">
        <v>131</v>
      </c>
    </row>
    <row r="67" hidden="1">
      <c r="A67" s="2">
        <v>9378.0</v>
      </c>
      <c r="B67" s="2" t="s">
        <v>551</v>
      </c>
      <c r="D67" s="2" t="s">
        <v>552</v>
      </c>
      <c r="E67" s="2" t="s">
        <v>261</v>
      </c>
      <c r="I67" s="2" t="s">
        <v>529</v>
      </c>
      <c r="K67" s="2" t="s">
        <v>530</v>
      </c>
      <c r="L67" s="2" t="s">
        <v>264</v>
      </c>
      <c r="M67" s="2" t="s">
        <v>265</v>
      </c>
      <c r="N67" s="2" t="s">
        <v>266</v>
      </c>
      <c r="O67" s="2" t="s">
        <v>553</v>
      </c>
      <c r="S67" s="2" t="s">
        <v>268</v>
      </c>
      <c r="T67" s="2" t="s">
        <v>554</v>
      </c>
      <c r="U67" s="2" t="s">
        <v>261</v>
      </c>
      <c r="V67" s="2" t="s">
        <v>270</v>
      </c>
      <c r="W67" s="2" t="s">
        <v>271</v>
      </c>
      <c r="X67" s="2" t="s">
        <v>279</v>
      </c>
      <c r="Y67" s="63" t="s">
        <v>131</v>
      </c>
    </row>
    <row r="68" hidden="1">
      <c r="A68" s="2">
        <v>20385.0</v>
      </c>
      <c r="B68" s="2" t="s">
        <v>555</v>
      </c>
      <c r="D68" s="2" t="s">
        <v>556</v>
      </c>
      <c r="E68" s="2" t="s">
        <v>261</v>
      </c>
      <c r="F68" s="2" t="s">
        <v>557</v>
      </c>
      <c r="I68" s="2" t="s">
        <v>558</v>
      </c>
      <c r="K68" s="2" t="s">
        <v>559</v>
      </c>
      <c r="L68" s="2" t="s">
        <v>279</v>
      </c>
      <c r="M68" s="2" t="s">
        <v>265</v>
      </c>
      <c r="N68" s="2" t="s">
        <v>266</v>
      </c>
      <c r="O68" s="2" t="s">
        <v>560</v>
      </c>
      <c r="S68" s="2" t="s">
        <v>268</v>
      </c>
      <c r="T68" s="2" t="s">
        <v>561</v>
      </c>
      <c r="U68" s="2" t="s">
        <v>261</v>
      </c>
      <c r="V68" s="2" t="s">
        <v>270</v>
      </c>
      <c r="W68" s="2" t="s">
        <v>270</v>
      </c>
      <c r="X68" s="2" t="s">
        <v>264</v>
      </c>
      <c r="Y68" s="63" t="s">
        <v>113</v>
      </c>
    </row>
    <row r="69" hidden="1">
      <c r="A69" s="2">
        <v>21429.0</v>
      </c>
      <c r="B69" s="2" t="s">
        <v>562</v>
      </c>
      <c r="D69" s="2" t="s">
        <v>563</v>
      </c>
      <c r="E69" s="2" t="s">
        <v>261</v>
      </c>
      <c r="F69" s="2" t="s">
        <v>564</v>
      </c>
      <c r="I69" s="2" t="s">
        <v>565</v>
      </c>
      <c r="K69" s="2" t="s">
        <v>566</v>
      </c>
      <c r="L69" s="2" t="s">
        <v>272</v>
      </c>
      <c r="M69" s="2" t="s">
        <v>265</v>
      </c>
      <c r="N69" s="2" t="s">
        <v>266</v>
      </c>
      <c r="O69" s="2" t="s">
        <v>567</v>
      </c>
      <c r="S69" s="2" t="s">
        <v>268</v>
      </c>
      <c r="T69" s="2" t="s">
        <v>568</v>
      </c>
      <c r="U69" s="2" t="s">
        <v>261</v>
      </c>
      <c r="V69" s="2" t="s">
        <v>270</v>
      </c>
      <c r="W69" s="2" t="s">
        <v>270</v>
      </c>
      <c r="X69" s="2" t="s">
        <v>279</v>
      </c>
      <c r="Y69" s="63" t="s">
        <v>113</v>
      </c>
    </row>
    <row r="70">
      <c r="A70" s="2">
        <v>5325.0</v>
      </c>
      <c r="B70" s="2" t="s">
        <v>569</v>
      </c>
      <c r="D70" s="2" t="s">
        <v>570</v>
      </c>
      <c r="E70" s="2" t="s">
        <v>261</v>
      </c>
      <c r="I70" s="2" t="s">
        <v>571</v>
      </c>
      <c r="L70" s="2" t="s">
        <v>264</v>
      </c>
      <c r="M70" s="2" t="s">
        <v>265</v>
      </c>
      <c r="N70" s="62"/>
      <c r="O70" s="62"/>
      <c r="S70" s="2" t="s">
        <v>268</v>
      </c>
      <c r="T70" s="2" t="s">
        <v>572</v>
      </c>
      <c r="U70" s="2" t="s">
        <v>261</v>
      </c>
      <c r="V70" s="2" t="s">
        <v>270</v>
      </c>
      <c r="W70" s="2" t="s">
        <v>271</v>
      </c>
      <c r="X70" s="2" t="s">
        <v>264</v>
      </c>
      <c r="Y70" s="62"/>
    </row>
    <row r="71">
      <c r="A71" s="2">
        <v>5326.0</v>
      </c>
      <c r="B71" s="2" t="s">
        <v>573</v>
      </c>
      <c r="D71" s="2" t="s">
        <v>574</v>
      </c>
      <c r="E71" s="2" t="s">
        <v>261</v>
      </c>
      <c r="F71" s="62"/>
      <c r="I71" s="2" t="s">
        <v>571</v>
      </c>
      <c r="K71" s="62"/>
      <c r="L71" s="2" t="s">
        <v>264</v>
      </c>
      <c r="M71" s="2" t="s">
        <v>265</v>
      </c>
      <c r="N71" s="62"/>
      <c r="O71" s="62"/>
      <c r="S71" s="2" t="s">
        <v>268</v>
      </c>
      <c r="T71" s="2" t="s">
        <v>575</v>
      </c>
      <c r="U71" s="2" t="s">
        <v>261</v>
      </c>
      <c r="V71" s="2" t="s">
        <v>270</v>
      </c>
      <c r="W71" s="2" t="s">
        <v>271</v>
      </c>
      <c r="X71" s="2" t="s">
        <v>279</v>
      </c>
      <c r="Y71" s="62"/>
    </row>
    <row r="72">
      <c r="A72" s="2">
        <v>5276.0</v>
      </c>
      <c r="B72" s="2" t="s">
        <v>576</v>
      </c>
      <c r="D72" s="2" t="s">
        <v>577</v>
      </c>
      <c r="E72" s="2" t="s">
        <v>261</v>
      </c>
      <c r="F72" s="62"/>
      <c r="I72" s="2" t="s">
        <v>578</v>
      </c>
      <c r="K72" s="2" t="s">
        <v>579</v>
      </c>
      <c r="L72" s="2" t="s">
        <v>279</v>
      </c>
      <c r="M72" s="2" t="s">
        <v>265</v>
      </c>
      <c r="N72" s="2" t="s">
        <v>266</v>
      </c>
      <c r="O72" s="2" t="s">
        <v>580</v>
      </c>
      <c r="S72" s="2" t="s">
        <v>366</v>
      </c>
      <c r="T72" s="2" t="s">
        <v>581</v>
      </c>
      <c r="U72" s="2" t="s">
        <v>261</v>
      </c>
      <c r="Y72" s="62"/>
    </row>
    <row r="73">
      <c r="A73" s="2">
        <v>5278.0</v>
      </c>
      <c r="B73" s="2" t="s">
        <v>582</v>
      </c>
      <c r="D73" s="2" t="s">
        <v>583</v>
      </c>
      <c r="E73" s="2" t="s">
        <v>261</v>
      </c>
      <c r="I73" s="2" t="s">
        <v>584</v>
      </c>
      <c r="K73" s="2" t="s">
        <v>585</v>
      </c>
      <c r="L73" s="2" t="s">
        <v>272</v>
      </c>
      <c r="M73" s="2" t="s">
        <v>265</v>
      </c>
      <c r="N73" s="2" t="s">
        <v>266</v>
      </c>
      <c r="O73" s="2" t="s">
        <v>586</v>
      </c>
      <c r="R73" s="2" t="s">
        <v>587</v>
      </c>
      <c r="S73" s="2" t="s">
        <v>268</v>
      </c>
      <c r="T73" s="2" t="s">
        <v>588</v>
      </c>
      <c r="U73" s="2" t="s">
        <v>261</v>
      </c>
      <c r="V73" s="2" t="s">
        <v>271</v>
      </c>
      <c r="W73" s="2" t="s">
        <v>271</v>
      </c>
      <c r="X73" s="2" t="s">
        <v>264</v>
      </c>
      <c r="Y73" s="62"/>
    </row>
    <row r="74">
      <c r="A74" s="2">
        <v>5279.0</v>
      </c>
      <c r="B74" s="2" t="s">
        <v>589</v>
      </c>
      <c r="D74" s="2" t="s">
        <v>590</v>
      </c>
      <c r="E74" s="2" t="s">
        <v>261</v>
      </c>
      <c r="F74" s="62"/>
      <c r="I74" s="2" t="s">
        <v>584</v>
      </c>
      <c r="K74" s="2" t="s">
        <v>585</v>
      </c>
      <c r="L74" s="2" t="s">
        <v>264</v>
      </c>
      <c r="M74" s="2" t="s">
        <v>265</v>
      </c>
      <c r="N74" s="2" t="s">
        <v>266</v>
      </c>
      <c r="O74" s="2" t="s">
        <v>591</v>
      </c>
      <c r="S74" s="2" t="s">
        <v>268</v>
      </c>
      <c r="T74" s="2" t="s">
        <v>592</v>
      </c>
      <c r="U74" s="2" t="s">
        <v>261</v>
      </c>
      <c r="V74" s="2" t="s">
        <v>270</v>
      </c>
      <c r="W74" s="2" t="s">
        <v>271</v>
      </c>
      <c r="X74" s="2" t="s">
        <v>264</v>
      </c>
      <c r="Y74" s="62"/>
    </row>
    <row r="75">
      <c r="A75" s="2">
        <v>5280.0</v>
      </c>
      <c r="B75" s="2" t="s">
        <v>593</v>
      </c>
      <c r="D75" s="2" t="s">
        <v>594</v>
      </c>
      <c r="E75" s="2" t="s">
        <v>261</v>
      </c>
      <c r="I75" s="2" t="s">
        <v>584</v>
      </c>
      <c r="K75" s="2" t="s">
        <v>585</v>
      </c>
      <c r="L75" s="2" t="s">
        <v>279</v>
      </c>
      <c r="M75" s="2" t="s">
        <v>265</v>
      </c>
      <c r="N75" s="2" t="s">
        <v>266</v>
      </c>
      <c r="O75" s="2" t="s">
        <v>595</v>
      </c>
      <c r="S75" s="2" t="s">
        <v>366</v>
      </c>
      <c r="T75" s="2" t="s">
        <v>596</v>
      </c>
      <c r="U75" s="2" t="s">
        <v>261</v>
      </c>
      <c r="V75" s="62"/>
      <c r="W75" s="62"/>
      <c r="X75" s="62"/>
      <c r="Y75" s="62"/>
    </row>
    <row r="76">
      <c r="A76" s="2">
        <v>5281.0</v>
      </c>
      <c r="B76" s="2" t="s">
        <v>597</v>
      </c>
      <c r="D76" s="2" t="s">
        <v>598</v>
      </c>
      <c r="E76" s="2" t="s">
        <v>261</v>
      </c>
      <c r="I76" s="2" t="s">
        <v>584</v>
      </c>
      <c r="K76" s="2" t="s">
        <v>585</v>
      </c>
      <c r="L76" s="2" t="s">
        <v>279</v>
      </c>
      <c r="M76" s="2" t="s">
        <v>265</v>
      </c>
      <c r="N76" s="2" t="s">
        <v>266</v>
      </c>
      <c r="O76" s="2" t="s">
        <v>599</v>
      </c>
      <c r="S76" s="2" t="s">
        <v>366</v>
      </c>
      <c r="T76" s="2" t="s">
        <v>600</v>
      </c>
      <c r="U76" s="2" t="s">
        <v>261</v>
      </c>
      <c r="Y76" s="62"/>
    </row>
    <row r="77">
      <c r="A77" s="2">
        <v>5282.0</v>
      </c>
      <c r="B77" s="2" t="s">
        <v>601</v>
      </c>
      <c r="D77" s="2" t="s">
        <v>602</v>
      </c>
      <c r="E77" s="2" t="s">
        <v>261</v>
      </c>
      <c r="I77" s="2" t="s">
        <v>603</v>
      </c>
      <c r="K77" s="2" t="s">
        <v>604</v>
      </c>
      <c r="L77" s="2" t="s">
        <v>279</v>
      </c>
      <c r="M77" s="2" t="s">
        <v>265</v>
      </c>
      <c r="N77" s="2" t="s">
        <v>266</v>
      </c>
      <c r="O77" s="2" t="s">
        <v>605</v>
      </c>
      <c r="S77" s="2" t="s">
        <v>268</v>
      </c>
      <c r="T77" s="2" t="s">
        <v>606</v>
      </c>
      <c r="U77" s="2" t="s">
        <v>261</v>
      </c>
      <c r="V77" s="2" t="s">
        <v>270</v>
      </c>
      <c r="W77" s="2" t="s">
        <v>271</v>
      </c>
      <c r="X77" s="2" t="s">
        <v>272</v>
      </c>
      <c r="Y77" s="62"/>
    </row>
    <row r="78">
      <c r="A78" s="2">
        <v>5283.0</v>
      </c>
      <c r="B78" s="2" t="s">
        <v>607</v>
      </c>
      <c r="D78" s="2" t="s">
        <v>608</v>
      </c>
      <c r="E78" s="2" t="s">
        <v>261</v>
      </c>
      <c r="I78" s="2" t="s">
        <v>603</v>
      </c>
      <c r="K78" s="2" t="s">
        <v>604</v>
      </c>
      <c r="L78" s="2" t="s">
        <v>279</v>
      </c>
      <c r="M78" s="2" t="s">
        <v>265</v>
      </c>
      <c r="N78" s="2" t="s">
        <v>266</v>
      </c>
      <c r="O78" s="2" t="s">
        <v>609</v>
      </c>
      <c r="S78" s="2" t="s">
        <v>366</v>
      </c>
      <c r="T78" s="2" t="s">
        <v>610</v>
      </c>
      <c r="U78" s="2" t="s">
        <v>261</v>
      </c>
      <c r="Y78" s="62"/>
    </row>
    <row r="79">
      <c r="A79" s="2">
        <v>5284.0</v>
      </c>
      <c r="B79" s="2" t="s">
        <v>611</v>
      </c>
      <c r="D79" s="2" t="s">
        <v>612</v>
      </c>
      <c r="E79" s="2" t="s">
        <v>261</v>
      </c>
      <c r="I79" s="2" t="s">
        <v>603</v>
      </c>
      <c r="K79" s="2" t="s">
        <v>604</v>
      </c>
      <c r="L79" s="2" t="s">
        <v>279</v>
      </c>
      <c r="M79" s="2" t="s">
        <v>265</v>
      </c>
      <c r="N79" s="2" t="s">
        <v>266</v>
      </c>
      <c r="O79" s="2" t="s">
        <v>613</v>
      </c>
      <c r="S79" s="2" t="s">
        <v>366</v>
      </c>
      <c r="T79" s="2" t="s">
        <v>614</v>
      </c>
      <c r="U79" s="2" t="s">
        <v>261</v>
      </c>
      <c r="Y79" s="62"/>
    </row>
    <row r="80">
      <c r="A80" s="2">
        <v>5285.0</v>
      </c>
      <c r="B80" s="2" t="s">
        <v>615</v>
      </c>
      <c r="D80" s="2" t="s">
        <v>616</v>
      </c>
      <c r="E80" s="2" t="s">
        <v>261</v>
      </c>
      <c r="I80" s="2" t="s">
        <v>617</v>
      </c>
      <c r="K80" s="2" t="s">
        <v>618</v>
      </c>
      <c r="L80" s="2" t="s">
        <v>279</v>
      </c>
      <c r="M80" s="2" t="s">
        <v>265</v>
      </c>
      <c r="N80" s="2" t="s">
        <v>266</v>
      </c>
      <c r="O80" s="2" t="s">
        <v>619</v>
      </c>
      <c r="S80" s="2" t="s">
        <v>366</v>
      </c>
      <c r="T80" s="2" t="s">
        <v>620</v>
      </c>
      <c r="U80" s="2" t="s">
        <v>261</v>
      </c>
      <c r="Y80" s="62"/>
    </row>
    <row r="81">
      <c r="A81" s="2">
        <v>2266.0</v>
      </c>
      <c r="B81" s="2" t="s">
        <v>621</v>
      </c>
      <c r="D81" s="2" t="s">
        <v>622</v>
      </c>
      <c r="E81" s="2" t="s">
        <v>261</v>
      </c>
      <c r="F81" s="2" t="s">
        <v>623</v>
      </c>
      <c r="I81" s="2" t="s">
        <v>624</v>
      </c>
      <c r="K81" s="2" t="s">
        <v>625</v>
      </c>
      <c r="L81" s="2" t="s">
        <v>279</v>
      </c>
      <c r="M81" s="2" t="s">
        <v>265</v>
      </c>
      <c r="N81" s="2" t="s">
        <v>266</v>
      </c>
      <c r="O81" s="2" t="s">
        <v>626</v>
      </c>
      <c r="S81" s="2" t="s">
        <v>268</v>
      </c>
      <c r="T81" s="2" t="s">
        <v>627</v>
      </c>
      <c r="U81" s="2" t="s">
        <v>261</v>
      </c>
      <c r="Y81" s="62"/>
    </row>
    <row r="82">
      <c r="A82" s="2">
        <v>2268.0</v>
      </c>
      <c r="B82" s="2" t="s">
        <v>628</v>
      </c>
      <c r="D82" s="2" t="s">
        <v>629</v>
      </c>
      <c r="E82" s="2" t="s">
        <v>261</v>
      </c>
      <c r="I82" s="2" t="s">
        <v>624</v>
      </c>
      <c r="K82" s="62"/>
      <c r="L82" s="2" t="s">
        <v>279</v>
      </c>
      <c r="M82" s="2" t="s">
        <v>265</v>
      </c>
      <c r="N82" s="2" t="s">
        <v>266</v>
      </c>
      <c r="O82" s="2" t="s">
        <v>630</v>
      </c>
      <c r="S82" s="2" t="s">
        <v>366</v>
      </c>
      <c r="T82" s="62"/>
      <c r="U82" s="62"/>
      <c r="Y82" s="62"/>
    </row>
    <row r="83">
      <c r="A83" s="2">
        <v>2270.0</v>
      </c>
      <c r="B83" s="2" t="s">
        <v>631</v>
      </c>
      <c r="D83" s="2" t="s">
        <v>632</v>
      </c>
      <c r="E83" s="2" t="s">
        <v>261</v>
      </c>
      <c r="F83" s="2" t="s">
        <v>633</v>
      </c>
      <c r="I83" s="2" t="s">
        <v>634</v>
      </c>
      <c r="K83" s="2" t="s">
        <v>635</v>
      </c>
      <c r="L83" s="2" t="s">
        <v>279</v>
      </c>
      <c r="M83" s="2" t="s">
        <v>265</v>
      </c>
      <c r="N83" s="2" t="s">
        <v>266</v>
      </c>
      <c r="O83" s="2" t="s">
        <v>636</v>
      </c>
      <c r="S83" s="2" t="s">
        <v>268</v>
      </c>
      <c r="T83" s="62"/>
      <c r="U83" s="62"/>
      <c r="Y83" s="62"/>
    </row>
    <row r="84">
      <c r="A84" s="2">
        <v>2267.0</v>
      </c>
      <c r="B84" s="2" t="s">
        <v>637</v>
      </c>
      <c r="D84" s="2" t="s">
        <v>638</v>
      </c>
      <c r="E84" s="2" t="s">
        <v>261</v>
      </c>
      <c r="F84" s="2" t="s">
        <v>639</v>
      </c>
      <c r="I84" s="2" t="s">
        <v>634</v>
      </c>
      <c r="K84" s="2" t="s">
        <v>635</v>
      </c>
      <c r="L84" s="2" t="s">
        <v>279</v>
      </c>
      <c r="M84" s="2" t="s">
        <v>265</v>
      </c>
      <c r="N84" s="2" t="s">
        <v>266</v>
      </c>
      <c r="O84" s="2" t="s">
        <v>640</v>
      </c>
      <c r="S84" s="2" t="s">
        <v>268</v>
      </c>
      <c r="T84" s="2" t="s">
        <v>641</v>
      </c>
      <c r="U84" s="2" t="s">
        <v>261</v>
      </c>
      <c r="Y84" s="62"/>
    </row>
    <row r="85">
      <c r="A85" s="2">
        <v>5328.0</v>
      </c>
      <c r="B85" s="2" t="s">
        <v>642</v>
      </c>
      <c r="D85" s="2" t="s">
        <v>643</v>
      </c>
      <c r="E85" s="2" t="s">
        <v>261</v>
      </c>
      <c r="I85" s="2" t="s">
        <v>644</v>
      </c>
      <c r="K85" s="62"/>
      <c r="L85" s="2" t="s">
        <v>279</v>
      </c>
      <c r="M85" s="2" t="s">
        <v>265</v>
      </c>
      <c r="S85" s="2" t="s">
        <v>366</v>
      </c>
      <c r="T85" s="62"/>
      <c r="U85" s="62"/>
      <c r="Y85" s="62"/>
    </row>
    <row r="86">
      <c r="A86" s="2">
        <v>1905.0</v>
      </c>
      <c r="B86" s="2" t="s">
        <v>645</v>
      </c>
      <c r="D86" s="2" t="s">
        <v>646</v>
      </c>
      <c r="E86" s="2" t="s">
        <v>261</v>
      </c>
      <c r="F86" s="2" t="s">
        <v>647</v>
      </c>
      <c r="I86" s="2" t="s">
        <v>648</v>
      </c>
      <c r="K86" s="2" t="s">
        <v>649</v>
      </c>
      <c r="L86" s="2" t="s">
        <v>279</v>
      </c>
      <c r="M86" s="2" t="s">
        <v>265</v>
      </c>
      <c r="N86" s="2" t="s">
        <v>266</v>
      </c>
      <c r="O86" s="2" t="s">
        <v>650</v>
      </c>
      <c r="S86" s="2" t="s">
        <v>268</v>
      </c>
      <c r="T86" s="2" t="s">
        <v>651</v>
      </c>
      <c r="U86" s="2" t="s">
        <v>261</v>
      </c>
      <c r="Y86" s="62"/>
    </row>
    <row r="87">
      <c r="A87" s="2">
        <v>1124.0</v>
      </c>
      <c r="B87" s="2" t="s">
        <v>652</v>
      </c>
      <c r="D87" s="2" t="s">
        <v>653</v>
      </c>
      <c r="E87" s="2" t="s">
        <v>261</v>
      </c>
      <c r="I87" s="2" t="s">
        <v>654</v>
      </c>
      <c r="K87" s="2" t="s">
        <v>655</v>
      </c>
      <c r="L87" s="2" t="s">
        <v>264</v>
      </c>
      <c r="M87" s="2" t="s">
        <v>265</v>
      </c>
      <c r="S87" s="2" t="s">
        <v>268</v>
      </c>
      <c r="T87" s="2" t="s">
        <v>656</v>
      </c>
      <c r="U87" s="2" t="s">
        <v>261</v>
      </c>
      <c r="V87" s="2" t="s">
        <v>271</v>
      </c>
      <c r="W87" s="2" t="s">
        <v>271</v>
      </c>
      <c r="X87" s="2" t="s">
        <v>264</v>
      </c>
      <c r="Y87" s="62"/>
    </row>
    <row r="88">
      <c r="A88" s="2">
        <v>1125.0</v>
      </c>
      <c r="B88" s="2" t="s">
        <v>657</v>
      </c>
      <c r="D88" s="2" t="s">
        <v>658</v>
      </c>
      <c r="E88" s="2" t="s">
        <v>261</v>
      </c>
      <c r="I88" s="2" t="s">
        <v>659</v>
      </c>
      <c r="K88" s="2" t="s">
        <v>660</v>
      </c>
      <c r="L88" s="2" t="s">
        <v>279</v>
      </c>
      <c r="M88" s="2" t="s">
        <v>265</v>
      </c>
      <c r="S88" s="2" t="s">
        <v>366</v>
      </c>
      <c r="T88" s="2" t="s">
        <v>661</v>
      </c>
      <c r="U88" s="2" t="s">
        <v>261</v>
      </c>
      <c r="Y88" s="62"/>
    </row>
    <row r="89">
      <c r="A89" s="2">
        <v>1126.0</v>
      </c>
      <c r="B89" s="2" t="s">
        <v>662</v>
      </c>
      <c r="D89" s="2" t="s">
        <v>663</v>
      </c>
      <c r="E89" s="2" t="s">
        <v>261</v>
      </c>
      <c r="I89" s="2" t="s">
        <v>659</v>
      </c>
      <c r="K89" s="2" t="s">
        <v>660</v>
      </c>
      <c r="L89" s="2" t="s">
        <v>279</v>
      </c>
      <c r="M89" s="2" t="s">
        <v>265</v>
      </c>
      <c r="S89" s="2" t="s">
        <v>366</v>
      </c>
      <c r="T89" s="2" t="s">
        <v>664</v>
      </c>
      <c r="U89" s="2" t="s">
        <v>261</v>
      </c>
      <c r="Y89" s="62"/>
    </row>
    <row r="90">
      <c r="A90" s="2">
        <v>1127.0</v>
      </c>
      <c r="B90" s="2" t="s">
        <v>665</v>
      </c>
      <c r="D90" s="2" t="s">
        <v>666</v>
      </c>
      <c r="E90" s="2" t="s">
        <v>261</v>
      </c>
      <c r="I90" s="2" t="s">
        <v>659</v>
      </c>
      <c r="K90" s="2" t="s">
        <v>660</v>
      </c>
      <c r="L90" s="2" t="s">
        <v>279</v>
      </c>
      <c r="M90" s="2" t="s">
        <v>265</v>
      </c>
      <c r="S90" s="2" t="s">
        <v>366</v>
      </c>
      <c r="T90" s="2" t="s">
        <v>667</v>
      </c>
      <c r="U90" s="2" t="s">
        <v>261</v>
      </c>
      <c r="Y90" s="62"/>
    </row>
    <row r="91">
      <c r="A91" s="2">
        <v>1128.0</v>
      </c>
      <c r="B91" s="2" t="s">
        <v>668</v>
      </c>
      <c r="D91" s="2" t="s">
        <v>669</v>
      </c>
      <c r="E91" s="2" t="s">
        <v>261</v>
      </c>
      <c r="I91" s="2" t="s">
        <v>659</v>
      </c>
      <c r="K91" s="2" t="s">
        <v>660</v>
      </c>
      <c r="L91" s="2" t="s">
        <v>279</v>
      </c>
      <c r="M91" s="2" t="s">
        <v>265</v>
      </c>
      <c r="S91" s="2" t="s">
        <v>366</v>
      </c>
      <c r="T91" s="2" t="s">
        <v>670</v>
      </c>
      <c r="U91" s="2" t="s">
        <v>261</v>
      </c>
      <c r="Y91" s="62"/>
    </row>
    <row r="92">
      <c r="A92" s="2">
        <v>1129.0</v>
      </c>
      <c r="B92" s="2" t="s">
        <v>671</v>
      </c>
      <c r="D92" s="2" t="s">
        <v>672</v>
      </c>
      <c r="E92" s="2" t="s">
        <v>261</v>
      </c>
      <c r="I92" s="2" t="s">
        <v>659</v>
      </c>
      <c r="K92" s="2" t="s">
        <v>660</v>
      </c>
      <c r="L92" s="2" t="s">
        <v>279</v>
      </c>
      <c r="M92" s="2" t="s">
        <v>265</v>
      </c>
      <c r="S92" s="2" t="s">
        <v>366</v>
      </c>
      <c r="T92" s="2" t="s">
        <v>673</v>
      </c>
      <c r="U92" s="2" t="s">
        <v>261</v>
      </c>
      <c r="Y92" s="62"/>
    </row>
    <row r="93">
      <c r="A93" s="2">
        <v>1130.0</v>
      </c>
      <c r="B93" s="2" t="s">
        <v>674</v>
      </c>
      <c r="D93" s="2" t="s">
        <v>675</v>
      </c>
      <c r="E93" s="2" t="s">
        <v>261</v>
      </c>
      <c r="I93" s="2" t="s">
        <v>659</v>
      </c>
      <c r="K93" s="2" t="s">
        <v>660</v>
      </c>
      <c r="L93" s="2" t="s">
        <v>279</v>
      </c>
      <c r="M93" s="2" t="s">
        <v>265</v>
      </c>
      <c r="S93" s="2" t="s">
        <v>366</v>
      </c>
      <c r="T93" s="2" t="s">
        <v>676</v>
      </c>
      <c r="U93" s="2" t="s">
        <v>261</v>
      </c>
      <c r="Y93" s="62"/>
    </row>
    <row r="94">
      <c r="A94" s="2">
        <v>1131.0</v>
      </c>
      <c r="B94" s="2" t="s">
        <v>677</v>
      </c>
      <c r="D94" s="2" t="s">
        <v>678</v>
      </c>
      <c r="E94" s="2" t="s">
        <v>261</v>
      </c>
      <c r="I94" s="2" t="s">
        <v>659</v>
      </c>
      <c r="K94" s="2" t="s">
        <v>660</v>
      </c>
      <c r="L94" s="2" t="s">
        <v>279</v>
      </c>
      <c r="M94" s="2" t="s">
        <v>265</v>
      </c>
      <c r="S94" s="2" t="s">
        <v>366</v>
      </c>
      <c r="T94" s="2" t="s">
        <v>679</v>
      </c>
      <c r="U94" s="2" t="s">
        <v>261</v>
      </c>
      <c r="Y94" s="62"/>
    </row>
    <row r="95">
      <c r="A95" s="2">
        <v>1132.0</v>
      </c>
      <c r="B95" s="2" t="s">
        <v>680</v>
      </c>
      <c r="D95" s="2" t="s">
        <v>681</v>
      </c>
      <c r="E95" s="2" t="s">
        <v>261</v>
      </c>
      <c r="I95" s="2" t="s">
        <v>659</v>
      </c>
      <c r="K95" s="2" t="s">
        <v>660</v>
      </c>
      <c r="L95" s="2" t="s">
        <v>279</v>
      </c>
      <c r="M95" s="2" t="s">
        <v>265</v>
      </c>
      <c r="S95" s="2" t="s">
        <v>366</v>
      </c>
      <c r="T95" s="2" t="s">
        <v>682</v>
      </c>
      <c r="U95" s="2" t="s">
        <v>261</v>
      </c>
      <c r="Y95" s="62"/>
    </row>
    <row r="96">
      <c r="A96" s="2">
        <v>1123.0</v>
      </c>
      <c r="B96" s="2" t="s">
        <v>683</v>
      </c>
      <c r="D96" s="2" t="s">
        <v>684</v>
      </c>
      <c r="E96" s="2" t="s">
        <v>261</v>
      </c>
      <c r="I96" s="2" t="s">
        <v>685</v>
      </c>
      <c r="K96" s="2" t="s">
        <v>686</v>
      </c>
      <c r="L96" s="2" t="s">
        <v>279</v>
      </c>
      <c r="M96" s="2" t="s">
        <v>265</v>
      </c>
      <c r="S96" s="2" t="s">
        <v>366</v>
      </c>
      <c r="T96" s="2" t="s">
        <v>687</v>
      </c>
      <c r="U96" s="2" t="s">
        <v>261</v>
      </c>
      <c r="Y96" s="62"/>
    </row>
    <row r="97">
      <c r="A97" s="2">
        <v>1111.0</v>
      </c>
      <c r="B97" s="2" t="s">
        <v>688</v>
      </c>
      <c r="D97" s="2" t="s">
        <v>689</v>
      </c>
      <c r="E97" s="2" t="s">
        <v>261</v>
      </c>
      <c r="I97" s="2" t="s">
        <v>690</v>
      </c>
      <c r="K97" s="2" t="s">
        <v>691</v>
      </c>
      <c r="L97" s="2" t="s">
        <v>279</v>
      </c>
      <c r="M97" s="2" t="s">
        <v>265</v>
      </c>
      <c r="S97" s="2" t="s">
        <v>366</v>
      </c>
      <c r="T97" s="2" t="s">
        <v>692</v>
      </c>
      <c r="U97" s="2" t="s">
        <v>261</v>
      </c>
      <c r="Y97" s="62"/>
    </row>
    <row r="98">
      <c r="A98" s="2">
        <v>1112.0</v>
      </c>
      <c r="B98" s="2" t="s">
        <v>693</v>
      </c>
      <c r="D98" s="2" t="s">
        <v>694</v>
      </c>
      <c r="E98" s="2" t="s">
        <v>261</v>
      </c>
      <c r="I98" s="2" t="s">
        <v>690</v>
      </c>
      <c r="K98" s="2" t="s">
        <v>691</v>
      </c>
      <c r="L98" s="2" t="s">
        <v>279</v>
      </c>
      <c r="M98" s="2" t="s">
        <v>265</v>
      </c>
      <c r="S98" s="2" t="s">
        <v>366</v>
      </c>
      <c r="T98" s="2" t="s">
        <v>695</v>
      </c>
      <c r="U98" s="2" t="s">
        <v>261</v>
      </c>
      <c r="Y98" s="62"/>
    </row>
    <row r="99">
      <c r="A99" s="2">
        <v>1113.0</v>
      </c>
      <c r="B99" s="2" t="s">
        <v>696</v>
      </c>
      <c r="D99" s="2" t="s">
        <v>697</v>
      </c>
      <c r="E99" s="2" t="s">
        <v>261</v>
      </c>
      <c r="I99" s="2" t="s">
        <v>690</v>
      </c>
      <c r="K99" s="2" t="s">
        <v>691</v>
      </c>
      <c r="L99" s="2" t="s">
        <v>279</v>
      </c>
      <c r="M99" s="2" t="s">
        <v>265</v>
      </c>
      <c r="S99" s="2" t="s">
        <v>366</v>
      </c>
      <c r="T99" s="2" t="s">
        <v>698</v>
      </c>
      <c r="U99" s="2" t="s">
        <v>261</v>
      </c>
    </row>
    <row r="100">
      <c r="A100" s="2">
        <v>1114.0</v>
      </c>
      <c r="B100" s="2" t="s">
        <v>699</v>
      </c>
      <c r="D100" s="2" t="s">
        <v>700</v>
      </c>
      <c r="E100" s="2" t="s">
        <v>261</v>
      </c>
      <c r="I100" s="2" t="s">
        <v>690</v>
      </c>
      <c r="L100" s="2" t="s">
        <v>279</v>
      </c>
      <c r="M100" s="2" t="s">
        <v>265</v>
      </c>
      <c r="S100" s="2" t="s">
        <v>366</v>
      </c>
      <c r="Y100" s="62"/>
    </row>
    <row r="101">
      <c r="A101" s="2">
        <v>1115.0</v>
      </c>
      <c r="B101" s="2" t="s">
        <v>701</v>
      </c>
      <c r="D101" s="2" t="s">
        <v>702</v>
      </c>
      <c r="E101" s="2" t="s">
        <v>261</v>
      </c>
      <c r="I101" s="2" t="s">
        <v>690</v>
      </c>
      <c r="K101" s="2" t="s">
        <v>691</v>
      </c>
      <c r="L101" s="2" t="s">
        <v>279</v>
      </c>
      <c r="M101" s="2" t="s">
        <v>265</v>
      </c>
      <c r="S101" s="2" t="s">
        <v>366</v>
      </c>
      <c r="T101" s="2" t="s">
        <v>703</v>
      </c>
      <c r="U101" s="2" t="s">
        <v>261</v>
      </c>
      <c r="Y101" s="62"/>
    </row>
    <row r="102">
      <c r="A102" s="2">
        <v>1116.0</v>
      </c>
      <c r="B102" s="2" t="s">
        <v>704</v>
      </c>
      <c r="D102" s="2" t="s">
        <v>705</v>
      </c>
      <c r="E102" s="2" t="s">
        <v>261</v>
      </c>
      <c r="I102" s="2" t="s">
        <v>690</v>
      </c>
      <c r="K102" s="2" t="s">
        <v>691</v>
      </c>
      <c r="L102" s="2" t="s">
        <v>279</v>
      </c>
      <c r="M102" s="2" t="s">
        <v>265</v>
      </c>
      <c r="S102" s="2" t="s">
        <v>366</v>
      </c>
      <c r="T102" s="2" t="s">
        <v>706</v>
      </c>
      <c r="U102" s="2" t="s">
        <v>261</v>
      </c>
      <c r="V102" s="62"/>
      <c r="W102" s="62"/>
      <c r="X102" s="62"/>
      <c r="Y102" s="62"/>
    </row>
    <row r="103">
      <c r="A103" s="2">
        <v>1117.0</v>
      </c>
      <c r="B103" s="2" t="s">
        <v>707</v>
      </c>
      <c r="D103" s="2" t="s">
        <v>708</v>
      </c>
      <c r="E103" s="2" t="s">
        <v>261</v>
      </c>
      <c r="I103" s="2" t="s">
        <v>690</v>
      </c>
      <c r="K103" s="2" t="s">
        <v>691</v>
      </c>
      <c r="L103" s="2" t="s">
        <v>279</v>
      </c>
      <c r="M103" s="2" t="s">
        <v>265</v>
      </c>
      <c r="S103" s="2" t="s">
        <v>366</v>
      </c>
      <c r="T103" s="2" t="s">
        <v>709</v>
      </c>
      <c r="U103" s="2" t="s">
        <v>261</v>
      </c>
      <c r="V103" s="62"/>
      <c r="W103" s="62"/>
      <c r="X103" s="62"/>
      <c r="Y103" s="62"/>
    </row>
    <row r="104">
      <c r="A104" s="2">
        <v>1118.0</v>
      </c>
      <c r="B104" s="2" t="s">
        <v>710</v>
      </c>
      <c r="D104" s="2" t="s">
        <v>711</v>
      </c>
      <c r="E104" s="2" t="s">
        <v>261</v>
      </c>
      <c r="I104" s="2" t="s">
        <v>690</v>
      </c>
      <c r="K104" s="2" t="s">
        <v>691</v>
      </c>
      <c r="L104" s="2" t="s">
        <v>279</v>
      </c>
      <c r="M104" s="2" t="s">
        <v>265</v>
      </c>
      <c r="S104" s="2" t="s">
        <v>366</v>
      </c>
      <c r="T104" s="2" t="s">
        <v>712</v>
      </c>
      <c r="U104" s="2" t="s">
        <v>261</v>
      </c>
      <c r="V104" s="62"/>
      <c r="W104" s="62"/>
      <c r="X104" s="62"/>
      <c r="Y104" s="62"/>
    </row>
    <row r="105">
      <c r="A105" s="2">
        <v>1119.0</v>
      </c>
      <c r="B105" s="2" t="s">
        <v>713</v>
      </c>
      <c r="D105" s="2" t="s">
        <v>714</v>
      </c>
      <c r="E105" s="2" t="s">
        <v>261</v>
      </c>
      <c r="I105" s="2" t="s">
        <v>690</v>
      </c>
      <c r="K105" s="2" t="s">
        <v>691</v>
      </c>
      <c r="L105" s="2" t="s">
        <v>279</v>
      </c>
      <c r="M105" s="2" t="s">
        <v>265</v>
      </c>
      <c r="S105" s="2" t="s">
        <v>366</v>
      </c>
      <c r="T105" s="2" t="s">
        <v>715</v>
      </c>
      <c r="U105" s="2" t="s">
        <v>261</v>
      </c>
      <c r="V105" s="62"/>
      <c r="W105" s="62"/>
      <c r="X105" s="62"/>
      <c r="Y105" s="62"/>
    </row>
    <row r="106">
      <c r="A106" s="2">
        <v>1120.0</v>
      </c>
      <c r="B106" s="2" t="s">
        <v>716</v>
      </c>
      <c r="D106" s="2" t="s">
        <v>717</v>
      </c>
      <c r="E106" s="2" t="s">
        <v>261</v>
      </c>
      <c r="I106" s="2" t="s">
        <v>690</v>
      </c>
      <c r="K106" s="2" t="s">
        <v>691</v>
      </c>
      <c r="L106" s="2" t="s">
        <v>279</v>
      </c>
      <c r="M106" s="2" t="s">
        <v>265</v>
      </c>
      <c r="S106" s="2" t="s">
        <v>366</v>
      </c>
      <c r="T106" s="2" t="s">
        <v>718</v>
      </c>
      <c r="U106" s="2" t="s">
        <v>261</v>
      </c>
      <c r="V106" s="62"/>
      <c r="W106" s="62"/>
      <c r="X106" s="62"/>
    </row>
    <row r="107">
      <c r="A107" s="2">
        <v>1121.0</v>
      </c>
      <c r="B107" s="2" t="s">
        <v>719</v>
      </c>
      <c r="D107" s="2" t="s">
        <v>720</v>
      </c>
      <c r="E107" s="2" t="s">
        <v>261</v>
      </c>
      <c r="I107" s="2" t="s">
        <v>690</v>
      </c>
      <c r="K107" s="2" t="s">
        <v>691</v>
      </c>
      <c r="L107" s="2" t="s">
        <v>279</v>
      </c>
      <c r="M107" s="2" t="s">
        <v>265</v>
      </c>
      <c r="S107" s="2" t="s">
        <v>366</v>
      </c>
      <c r="T107" s="2" t="s">
        <v>721</v>
      </c>
      <c r="U107" s="2" t="s">
        <v>261</v>
      </c>
      <c r="V107" s="62"/>
      <c r="W107" s="62"/>
      <c r="X107" s="62"/>
    </row>
    <row r="108">
      <c r="A108" s="2">
        <v>1122.0</v>
      </c>
      <c r="B108" s="2" t="s">
        <v>722</v>
      </c>
      <c r="D108" s="2" t="s">
        <v>723</v>
      </c>
      <c r="E108" s="2" t="s">
        <v>261</v>
      </c>
      <c r="I108" s="2" t="s">
        <v>690</v>
      </c>
      <c r="K108" s="2" t="s">
        <v>691</v>
      </c>
      <c r="L108" s="2" t="s">
        <v>279</v>
      </c>
      <c r="M108" s="2" t="s">
        <v>265</v>
      </c>
      <c r="S108" s="2" t="s">
        <v>366</v>
      </c>
      <c r="T108" s="2" t="s">
        <v>724</v>
      </c>
      <c r="U108" s="2" t="s">
        <v>261</v>
      </c>
      <c r="V108" s="62"/>
      <c r="W108" s="62"/>
      <c r="X108" s="62"/>
      <c r="Y108" s="62"/>
    </row>
    <row r="109">
      <c r="A109" s="2">
        <v>110.0</v>
      </c>
      <c r="B109" s="2" t="s">
        <v>725</v>
      </c>
      <c r="D109" s="2" t="s">
        <v>726</v>
      </c>
      <c r="E109" s="2" t="s">
        <v>261</v>
      </c>
      <c r="I109" s="2" t="s">
        <v>727</v>
      </c>
      <c r="K109" s="2" t="s">
        <v>728</v>
      </c>
      <c r="L109" s="2" t="s">
        <v>279</v>
      </c>
      <c r="M109" s="2" t="s">
        <v>265</v>
      </c>
      <c r="S109" s="2" t="s">
        <v>366</v>
      </c>
      <c r="T109" s="2" t="s">
        <v>729</v>
      </c>
      <c r="U109" s="2" t="s">
        <v>261</v>
      </c>
      <c r="V109" s="62"/>
      <c r="W109" s="62"/>
      <c r="X109" s="62"/>
    </row>
    <row r="110">
      <c r="A110" s="2">
        <v>2318.0</v>
      </c>
      <c r="B110" s="2" t="s">
        <v>730</v>
      </c>
      <c r="D110" s="2" t="s">
        <v>731</v>
      </c>
      <c r="E110" s="2" t="s">
        <v>261</v>
      </c>
      <c r="I110" s="2" t="s">
        <v>732</v>
      </c>
      <c r="K110" s="62"/>
      <c r="L110" s="2" t="s">
        <v>279</v>
      </c>
      <c r="M110" s="2" t="s">
        <v>265</v>
      </c>
      <c r="S110" s="2" t="s">
        <v>366</v>
      </c>
      <c r="T110" s="2" t="s">
        <v>733</v>
      </c>
      <c r="U110" s="2" t="s">
        <v>261</v>
      </c>
      <c r="V110" s="62"/>
      <c r="W110" s="62"/>
      <c r="X110" s="62"/>
      <c r="Y110" s="62"/>
    </row>
    <row r="111">
      <c r="A111" s="2">
        <v>2319.0</v>
      </c>
      <c r="B111" s="2" t="s">
        <v>734</v>
      </c>
      <c r="D111" s="2" t="s">
        <v>735</v>
      </c>
      <c r="E111" s="2" t="s">
        <v>261</v>
      </c>
      <c r="I111" s="2" t="s">
        <v>732</v>
      </c>
      <c r="K111" s="62"/>
      <c r="L111" s="2" t="s">
        <v>279</v>
      </c>
      <c r="M111" s="2" t="s">
        <v>265</v>
      </c>
      <c r="S111" s="2" t="s">
        <v>366</v>
      </c>
      <c r="T111" s="62"/>
      <c r="U111" s="62"/>
      <c r="Y111" s="62"/>
    </row>
    <row r="112">
      <c r="A112" s="2">
        <v>2320.0</v>
      </c>
      <c r="B112" s="2" t="s">
        <v>736</v>
      </c>
      <c r="D112" s="2" t="s">
        <v>737</v>
      </c>
      <c r="E112" s="2" t="s">
        <v>261</v>
      </c>
      <c r="I112" s="2" t="s">
        <v>732</v>
      </c>
      <c r="K112" s="62"/>
      <c r="L112" s="2" t="s">
        <v>279</v>
      </c>
      <c r="M112" s="2" t="s">
        <v>265</v>
      </c>
      <c r="S112" s="2" t="s">
        <v>366</v>
      </c>
      <c r="T112" s="62"/>
      <c r="U112" s="62"/>
    </row>
    <row r="113">
      <c r="A113" s="2">
        <v>2321.0</v>
      </c>
      <c r="B113" s="2" t="s">
        <v>738</v>
      </c>
      <c r="D113" s="2" t="s">
        <v>739</v>
      </c>
      <c r="E113" s="2" t="s">
        <v>261</v>
      </c>
      <c r="I113" s="2" t="s">
        <v>732</v>
      </c>
      <c r="K113" s="62"/>
      <c r="L113" s="2" t="s">
        <v>279</v>
      </c>
      <c r="M113" s="2" t="s">
        <v>265</v>
      </c>
      <c r="S113" s="2" t="s">
        <v>366</v>
      </c>
      <c r="T113" s="62"/>
      <c r="U113" s="62"/>
    </row>
    <row r="114" hidden="1">
      <c r="A114" s="2">
        <v>7127.0</v>
      </c>
      <c r="B114" s="2" t="s">
        <v>512</v>
      </c>
      <c r="D114" s="2" t="s">
        <v>740</v>
      </c>
      <c r="E114" s="2" t="s">
        <v>261</v>
      </c>
      <c r="I114" s="2" t="s">
        <v>741</v>
      </c>
      <c r="K114" s="2" t="s">
        <v>515</v>
      </c>
      <c r="L114" s="2" t="s">
        <v>279</v>
      </c>
      <c r="M114" s="2" t="s">
        <v>265</v>
      </c>
      <c r="N114" s="2" t="s">
        <v>266</v>
      </c>
      <c r="O114" s="2" t="s">
        <v>742</v>
      </c>
      <c r="S114" s="2" t="s">
        <v>268</v>
      </c>
      <c r="T114" s="2" t="s">
        <v>743</v>
      </c>
      <c r="U114" s="2" t="s">
        <v>261</v>
      </c>
      <c r="V114" s="2" t="s">
        <v>270</v>
      </c>
      <c r="W114" s="2" t="s">
        <v>271</v>
      </c>
      <c r="X114" s="2" t="s">
        <v>272</v>
      </c>
      <c r="Y114" s="63" t="s">
        <v>80</v>
      </c>
    </row>
    <row r="115" hidden="1">
      <c r="A115" s="2">
        <v>7128.0</v>
      </c>
      <c r="B115" s="2" t="s">
        <v>744</v>
      </c>
      <c r="D115" s="2" t="s">
        <v>745</v>
      </c>
      <c r="E115" s="2" t="s">
        <v>261</v>
      </c>
      <c r="I115" s="2" t="s">
        <v>741</v>
      </c>
      <c r="K115" s="2" t="s">
        <v>515</v>
      </c>
      <c r="L115" s="2" t="s">
        <v>279</v>
      </c>
      <c r="M115" s="2" t="s">
        <v>265</v>
      </c>
      <c r="N115" s="2" t="s">
        <v>266</v>
      </c>
      <c r="O115" s="2" t="s">
        <v>746</v>
      </c>
      <c r="S115" s="2" t="s">
        <v>268</v>
      </c>
      <c r="T115" s="2" t="s">
        <v>747</v>
      </c>
      <c r="U115" s="2" t="s">
        <v>261</v>
      </c>
      <c r="V115" s="2" t="s">
        <v>270</v>
      </c>
      <c r="W115" s="2" t="s">
        <v>271</v>
      </c>
      <c r="X115" s="2" t="s">
        <v>272</v>
      </c>
      <c r="Y115" s="63" t="s">
        <v>80</v>
      </c>
    </row>
    <row r="116" hidden="1">
      <c r="A116" s="2">
        <v>7129.0</v>
      </c>
      <c r="B116" s="2" t="s">
        <v>748</v>
      </c>
      <c r="D116" s="2" t="s">
        <v>749</v>
      </c>
      <c r="E116" s="2" t="s">
        <v>261</v>
      </c>
      <c r="I116" s="2" t="s">
        <v>741</v>
      </c>
      <c r="K116" s="2" t="s">
        <v>515</v>
      </c>
      <c r="L116" s="2" t="s">
        <v>279</v>
      </c>
      <c r="M116" s="2" t="s">
        <v>265</v>
      </c>
      <c r="N116" s="2" t="s">
        <v>266</v>
      </c>
      <c r="O116" s="2" t="s">
        <v>750</v>
      </c>
      <c r="S116" s="2" t="s">
        <v>268</v>
      </c>
      <c r="T116" s="2" t="s">
        <v>751</v>
      </c>
      <c r="U116" s="2" t="s">
        <v>261</v>
      </c>
      <c r="V116" s="2" t="s">
        <v>270</v>
      </c>
      <c r="W116" s="2" t="s">
        <v>271</v>
      </c>
      <c r="X116" s="2" t="s">
        <v>272</v>
      </c>
      <c r="Y116" s="63" t="s">
        <v>80</v>
      </c>
    </row>
    <row r="117" hidden="1">
      <c r="A117" s="2">
        <v>7130.0</v>
      </c>
      <c r="B117" s="2" t="s">
        <v>524</v>
      </c>
      <c r="D117" s="2" t="s">
        <v>752</v>
      </c>
      <c r="E117" s="2" t="s">
        <v>261</v>
      </c>
      <c r="I117" s="2" t="s">
        <v>741</v>
      </c>
      <c r="K117" s="2" t="s">
        <v>515</v>
      </c>
      <c r="L117" s="2" t="s">
        <v>279</v>
      </c>
      <c r="M117" s="2" t="s">
        <v>265</v>
      </c>
      <c r="N117" s="2" t="s">
        <v>266</v>
      </c>
      <c r="O117" s="2" t="s">
        <v>753</v>
      </c>
      <c r="S117" s="2" t="s">
        <v>268</v>
      </c>
      <c r="T117" s="2" t="s">
        <v>754</v>
      </c>
      <c r="U117" s="2" t="s">
        <v>261</v>
      </c>
      <c r="V117" s="2" t="s">
        <v>270</v>
      </c>
      <c r="W117" s="2" t="s">
        <v>271</v>
      </c>
      <c r="X117" s="2" t="s">
        <v>272</v>
      </c>
      <c r="Y117" s="63" t="s">
        <v>80</v>
      </c>
    </row>
    <row r="118" hidden="1">
      <c r="A118" s="2">
        <v>9379.0</v>
      </c>
      <c r="B118" s="2" t="s">
        <v>527</v>
      </c>
      <c r="D118" s="2" t="s">
        <v>755</v>
      </c>
      <c r="E118" s="2" t="s">
        <v>261</v>
      </c>
      <c r="I118" s="2" t="s">
        <v>529</v>
      </c>
      <c r="K118" s="2" t="s">
        <v>530</v>
      </c>
      <c r="L118" s="2" t="s">
        <v>264</v>
      </c>
      <c r="M118" s="2" t="s">
        <v>265</v>
      </c>
      <c r="N118" s="2" t="s">
        <v>266</v>
      </c>
      <c r="O118" s="2" t="s">
        <v>756</v>
      </c>
      <c r="S118" s="2" t="s">
        <v>268</v>
      </c>
      <c r="T118" s="2" t="s">
        <v>757</v>
      </c>
      <c r="U118" s="2" t="s">
        <v>261</v>
      </c>
      <c r="V118" s="2" t="s">
        <v>270</v>
      </c>
      <c r="W118" s="2" t="s">
        <v>271</v>
      </c>
      <c r="X118" s="2" t="s">
        <v>279</v>
      </c>
      <c r="Y118" s="63" t="s">
        <v>131</v>
      </c>
    </row>
    <row r="119" hidden="1">
      <c r="A119" s="2">
        <v>9380.0</v>
      </c>
      <c r="B119" s="2" t="s">
        <v>531</v>
      </c>
      <c r="D119" s="2" t="s">
        <v>755</v>
      </c>
      <c r="E119" s="2" t="s">
        <v>261</v>
      </c>
      <c r="I119" s="2" t="s">
        <v>529</v>
      </c>
      <c r="K119" s="2" t="s">
        <v>530</v>
      </c>
      <c r="L119" s="2" t="s">
        <v>264</v>
      </c>
      <c r="M119" s="2" t="s">
        <v>265</v>
      </c>
      <c r="N119" s="2" t="s">
        <v>266</v>
      </c>
      <c r="O119" s="2" t="s">
        <v>758</v>
      </c>
      <c r="S119" s="2" t="s">
        <v>268</v>
      </c>
      <c r="T119" s="2" t="s">
        <v>759</v>
      </c>
      <c r="U119" s="2" t="s">
        <v>261</v>
      </c>
      <c r="V119" s="2" t="s">
        <v>270</v>
      </c>
      <c r="W119" s="2" t="s">
        <v>271</v>
      </c>
      <c r="X119" s="2" t="s">
        <v>279</v>
      </c>
      <c r="Y119" s="63" t="s">
        <v>131</v>
      </c>
    </row>
    <row r="120" hidden="1">
      <c r="A120" s="2">
        <v>9381.0</v>
      </c>
      <c r="B120" s="2" t="s">
        <v>532</v>
      </c>
      <c r="D120" s="2" t="s">
        <v>755</v>
      </c>
      <c r="E120" s="2" t="s">
        <v>261</v>
      </c>
      <c r="I120" s="2" t="s">
        <v>529</v>
      </c>
      <c r="K120" s="2" t="s">
        <v>530</v>
      </c>
      <c r="L120" s="2" t="s">
        <v>264</v>
      </c>
      <c r="M120" s="2" t="s">
        <v>265</v>
      </c>
      <c r="N120" s="2" t="s">
        <v>266</v>
      </c>
      <c r="O120" s="2" t="s">
        <v>760</v>
      </c>
      <c r="S120" s="2" t="s">
        <v>268</v>
      </c>
      <c r="T120" s="2" t="s">
        <v>761</v>
      </c>
      <c r="U120" s="2" t="s">
        <v>261</v>
      </c>
      <c r="V120" s="2" t="s">
        <v>270</v>
      </c>
      <c r="W120" s="2" t="s">
        <v>271</v>
      </c>
      <c r="X120" s="2" t="s">
        <v>279</v>
      </c>
      <c r="Y120" s="63" t="s">
        <v>131</v>
      </c>
    </row>
    <row r="121" hidden="1">
      <c r="A121" s="2">
        <v>9385.0</v>
      </c>
      <c r="B121" s="2" t="s">
        <v>533</v>
      </c>
      <c r="D121" s="2" t="s">
        <v>762</v>
      </c>
      <c r="E121" s="2" t="s">
        <v>261</v>
      </c>
      <c r="I121" s="2" t="s">
        <v>534</v>
      </c>
      <c r="K121" s="2" t="s">
        <v>535</v>
      </c>
      <c r="L121" s="2" t="s">
        <v>279</v>
      </c>
      <c r="M121" s="2" t="s">
        <v>265</v>
      </c>
      <c r="N121" s="2" t="s">
        <v>266</v>
      </c>
      <c r="O121" s="2" t="s">
        <v>763</v>
      </c>
      <c r="S121" s="2" t="s">
        <v>268</v>
      </c>
      <c r="T121" s="2" t="s">
        <v>764</v>
      </c>
      <c r="U121" s="2" t="s">
        <v>261</v>
      </c>
      <c r="V121" s="2" t="s">
        <v>270</v>
      </c>
      <c r="W121" s="2" t="s">
        <v>271</v>
      </c>
      <c r="X121" s="2" t="s">
        <v>264</v>
      </c>
      <c r="Y121" s="63" t="s">
        <v>131</v>
      </c>
    </row>
    <row r="122" hidden="1">
      <c r="A122" s="2">
        <v>9386.0</v>
      </c>
      <c r="B122" s="2" t="s">
        <v>536</v>
      </c>
      <c r="D122" s="2" t="s">
        <v>765</v>
      </c>
      <c r="E122" s="2" t="s">
        <v>261</v>
      </c>
      <c r="I122" s="2" t="s">
        <v>534</v>
      </c>
      <c r="K122" s="2" t="s">
        <v>535</v>
      </c>
      <c r="L122" s="2" t="s">
        <v>279</v>
      </c>
      <c r="M122" s="2" t="s">
        <v>265</v>
      </c>
      <c r="N122" s="2" t="s">
        <v>266</v>
      </c>
      <c r="O122" s="2" t="s">
        <v>766</v>
      </c>
      <c r="S122" s="2" t="s">
        <v>268</v>
      </c>
      <c r="T122" s="2" t="s">
        <v>767</v>
      </c>
      <c r="U122" s="2" t="s">
        <v>261</v>
      </c>
      <c r="V122" s="2" t="s">
        <v>270</v>
      </c>
      <c r="W122" s="2" t="s">
        <v>271</v>
      </c>
      <c r="X122" s="2" t="s">
        <v>279</v>
      </c>
      <c r="Y122" s="63" t="s">
        <v>131</v>
      </c>
    </row>
    <row r="123" hidden="1">
      <c r="A123" s="2">
        <v>9392.0</v>
      </c>
      <c r="B123" s="2" t="s">
        <v>154</v>
      </c>
      <c r="D123" s="2" t="s">
        <v>768</v>
      </c>
      <c r="E123" s="2" t="s">
        <v>261</v>
      </c>
      <c r="I123" s="2" t="s">
        <v>537</v>
      </c>
      <c r="L123" s="2" t="s">
        <v>264</v>
      </c>
      <c r="M123" s="2" t="s">
        <v>265</v>
      </c>
      <c r="N123" s="2" t="s">
        <v>266</v>
      </c>
      <c r="O123" s="2" t="s">
        <v>769</v>
      </c>
      <c r="S123" s="2" t="s">
        <v>268</v>
      </c>
      <c r="T123" s="2" t="s">
        <v>770</v>
      </c>
      <c r="U123" s="2" t="s">
        <v>261</v>
      </c>
      <c r="V123" s="2" t="s">
        <v>270</v>
      </c>
      <c r="W123" s="2" t="s">
        <v>271</v>
      </c>
      <c r="X123" s="2" t="s">
        <v>279</v>
      </c>
      <c r="Y123" s="63" t="s">
        <v>131</v>
      </c>
    </row>
    <row r="124" hidden="1">
      <c r="A124" s="2">
        <v>20375.0</v>
      </c>
      <c r="B124" s="2" t="s">
        <v>771</v>
      </c>
      <c r="D124" s="2" t="s">
        <v>772</v>
      </c>
      <c r="E124" s="2" t="s">
        <v>261</v>
      </c>
      <c r="F124" s="2" t="s">
        <v>539</v>
      </c>
      <c r="I124" s="2" t="s">
        <v>540</v>
      </c>
      <c r="K124" s="2" t="s">
        <v>541</v>
      </c>
      <c r="L124" s="2" t="s">
        <v>272</v>
      </c>
      <c r="M124" s="2" t="s">
        <v>265</v>
      </c>
      <c r="N124" s="2" t="s">
        <v>266</v>
      </c>
      <c r="O124" s="2" t="s">
        <v>773</v>
      </c>
      <c r="S124" s="2" t="s">
        <v>268</v>
      </c>
      <c r="T124" s="2" t="s">
        <v>774</v>
      </c>
      <c r="U124" s="2" t="s">
        <v>261</v>
      </c>
      <c r="V124" s="2" t="s">
        <v>270</v>
      </c>
      <c r="W124" s="2" t="s">
        <v>271</v>
      </c>
      <c r="X124" s="2" t="s">
        <v>272</v>
      </c>
      <c r="Y124" s="63" t="s">
        <v>113</v>
      </c>
    </row>
    <row r="125" hidden="1">
      <c r="A125" s="2">
        <v>20384.0</v>
      </c>
      <c r="B125" s="2" t="s">
        <v>775</v>
      </c>
      <c r="D125" s="2" t="s">
        <v>776</v>
      </c>
      <c r="E125" s="2" t="s">
        <v>261</v>
      </c>
      <c r="F125" s="2" t="s">
        <v>557</v>
      </c>
      <c r="I125" s="2" t="s">
        <v>558</v>
      </c>
      <c r="K125" s="2" t="s">
        <v>559</v>
      </c>
      <c r="L125" s="2" t="s">
        <v>279</v>
      </c>
      <c r="M125" s="2" t="s">
        <v>265</v>
      </c>
      <c r="N125" s="2" t="s">
        <v>266</v>
      </c>
      <c r="O125" s="2" t="s">
        <v>777</v>
      </c>
      <c r="S125" s="2" t="s">
        <v>268</v>
      </c>
      <c r="T125" s="2" t="s">
        <v>778</v>
      </c>
      <c r="U125" s="2" t="s">
        <v>261</v>
      </c>
      <c r="V125" s="2" t="s">
        <v>270</v>
      </c>
      <c r="W125" s="2" t="s">
        <v>270</v>
      </c>
      <c r="X125" s="2" t="s">
        <v>264</v>
      </c>
      <c r="Y125" s="63" t="s">
        <v>113</v>
      </c>
    </row>
    <row r="126" hidden="1">
      <c r="A126" s="2">
        <v>21430.0</v>
      </c>
      <c r="B126" s="2" t="s">
        <v>779</v>
      </c>
      <c r="D126" s="2" t="s">
        <v>780</v>
      </c>
      <c r="E126" s="2" t="s">
        <v>261</v>
      </c>
      <c r="I126" s="2" t="s">
        <v>781</v>
      </c>
      <c r="K126" s="2" t="s">
        <v>782</v>
      </c>
      <c r="L126" s="2" t="s">
        <v>264</v>
      </c>
      <c r="M126" s="2" t="s">
        <v>265</v>
      </c>
      <c r="N126" s="2" t="s">
        <v>266</v>
      </c>
      <c r="O126" s="2" t="s">
        <v>783</v>
      </c>
      <c r="S126" s="2" t="s">
        <v>268</v>
      </c>
      <c r="T126" s="2" t="s">
        <v>784</v>
      </c>
      <c r="U126" s="2" t="s">
        <v>261</v>
      </c>
      <c r="V126" s="2" t="s">
        <v>270</v>
      </c>
      <c r="W126" s="2" t="s">
        <v>271</v>
      </c>
      <c r="X126" s="2" t="s">
        <v>264</v>
      </c>
      <c r="Y126" s="63" t="s">
        <v>113</v>
      </c>
    </row>
    <row r="127">
      <c r="A127" s="2">
        <v>25802.0</v>
      </c>
      <c r="B127" s="2" t="s">
        <v>785</v>
      </c>
      <c r="D127" s="2" t="s">
        <v>786</v>
      </c>
      <c r="E127" s="2" t="s">
        <v>261</v>
      </c>
      <c r="I127" s="2" t="s">
        <v>787</v>
      </c>
      <c r="K127" s="2" t="s">
        <v>788</v>
      </c>
      <c r="L127" s="2" t="s">
        <v>279</v>
      </c>
      <c r="M127" s="2" t="s">
        <v>265</v>
      </c>
      <c r="N127" s="62"/>
      <c r="O127" s="62"/>
      <c r="S127" s="2" t="s">
        <v>268</v>
      </c>
      <c r="T127" s="2" t="s">
        <v>789</v>
      </c>
      <c r="U127" s="2" t="s">
        <v>261</v>
      </c>
      <c r="V127" s="2" t="s">
        <v>270</v>
      </c>
      <c r="W127" s="2" t="s">
        <v>271</v>
      </c>
      <c r="X127" s="2" t="s">
        <v>279</v>
      </c>
      <c r="Y127" s="62"/>
    </row>
    <row r="128">
      <c r="A128" s="2">
        <v>28628.0</v>
      </c>
      <c r="B128" s="2" t="s">
        <v>790</v>
      </c>
      <c r="D128" s="2" t="s">
        <v>791</v>
      </c>
      <c r="E128" s="2" t="s">
        <v>261</v>
      </c>
      <c r="I128" s="2" t="s">
        <v>787</v>
      </c>
      <c r="K128" s="62"/>
      <c r="L128" s="2" t="s">
        <v>279</v>
      </c>
      <c r="M128" s="2" t="s">
        <v>265</v>
      </c>
      <c r="N128" s="62"/>
      <c r="O128" s="62"/>
      <c r="S128" s="2" t="s">
        <v>366</v>
      </c>
      <c r="T128" s="62"/>
      <c r="U128" s="62"/>
    </row>
    <row r="129">
      <c r="A129" s="2">
        <v>28629.0</v>
      </c>
      <c r="B129" s="2" t="s">
        <v>790</v>
      </c>
      <c r="D129" s="2" t="s">
        <v>792</v>
      </c>
      <c r="E129" s="2" t="s">
        <v>261</v>
      </c>
      <c r="I129" s="2" t="s">
        <v>793</v>
      </c>
      <c r="K129" s="2" t="s">
        <v>794</v>
      </c>
      <c r="L129" s="2" t="s">
        <v>264</v>
      </c>
      <c r="M129" s="2" t="s">
        <v>265</v>
      </c>
      <c r="N129" s="62"/>
      <c r="O129" s="62"/>
      <c r="S129" s="2" t="s">
        <v>268</v>
      </c>
      <c r="T129" s="2" t="s">
        <v>795</v>
      </c>
      <c r="U129" s="2" t="s">
        <v>261</v>
      </c>
      <c r="V129" s="2" t="s">
        <v>270</v>
      </c>
      <c r="W129" s="2" t="s">
        <v>271</v>
      </c>
      <c r="X129" s="2" t="s">
        <v>264</v>
      </c>
    </row>
    <row r="130">
      <c r="A130" s="2">
        <v>26628.0</v>
      </c>
      <c r="B130" s="2" t="s">
        <v>796</v>
      </c>
      <c r="D130" s="2" t="s">
        <v>797</v>
      </c>
      <c r="E130" s="2" t="s">
        <v>261</v>
      </c>
      <c r="I130" s="2" t="s">
        <v>798</v>
      </c>
      <c r="K130" s="62"/>
      <c r="L130" s="2" t="s">
        <v>279</v>
      </c>
      <c r="M130" s="2" t="s">
        <v>265</v>
      </c>
      <c r="N130" s="62"/>
      <c r="O130" s="62"/>
      <c r="S130" s="2" t="s">
        <v>366</v>
      </c>
      <c r="T130" s="62"/>
      <c r="U130" s="62"/>
    </row>
    <row r="131">
      <c r="A131" s="2">
        <v>28624.0</v>
      </c>
      <c r="B131" s="2" t="s">
        <v>799</v>
      </c>
      <c r="D131" s="2" t="s">
        <v>800</v>
      </c>
      <c r="E131" s="2" t="s">
        <v>261</v>
      </c>
      <c r="I131" s="2" t="s">
        <v>801</v>
      </c>
      <c r="K131" s="2" t="s">
        <v>802</v>
      </c>
      <c r="L131" s="2" t="s">
        <v>279</v>
      </c>
      <c r="M131" s="2" t="s">
        <v>265</v>
      </c>
      <c r="N131" s="62"/>
      <c r="O131" s="62"/>
      <c r="S131" s="2" t="s">
        <v>268</v>
      </c>
      <c r="T131" s="2" t="s">
        <v>803</v>
      </c>
      <c r="U131" s="2" t="s">
        <v>261</v>
      </c>
      <c r="V131" s="2" t="s">
        <v>270</v>
      </c>
      <c r="W131" s="2" t="s">
        <v>271</v>
      </c>
      <c r="X131" s="2" t="s">
        <v>279</v>
      </c>
      <c r="Y131" s="2" t="s">
        <v>804</v>
      </c>
    </row>
    <row r="132">
      <c r="A132" s="2">
        <v>28625.0</v>
      </c>
      <c r="B132" s="2" t="s">
        <v>805</v>
      </c>
      <c r="D132" s="2" t="s">
        <v>806</v>
      </c>
      <c r="E132" s="2" t="s">
        <v>261</v>
      </c>
      <c r="I132" s="2" t="s">
        <v>801</v>
      </c>
      <c r="K132" s="2" t="s">
        <v>802</v>
      </c>
      <c r="L132" s="2" t="s">
        <v>279</v>
      </c>
      <c r="M132" s="2" t="s">
        <v>265</v>
      </c>
      <c r="N132" s="62"/>
      <c r="O132" s="62"/>
      <c r="S132" s="2" t="s">
        <v>268</v>
      </c>
      <c r="T132" s="2" t="s">
        <v>807</v>
      </c>
      <c r="U132" s="2" t="s">
        <v>261</v>
      </c>
      <c r="V132" s="2" t="s">
        <v>270</v>
      </c>
      <c r="W132" s="2" t="s">
        <v>271</v>
      </c>
      <c r="X132" s="2" t="s">
        <v>279</v>
      </c>
      <c r="Y132" s="2" t="s">
        <v>804</v>
      </c>
    </row>
    <row r="133">
      <c r="A133" s="2">
        <v>28626.0</v>
      </c>
      <c r="B133" s="2" t="s">
        <v>808</v>
      </c>
      <c r="D133" s="2" t="s">
        <v>809</v>
      </c>
      <c r="E133" s="2" t="s">
        <v>261</v>
      </c>
      <c r="F133" s="62"/>
      <c r="I133" s="2" t="s">
        <v>810</v>
      </c>
      <c r="K133" s="2" t="s">
        <v>811</v>
      </c>
      <c r="L133" s="2" t="s">
        <v>279</v>
      </c>
      <c r="M133" s="2" t="s">
        <v>265</v>
      </c>
      <c r="N133" s="62"/>
      <c r="O133" s="62"/>
      <c r="S133" s="2" t="s">
        <v>268</v>
      </c>
      <c r="T133" s="2" t="s">
        <v>812</v>
      </c>
      <c r="U133" s="2" t="s">
        <v>261</v>
      </c>
      <c r="V133" s="2" t="s">
        <v>270</v>
      </c>
      <c r="W133" s="2" t="s">
        <v>271</v>
      </c>
      <c r="X133" s="2" t="s">
        <v>272</v>
      </c>
      <c r="Y133" s="2" t="s">
        <v>804</v>
      </c>
    </row>
    <row r="134">
      <c r="A134" s="2">
        <v>28627.0</v>
      </c>
      <c r="B134" s="2" t="s">
        <v>813</v>
      </c>
      <c r="D134" s="2" t="s">
        <v>814</v>
      </c>
      <c r="E134" s="2" t="s">
        <v>261</v>
      </c>
      <c r="I134" s="2" t="s">
        <v>810</v>
      </c>
      <c r="K134" s="2" t="s">
        <v>811</v>
      </c>
      <c r="L134" s="2" t="s">
        <v>279</v>
      </c>
      <c r="M134" s="2" t="s">
        <v>265</v>
      </c>
      <c r="N134" s="62"/>
      <c r="O134" s="62"/>
      <c r="S134" s="2" t="s">
        <v>268</v>
      </c>
      <c r="T134" s="2" t="s">
        <v>815</v>
      </c>
      <c r="U134" s="2" t="s">
        <v>261</v>
      </c>
      <c r="V134" s="2" t="s">
        <v>270</v>
      </c>
      <c r="W134" s="2" t="s">
        <v>271</v>
      </c>
      <c r="X134" s="2" t="s">
        <v>272</v>
      </c>
      <c r="Y134" s="2" t="s">
        <v>804</v>
      </c>
    </row>
    <row r="135" hidden="1">
      <c r="A135" s="2">
        <v>28756.0</v>
      </c>
      <c r="B135" s="2" t="s">
        <v>816</v>
      </c>
      <c r="D135" s="2" t="s">
        <v>817</v>
      </c>
      <c r="E135" s="2" t="s">
        <v>261</v>
      </c>
      <c r="I135" s="2" t="s">
        <v>818</v>
      </c>
      <c r="K135" s="62"/>
      <c r="L135" s="2" t="s">
        <v>279</v>
      </c>
      <c r="M135" s="2" t="s">
        <v>265</v>
      </c>
      <c r="N135" s="62"/>
      <c r="O135" s="62"/>
      <c r="S135" s="2" t="s">
        <v>366</v>
      </c>
      <c r="T135" s="62"/>
      <c r="U135" s="62"/>
      <c r="V135" s="62"/>
      <c r="W135" s="62"/>
      <c r="X135" s="62"/>
      <c r="Y135" s="62"/>
    </row>
    <row r="136" hidden="1">
      <c r="A136" s="2">
        <v>28757.0</v>
      </c>
      <c r="B136" s="2" t="s">
        <v>819</v>
      </c>
      <c r="D136" s="2" t="s">
        <v>820</v>
      </c>
      <c r="E136" s="2" t="s">
        <v>261</v>
      </c>
      <c r="F136" s="2" t="s">
        <v>821</v>
      </c>
      <c r="I136" s="2" t="s">
        <v>818</v>
      </c>
      <c r="K136" s="62"/>
      <c r="L136" s="2" t="s">
        <v>279</v>
      </c>
      <c r="M136" s="2" t="s">
        <v>265</v>
      </c>
      <c r="N136" s="62"/>
      <c r="O136" s="62"/>
      <c r="S136" s="2" t="s">
        <v>366</v>
      </c>
      <c r="T136" s="2" t="s">
        <v>822</v>
      </c>
      <c r="U136" s="2" t="s">
        <v>261</v>
      </c>
      <c r="V136" s="62"/>
      <c r="W136" s="62"/>
      <c r="X136" s="62"/>
      <c r="Y136" s="62"/>
    </row>
    <row r="137" hidden="1">
      <c r="A137" s="2">
        <v>28758.0</v>
      </c>
      <c r="B137" s="2" t="s">
        <v>823</v>
      </c>
      <c r="D137" s="2" t="s">
        <v>824</v>
      </c>
      <c r="E137" s="2" t="s">
        <v>261</v>
      </c>
      <c r="I137" s="2" t="s">
        <v>818</v>
      </c>
      <c r="K137" s="62"/>
      <c r="L137" s="2" t="s">
        <v>279</v>
      </c>
      <c r="M137" s="2" t="s">
        <v>265</v>
      </c>
      <c r="N137" s="62"/>
      <c r="O137" s="62"/>
      <c r="S137" s="2" t="s">
        <v>366</v>
      </c>
      <c r="T137" s="62"/>
      <c r="U137" s="62"/>
      <c r="V137" s="62"/>
      <c r="W137" s="62"/>
      <c r="X137" s="62"/>
      <c r="Y137" s="62"/>
    </row>
    <row r="138" hidden="1">
      <c r="A138" s="2">
        <v>28759.0</v>
      </c>
      <c r="B138" s="2" t="s">
        <v>825</v>
      </c>
      <c r="D138" s="2" t="s">
        <v>826</v>
      </c>
      <c r="E138" s="2" t="s">
        <v>261</v>
      </c>
      <c r="F138" s="62"/>
      <c r="I138" s="2" t="s">
        <v>818</v>
      </c>
      <c r="K138" s="62"/>
      <c r="L138" s="2" t="s">
        <v>279</v>
      </c>
      <c r="M138" s="2" t="s">
        <v>265</v>
      </c>
      <c r="N138" s="62"/>
      <c r="O138" s="62"/>
      <c r="S138" s="2" t="s">
        <v>366</v>
      </c>
      <c r="T138" s="62"/>
      <c r="U138" s="62"/>
      <c r="V138" s="62"/>
      <c r="W138" s="62"/>
      <c r="X138" s="62"/>
      <c r="Y138" s="62"/>
    </row>
    <row r="139" hidden="1">
      <c r="A139" s="2">
        <v>1101.0</v>
      </c>
      <c r="B139" s="2" t="s">
        <v>827</v>
      </c>
      <c r="D139" s="2" t="s">
        <v>828</v>
      </c>
      <c r="E139" s="2" t="s">
        <v>261</v>
      </c>
      <c r="I139" s="2" t="s">
        <v>829</v>
      </c>
      <c r="K139" s="2" t="s">
        <v>830</v>
      </c>
      <c r="L139" s="2" t="s">
        <v>279</v>
      </c>
      <c r="M139" s="2" t="s">
        <v>265</v>
      </c>
      <c r="N139" s="62"/>
      <c r="O139" s="62"/>
      <c r="S139" s="2" t="s">
        <v>366</v>
      </c>
      <c r="T139" s="2" t="s">
        <v>831</v>
      </c>
      <c r="U139" s="2" t="s">
        <v>261</v>
      </c>
      <c r="V139" s="62"/>
      <c r="W139" s="62"/>
      <c r="X139" s="62"/>
      <c r="Y139" s="62"/>
    </row>
    <row r="140" hidden="1">
      <c r="A140" s="2">
        <v>1102.0</v>
      </c>
      <c r="B140" s="2" t="s">
        <v>832</v>
      </c>
      <c r="D140" s="2" t="s">
        <v>833</v>
      </c>
      <c r="E140" s="2" t="s">
        <v>261</v>
      </c>
      <c r="I140" s="2" t="s">
        <v>829</v>
      </c>
      <c r="K140" s="2" t="s">
        <v>830</v>
      </c>
      <c r="L140" s="2" t="s">
        <v>279</v>
      </c>
      <c r="M140" s="2" t="s">
        <v>265</v>
      </c>
      <c r="N140" s="62"/>
      <c r="O140" s="62"/>
      <c r="S140" s="2" t="s">
        <v>366</v>
      </c>
      <c r="T140" s="2" t="s">
        <v>834</v>
      </c>
      <c r="U140" s="2" t="s">
        <v>261</v>
      </c>
      <c r="V140" s="62"/>
      <c r="W140" s="62"/>
      <c r="X140" s="62"/>
      <c r="Y140" s="62"/>
    </row>
    <row r="141" hidden="1">
      <c r="A141" s="2">
        <v>1103.0</v>
      </c>
      <c r="B141" s="2" t="s">
        <v>835</v>
      </c>
      <c r="D141" s="2" t="s">
        <v>836</v>
      </c>
      <c r="E141" s="2" t="s">
        <v>261</v>
      </c>
      <c r="F141" s="62"/>
      <c r="I141" s="2" t="s">
        <v>829</v>
      </c>
      <c r="K141" s="2" t="s">
        <v>830</v>
      </c>
      <c r="L141" s="2" t="s">
        <v>279</v>
      </c>
      <c r="M141" s="2" t="s">
        <v>265</v>
      </c>
      <c r="N141" s="62"/>
      <c r="O141" s="62"/>
      <c r="S141" s="2" t="s">
        <v>366</v>
      </c>
      <c r="T141" s="2" t="s">
        <v>837</v>
      </c>
      <c r="U141" s="2" t="s">
        <v>261</v>
      </c>
      <c r="V141" s="62"/>
      <c r="W141" s="62"/>
      <c r="X141" s="62"/>
      <c r="Y141" s="62"/>
    </row>
    <row r="142" hidden="1">
      <c r="A142" s="2">
        <v>1104.0</v>
      </c>
      <c r="B142" s="2" t="s">
        <v>838</v>
      </c>
      <c r="D142" s="2" t="s">
        <v>839</v>
      </c>
      <c r="E142" s="2" t="s">
        <v>261</v>
      </c>
      <c r="I142" s="2" t="s">
        <v>829</v>
      </c>
      <c r="K142" s="2" t="s">
        <v>830</v>
      </c>
      <c r="L142" s="2" t="s">
        <v>279</v>
      </c>
      <c r="M142" s="2" t="s">
        <v>265</v>
      </c>
      <c r="N142" s="62"/>
      <c r="O142" s="62"/>
      <c r="S142" s="2" t="s">
        <v>366</v>
      </c>
      <c r="T142" s="2" t="s">
        <v>840</v>
      </c>
      <c r="U142" s="2" t="s">
        <v>261</v>
      </c>
      <c r="V142" s="62"/>
      <c r="W142" s="62"/>
      <c r="X142" s="62"/>
      <c r="Y142" s="62"/>
    </row>
    <row r="143" hidden="1">
      <c r="A143" s="2">
        <v>1105.0</v>
      </c>
      <c r="B143" s="2" t="s">
        <v>841</v>
      </c>
      <c r="D143" s="2" t="s">
        <v>842</v>
      </c>
      <c r="E143" s="2" t="s">
        <v>261</v>
      </c>
      <c r="I143" s="2" t="s">
        <v>829</v>
      </c>
      <c r="K143" s="2" t="s">
        <v>830</v>
      </c>
      <c r="L143" s="2" t="s">
        <v>279</v>
      </c>
      <c r="M143" s="2" t="s">
        <v>265</v>
      </c>
      <c r="N143" s="62"/>
      <c r="O143" s="62"/>
      <c r="S143" s="2" t="s">
        <v>366</v>
      </c>
      <c r="T143" s="2" t="s">
        <v>843</v>
      </c>
      <c r="U143" s="2" t="s">
        <v>261</v>
      </c>
      <c r="V143" s="62"/>
      <c r="W143" s="62"/>
      <c r="X143" s="62"/>
      <c r="Y143" s="62"/>
    </row>
    <row r="144" hidden="1">
      <c r="A144" s="2">
        <v>1106.0</v>
      </c>
      <c r="B144" s="2" t="s">
        <v>844</v>
      </c>
      <c r="D144" s="2" t="s">
        <v>845</v>
      </c>
      <c r="E144" s="2" t="s">
        <v>261</v>
      </c>
      <c r="I144" s="2" t="s">
        <v>829</v>
      </c>
      <c r="K144" s="2" t="s">
        <v>830</v>
      </c>
      <c r="L144" s="2" t="s">
        <v>279</v>
      </c>
      <c r="M144" s="2" t="s">
        <v>265</v>
      </c>
      <c r="N144" s="62"/>
      <c r="O144" s="62"/>
      <c r="S144" s="2" t="s">
        <v>366</v>
      </c>
      <c r="T144" s="2" t="s">
        <v>846</v>
      </c>
      <c r="U144" s="2" t="s">
        <v>261</v>
      </c>
      <c r="V144" s="62"/>
      <c r="W144" s="62"/>
      <c r="X144" s="62"/>
      <c r="Y144" s="62"/>
    </row>
    <row r="145" hidden="1">
      <c r="A145" s="2">
        <v>1107.0</v>
      </c>
      <c r="B145" s="2" t="s">
        <v>847</v>
      </c>
      <c r="D145" s="2" t="s">
        <v>848</v>
      </c>
      <c r="E145" s="2" t="s">
        <v>261</v>
      </c>
      <c r="I145" s="2" t="s">
        <v>849</v>
      </c>
      <c r="K145" s="2" t="s">
        <v>850</v>
      </c>
      <c r="L145" s="2" t="s">
        <v>279</v>
      </c>
      <c r="M145" s="2" t="s">
        <v>265</v>
      </c>
      <c r="N145" s="62"/>
      <c r="O145" s="62"/>
      <c r="S145" s="2" t="s">
        <v>366</v>
      </c>
      <c r="T145" s="2" t="s">
        <v>851</v>
      </c>
      <c r="U145" s="2" t="s">
        <v>261</v>
      </c>
      <c r="V145" s="62"/>
      <c r="W145" s="62"/>
      <c r="X145" s="62"/>
      <c r="Y145" s="62"/>
    </row>
    <row r="146" hidden="1">
      <c r="A146" s="2">
        <v>1108.0</v>
      </c>
      <c r="B146" s="2" t="s">
        <v>852</v>
      </c>
      <c r="D146" s="2" t="s">
        <v>853</v>
      </c>
      <c r="E146" s="2" t="s">
        <v>261</v>
      </c>
      <c r="F146" s="62"/>
      <c r="I146" s="2" t="s">
        <v>849</v>
      </c>
      <c r="K146" s="2" t="s">
        <v>850</v>
      </c>
      <c r="L146" s="2" t="s">
        <v>279</v>
      </c>
      <c r="M146" s="2" t="s">
        <v>265</v>
      </c>
      <c r="N146" s="62"/>
      <c r="O146" s="62"/>
      <c r="S146" s="2" t="s">
        <v>366</v>
      </c>
      <c r="T146" s="2" t="s">
        <v>854</v>
      </c>
      <c r="U146" s="2" t="s">
        <v>261</v>
      </c>
      <c r="V146" s="62"/>
      <c r="W146" s="62"/>
      <c r="X146" s="62"/>
      <c r="Y146" s="62"/>
    </row>
    <row r="147" hidden="1">
      <c r="A147" s="2">
        <v>9395.0</v>
      </c>
      <c r="B147" s="2" t="s">
        <v>855</v>
      </c>
      <c r="D147" s="2" t="s">
        <v>856</v>
      </c>
      <c r="E147" s="2" t="s">
        <v>261</v>
      </c>
      <c r="F147" s="62"/>
      <c r="I147" s="2" t="s">
        <v>857</v>
      </c>
      <c r="K147" s="2" t="s">
        <v>858</v>
      </c>
      <c r="L147" s="2" t="s">
        <v>272</v>
      </c>
      <c r="M147" s="2" t="s">
        <v>265</v>
      </c>
      <c r="N147" s="62"/>
      <c r="O147" s="62"/>
      <c r="S147" s="2" t="s">
        <v>268</v>
      </c>
      <c r="T147" s="2" t="s">
        <v>859</v>
      </c>
      <c r="U147" s="2" t="s">
        <v>261</v>
      </c>
      <c r="V147" s="2" t="s">
        <v>270</v>
      </c>
      <c r="W147" s="2" t="s">
        <v>271</v>
      </c>
      <c r="X147" s="2" t="s">
        <v>272</v>
      </c>
      <c r="Y147" s="63" t="s">
        <v>860</v>
      </c>
    </row>
    <row r="148">
      <c r="A148" s="2">
        <v>9382.0</v>
      </c>
      <c r="B148" s="2" t="s">
        <v>861</v>
      </c>
      <c r="D148" s="2" t="s">
        <v>862</v>
      </c>
      <c r="E148" s="2" t="s">
        <v>261</v>
      </c>
      <c r="I148" s="2" t="s">
        <v>529</v>
      </c>
      <c r="K148" s="2" t="s">
        <v>530</v>
      </c>
      <c r="L148" s="2" t="s">
        <v>264</v>
      </c>
      <c r="M148" s="2" t="s">
        <v>265</v>
      </c>
      <c r="N148" s="2" t="s">
        <v>266</v>
      </c>
      <c r="O148" s="2" t="s">
        <v>863</v>
      </c>
      <c r="S148" s="2" t="s">
        <v>268</v>
      </c>
      <c r="T148" s="2" t="s">
        <v>864</v>
      </c>
      <c r="U148" s="2" t="s">
        <v>261</v>
      </c>
      <c r="V148" s="2" t="s">
        <v>270</v>
      </c>
      <c r="W148" s="2" t="s">
        <v>271</v>
      </c>
      <c r="X148" s="2" t="s">
        <v>279</v>
      </c>
      <c r="Y148" s="63" t="s">
        <v>131</v>
      </c>
    </row>
    <row r="149">
      <c r="A149" s="2">
        <v>9383.0</v>
      </c>
      <c r="B149" s="2" t="s">
        <v>865</v>
      </c>
      <c r="D149" s="2" t="s">
        <v>862</v>
      </c>
      <c r="E149" s="2" t="s">
        <v>261</v>
      </c>
      <c r="I149" s="2" t="s">
        <v>529</v>
      </c>
      <c r="K149" s="2" t="s">
        <v>530</v>
      </c>
      <c r="L149" s="2" t="s">
        <v>264</v>
      </c>
      <c r="M149" s="2" t="s">
        <v>265</v>
      </c>
      <c r="N149" s="2" t="s">
        <v>266</v>
      </c>
      <c r="O149" s="2" t="s">
        <v>866</v>
      </c>
      <c r="S149" s="2" t="s">
        <v>268</v>
      </c>
      <c r="T149" s="2" t="s">
        <v>867</v>
      </c>
      <c r="U149" s="2" t="s">
        <v>261</v>
      </c>
      <c r="V149" s="2" t="s">
        <v>270</v>
      </c>
      <c r="W149" s="2" t="s">
        <v>271</v>
      </c>
      <c r="X149" s="2" t="s">
        <v>279</v>
      </c>
      <c r="Y149" s="63" t="s">
        <v>131</v>
      </c>
    </row>
    <row r="150">
      <c r="A150" s="2">
        <v>9384.0</v>
      </c>
      <c r="B150" s="2" t="s">
        <v>868</v>
      </c>
      <c r="D150" s="2" t="s">
        <v>862</v>
      </c>
      <c r="E150" s="2" t="s">
        <v>261</v>
      </c>
      <c r="I150" s="2" t="s">
        <v>529</v>
      </c>
      <c r="K150" s="2" t="s">
        <v>530</v>
      </c>
      <c r="L150" s="2" t="s">
        <v>264</v>
      </c>
      <c r="M150" s="2" t="s">
        <v>265</v>
      </c>
      <c r="N150" s="2" t="s">
        <v>266</v>
      </c>
      <c r="O150" s="2" t="s">
        <v>869</v>
      </c>
      <c r="S150" s="2" t="s">
        <v>268</v>
      </c>
      <c r="T150" s="2" t="s">
        <v>870</v>
      </c>
      <c r="U150" s="2" t="s">
        <v>261</v>
      </c>
      <c r="V150" s="2" t="s">
        <v>270</v>
      </c>
      <c r="W150" s="2" t="s">
        <v>271</v>
      </c>
      <c r="X150" s="2" t="s">
        <v>279</v>
      </c>
      <c r="Y150" s="63" t="s">
        <v>131</v>
      </c>
    </row>
    <row r="151">
      <c r="A151" s="2">
        <v>9387.0</v>
      </c>
      <c r="B151" s="2" t="s">
        <v>871</v>
      </c>
      <c r="D151" s="2" t="s">
        <v>872</v>
      </c>
      <c r="E151" s="2" t="s">
        <v>261</v>
      </c>
      <c r="I151" s="2" t="s">
        <v>873</v>
      </c>
      <c r="K151" s="2" t="s">
        <v>874</v>
      </c>
      <c r="L151" s="2" t="s">
        <v>264</v>
      </c>
      <c r="M151" s="2" t="s">
        <v>265</v>
      </c>
      <c r="N151" s="2" t="s">
        <v>266</v>
      </c>
      <c r="O151" s="2" t="s">
        <v>875</v>
      </c>
      <c r="S151" s="2" t="s">
        <v>268</v>
      </c>
      <c r="T151" s="2" t="s">
        <v>876</v>
      </c>
      <c r="U151" s="2" t="s">
        <v>261</v>
      </c>
      <c r="V151" s="2" t="s">
        <v>270</v>
      </c>
      <c r="W151" s="2" t="s">
        <v>271</v>
      </c>
      <c r="X151" s="2" t="s">
        <v>272</v>
      </c>
      <c r="Y151" s="63" t="s">
        <v>131</v>
      </c>
    </row>
    <row r="152">
      <c r="A152" s="2">
        <v>9388.0</v>
      </c>
      <c r="B152" s="2" t="s">
        <v>877</v>
      </c>
      <c r="D152" s="2" t="s">
        <v>878</v>
      </c>
      <c r="E152" s="2" t="s">
        <v>261</v>
      </c>
      <c r="I152" s="2" t="s">
        <v>873</v>
      </c>
      <c r="K152" s="2" t="s">
        <v>874</v>
      </c>
      <c r="L152" s="2" t="s">
        <v>264</v>
      </c>
      <c r="M152" s="2" t="s">
        <v>265</v>
      </c>
      <c r="N152" s="2" t="s">
        <v>266</v>
      </c>
      <c r="O152" s="2" t="s">
        <v>879</v>
      </c>
      <c r="S152" s="2" t="s">
        <v>268</v>
      </c>
      <c r="T152" s="2" t="s">
        <v>880</v>
      </c>
      <c r="U152" s="2" t="s">
        <v>261</v>
      </c>
      <c r="V152" s="2" t="s">
        <v>270</v>
      </c>
      <c r="W152" s="2" t="s">
        <v>271</v>
      </c>
      <c r="X152" s="2" t="s">
        <v>272</v>
      </c>
      <c r="Y152" s="63" t="s">
        <v>131</v>
      </c>
    </row>
    <row r="153">
      <c r="A153" s="2">
        <v>9389.0</v>
      </c>
      <c r="B153" s="2" t="s">
        <v>881</v>
      </c>
      <c r="D153" s="2" t="s">
        <v>882</v>
      </c>
      <c r="E153" s="2" t="s">
        <v>261</v>
      </c>
      <c r="I153" s="2" t="s">
        <v>873</v>
      </c>
      <c r="K153" s="2" t="s">
        <v>874</v>
      </c>
      <c r="L153" s="2" t="s">
        <v>264</v>
      </c>
      <c r="M153" s="2" t="s">
        <v>265</v>
      </c>
      <c r="N153" s="2" t="s">
        <v>266</v>
      </c>
      <c r="O153" s="2" t="s">
        <v>883</v>
      </c>
      <c r="S153" s="2" t="s">
        <v>268</v>
      </c>
      <c r="T153" s="2" t="s">
        <v>884</v>
      </c>
      <c r="U153" s="2" t="s">
        <v>261</v>
      </c>
      <c r="V153" s="2" t="s">
        <v>270</v>
      </c>
      <c r="W153" s="2" t="s">
        <v>271</v>
      </c>
      <c r="X153" s="2" t="s">
        <v>272</v>
      </c>
      <c r="Y153" s="63" t="s">
        <v>131</v>
      </c>
    </row>
    <row r="154">
      <c r="A154" s="2">
        <v>9390.0</v>
      </c>
      <c r="B154" s="2" t="s">
        <v>885</v>
      </c>
      <c r="D154" s="2" t="s">
        <v>886</v>
      </c>
      <c r="E154" s="2" t="s">
        <v>261</v>
      </c>
      <c r="I154" s="2" t="s">
        <v>873</v>
      </c>
      <c r="K154" s="2" t="s">
        <v>874</v>
      </c>
      <c r="L154" s="2" t="s">
        <v>264</v>
      </c>
      <c r="M154" s="2" t="s">
        <v>265</v>
      </c>
      <c r="N154" s="2" t="s">
        <v>266</v>
      </c>
      <c r="O154" s="2" t="s">
        <v>887</v>
      </c>
      <c r="S154" s="2" t="s">
        <v>268</v>
      </c>
      <c r="T154" s="2" t="s">
        <v>888</v>
      </c>
      <c r="U154" s="2" t="s">
        <v>261</v>
      </c>
      <c r="V154" s="2" t="s">
        <v>270</v>
      </c>
      <c r="W154" s="2" t="s">
        <v>271</v>
      </c>
      <c r="X154" s="2" t="s">
        <v>272</v>
      </c>
      <c r="Y154" s="63" t="s">
        <v>131</v>
      </c>
    </row>
    <row r="155">
      <c r="A155" s="2">
        <v>9391.0</v>
      </c>
      <c r="B155" s="2" t="s">
        <v>889</v>
      </c>
      <c r="D155" s="2" t="s">
        <v>890</v>
      </c>
      <c r="E155" s="2" t="s">
        <v>261</v>
      </c>
      <c r="I155" s="2" t="s">
        <v>873</v>
      </c>
      <c r="K155" s="2" t="s">
        <v>874</v>
      </c>
      <c r="L155" s="2" t="s">
        <v>264</v>
      </c>
      <c r="M155" s="2" t="s">
        <v>265</v>
      </c>
      <c r="N155" s="2" t="s">
        <v>266</v>
      </c>
      <c r="O155" s="2" t="s">
        <v>891</v>
      </c>
      <c r="S155" s="2" t="s">
        <v>268</v>
      </c>
      <c r="T155" s="2" t="s">
        <v>892</v>
      </c>
      <c r="U155" s="2" t="s">
        <v>261</v>
      </c>
      <c r="V155" s="2" t="s">
        <v>270</v>
      </c>
      <c r="W155" s="2" t="s">
        <v>271</v>
      </c>
      <c r="X155" s="2" t="s">
        <v>272</v>
      </c>
      <c r="Y155" s="63" t="s">
        <v>131</v>
      </c>
    </row>
    <row r="156">
      <c r="A156" s="2">
        <v>9394.0</v>
      </c>
      <c r="B156" s="2" t="s">
        <v>893</v>
      </c>
      <c r="D156" s="2" t="s">
        <v>894</v>
      </c>
      <c r="E156" s="2" t="s">
        <v>261</v>
      </c>
      <c r="I156" s="2" t="s">
        <v>895</v>
      </c>
      <c r="K156" s="2" t="s">
        <v>896</v>
      </c>
      <c r="L156" s="2" t="s">
        <v>279</v>
      </c>
      <c r="M156" s="2" t="s">
        <v>265</v>
      </c>
      <c r="N156" s="2" t="s">
        <v>266</v>
      </c>
      <c r="O156" s="2" t="s">
        <v>897</v>
      </c>
      <c r="S156" s="2" t="s">
        <v>268</v>
      </c>
      <c r="T156" s="2" t="s">
        <v>898</v>
      </c>
      <c r="U156" s="2" t="s">
        <v>261</v>
      </c>
      <c r="V156" s="2" t="s">
        <v>270</v>
      </c>
      <c r="W156" s="2" t="s">
        <v>271</v>
      </c>
      <c r="X156" s="2" t="s">
        <v>272</v>
      </c>
      <c r="Y156" s="63" t="s">
        <v>131</v>
      </c>
    </row>
    <row r="157">
      <c r="A157" s="2">
        <v>9402.0</v>
      </c>
      <c r="B157" s="2" t="s">
        <v>899</v>
      </c>
      <c r="D157" s="2" t="s">
        <v>900</v>
      </c>
      <c r="E157" s="2" t="s">
        <v>261</v>
      </c>
      <c r="I157" s="2" t="s">
        <v>895</v>
      </c>
      <c r="K157" s="2" t="s">
        <v>896</v>
      </c>
      <c r="L157" s="2" t="s">
        <v>279</v>
      </c>
      <c r="M157" s="2" t="s">
        <v>265</v>
      </c>
      <c r="N157" s="62"/>
      <c r="O157" s="62"/>
      <c r="S157" s="2" t="s">
        <v>268</v>
      </c>
      <c r="T157" s="2" t="s">
        <v>901</v>
      </c>
      <c r="U157" s="2" t="s">
        <v>261</v>
      </c>
      <c r="V157" s="2" t="s">
        <v>270</v>
      </c>
      <c r="W157" s="2" t="s">
        <v>271</v>
      </c>
      <c r="X157" s="2" t="s">
        <v>272</v>
      </c>
      <c r="Y157" s="63" t="s">
        <v>131</v>
      </c>
    </row>
    <row r="158">
      <c r="A158" s="2">
        <v>9396.0</v>
      </c>
      <c r="B158" s="2" t="s">
        <v>902</v>
      </c>
      <c r="D158" s="2" t="s">
        <v>903</v>
      </c>
      <c r="E158" s="2" t="s">
        <v>261</v>
      </c>
      <c r="I158" s="2" t="s">
        <v>904</v>
      </c>
      <c r="K158" s="2" t="s">
        <v>858</v>
      </c>
      <c r="L158" s="2" t="s">
        <v>279</v>
      </c>
      <c r="M158" s="2" t="s">
        <v>265</v>
      </c>
      <c r="N158" s="2" t="s">
        <v>266</v>
      </c>
      <c r="O158" s="2" t="s">
        <v>905</v>
      </c>
      <c r="S158" s="2" t="s">
        <v>268</v>
      </c>
      <c r="T158" s="2" t="s">
        <v>906</v>
      </c>
      <c r="U158" s="2" t="s">
        <v>261</v>
      </c>
      <c r="V158" s="2" t="s">
        <v>270</v>
      </c>
      <c r="W158" s="2" t="s">
        <v>271</v>
      </c>
      <c r="X158" s="2" t="s">
        <v>279</v>
      </c>
      <c r="Y158" s="63" t="s">
        <v>131</v>
      </c>
    </row>
    <row r="159">
      <c r="A159" s="2">
        <v>20386.0</v>
      </c>
      <c r="B159" s="2" t="s">
        <v>907</v>
      </c>
      <c r="D159" s="2" t="s">
        <v>908</v>
      </c>
      <c r="E159" s="2" t="s">
        <v>261</v>
      </c>
      <c r="F159" s="2" t="s">
        <v>557</v>
      </c>
      <c r="I159" s="2" t="s">
        <v>558</v>
      </c>
      <c r="K159" s="2" t="s">
        <v>559</v>
      </c>
      <c r="L159" s="2" t="s">
        <v>279</v>
      </c>
      <c r="M159" s="2" t="s">
        <v>265</v>
      </c>
      <c r="N159" s="2" t="s">
        <v>266</v>
      </c>
      <c r="O159" s="2" t="s">
        <v>909</v>
      </c>
      <c r="S159" s="2" t="s">
        <v>268</v>
      </c>
      <c r="T159" s="2" t="s">
        <v>910</v>
      </c>
      <c r="U159" s="2" t="s">
        <v>261</v>
      </c>
      <c r="V159" s="2" t="s">
        <v>270</v>
      </c>
      <c r="W159" s="2" t="s">
        <v>270</v>
      </c>
      <c r="X159" s="2" t="s">
        <v>264</v>
      </c>
      <c r="Y159" s="63" t="s">
        <v>113</v>
      </c>
    </row>
    <row r="160">
      <c r="A160" s="2">
        <v>826.0</v>
      </c>
      <c r="B160" s="2" t="s">
        <v>911</v>
      </c>
      <c r="D160" s="2" t="s">
        <v>912</v>
      </c>
      <c r="E160" s="2" t="s">
        <v>261</v>
      </c>
      <c r="I160" s="2" t="s">
        <v>913</v>
      </c>
      <c r="L160" s="2" t="s">
        <v>279</v>
      </c>
      <c r="M160" s="2" t="s">
        <v>265</v>
      </c>
      <c r="N160" s="2" t="s">
        <v>266</v>
      </c>
      <c r="O160" s="2" t="s">
        <v>914</v>
      </c>
      <c r="S160" s="2" t="s">
        <v>366</v>
      </c>
      <c r="Y160" s="62"/>
    </row>
    <row r="161">
      <c r="A161" s="2">
        <v>827.0</v>
      </c>
      <c r="B161" s="2" t="s">
        <v>915</v>
      </c>
      <c r="D161" s="2" t="s">
        <v>916</v>
      </c>
      <c r="E161" s="2" t="s">
        <v>261</v>
      </c>
      <c r="I161" s="2" t="s">
        <v>913</v>
      </c>
      <c r="L161" s="2" t="s">
        <v>279</v>
      </c>
      <c r="M161" s="2" t="s">
        <v>265</v>
      </c>
      <c r="N161" s="2" t="s">
        <v>266</v>
      </c>
      <c r="O161" s="2" t="s">
        <v>917</v>
      </c>
      <c r="S161" s="2" t="s">
        <v>366</v>
      </c>
      <c r="Y161" s="62"/>
    </row>
    <row r="162">
      <c r="A162" s="2">
        <v>828.0</v>
      </c>
      <c r="B162" s="2" t="s">
        <v>918</v>
      </c>
      <c r="D162" s="2" t="s">
        <v>919</v>
      </c>
      <c r="E162" s="2" t="s">
        <v>261</v>
      </c>
      <c r="I162" s="2" t="s">
        <v>913</v>
      </c>
      <c r="L162" s="2" t="s">
        <v>279</v>
      </c>
      <c r="M162" s="2" t="s">
        <v>265</v>
      </c>
      <c r="N162" s="2" t="s">
        <v>266</v>
      </c>
      <c r="O162" s="2" t="s">
        <v>920</v>
      </c>
      <c r="S162" s="2" t="s">
        <v>366</v>
      </c>
      <c r="Y162" s="62"/>
    </row>
    <row r="163">
      <c r="A163" s="2">
        <v>829.0</v>
      </c>
      <c r="B163" s="2" t="s">
        <v>921</v>
      </c>
      <c r="D163" s="2" t="s">
        <v>922</v>
      </c>
      <c r="E163" s="2" t="s">
        <v>261</v>
      </c>
      <c r="I163" s="2" t="s">
        <v>923</v>
      </c>
      <c r="L163" s="2" t="s">
        <v>279</v>
      </c>
      <c r="M163" s="2" t="s">
        <v>265</v>
      </c>
      <c r="N163" s="2" t="s">
        <v>266</v>
      </c>
      <c r="O163" s="2" t="s">
        <v>924</v>
      </c>
      <c r="S163" s="2" t="s">
        <v>366</v>
      </c>
    </row>
    <row r="164">
      <c r="A164" s="2">
        <v>830.0</v>
      </c>
      <c r="B164" s="2" t="s">
        <v>925</v>
      </c>
      <c r="D164" s="2" t="s">
        <v>926</v>
      </c>
      <c r="E164" s="2" t="s">
        <v>261</v>
      </c>
      <c r="I164" s="2" t="s">
        <v>923</v>
      </c>
      <c r="K164" s="62"/>
      <c r="L164" s="2" t="s">
        <v>279</v>
      </c>
      <c r="M164" s="2" t="s">
        <v>265</v>
      </c>
      <c r="N164" s="2" t="s">
        <v>266</v>
      </c>
      <c r="O164" s="2" t="s">
        <v>927</v>
      </c>
      <c r="S164" s="2" t="s">
        <v>366</v>
      </c>
      <c r="T164" s="62"/>
      <c r="U164" s="62"/>
    </row>
    <row r="165">
      <c r="A165" s="2">
        <v>831.0</v>
      </c>
      <c r="B165" s="2" t="s">
        <v>928</v>
      </c>
      <c r="D165" s="2" t="s">
        <v>929</v>
      </c>
      <c r="E165" s="2" t="s">
        <v>261</v>
      </c>
      <c r="I165" s="2" t="s">
        <v>923</v>
      </c>
      <c r="L165" s="2" t="s">
        <v>279</v>
      </c>
      <c r="M165" s="2" t="s">
        <v>265</v>
      </c>
      <c r="N165" s="2" t="s">
        <v>266</v>
      </c>
      <c r="O165" s="2" t="s">
        <v>930</v>
      </c>
      <c r="S165" s="2" t="s">
        <v>366</v>
      </c>
    </row>
    <row r="166">
      <c r="A166" s="2">
        <v>838.0</v>
      </c>
      <c r="B166" s="2" t="s">
        <v>931</v>
      </c>
      <c r="D166" s="2" t="s">
        <v>932</v>
      </c>
      <c r="E166" s="2" t="s">
        <v>261</v>
      </c>
      <c r="I166" s="2" t="s">
        <v>933</v>
      </c>
      <c r="K166" s="62"/>
      <c r="L166" s="2" t="s">
        <v>279</v>
      </c>
      <c r="M166" s="2" t="s">
        <v>265</v>
      </c>
      <c r="N166" s="2" t="s">
        <v>266</v>
      </c>
      <c r="O166" s="2" t="s">
        <v>934</v>
      </c>
      <c r="S166" s="2" t="s">
        <v>366</v>
      </c>
      <c r="T166" s="62"/>
      <c r="U166" s="62"/>
    </row>
    <row r="167">
      <c r="A167" s="2">
        <v>833.0</v>
      </c>
      <c r="B167" s="2" t="s">
        <v>935</v>
      </c>
      <c r="D167" s="2" t="s">
        <v>936</v>
      </c>
      <c r="E167" s="2" t="s">
        <v>261</v>
      </c>
      <c r="F167" s="62"/>
      <c r="I167" s="2" t="s">
        <v>937</v>
      </c>
      <c r="K167" s="62"/>
      <c r="L167" s="2" t="s">
        <v>279</v>
      </c>
      <c r="M167" s="2" t="s">
        <v>265</v>
      </c>
      <c r="N167" s="2" t="s">
        <v>266</v>
      </c>
      <c r="O167" s="2" t="s">
        <v>938</v>
      </c>
      <c r="S167" s="2" t="s">
        <v>366</v>
      </c>
      <c r="T167" s="62"/>
      <c r="U167" s="62"/>
      <c r="Y167" s="62"/>
    </row>
    <row r="168">
      <c r="A168" s="2">
        <v>834.0</v>
      </c>
      <c r="B168" s="2" t="s">
        <v>939</v>
      </c>
      <c r="D168" s="2" t="s">
        <v>940</v>
      </c>
      <c r="E168" s="2" t="s">
        <v>261</v>
      </c>
      <c r="I168" s="2" t="s">
        <v>937</v>
      </c>
      <c r="K168" s="62"/>
      <c r="L168" s="2" t="s">
        <v>279</v>
      </c>
      <c r="M168" s="2" t="s">
        <v>265</v>
      </c>
      <c r="N168" s="2" t="s">
        <v>266</v>
      </c>
      <c r="O168" s="2" t="s">
        <v>941</v>
      </c>
      <c r="S168" s="2" t="s">
        <v>366</v>
      </c>
      <c r="T168" s="62"/>
      <c r="U168" s="62"/>
      <c r="Y168" s="62"/>
    </row>
    <row r="169">
      <c r="A169" s="2">
        <v>835.0</v>
      </c>
      <c r="B169" s="2" t="s">
        <v>942</v>
      </c>
      <c r="D169" s="2" t="s">
        <v>943</v>
      </c>
      <c r="E169" s="2" t="s">
        <v>261</v>
      </c>
      <c r="I169" s="2" t="s">
        <v>937</v>
      </c>
      <c r="L169" s="2" t="s">
        <v>279</v>
      </c>
      <c r="M169" s="2" t="s">
        <v>265</v>
      </c>
      <c r="N169" s="2" t="s">
        <v>266</v>
      </c>
      <c r="O169" s="2" t="s">
        <v>944</v>
      </c>
      <c r="S169" s="2" t="s">
        <v>366</v>
      </c>
      <c r="T169" s="62"/>
      <c r="U169" s="62"/>
      <c r="V169" s="62"/>
      <c r="W169" s="62"/>
      <c r="X169" s="62"/>
      <c r="Y169" s="62"/>
    </row>
    <row r="170">
      <c r="A170" s="2">
        <v>836.0</v>
      </c>
      <c r="B170" s="2" t="s">
        <v>945</v>
      </c>
      <c r="D170" s="2" t="s">
        <v>946</v>
      </c>
      <c r="E170" s="2" t="s">
        <v>261</v>
      </c>
      <c r="I170" s="2" t="s">
        <v>937</v>
      </c>
      <c r="L170" s="2" t="s">
        <v>279</v>
      </c>
      <c r="M170" s="2" t="s">
        <v>265</v>
      </c>
      <c r="N170" s="2" t="s">
        <v>266</v>
      </c>
      <c r="O170" s="2" t="s">
        <v>947</v>
      </c>
      <c r="S170" s="2" t="s">
        <v>366</v>
      </c>
      <c r="T170" s="62"/>
      <c r="U170" s="62"/>
      <c r="V170" s="62"/>
      <c r="W170" s="62"/>
      <c r="X170" s="62"/>
      <c r="Y170" s="62"/>
    </row>
    <row r="171">
      <c r="A171" s="2">
        <v>837.0</v>
      </c>
      <c r="B171" s="2" t="s">
        <v>948</v>
      </c>
      <c r="D171" s="2" t="s">
        <v>949</v>
      </c>
      <c r="E171" s="2" t="s">
        <v>261</v>
      </c>
      <c r="I171" s="2" t="s">
        <v>937</v>
      </c>
      <c r="L171" s="2" t="s">
        <v>279</v>
      </c>
      <c r="M171" s="2" t="s">
        <v>265</v>
      </c>
      <c r="N171" s="2" t="s">
        <v>266</v>
      </c>
      <c r="O171" s="2" t="s">
        <v>950</v>
      </c>
      <c r="S171" s="2" t="s">
        <v>366</v>
      </c>
      <c r="T171" s="62"/>
      <c r="U171" s="62"/>
      <c r="V171" s="62"/>
      <c r="W171" s="62"/>
      <c r="X171" s="62"/>
      <c r="Y171" s="62"/>
    </row>
    <row r="172">
      <c r="A172" s="2">
        <v>839.0</v>
      </c>
      <c r="B172" s="2" t="s">
        <v>951</v>
      </c>
      <c r="D172" s="2" t="s">
        <v>952</v>
      </c>
      <c r="E172" s="2" t="s">
        <v>261</v>
      </c>
      <c r="I172" s="2" t="s">
        <v>953</v>
      </c>
      <c r="L172" s="2" t="s">
        <v>279</v>
      </c>
      <c r="M172" s="2" t="s">
        <v>265</v>
      </c>
      <c r="N172" s="2" t="s">
        <v>266</v>
      </c>
      <c r="O172" s="2" t="s">
        <v>954</v>
      </c>
      <c r="S172" s="2" t="s">
        <v>366</v>
      </c>
      <c r="T172" s="62"/>
      <c r="U172" s="62"/>
      <c r="V172" s="62"/>
      <c r="W172" s="62"/>
      <c r="X172" s="62"/>
      <c r="Y172" s="62"/>
    </row>
    <row r="173">
      <c r="A173" s="2">
        <v>840.0</v>
      </c>
      <c r="B173" s="2" t="s">
        <v>955</v>
      </c>
      <c r="D173" s="2" t="s">
        <v>956</v>
      </c>
      <c r="E173" s="2" t="s">
        <v>261</v>
      </c>
      <c r="I173" s="2" t="s">
        <v>957</v>
      </c>
      <c r="L173" s="2" t="s">
        <v>279</v>
      </c>
      <c r="M173" s="2" t="s">
        <v>265</v>
      </c>
      <c r="N173" s="2" t="s">
        <v>266</v>
      </c>
      <c r="O173" s="2" t="s">
        <v>958</v>
      </c>
      <c r="S173" s="2" t="s">
        <v>366</v>
      </c>
      <c r="T173" s="62"/>
      <c r="U173" s="62"/>
      <c r="V173" s="62"/>
      <c r="W173" s="62"/>
      <c r="X173" s="62"/>
      <c r="Y173" s="62"/>
    </row>
    <row r="174">
      <c r="A174" s="2">
        <v>841.0</v>
      </c>
      <c r="B174" s="2" t="s">
        <v>959</v>
      </c>
      <c r="D174" s="2" t="s">
        <v>960</v>
      </c>
      <c r="E174" s="2" t="s">
        <v>261</v>
      </c>
      <c r="I174" s="2" t="s">
        <v>961</v>
      </c>
      <c r="L174" s="2" t="s">
        <v>279</v>
      </c>
      <c r="M174" s="2" t="s">
        <v>265</v>
      </c>
      <c r="N174" s="2" t="s">
        <v>266</v>
      </c>
      <c r="O174" s="2" t="s">
        <v>962</v>
      </c>
      <c r="S174" s="2" t="s">
        <v>366</v>
      </c>
      <c r="T174" s="62"/>
      <c r="U174" s="62"/>
      <c r="V174" s="62"/>
      <c r="W174" s="62"/>
      <c r="X174" s="62"/>
      <c r="Y174" s="62"/>
    </row>
    <row r="175">
      <c r="A175" s="2">
        <v>842.0</v>
      </c>
      <c r="B175" s="2" t="s">
        <v>963</v>
      </c>
      <c r="D175" s="2" t="s">
        <v>964</v>
      </c>
      <c r="E175" s="2" t="s">
        <v>261</v>
      </c>
      <c r="F175" s="62"/>
      <c r="I175" s="2" t="s">
        <v>961</v>
      </c>
      <c r="K175" s="62"/>
      <c r="L175" s="2" t="s">
        <v>279</v>
      </c>
      <c r="M175" s="2" t="s">
        <v>265</v>
      </c>
      <c r="N175" s="2" t="s">
        <v>266</v>
      </c>
      <c r="O175" s="2" t="s">
        <v>965</v>
      </c>
      <c r="S175" s="2" t="s">
        <v>366</v>
      </c>
      <c r="T175" s="62"/>
      <c r="U175" s="62"/>
      <c r="V175" s="62"/>
      <c r="W175" s="62"/>
      <c r="X175" s="62"/>
      <c r="Y175" s="62"/>
    </row>
    <row r="176" hidden="1">
      <c r="A176" s="2">
        <v>25790.0</v>
      </c>
      <c r="B176" s="2" t="s">
        <v>966</v>
      </c>
      <c r="D176" s="2" t="s">
        <v>967</v>
      </c>
      <c r="E176" s="2" t="s">
        <v>261</v>
      </c>
      <c r="I176" s="2" t="s">
        <v>968</v>
      </c>
      <c r="K176" s="62"/>
      <c r="L176" s="2" t="s">
        <v>279</v>
      </c>
      <c r="M176" s="2" t="s">
        <v>265</v>
      </c>
      <c r="S176" s="2" t="s">
        <v>366</v>
      </c>
      <c r="T176" s="62"/>
      <c r="U176" s="62"/>
      <c r="V176" s="62"/>
      <c r="W176" s="62"/>
      <c r="X176" s="62"/>
      <c r="Y176" s="62"/>
    </row>
    <row r="177">
      <c r="A177" s="2">
        <v>25791.0</v>
      </c>
      <c r="B177" s="2" t="s">
        <v>969</v>
      </c>
      <c r="D177" s="2" t="s">
        <v>970</v>
      </c>
      <c r="E177" s="2" t="s">
        <v>261</v>
      </c>
      <c r="F177" s="62"/>
      <c r="I177" s="2" t="s">
        <v>968</v>
      </c>
      <c r="L177" s="2" t="s">
        <v>279</v>
      </c>
      <c r="M177" s="2" t="s">
        <v>265</v>
      </c>
      <c r="S177" s="2" t="s">
        <v>366</v>
      </c>
      <c r="T177" s="62"/>
      <c r="U177" s="62"/>
      <c r="Y177" s="62"/>
    </row>
    <row r="178">
      <c r="A178" s="2">
        <v>5149.0</v>
      </c>
      <c r="B178" s="2" t="s">
        <v>971</v>
      </c>
      <c r="D178" s="2" t="s">
        <v>972</v>
      </c>
      <c r="E178" s="2" t="s">
        <v>261</v>
      </c>
      <c r="I178" s="2" t="s">
        <v>973</v>
      </c>
      <c r="K178" s="2" t="s">
        <v>974</v>
      </c>
      <c r="L178" s="2" t="s">
        <v>279</v>
      </c>
      <c r="M178" s="2" t="s">
        <v>265</v>
      </c>
      <c r="N178" s="2" t="s">
        <v>266</v>
      </c>
      <c r="O178" s="2" t="s">
        <v>975</v>
      </c>
      <c r="S178" s="2" t="s">
        <v>268</v>
      </c>
      <c r="T178" s="2" t="s">
        <v>976</v>
      </c>
      <c r="U178" s="2" t="s">
        <v>261</v>
      </c>
    </row>
    <row r="179">
      <c r="A179" s="2">
        <v>5150.0</v>
      </c>
      <c r="B179" s="2" t="s">
        <v>977</v>
      </c>
      <c r="D179" s="2" t="s">
        <v>978</v>
      </c>
      <c r="E179" s="2" t="s">
        <v>261</v>
      </c>
      <c r="I179" s="2" t="s">
        <v>973</v>
      </c>
      <c r="L179" s="2" t="s">
        <v>279</v>
      </c>
      <c r="M179" s="2" t="s">
        <v>265</v>
      </c>
      <c r="N179" s="2" t="s">
        <v>266</v>
      </c>
      <c r="O179" s="2" t="s">
        <v>979</v>
      </c>
      <c r="S179" s="2" t="s">
        <v>366</v>
      </c>
    </row>
    <row r="180">
      <c r="A180" s="2">
        <v>5286.0</v>
      </c>
      <c r="B180" s="2" t="s">
        <v>980</v>
      </c>
      <c r="D180" s="2" t="s">
        <v>981</v>
      </c>
      <c r="E180" s="2" t="s">
        <v>261</v>
      </c>
      <c r="I180" s="2" t="s">
        <v>982</v>
      </c>
      <c r="K180" s="2" t="s">
        <v>983</v>
      </c>
      <c r="L180" s="2" t="s">
        <v>279</v>
      </c>
      <c r="M180" s="2" t="s">
        <v>265</v>
      </c>
      <c r="N180" s="2" t="s">
        <v>266</v>
      </c>
      <c r="O180" s="2" t="s">
        <v>984</v>
      </c>
      <c r="S180" s="2" t="s">
        <v>366</v>
      </c>
      <c r="T180" s="2" t="s">
        <v>985</v>
      </c>
      <c r="U180" s="2" t="s">
        <v>261</v>
      </c>
    </row>
    <row r="181">
      <c r="A181" s="2">
        <v>1914.0</v>
      </c>
      <c r="B181" s="2" t="s">
        <v>986</v>
      </c>
      <c r="D181" s="2" t="s">
        <v>987</v>
      </c>
      <c r="E181" s="2" t="s">
        <v>261</v>
      </c>
      <c r="F181" s="2" t="s">
        <v>988</v>
      </c>
      <c r="I181" s="2" t="s">
        <v>989</v>
      </c>
      <c r="K181" s="2" t="s">
        <v>990</v>
      </c>
      <c r="L181" s="2" t="s">
        <v>279</v>
      </c>
      <c r="M181" s="2" t="s">
        <v>265</v>
      </c>
      <c r="N181" s="2" t="s">
        <v>266</v>
      </c>
      <c r="O181" s="2" t="s">
        <v>991</v>
      </c>
      <c r="S181" s="2" t="s">
        <v>268</v>
      </c>
      <c r="T181" s="2" t="s">
        <v>992</v>
      </c>
      <c r="U181" s="2" t="s">
        <v>261</v>
      </c>
    </row>
    <row r="182">
      <c r="A182" s="2">
        <v>5269.0</v>
      </c>
      <c r="B182" s="2" t="s">
        <v>993</v>
      </c>
      <c r="D182" s="2" t="s">
        <v>994</v>
      </c>
      <c r="E182" s="2" t="s">
        <v>261</v>
      </c>
      <c r="I182" s="2" t="s">
        <v>995</v>
      </c>
      <c r="K182" s="2" t="s">
        <v>996</v>
      </c>
      <c r="L182" s="2" t="s">
        <v>279</v>
      </c>
      <c r="M182" s="2" t="s">
        <v>265</v>
      </c>
      <c r="N182" s="2" t="s">
        <v>266</v>
      </c>
      <c r="O182" s="2" t="s">
        <v>997</v>
      </c>
      <c r="S182" s="2" t="s">
        <v>366</v>
      </c>
      <c r="T182" s="2" t="s">
        <v>998</v>
      </c>
      <c r="U182" s="2" t="s">
        <v>261</v>
      </c>
    </row>
    <row r="183">
      <c r="A183" s="2">
        <v>820.0</v>
      </c>
      <c r="B183" s="2" t="s">
        <v>999</v>
      </c>
      <c r="D183" s="2" t="s">
        <v>1000</v>
      </c>
      <c r="E183" s="2" t="s">
        <v>261</v>
      </c>
      <c r="I183" s="2" t="s">
        <v>1001</v>
      </c>
      <c r="L183" s="2" t="s">
        <v>264</v>
      </c>
      <c r="M183" s="2" t="s">
        <v>265</v>
      </c>
      <c r="N183" s="2" t="s">
        <v>266</v>
      </c>
      <c r="O183" s="2" t="s">
        <v>1002</v>
      </c>
      <c r="S183" s="2" t="s">
        <v>268</v>
      </c>
      <c r="T183" s="2" t="s">
        <v>1003</v>
      </c>
      <c r="U183" s="2" t="s">
        <v>261</v>
      </c>
      <c r="V183" s="2" t="s">
        <v>270</v>
      </c>
      <c r="W183" s="2" t="s">
        <v>271</v>
      </c>
      <c r="X183" s="2" t="s">
        <v>272</v>
      </c>
      <c r="Y183" s="2" t="s">
        <v>1004</v>
      </c>
    </row>
    <row r="184">
      <c r="A184" s="2">
        <v>821.0</v>
      </c>
      <c r="B184" s="2" t="s">
        <v>1005</v>
      </c>
      <c r="D184" s="2" t="s">
        <v>1006</v>
      </c>
      <c r="E184" s="2" t="s">
        <v>261</v>
      </c>
      <c r="I184" s="2" t="s">
        <v>1001</v>
      </c>
      <c r="L184" s="2" t="s">
        <v>264</v>
      </c>
      <c r="M184" s="2" t="s">
        <v>265</v>
      </c>
      <c r="N184" s="2" t="s">
        <v>266</v>
      </c>
      <c r="O184" s="2" t="s">
        <v>1007</v>
      </c>
      <c r="S184" s="2" t="s">
        <v>268</v>
      </c>
      <c r="T184" s="2" t="s">
        <v>1008</v>
      </c>
      <c r="U184" s="2" t="s">
        <v>261</v>
      </c>
      <c r="V184" s="2" t="s">
        <v>270</v>
      </c>
      <c r="W184" s="2" t="s">
        <v>271</v>
      </c>
      <c r="X184" s="2" t="s">
        <v>279</v>
      </c>
      <c r="Y184" s="2" t="s">
        <v>1004</v>
      </c>
    </row>
    <row r="185">
      <c r="A185" s="2">
        <v>822.0</v>
      </c>
      <c r="B185" s="2" t="s">
        <v>1009</v>
      </c>
      <c r="D185" s="2" t="s">
        <v>1010</v>
      </c>
      <c r="E185" s="2" t="s">
        <v>261</v>
      </c>
      <c r="I185" s="2" t="s">
        <v>1001</v>
      </c>
      <c r="L185" s="2" t="s">
        <v>264</v>
      </c>
      <c r="M185" s="2" t="s">
        <v>265</v>
      </c>
      <c r="N185" s="2" t="s">
        <v>266</v>
      </c>
      <c r="O185" s="2" t="s">
        <v>1011</v>
      </c>
      <c r="S185" s="2" t="s">
        <v>268</v>
      </c>
      <c r="T185" s="2" t="s">
        <v>1012</v>
      </c>
      <c r="U185" s="2" t="s">
        <v>261</v>
      </c>
      <c r="V185" s="2" t="s">
        <v>270</v>
      </c>
      <c r="W185" s="2" t="s">
        <v>270</v>
      </c>
      <c r="X185" s="2" t="s">
        <v>279</v>
      </c>
    </row>
    <row r="186">
      <c r="A186" s="2">
        <v>823.0</v>
      </c>
      <c r="B186" s="2" t="s">
        <v>1013</v>
      </c>
      <c r="D186" s="2" t="s">
        <v>1014</v>
      </c>
      <c r="E186" s="2" t="s">
        <v>261</v>
      </c>
      <c r="I186" s="2" t="s">
        <v>1001</v>
      </c>
      <c r="L186" s="2" t="s">
        <v>279</v>
      </c>
      <c r="M186" s="2" t="s">
        <v>265</v>
      </c>
      <c r="N186" s="2" t="s">
        <v>266</v>
      </c>
      <c r="O186" s="2" t="s">
        <v>1015</v>
      </c>
      <c r="S186" s="2" t="s">
        <v>268</v>
      </c>
      <c r="T186" s="2" t="s">
        <v>1016</v>
      </c>
      <c r="U186" s="2" t="s">
        <v>261</v>
      </c>
      <c r="V186" s="2" t="s">
        <v>270</v>
      </c>
      <c r="W186" s="2" t="s">
        <v>271</v>
      </c>
      <c r="X186" s="2" t="s">
        <v>279</v>
      </c>
      <c r="Y186" s="2" t="s">
        <v>1004</v>
      </c>
    </row>
    <row r="187">
      <c r="A187" s="2">
        <v>824.0</v>
      </c>
      <c r="B187" s="2" t="s">
        <v>1017</v>
      </c>
      <c r="D187" s="2" t="s">
        <v>1018</v>
      </c>
      <c r="E187" s="2" t="s">
        <v>261</v>
      </c>
      <c r="I187" s="2" t="s">
        <v>1001</v>
      </c>
      <c r="L187" s="2" t="s">
        <v>264</v>
      </c>
      <c r="M187" s="2" t="s">
        <v>265</v>
      </c>
      <c r="N187" s="2" t="s">
        <v>266</v>
      </c>
      <c r="O187" s="2" t="s">
        <v>1019</v>
      </c>
      <c r="S187" s="2" t="s">
        <v>268</v>
      </c>
      <c r="T187" s="2" t="s">
        <v>1020</v>
      </c>
      <c r="U187" s="2" t="s">
        <v>261</v>
      </c>
      <c r="V187" s="2" t="s">
        <v>270</v>
      </c>
      <c r="W187" s="2" t="s">
        <v>271</v>
      </c>
      <c r="X187" s="2" t="s">
        <v>279</v>
      </c>
      <c r="Y187" s="2" t="s">
        <v>1004</v>
      </c>
    </row>
    <row r="188">
      <c r="A188" s="2">
        <v>825.0</v>
      </c>
      <c r="B188" s="2" t="s">
        <v>1021</v>
      </c>
      <c r="D188" s="2" t="s">
        <v>1022</v>
      </c>
      <c r="E188" s="2" t="s">
        <v>261</v>
      </c>
      <c r="I188" s="2" t="s">
        <v>1001</v>
      </c>
      <c r="L188" s="2" t="s">
        <v>279</v>
      </c>
      <c r="M188" s="2" t="s">
        <v>265</v>
      </c>
      <c r="N188" s="2" t="s">
        <v>266</v>
      </c>
      <c r="O188" s="2" t="s">
        <v>1023</v>
      </c>
      <c r="S188" s="2" t="s">
        <v>268</v>
      </c>
      <c r="T188" s="2" t="s">
        <v>1024</v>
      </c>
      <c r="U188" s="2" t="s">
        <v>261</v>
      </c>
      <c r="V188" s="2" t="s">
        <v>270</v>
      </c>
      <c r="W188" s="2" t="s">
        <v>271</v>
      </c>
      <c r="X188" s="2" t="s">
        <v>279</v>
      </c>
    </row>
    <row r="189">
      <c r="A189" s="2">
        <v>1915.0</v>
      </c>
      <c r="B189" s="2" t="s">
        <v>1025</v>
      </c>
      <c r="D189" s="2" t="s">
        <v>1026</v>
      </c>
      <c r="E189" s="2" t="s">
        <v>261</v>
      </c>
      <c r="F189" s="2" t="s">
        <v>1027</v>
      </c>
      <c r="I189" s="2" t="s">
        <v>1028</v>
      </c>
      <c r="K189" s="2" t="s">
        <v>1029</v>
      </c>
      <c r="L189" s="2" t="s">
        <v>279</v>
      </c>
      <c r="M189" s="2" t="s">
        <v>265</v>
      </c>
      <c r="N189" s="2" t="s">
        <v>266</v>
      </c>
      <c r="O189" s="2" t="s">
        <v>1030</v>
      </c>
      <c r="S189" s="2" t="s">
        <v>268</v>
      </c>
      <c r="T189" s="2" t="s">
        <v>1031</v>
      </c>
      <c r="U189" s="2" t="s">
        <v>261</v>
      </c>
      <c r="V189" s="2" t="s">
        <v>270</v>
      </c>
      <c r="W189" s="2" t="s">
        <v>271</v>
      </c>
      <c r="X189" s="2" t="s">
        <v>279</v>
      </c>
      <c r="Y189" s="2" t="s">
        <v>1004</v>
      </c>
    </row>
    <row r="190">
      <c r="A190" s="2">
        <v>9393.0</v>
      </c>
      <c r="B190" s="2" t="s">
        <v>1032</v>
      </c>
      <c r="D190" s="2" t="s">
        <v>1033</v>
      </c>
      <c r="E190" s="2" t="s">
        <v>261</v>
      </c>
      <c r="I190" s="2" t="s">
        <v>1034</v>
      </c>
      <c r="K190" s="2" t="s">
        <v>1035</v>
      </c>
      <c r="L190" s="2" t="s">
        <v>272</v>
      </c>
      <c r="M190" s="2" t="s">
        <v>265</v>
      </c>
      <c r="S190" s="2" t="s">
        <v>268</v>
      </c>
      <c r="T190" s="2" t="s">
        <v>1036</v>
      </c>
      <c r="U190" s="2" t="s">
        <v>261</v>
      </c>
      <c r="V190" s="2" t="s">
        <v>270</v>
      </c>
      <c r="W190" s="2" t="s">
        <v>271</v>
      </c>
      <c r="X190" s="2" t="s">
        <v>279</v>
      </c>
      <c r="Y190" s="63" t="s">
        <v>131</v>
      </c>
    </row>
    <row r="191">
      <c r="A191" s="2">
        <v>20100.0</v>
      </c>
      <c r="B191" s="2" t="s">
        <v>1037</v>
      </c>
      <c r="D191" s="2" t="s">
        <v>1038</v>
      </c>
      <c r="E191" s="2" t="s">
        <v>261</v>
      </c>
      <c r="F191" s="2" t="s">
        <v>1039</v>
      </c>
      <c r="I191" s="2" t="s">
        <v>1040</v>
      </c>
      <c r="L191" s="2" t="s">
        <v>279</v>
      </c>
      <c r="M191" s="2" t="s">
        <v>265</v>
      </c>
      <c r="S191" s="2" t="s">
        <v>366</v>
      </c>
      <c r="T191" s="2" t="s">
        <v>1041</v>
      </c>
      <c r="U191" s="2" t="s">
        <v>261</v>
      </c>
    </row>
    <row r="192">
      <c r="A192" s="2">
        <v>24626.0</v>
      </c>
      <c r="B192" s="2" t="s">
        <v>1042</v>
      </c>
      <c r="D192" s="2" t="s">
        <v>1043</v>
      </c>
      <c r="E192" s="2" t="s">
        <v>261</v>
      </c>
      <c r="F192" s="2" t="s">
        <v>1044</v>
      </c>
      <c r="I192" s="2" t="s">
        <v>1045</v>
      </c>
      <c r="L192" s="2" t="s">
        <v>279</v>
      </c>
      <c r="M192" s="2" t="s">
        <v>265</v>
      </c>
      <c r="S192" s="2" t="s">
        <v>268</v>
      </c>
      <c r="T192" s="2" t="s">
        <v>1046</v>
      </c>
      <c r="U192" s="2" t="s">
        <v>261</v>
      </c>
      <c r="V192" s="2" t="s">
        <v>270</v>
      </c>
      <c r="W192" s="2" t="s">
        <v>271</v>
      </c>
      <c r="X192" s="2" t="s">
        <v>272</v>
      </c>
    </row>
    <row r="193">
      <c r="A193" s="2">
        <v>24535.0</v>
      </c>
      <c r="B193" s="2" t="s">
        <v>1047</v>
      </c>
      <c r="D193" s="2" t="s">
        <v>1048</v>
      </c>
      <c r="E193" s="2" t="s">
        <v>261</v>
      </c>
      <c r="I193" s="2" t="s">
        <v>1049</v>
      </c>
      <c r="L193" s="2" t="s">
        <v>279</v>
      </c>
      <c r="M193" s="2" t="s">
        <v>265</v>
      </c>
      <c r="S193" s="2" t="s">
        <v>366</v>
      </c>
    </row>
    <row r="194">
      <c r="A194" s="2">
        <v>24536.0</v>
      </c>
      <c r="B194" s="2" t="s">
        <v>1050</v>
      </c>
      <c r="D194" s="2" t="s">
        <v>1051</v>
      </c>
      <c r="E194" s="2" t="s">
        <v>261</v>
      </c>
      <c r="I194" s="2" t="s">
        <v>1049</v>
      </c>
      <c r="L194" s="2" t="s">
        <v>279</v>
      </c>
      <c r="M194" s="2" t="s">
        <v>265</v>
      </c>
      <c r="S194" s="2" t="s">
        <v>366</v>
      </c>
    </row>
    <row r="195">
      <c r="A195" s="2">
        <v>24537.0</v>
      </c>
      <c r="B195" s="2" t="s">
        <v>1052</v>
      </c>
      <c r="D195" s="2" t="s">
        <v>1053</v>
      </c>
      <c r="E195" s="2" t="s">
        <v>261</v>
      </c>
      <c r="I195" s="2" t="s">
        <v>1049</v>
      </c>
      <c r="L195" s="2" t="s">
        <v>279</v>
      </c>
      <c r="M195" s="2" t="s">
        <v>265</v>
      </c>
      <c r="S195" s="2" t="s">
        <v>366</v>
      </c>
    </row>
  </sheetData>
  <autoFilter ref="$A$1:$AE$1000">
    <filterColumn colId="24">
      <filters blank="1">
        <filter val="&quot;2.41&quot;"/>
        <filter val="Reprocessing"/>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1054</v>
      </c>
      <c r="O1" s="1" t="s">
        <v>15</v>
      </c>
      <c r="P1" s="1" t="s">
        <v>16</v>
      </c>
    </row>
    <row r="2" hidden="1">
      <c r="A2" s="1" t="s">
        <v>1055</v>
      </c>
      <c r="B2" s="3" t="str">
        <f>HYPERLINK("https://hawk-eye.atlassian.net/browse/HWKREPORT-3385?atlOrigin=eyJpIjoiYzgwYTQ0ZjEyNzQzNGJhN2JmNjEyZTM0NmRhZWZhNjIiLCJwIjoic2hlZXRzLWppcmEifQ","HWKREPORT-3385")</f>
        <v>HWKREPORT-3385</v>
      </c>
      <c r="C2" s="1" t="s">
        <v>1056</v>
      </c>
      <c r="D2" s="1" t="s">
        <v>83</v>
      </c>
      <c r="E2" s="1" t="s">
        <v>1057</v>
      </c>
      <c r="F2" s="4">
        <v>45749.575520833336</v>
      </c>
      <c r="G2" s="3" t="str">
        <f t="shared" ref="G2:G9" si="1">HYPERLINK("https://hawk-eye.atlassian.net/browse/?atlOrigin=eyJpIjoiYzgwYTQ0ZjEyNzQzNGJhN2JmNjEyZTM0NmRhZWZhNjIiLCJwIjoic2hlZXRzLWppcmEifQ","")</f>
        <v/>
      </c>
      <c r="H2" s="1" t="s">
        <v>1058</v>
      </c>
      <c r="I2" s="1" t="s">
        <v>1059</v>
      </c>
      <c r="J2" s="1" t="s">
        <v>26</v>
      </c>
      <c r="K2" s="1" t="s">
        <v>1060</v>
      </c>
      <c r="L2" s="1" t="s">
        <v>26</v>
      </c>
      <c r="M2" s="1" t="s">
        <v>27</v>
      </c>
      <c r="N2" s="1" t="s">
        <v>26</v>
      </c>
      <c r="O2" s="1" t="s">
        <v>26</v>
      </c>
      <c r="P2" s="4">
        <v>45749.575532407405</v>
      </c>
    </row>
    <row r="3" hidden="1">
      <c r="A3" s="1" t="s">
        <v>1055</v>
      </c>
      <c r="B3" s="3" t="str">
        <f>HYPERLINK("https://hawk-eye.atlassian.net/browse/HWKREPORT-3386?atlOrigin=eyJpIjoiYzgwYTQ0ZjEyNzQzNGJhN2JmNjEyZTM0NmRhZWZhNjIiLCJwIjoic2hlZXRzLWppcmEifQ","HWKREPORT-3386")</f>
        <v>HWKREPORT-3386</v>
      </c>
      <c r="C3" s="1" t="s">
        <v>1061</v>
      </c>
      <c r="D3" s="1" t="s">
        <v>83</v>
      </c>
      <c r="E3" s="1" t="s">
        <v>1057</v>
      </c>
      <c r="F3" s="4">
        <v>45749.57748842592</v>
      </c>
      <c r="G3" s="3" t="str">
        <f t="shared" si="1"/>
        <v/>
      </c>
      <c r="H3" s="1" t="s">
        <v>1058</v>
      </c>
      <c r="I3" s="1" t="s">
        <v>1059</v>
      </c>
      <c r="J3" s="1" t="s">
        <v>26</v>
      </c>
      <c r="K3" s="1" t="s">
        <v>1060</v>
      </c>
      <c r="L3" s="1" t="s">
        <v>26</v>
      </c>
      <c r="M3" s="1" t="s">
        <v>27</v>
      </c>
      <c r="N3" s="1" t="s">
        <v>26</v>
      </c>
      <c r="O3" s="1" t="s">
        <v>26</v>
      </c>
      <c r="P3" s="4">
        <v>45749.57748842592</v>
      </c>
    </row>
    <row r="4" hidden="1">
      <c r="A4" s="1" t="s">
        <v>1055</v>
      </c>
      <c r="B4" s="3" t="str">
        <f>HYPERLINK("https://hawk-eye.atlassian.net/browse/HWKREPORT-3387?atlOrigin=eyJpIjoiYzgwYTQ0ZjEyNzQzNGJhN2JmNjEyZTM0NmRhZWZhNjIiLCJwIjoic2hlZXRzLWppcmEifQ","HWKREPORT-3387")</f>
        <v>HWKREPORT-3387</v>
      </c>
      <c r="C4" s="1" t="s">
        <v>1062</v>
      </c>
      <c r="D4" s="1" t="s">
        <v>23</v>
      </c>
      <c r="E4" s="1" t="s">
        <v>35</v>
      </c>
      <c r="F4" s="4">
        <v>45749.5793287037</v>
      </c>
      <c r="G4" s="3" t="str">
        <f t="shared" si="1"/>
        <v/>
      </c>
      <c r="H4" s="1" t="s">
        <v>1058</v>
      </c>
      <c r="I4" s="1" t="s">
        <v>1059</v>
      </c>
      <c r="J4" s="1" t="s">
        <v>26</v>
      </c>
      <c r="K4" s="1" t="s">
        <v>1060</v>
      </c>
      <c r="L4" s="1" t="s">
        <v>26</v>
      </c>
      <c r="M4" s="1" t="s">
        <v>27</v>
      </c>
      <c r="N4" s="1" t="s">
        <v>26</v>
      </c>
      <c r="O4" s="1" t="s">
        <v>26</v>
      </c>
      <c r="P4" s="4">
        <v>45749.841099537036</v>
      </c>
    </row>
    <row r="5" hidden="1">
      <c r="A5" s="1" t="s">
        <v>1055</v>
      </c>
      <c r="B5" s="3" t="str">
        <f>HYPERLINK("https://hawk-eye.atlassian.net/browse/HWKREPORT-3388?atlOrigin=eyJpIjoiYzgwYTQ0ZjEyNzQzNGJhN2JmNjEyZTM0NmRhZWZhNjIiLCJwIjoic2hlZXRzLWppcmEifQ","HWKREPORT-3388")</f>
        <v>HWKREPORT-3388</v>
      </c>
      <c r="C5" s="1" t="s">
        <v>1063</v>
      </c>
      <c r="D5" s="1" t="s">
        <v>83</v>
      </c>
      <c r="E5" s="1" t="s">
        <v>1057</v>
      </c>
      <c r="F5" s="4">
        <v>45749.58373842593</v>
      </c>
      <c r="G5" s="3" t="str">
        <f t="shared" si="1"/>
        <v/>
      </c>
      <c r="H5" s="1" t="s">
        <v>1058</v>
      </c>
      <c r="I5" s="1" t="s">
        <v>1059</v>
      </c>
      <c r="J5" s="1" t="s">
        <v>26</v>
      </c>
      <c r="K5" s="1" t="s">
        <v>1060</v>
      </c>
      <c r="L5" s="1" t="s">
        <v>26</v>
      </c>
      <c r="M5" s="1" t="s">
        <v>27</v>
      </c>
      <c r="N5" s="1" t="s">
        <v>26</v>
      </c>
      <c r="O5" s="1" t="s">
        <v>26</v>
      </c>
      <c r="P5" s="4">
        <v>45749.58373842593</v>
      </c>
    </row>
    <row r="6" hidden="1">
      <c r="A6" s="1" t="s">
        <v>1055</v>
      </c>
      <c r="B6" s="3" t="str">
        <f>HYPERLINK("https://hawk-eye.atlassian.net/browse/HWKREPORT-3389?atlOrigin=eyJpIjoiYzgwYTQ0ZjEyNzQzNGJhN2JmNjEyZTM0NmRhZWZhNjIiLCJwIjoic2hlZXRzLWppcmEifQ","HWKREPORT-3389")</f>
        <v>HWKREPORT-3389</v>
      </c>
      <c r="C6" s="1" t="s">
        <v>1064</v>
      </c>
      <c r="D6" s="1" t="s">
        <v>83</v>
      </c>
      <c r="E6" s="1" t="s">
        <v>1057</v>
      </c>
      <c r="F6" s="4">
        <v>45749.58681712963</v>
      </c>
      <c r="G6" s="3" t="str">
        <f t="shared" si="1"/>
        <v/>
      </c>
      <c r="H6" s="1" t="s">
        <v>1058</v>
      </c>
      <c r="I6" s="1" t="s">
        <v>1059</v>
      </c>
      <c r="J6" s="1" t="s">
        <v>26</v>
      </c>
      <c r="K6" s="1" t="s">
        <v>1060</v>
      </c>
      <c r="L6" s="1" t="s">
        <v>26</v>
      </c>
      <c r="M6" s="1" t="s">
        <v>27</v>
      </c>
      <c r="N6" s="1" t="s">
        <v>26</v>
      </c>
      <c r="O6" s="1" t="s">
        <v>26</v>
      </c>
      <c r="P6" s="4">
        <v>45749.58681712963</v>
      </c>
    </row>
    <row r="7" hidden="1">
      <c r="A7" s="1" t="s">
        <v>1055</v>
      </c>
      <c r="B7" s="3" t="str">
        <f>HYPERLINK("https://hawk-eye.atlassian.net/browse/HWKREPORT-3390?atlOrigin=eyJpIjoiYzgwYTQ0ZjEyNzQzNGJhN2JmNjEyZTM0NmRhZWZhNjIiLCJwIjoic2hlZXRzLWppcmEifQ","HWKREPORT-3390")</f>
        <v>HWKREPORT-3390</v>
      </c>
      <c r="C7" s="1" t="s">
        <v>1065</v>
      </c>
      <c r="D7" s="1" t="s">
        <v>23</v>
      </c>
      <c r="E7" s="1" t="s">
        <v>1057</v>
      </c>
      <c r="F7" s="4">
        <v>45749.59118055556</v>
      </c>
      <c r="G7" s="3" t="str">
        <f t="shared" si="1"/>
        <v/>
      </c>
      <c r="H7" s="1" t="s">
        <v>1058</v>
      </c>
      <c r="I7" s="1" t="s">
        <v>1059</v>
      </c>
      <c r="J7" s="1" t="s">
        <v>26</v>
      </c>
      <c r="K7" s="1" t="s">
        <v>1060</v>
      </c>
      <c r="L7" s="1" t="s">
        <v>26</v>
      </c>
      <c r="M7" s="1" t="s">
        <v>27</v>
      </c>
      <c r="N7" s="1" t="s">
        <v>26</v>
      </c>
      <c r="O7" s="1" t="s">
        <v>26</v>
      </c>
      <c r="P7" s="4">
        <v>45749.59119212963</v>
      </c>
    </row>
    <row r="8" hidden="1">
      <c r="A8" s="1" t="s">
        <v>1055</v>
      </c>
      <c r="B8" s="3" t="str">
        <f>HYPERLINK("https://hawk-eye.atlassian.net/browse/HWKREPORT-3391?atlOrigin=eyJpIjoiYzgwYTQ0ZjEyNzQzNGJhN2JmNjEyZTM0NmRhZWZhNjIiLCJwIjoic2hlZXRzLWppcmEifQ","HWKREPORT-3391")</f>
        <v>HWKREPORT-3391</v>
      </c>
      <c r="C8" s="1" t="s">
        <v>1066</v>
      </c>
      <c r="D8" s="1" t="s">
        <v>23</v>
      </c>
      <c r="E8" s="1" t="s">
        <v>1057</v>
      </c>
      <c r="F8" s="4">
        <v>45749.59410879629</v>
      </c>
      <c r="G8" s="3" t="str">
        <f t="shared" si="1"/>
        <v/>
      </c>
      <c r="H8" s="1" t="s">
        <v>1058</v>
      </c>
      <c r="I8" s="1" t="s">
        <v>1059</v>
      </c>
      <c r="J8" s="1" t="s">
        <v>26</v>
      </c>
      <c r="K8" s="1" t="s">
        <v>1060</v>
      </c>
      <c r="L8" s="1" t="s">
        <v>26</v>
      </c>
      <c r="M8" s="1" t="s">
        <v>27</v>
      </c>
      <c r="N8" s="1" t="s">
        <v>26</v>
      </c>
      <c r="O8" s="1" t="s">
        <v>26</v>
      </c>
      <c r="P8" s="4">
        <v>45749.59412037037</v>
      </c>
    </row>
    <row r="9" hidden="1">
      <c r="A9" s="1" t="s">
        <v>21</v>
      </c>
      <c r="B9" s="3" t="str">
        <f>HYPERLINK("https://hawk-eye.atlassian.net/browse/HWKREPORT-3392?atlOrigin=eyJpIjoiYzgwYTQ0ZjEyNzQzNGJhN2JmNjEyZTM0NmRhZWZhNjIiLCJwIjoic2hlZXRzLWppcmEifQ","HWKREPORT-3392")</f>
        <v>HWKREPORT-3392</v>
      </c>
      <c r="C9" s="1" t="s">
        <v>1067</v>
      </c>
      <c r="D9" s="1" t="s">
        <v>34</v>
      </c>
      <c r="E9" s="1" t="s">
        <v>35</v>
      </c>
      <c r="F9" s="4">
        <v>45749.6016087963</v>
      </c>
      <c r="G9" s="3" t="str">
        <f t="shared" si="1"/>
        <v/>
      </c>
      <c r="H9" s="1" t="s">
        <v>1058</v>
      </c>
      <c r="I9" s="1" t="s">
        <v>1059</v>
      </c>
      <c r="J9" s="1" t="s">
        <v>26</v>
      </c>
      <c r="K9" s="1" t="s">
        <v>1060</v>
      </c>
      <c r="L9" s="1" t="s">
        <v>26</v>
      </c>
      <c r="M9" s="1" t="s">
        <v>27</v>
      </c>
      <c r="N9" s="1" t="s">
        <v>26</v>
      </c>
      <c r="O9" s="1" t="s">
        <v>26</v>
      </c>
      <c r="P9" s="4">
        <v>45749.839212962965</v>
      </c>
    </row>
    <row r="10" hidden="1">
      <c r="A10" s="1" t="s">
        <v>21</v>
      </c>
      <c r="B10" s="3" t="str">
        <f>HYPERLINK("https://hawk-eye.atlassian.net/browse/HWKREPORT-3393?atlOrigin=eyJpIjoiYzgwYTQ0ZjEyNzQzNGJhN2JmNjEyZTM0NmRhZWZhNjIiLCJwIjoic2hlZXRzLWppcmEifQ","HWKREPORT-3393")</f>
        <v>HWKREPORT-3393</v>
      </c>
      <c r="C10" s="1" t="s">
        <v>1068</v>
      </c>
      <c r="D10" s="1" t="s">
        <v>40</v>
      </c>
      <c r="E10" s="1" t="s">
        <v>35</v>
      </c>
      <c r="F10" s="4">
        <v>45749.60701388889</v>
      </c>
      <c r="G10" s="3" t="str">
        <f>HYPERLINK("https://hawk-eye.atlassian.net/browse/HWKREPORT-3342?atlOrigin=eyJpIjoiYzgwYTQ0ZjEyNzQzNGJhN2JmNjEyZTM0NmRhZWZhNjIiLCJwIjoic2hlZXRzLWppcmEifQ","HWKREPORT-3342")</f>
        <v>HWKREPORT-3342</v>
      </c>
      <c r="H10" s="1" t="s">
        <v>1058</v>
      </c>
      <c r="I10" s="1" t="s">
        <v>1059</v>
      </c>
      <c r="J10" s="1" t="s">
        <v>26</v>
      </c>
      <c r="K10" s="1" t="s">
        <v>1060</v>
      </c>
      <c r="L10" s="1" t="s">
        <v>26</v>
      </c>
      <c r="M10" s="1" t="s">
        <v>27</v>
      </c>
      <c r="N10" s="1" t="s">
        <v>26</v>
      </c>
      <c r="O10" s="1" t="s">
        <v>26</v>
      </c>
      <c r="P10" s="4">
        <v>45778.490381944444</v>
      </c>
    </row>
    <row r="11" hidden="1">
      <c r="A11" s="1" t="s">
        <v>21</v>
      </c>
      <c r="B11" s="3" t="str">
        <f>HYPERLINK("https://hawk-eye.atlassian.net/browse/HWKREPORT-3394?atlOrigin=eyJpIjoiYzgwYTQ0ZjEyNzQzNGJhN2JmNjEyZTM0NmRhZWZhNjIiLCJwIjoic2hlZXRzLWppcmEifQ","HWKREPORT-3394")</f>
        <v>HWKREPORT-3394</v>
      </c>
      <c r="C11" s="1" t="s">
        <v>1069</v>
      </c>
      <c r="D11" s="1" t="s">
        <v>34</v>
      </c>
      <c r="E11" s="1" t="s">
        <v>1057</v>
      </c>
      <c r="F11" s="4">
        <v>45749.611342592594</v>
      </c>
      <c r="G11" s="3" t="str">
        <f>HYPERLINK("https://hawk-eye.atlassian.net/issues/?atlOrigin=eyJpIjoiYzgwYTQ0ZjEyNzQzNGJhN2JmNjEyZTM0NmRhZWZhNjIiLCJwIjoic2hlZXRzLWppcmEifQ&amp;jql=key+in+%28RTT-10035%2CRTT-9468%2CRTT-10034%29","RTT-10035;RTT-9468;RTT-10034")</f>
        <v>RTT-10035;RTT-9468;RTT-10034</v>
      </c>
      <c r="H11" s="1" t="s">
        <v>1058</v>
      </c>
      <c r="I11" s="1" t="s">
        <v>1059</v>
      </c>
      <c r="J11" s="1" t="s">
        <v>26</v>
      </c>
      <c r="K11" s="1" t="s">
        <v>1060</v>
      </c>
      <c r="L11" s="1" t="s">
        <v>26</v>
      </c>
      <c r="M11" s="1" t="s">
        <v>27</v>
      </c>
      <c r="N11" s="1" t="s">
        <v>26</v>
      </c>
      <c r="O11" s="1" t="s">
        <v>26</v>
      </c>
      <c r="P11" s="4">
        <v>45749.611342592594</v>
      </c>
    </row>
    <row r="12" hidden="1">
      <c r="A12" s="1" t="s">
        <v>21</v>
      </c>
      <c r="B12" s="3" t="str">
        <f>HYPERLINK("https://hawk-eye.atlassian.net/browse/HWKREPORT-3395?atlOrigin=eyJpIjoiYzgwYTQ0ZjEyNzQzNGJhN2JmNjEyZTM0NmRhZWZhNjIiLCJwIjoic2hlZXRzLWppcmEifQ","HWKREPORT-3395")</f>
        <v>HWKREPORT-3395</v>
      </c>
      <c r="C12" s="1" t="s">
        <v>1070</v>
      </c>
      <c r="D12" s="1" t="s">
        <v>23</v>
      </c>
      <c r="E12" s="1" t="s">
        <v>1057</v>
      </c>
      <c r="F12" s="4">
        <v>45749.7175462963</v>
      </c>
      <c r="G12" s="3" t="str">
        <f>HYPERLINK("https://hawk-eye.atlassian.net/browse/?atlOrigin=eyJpIjoiYzgwYTQ0ZjEyNzQzNGJhN2JmNjEyZTM0NmRhZWZhNjIiLCJwIjoic2hlZXRzLWppcmEifQ","")</f>
        <v/>
      </c>
      <c r="H12" s="1" t="s">
        <v>1058</v>
      </c>
      <c r="I12" s="1" t="s">
        <v>1071</v>
      </c>
      <c r="J12" s="1" t="s">
        <v>26</v>
      </c>
      <c r="K12" s="1" t="s">
        <v>1072</v>
      </c>
      <c r="L12" s="1" t="s">
        <v>26</v>
      </c>
      <c r="M12" s="1" t="s">
        <v>27</v>
      </c>
      <c r="N12" s="1" t="s">
        <v>26</v>
      </c>
      <c r="O12" s="1" t="s">
        <v>26</v>
      </c>
      <c r="P12" s="4">
        <v>45749.71755787037</v>
      </c>
    </row>
    <row r="13" hidden="1">
      <c r="A13" s="1" t="s">
        <v>21</v>
      </c>
      <c r="B13" s="3" t="str">
        <f>HYPERLINK("https://hawk-eye.atlassian.net/browse/HWKREPORT-3396?atlOrigin=eyJpIjoiYzgwYTQ0ZjEyNzQzNGJhN2JmNjEyZTM0NmRhZWZhNjIiLCJwIjoic2hlZXRzLWppcmEifQ","HWKREPORT-3396")</f>
        <v>HWKREPORT-3396</v>
      </c>
      <c r="C13" s="1" t="s">
        <v>1073</v>
      </c>
      <c r="D13" s="1" t="s">
        <v>40</v>
      </c>
      <c r="E13" s="1" t="s">
        <v>1074</v>
      </c>
      <c r="F13" s="4">
        <v>45750.14336805556</v>
      </c>
      <c r="G13" s="3" t="str">
        <f>HYPERLINK("https://hawk-eye.atlassian.net/browse/RTT-10318?atlOrigin=eyJpIjoiYzgwYTQ0ZjEyNzQzNGJhN2JmNjEyZTM0NmRhZWZhNjIiLCJwIjoic2hlZXRzLWppcmEifQ","RTT-10318")</f>
        <v>RTT-10318</v>
      </c>
      <c r="H13" s="1" t="s">
        <v>1058</v>
      </c>
      <c r="I13" s="1" t="s">
        <v>1071</v>
      </c>
      <c r="J13" s="1" t="s">
        <v>26</v>
      </c>
      <c r="K13" s="1" t="s">
        <v>1072</v>
      </c>
      <c r="L13" s="1" t="s">
        <v>26</v>
      </c>
      <c r="M13" s="1" t="s">
        <v>27</v>
      </c>
      <c r="N13" s="1" t="s">
        <v>26</v>
      </c>
      <c r="O13" s="1" t="s">
        <v>26</v>
      </c>
      <c r="P13" s="4">
        <v>45762.40608796296</v>
      </c>
    </row>
    <row r="14" hidden="1">
      <c r="A14" s="1" t="s">
        <v>21</v>
      </c>
      <c r="B14" s="3" t="str">
        <f>HYPERLINK("https://hawk-eye.atlassian.net/browse/HWKREPORT-3397?atlOrigin=eyJpIjoiYzgwYTQ0ZjEyNzQzNGJhN2JmNjEyZTM0NmRhZWZhNjIiLCJwIjoic2hlZXRzLWppcmEifQ","HWKREPORT-3397")</f>
        <v>HWKREPORT-3397</v>
      </c>
      <c r="C14" s="1" t="s">
        <v>1075</v>
      </c>
      <c r="D14" s="1" t="s">
        <v>34</v>
      </c>
      <c r="E14" s="1" t="s">
        <v>1057</v>
      </c>
      <c r="F14" s="4">
        <v>45750.15938657407</v>
      </c>
      <c r="G14" s="3" t="str">
        <f t="shared" ref="G14:G15" si="2">HYPERLINK("https://hawk-eye.atlassian.net/browse/?atlOrigin=eyJpIjoiYzgwYTQ0ZjEyNzQzNGJhN2JmNjEyZTM0NmRhZWZhNjIiLCJwIjoic2hlZXRzLWppcmEifQ","")</f>
        <v/>
      </c>
      <c r="H14" s="1" t="s">
        <v>1058</v>
      </c>
      <c r="I14" s="1" t="s">
        <v>1076</v>
      </c>
      <c r="J14" s="1" t="s">
        <v>26</v>
      </c>
      <c r="K14" s="1" t="s">
        <v>1077</v>
      </c>
      <c r="L14" s="1" t="s">
        <v>26</v>
      </c>
      <c r="M14" s="1" t="s">
        <v>27</v>
      </c>
      <c r="N14" s="1" t="s">
        <v>26</v>
      </c>
      <c r="O14" s="1" t="s">
        <v>26</v>
      </c>
      <c r="P14" s="4">
        <v>45750.15939814815</v>
      </c>
    </row>
    <row r="15" hidden="1">
      <c r="A15" s="1" t="s">
        <v>21</v>
      </c>
      <c r="B15" s="3" t="str">
        <f>HYPERLINK("https://hawk-eye.atlassian.net/browse/HWKREPORT-3398?atlOrigin=eyJpIjoiYzgwYTQ0ZjEyNzQzNGJhN2JmNjEyZTM0NmRhZWZhNjIiLCJwIjoic2hlZXRzLWppcmEifQ","HWKREPORT-3398")</f>
        <v>HWKREPORT-3398</v>
      </c>
      <c r="C15" s="1" t="s">
        <v>1078</v>
      </c>
      <c r="D15" s="1" t="s">
        <v>34</v>
      </c>
      <c r="E15" s="1" t="s">
        <v>1057</v>
      </c>
      <c r="F15" s="4">
        <v>45750.41287037037</v>
      </c>
      <c r="G15" s="3" t="str">
        <f t="shared" si="2"/>
        <v/>
      </c>
      <c r="H15" s="1" t="s">
        <v>1058</v>
      </c>
      <c r="I15" s="1" t="s">
        <v>1079</v>
      </c>
      <c r="J15" s="1" t="s">
        <v>26</v>
      </c>
      <c r="K15" s="1" t="s">
        <v>1080</v>
      </c>
      <c r="L15" s="1" t="s">
        <v>26</v>
      </c>
      <c r="M15" s="1" t="s">
        <v>27</v>
      </c>
      <c r="N15" s="1" t="s">
        <v>26</v>
      </c>
      <c r="O15" s="1" t="s">
        <v>26</v>
      </c>
      <c r="P15" s="4">
        <v>45750.412881944445</v>
      </c>
    </row>
    <row r="16" hidden="1">
      <c r="A16" s="1" t="s">
        <v>1055</v>
      </c>
      <c r="B16" s="3" t="str">
        <f>HYPERLINK("https://hawk-eye.atlassian.net/browse/HWKREPORT-3399?atlOrigin=eyJpIjoiYzgwYTQ0ZjEyNzQzNGJhN2JmNjEyZTM0NmRhZWZhNjIiLCJwIjoic2hlZXRzLWppcmEifQ","HWKREPORT-3399")</f>
        <v>HWKREPORT-3399</v>
      </c>
      <c r="C16" s="1" t="s">
        <v>1081</v>
      </c>
      <c r="D16" s="1" t="s">
        <v>48</v>
      </c>
      <c r="E16" s="1" t="s">
        <v>35</v>
      </c>
      <c r="F16" s="4">
        <v>45751.62782407407</v>
      </c>
      <c r="G16" s="3" t="str">
        <f>HYPERLINK("https://hawk-eye.atlassian.net/browse/CTK-197?atlOrigin=eyJpIjoiYzgwYTQ0ZjEyNzQzNGJhN2JmNjEyZTM0NmRhZWZhNjIiLCJwIjoic2hlZXRzLWppcmEifQ","CTK-197")</f>
        <v>CTK-197</v>
      </c>
      <c r="H16" s="1" t="s">
        <v>1058</v>
      </c>
      <c r="I16" s="1" t="s">
        <v>1082</v>
      </c>
      <c r="J16" s="1" t="s">
        <v>26</v>
      </c>
      <c r="K16" s="1" t="s">
        <v>1083</v>
      </c>
      <c r="L16" s="1" t="s">
        <v>26</v>
      </c>
      <c r="M16" s="1" t="s">
        <v>27</v>
      </c>
      <c r="N16" s="1" t="s">
        <v>26</v>
      </c>
      <c r="O16" s="1" t="s">
        <v>26</v>
      </c>
      <c r="P16" s="4">
        <v>45762.435902777775</v>
      </c>
    </row>
    <row r="17" hidden="1">
      <c r="A17" s="1" t="s">
        <v>1055</v>
      </c>
      <c r="B17" s="3" t="str">
        <f>HYPERLINK("https://hawk-eye.atlassian.net/browse/HWKREPORT-3400?atlOrigin=eyJpIjoiYzgwYTQ0ZjEyNzQzNGJhN2JmNjEyZTM0NmRhZWZhNjIiLCJwIjoic2hlZXRzLWppcmEifQ","HWKREPORT-3400")</f>
        <v>HWKREPORT-3400</v>
      </c>
      <c r="C17" s="1" t="s">
        <v>1084</v>
      </c>
      <c r="D17" s="1" t="s">
        <v>48</v>
      </c>
      <c r="E17" s="1" t="s">
        <v>1057</v>
      </c>
      <c r="F17" s="4">
        <v>45751.7646875</v>
      </c>
      <c r="G17" s="3" t="str">
        <f>HYPERLINK("https://hawk-eye.atlassian.net/browse/RTT-10537?atlOrigin=eyJpIjoiYzgwYTQ0ZjEyNzQzNGJhN2JmNjEyZTM0NmRhZWZhNjIiLCJwIjoic2hlZXRzLWppcmEifQ","RTT-10537")</f>
        <v>RTT-10537</v>
      </c>
      <c r="H17" s="1" t="s">
        <v>1058</v>
      </c>
      <c r="I17" s="1" t="s">
        <v>1085</v>
      </c>
      <c r="J17" s="1" t="s">
        <v>26</v>
      </c>
      <c r="K17" s="1" t="s">
        <v>1072</v>
      </c>
      <c r="L17" s="1" t="s">
        <v>26</v>
      </c>
      <c r="M17" s="1" t="s">
        <v>27</v>
      </c>
      <c r="N17" s="1" t="s">
        <v>26</v>
      </c>
      <c r="O17" s="1" t="s">
        <v>26</v>
      </c>
      <c r="P17" s="4">
        <v>45751.7646875</v>
      </c>
    </row>
    <row r="18" hidden="1">
      <c r="A18" s="1" t="s">
        <v>21</v>
      </c>
      <c r="B18" s="3" t="str">
        <f>HYPERLINK("https://hawk-eye.atlassian.net/browse/HWKREPORT-3401?atlOrigin=eyJpIjoiYzgwYTQ0ZjEyNzQzNGJhN2JmNjEyZTM0NmRhZWZhNjIiLCJwIjoic2hlZXRzLWppcmEifQ","HWKREPORT-3401")</f>
        <v>HWKREPORT-3401</v>
      </c>
      <c r="C18" s="1" t="s">
        <v>1086</v>
      </c>
      <c r="D18" s="1" t="s">
        <v>23</v>
      </c>
      <c r="E18" s="1" t="s">
        <v>1057</v>
      </c>
      <c r="F18" s="4">
        <v>45753.63548611111</v>
      </c>
      <c r="G18" s="3" t="str">
        <f>HYPERLINK("https://hawk-eye.atlassian.net/browse/GDS-431?atlOrigin=eyJpIjoiYzgwYTQ0ZjEyNzQzNGJhN2JmNjEyZTM0NmRhZWZhNjIiLCJwIjoic2hlZXRzLWppcmEifQ","GDS-431")</f>
        <v>GDS-431</v>
      </c>
      <c r="H18" s="1" t="s">
        <v>1058</v>
      </c>
      <c r="I18" s="1" t="s">
        <v>1087</v>
      </c>
      <c r="J18" s="1" t="s">
        <v>26</v>
      </c>
      <c r="K18" s="1" t="s">
        <v>1088</v>
      </c>
      <c r="L18" s="1" t="s">
        <v>26</v>
      </c>
      <c r="M18" s="1" t="s">
        <v>27</v>
      </c>
      <c r="N18" s="1" t="s">
        <v>26</v>
      </c>
      <c r="O18" s="1" t="s">
        <v>26</v>
      </c>
      <c r="P18" s="4">
        <v>45753.63550925926</v>
      </c>
    </row>
    <row r="19" hidden="1">
      <c r="A19" s="1" t="s">
        <v>21</v>
      </c>
      <c r="B19" s="3" t="str">
        <f>HYPERLINK("https://hawk-eye.atlassian.net/browse/HWKREPORT-3402?atlOrigin=eyJpIjoiYzgwYTQ0ZjEyNzQzNGJhN2JmNjEyZTM0NmRhZWZhNjIiLCJwIjoic2hlZXRzLWppcmEifQ","HWKREPORT-3402")</f>
        <v>HWKREPORT-3402</v>
      </c>
      <c r="C19" s="1" t="s">
        <v>1089</v>
      </c>
      <c r="D19" s="1" t="s">
        <v>48</v>
      </c>
      <c r="E19" s="1" t="s">
        <v>1057</v>
      </c>
      <c r="F19" s="4">
        <v>45753.650300925925</v>
      </c>
      <c r="G19" s="3" t="str">
        <f>HYPERLINK("https://hawk-eye.atlassian.net/browse/GDS-432?atlOrigin=eyJpIjoiYzgwYTQ0ZjEyNzQzNGJhN2JmNjEyZTM0NmRhZWZhNjIiLCJwIjoic2hlZXRzLWppcmEifQ","GDS-432")</f>
        <v>GDS-432</v>
      </c>
      <c r="H19" s="1" t="s">
        <v>1058</v>
      </c>
      <c r="I19" s="1" t="s">
        <v>1087</v>
      </c>
      <c r="J19" s="1" t="s">
        <v>26</v>
      </c>
      <c r="K19" s="1" t="s">
        <v>1088</v>
      </c>
      <c r="L19" s="1" t="s">
        <v>26</v>
      </c>
      <c r="M19" s="1" t="s">
        <v>27</v>
      </c>
      <c r="N19" s="1" t="s">
        <v>26</v>
      </c>
      <c r="O19" s="1" t="s">
        <v>26</v>
      </c>
      <c r="P19" s="4">
        <v>45753.650300925925</v>
      </c>
    </row>
    <row r="20" hidden="1">
      <c r="A20" s="1" t="s">
        <v>21</v>
      </c>
      <c r="B20" s="3" t="str">
        <f>HYPERLINK("https://hawk-eye.atlassian.net/browse/HWKREPORT-3403?atlOrigin=eyJpIjoiYzgwYTQ0ZjEyNzQzNGJhN2JmNjEyZTM0NmRhZWZhNjIiLCJwIjoic2hlZXRzLWppcmEifQ","HWKREPORT-3403")</f>
        <v>HWKREPORT-3403</v>
      </c>
      <c r="C20" s="1" t="s">
        <v>1090</v>
      </c>
      <c r="D20" s="1" t="s">
        <v>40</v>
      </c>
      <c r="E20" s="1" t="s">
        <v>1091</v>
      </c>
      <c r="F20" s="4">
        <v>45754.58069444444</v>
      </c>
      <c r="G20" s="3" t="str">
        <f>HYPERLINK("https://hawk-eye.atlassian.net/browse/RTT-10332?atlOrigin=eyJpIjoiYzgwYTQ0ZjEyNzQzNGJhN2JmNjEyZTM0NmRhZWZhNjIiLCJwIjoic2hlZXRzLWppcmEifQ","RTT-10332")</f>
        <v>RTT-10332</v>
      </c>
      <c r="H20" s="1" t="s">
        <v>1058</v>
      </c>
      <c r="I20" s="1" t="s">
        <v>1071</v>
      </c>
      <c r="J20" s="1" t="s">
        <v>26</v>
      </c>
      <c r="K20" s="1" t="s">
        <v>1072</v>
      </c>
      <c r="L20" s="1" t="s">
        <v>26</v>
      </c>
      <c r="M20" s="1" t="s">
        <v>27</v>
      </c>
      <c r="N20" s="1" t="s">
        <v>26</v>
      </c>
      <c r="O20" s="1" t="s">
        <v>26</v>
      </c>
      <c r="P20" s="4">
        <v>45770.65324074074</v>
      </c>
    </row>
    <row r="21" hidden="1">
      <c r="A21" s="1" t="s">
        <v>21</v>
      </c>
      <c r="B21" s="3" t="str">
        <f>HYPERLINK("https://hawk-eye.atlassian.net/browse/HWKREPORT-3404?atlOrigin=eyJpIjoiYzgwYTQ0ZjEyNzQzNGJhN2JmNjEyZTM0NmRhZWZhNjIiLCJwIjoic2hlZXRzLWppcmEifQ","HWKREPORT-3404")</f>
        <v>HWKREPORT-3404</v>
      </c>
      <c r="C21" s="1" t="s">
        <v>1092</v>
      </c>
      <c r="D21" s="1" t="s">
        <v>40</v>
      </c>
      <c r="E21" s="1" t="s">
        <v>1057</v>
      </c>
      <c r="F21" s="4">
        <v>45754.58505787037</v>
      </c>
      <c r="G21" s="3" t="str">
        <f>HYPERLINK("https://hawk-eye.atlassian.net/browse/RTT-10333?atlOrigin=eyJpIjoiYzgwYTQ0ZjEyNzQzNGJhN2JmNjEyZTM0NmRhZWZhNjIiLCJwIjoic2hlZXRzLWppcmEifQ","RTT-10333")</f>
        <v>RTT-10333</v>
      </c>
      <c r="H21" s="1" t="s">
        <v>1058</v>
      </c>
      <c r="I21" s="1" t="s">
        <v>1071</v>
      </c>
      <c r="J21" s="1" t="s">
        <v>26</v>
      </c>
      <c r="K21" s="1" t="s">
        <v>1093</v>
      </c>
      <c r="L21" s="1" t="s">
        <v>26</v>
      </c>
      <c r="M21" s="1" t="s">
        <v>27</v>
      </c>
      <c r="N21" s="1" t="s">
        <v>26</v>
      </c>
      <c r="O21" s="1" t="s">
        <v>26</v>
      </c>
      <c r="P21" s="4">
        <v>45754.58505787037</v>
      </c>
    </row>
    <row r="22" hidden="1">
      <c r="A22" s="1" t="s">
        <v>1055</v>
      </c>
      <c r="B22" s="3" t="str">
        <f>HYPERLINK("https://hawk-eye.atlassian.net/browse/HWKREPORT-3405?atlOrigin=eyJpIjoiYzgwYTQ0ZjEyNzQzNGJhN2JmNjEyZTM0NmRhZWZhNjIiLCJwIjoic2hlZXRzLWppcmEifQ","HWKREPORT-3405")</f>
        <v>HWKREPORT-3405</v>
      </c>
      <c r="C22" s="1" t="s">
        <v>1094</v>
      </c>
      <c r="D22" s="1" t="s">
        <v>48</v>
      </c>
      <c r="E22" s="1" t="s">
        <v>1057</v>
      </c>
      <c r="F22" s="4">
        <v>45754.58777777778</v>
      </c>
      <c r="G22" s="3" t="str">
        <f>HYPERLINK("https://hawk-eye.atlassian.net/browse/?atlOrigin=eyJpIjoiYzgwYTQ0ZjEyNzQzNGJhN2JmNjEyZTM0NmRhZWZhNjIiLCJwIjoic2hlZXRzLWppcmEifQ","")</f>
        <v/>
      </c>
      <c r="H22" s="1" t="s">
        <v>1058</v>
      </c>
      <c r="I22" s="1" t="s">
        <v>1071</v>
      </c>
      <c r="J22" s="1" t="s">
        <v>26</v>
      </c>
      <c r="K22" s="1" t="s">
        <v>1095</v>
      </c>
      <c r="L22" s="1" t="s">
        <v>26</v>
      </c>
      <c r="M22" s="1" t="s">
        <v>27</v>
      </c>
      <c r="N22" s="1" t="s">
        <v>26</v>
      </c>
      <c r="O22" s="1" t="s">
        <v>26</v>
      </c>
      <c r="P22" s="4">
        <v>45754.58777777778</v>
      </c>
    </row>
    <row r="23" hidden="1">
      <c r="A23" s="1" t="s">
        <v>1055</v>
      </c>
      <c r="B23" s="3" t="str">
        <f>HYPERLINK("https://hawk-eye.atlassian.net/browse/HWKREPORT-3406?atlOrigin=eyJpIjoiYzgwYTQ0ZjEyNzQzNGJhN2JmNjEyZTM0NmRhZWZhNjIiLCJwIjoic2hlZXRzLWppcmEifQ","HWKREPORT-3406")</f>
        <v>HWKREPORT-3406</v>
      </c>
      <c r="C23" s="1" t="s">
        <v>1096</v>
      </c>
      <c r="D23" s="1" t="s">
        <v>34</v>
      </c>
      <c r="E23" s="1" t="s">
        <v>1091</v>
      </c>
      <c r="F23" s="4">
        <v>45754.58909722222</v>
      </c>
      <c r="G23" s="3" t="str">
        <f>HYPERLINK("https://hawk-eye.atlassian.net/browse/RTT-10465?atlOrigin=eyJpIjoiYzgwYTQ0ZjEyNzQzNGJhN2JmNjEyZTM0NmRhZWZhNjIiLCJwIjoic2hlZXRzLWppcmEifQ","RTT-10465")</f>
        <v>RTT-10465</v>
      </c>
      <c r="H23" s="1" t="s">
        <v>1058</v>
      </c>
      <c r="I23" s="1" t="s">
        <v>1071</v>
      </c>
      <c r="J23" s="1" t="s">
        <v>26</v>
      </c>
      <c r="K23" s="1" t="s">
        <v>1095</v>
      </c>
      <c r="L23" s="1" t="s">
        <v>26</v>
      </c>
      <c r="M23" s="1" t="s">
        <v>27</v>
      </c>
      <c r="N23" s="1" t="s">
        <v>26</v>
      </c>
      <c r="O23" s="1" t="s">
        <v>26</v>
      </c>
      <c r="P23" s="4">
        <v>45779.5850462963</v>
      </c>
    </row>
    <row r="24" hidden="1">
      <c r="A24" s="1" t="s">
        <v>1055</v>
      </c>
      <c r="B24" s="3" t="str">
        <f>HYPERLINK("https://hawk-eye.atlassian.net/browse/HWKREPORT-3407?atlOrigin=eyJpIjoiYzgwYTQ0ZjEyNzQzNGJhN2JmNjEyZTM0NmRhZWZhNjIiLCJwIjoic2hlZXRzLWppcmEifQ","HWKREPORT-3407")</f>
        <v>HWKREPORT-3407</v>
      </c>
      <c r="C24" s="1" t="s">
        <v>1097</v>
      </c>
      <c r="D24" s="1" t="s">
        <v>48</v>
      </c>
      <c r="E24" s="1" t="s">
        <v>1057</v>
      </c>
      <c r="F24" s="4">
        <v>45754.59289351852</v>
      </c>
      <c r="G24" s="3" t="str">
        <f>HYPERLINK("https://hawk-eye.atlassian.net/browse/?atlOrigin=eyJpIjoiYzgwYTQ0ZjEyNzQzNGJhN2JmNjEyZTM0NmRhZWZhNjIiLCJwIjoic2hlZXRzLWppcmEifQ","")</f>
        <v/>
      </c>
      <c r="H24" s="1" t="s">
        <v>1058</v>
      </c>
      <c r="I24" s="1" t="s">
        <v>1071</v>
      </c>
      <c r="J24" s="1" t="s">
        <v>26</v>
      </c>
      <c r="K24" s="1" t="s">
        <v>1095</v>
      </c>
      <c r="L24" s="1" t="s">
        <v>26</v>
      </c>
      <c r="M24" s="1" t="s">
        <v>27</v>
      </c>
      <c r="N24" s="1" t="s">
        <v>26</v>
      </c>
      <c r="O24" s="1" t="s">
        <v>26</v>
      </c>
      <c r="P24" s="4">
        <v>45754.59290509259</v>
      </c>
    </row>
    <row r="25">
      <c r="A25" s="1" t="s">
        <v>21</v>
      </c>
      <c r="B25" s="3" t="str">
        <f>HYPERLINK("https://hawk-eye.atlassian.net/browse/HWKREPORT-3408?atlOrigin=eyJpIjoiYzgwYTQ0ZjEyNzQzNGJhN2JmNjEyZTM0NmRhZWZhNjIiLCJwIjoic2hlZXRzLWppcmEifQ","HWKREPORT-3408")</f>
        <v>HWKREPORT-3408</v>
      </c>
      <c r="C25" s="1" t="s">
        <v>1098</v>
      </c>
      <c r="D25" s="1" t="s">
        <v>23</v>
      </c>
      <c r="E25" s="1" t="s">
        <v>1057</v>
      </c>
      <c r="F25" s="4">
        <v>45754.752337962964</v>
      </c>
      <c r="G25" s="3" t="str">
        <f>HYPERLINK("https://hawk-eye.atlassian.net/browse/RTT-10528?atlOrigin=eyJpIjoiYzgwYTQ0ZjEyNzQzNGJhN2JmNjEyZTM0NmRhZWZhNjIiLCJwIjoic2hlZXRzLWppcmEifQ","RTT-10528")</f>
        <v>RTT-10528</v>
      </c>
      <c r="H25" s="1" t="s">
        <v>1058</v>
      </c>
      <c r="I25" s="1" t="s">
        <v>28</v>
      </c>
      <c r="J25" s="1" t="s">
        <v>26</v>
      </c>
      <c r="K25" s="1" t="s">
        <v>1099</v>
      </c>
      <c r="L25" s="1" t="s">
        <v>26</v>
      </c>
      <c r="M25" s="1" t="s">
        <v>27</v>
      </c>
      <c r="N25" s="1" t="s">
        <v>26</v>
      </c>
      <c r="O25" s="1" t="s">
        <v>26</v>
      </c>
      <c r="P25" s="4">
        <v>45754.752337962964</v>
      </c>
    </row>
    <row r="26" hidden="1">
      <c r="A26" s="1" t="s">
        <v>21</v>
      </c>
      <c r="B26" s="3" t="str">
        <f>HYPERLINK("https://hawk-eye.atlassian.net/browse/HWKREPORT-3409?atlOrigin=eyJpIjoiYzgwYTQ0ZjEyNzQzNGJhN2JmNjEyZTM0NmRhZWZhNjIiLCJwIjoic2hlZXRzLWppcmEifQ","HWKREPORT-3409")</f>
        <v>HWKREPORT-3409</v>
      </c>
      <c r="C26" s="1" t="s">
        <v>1100</v>
      </c>
      <c r="D26" s="1" t="s">
        <v>23</v>
      </c>
      <c r="E26" s="1" t="s">
        <v>1057</v>
      </c>
      <c r="F26" s="4">
        <v>45755.61832175926</v>
      </c>
      <c r="G26" s="3" t="str">
        <f>HYPERLINK("https://hawk-eye.atlassian.net/browse/SO-2415?atlOrigin=eyJpIjoiYzgwYTQ0ZjEyNzQzNGJhN2JmNjEyZTM0NmRhZWZhNjIiLCJwIjoic2hlZXRzLWppcmEifQ","SO-2415")</f>
        <v>SO-2415</v>
      </c>
      <c r="H26" s="1" t="s">
        <v>1058</v>
      </c>
      <c r="I26" s="1" t="s">
        <v>1101</v>
      </c>
      <c r="J26" s="1" t="s">
        <v>26</v>
      </c>
      <c r="K26" s="1" t="s">
        <v>1102</v>
      </c>
      <c r="L26" s="1" t="s">
        <v>26</v>
      </c>
      <c r="M26" s="1" t="s">
        <v>27</v>
      </c>
      <c r="N26" s="1" t="s">
        <v>26</v>
      </c>
      <c r="O26" s="1" t="s">
        <v>26</v>
      </c>
      <c r="P26" s="4">
        <v>45755.61833333333</v>
      </c>
    </row>
    <row r="27" hidden="1">
      <c r="A27" s="1" t="s">
        <v>1055</v>
      </c>
      <c r="B27" s="3" t="str">
        <f>HYPERLINK("https://hawk-eye.atlassian.net/browse/HWKREPORT-3410?atlOrigin=eyJpIjoiYzgwYTQ0ZjEyNzQzNGJhN2JmNjEyZTM0NmRhZWZhNjIiLCJwIjoic2hlZXRzLWppcmEifQ","HWKREPORT-3410")</f>
        <v>HWKREPORT-3410</v>
      </c>
      <c r="C27" s="1" t="s">
        <v>1103</v>
      </c>
      <c r="D27" s="1" t="s">
        <v>48</v>
      </c>
      <c r="E27" s="1" t="s">
        <v>1057</v>
      </c>
      <c r="F27" s="4">
        <v>45755.684849537036</v>
      </c>
      <c r="G27" s="3" t="str">
        <f t="shared" ref="G27:G28" si="3">HYPERLINK("https://hawk-eye.atlassian.net/browse/?atlOrigin=eyJpIjoiYzgwYTQ0ZjEyNzQzNGJhN2JmNjEyZTM0NmRhZWZhNjIiLCJwIjoic2hlZXRzLWppcmEifQ","")</f>
        <v/>
      </c>
      <c r="H27" s="1" t="s">
        <v>1058</v>
      </c>
      <c r="I27" s="1" t="s">
        <v>1104</v>
      </c>
      <c r="J27" s="1" t="s">
        <v>26</v>
      </c>
      <c r="K27" s="1" t="s">
        <v>1105</v>
      </c>
      <c r="L27" s="1" t="s">
        <v>26</v>
      </c>
      <c r="M27" s="1" t="s">
        <v>27</v>
      </c>
      <c r="N27" s="1" t="s">
        <v>26</v>
      </c>
      <c r="O27" s="1" t="s">
        <v>26</v>
      </c>
      <c r="P27" s="4">
        <v>45755.684849537036</v>
      </c>
    </row>
    <row r="28" hidden="1">
      <c r="A28" s="1" t="s">
        <v>21</v>
      </c>
      <c r="B28" s="3" t="str">
        <f>HYPERLINK("https://hawk-eye.atlassian.net/browse/HWKREPORT-3411?atlOrigin=eyJpIjoiYzgwYTQ0ZjEyNzQzNGJhN2JmNjEyZTM0NmRhZWZhNjIiLCJwIjoic2hlZXRzLWppcmEifQ","HWKREPORT-3411")</f>
        <v>HWKREPORT-3411</v>
      </c>
      <c r="C28" s="1" t="s">
        <v>1106</v>
      </c>
      <c r="D28" s="1" t="s">
        <v>83</v>
      </c>
      <c r="E28" s="1" t="s">
        <v>1057</v>
      </c>
      <c r="F28" s="4">
        <v>45756.165034722224</v>
      </c>
      <c r="G28" s="3" t="str">
        <f t="shared" si="3"/>
        <v/>
      </c>
      <c r="H28" s="1" t="s">
        <v>1058</v>
      </c>
      <c r="I28" s="1" t="s">
        <v>1107</v>
      </c>
      <c r="J28" s="1" t="s">
        <v>26</v>
      </c>
      <c r="K28" s="1" t="s">
        <v>1108</v>
      </c>
      <c r="L28" s="1" t="s">
        <v>26</v>
      </c>
      <c r="M28" s="1" t="s">
        <v>27</v>
      </c>
      <c r="N28" s="1" t="s">
        <v>26</v>
      </c>
      <c r="O28" s="1" t="s">
        <v>26</v>
      </c>
      <c r="P28" s="4">
        <v>45756.165034722224</v>
      </c>
    </row>
    <row r="29">
      <c r="A29" s="1" t="s">
        <v>21</v>
      </c>
      <c r="B29" s="3" t="str">
        <f>HYPERLINK("https://hawk-eye.atlassian.net/browse/HWKREPORT-3412?atlOrigin=eyJpIjoiYzgwYTQ0ZjEyNzQzNGJhN2JmNjEyZTM0NmRhZWZhNjIiLCJwIjoic2hlZXRzLWppcmEifQ","HWKREPORT-3412")</f>
        <v>HWKREPORT-3412</v>
      </c>
      <c r="C29" s="1" t="s">
        <v>1109</v>
      </c>
      <c r="D29" s="1" t="s">
        <v>34</v>
      </c>
      <c r="E29" s="1" t="s">
        <v>35</v>
      </c>
      <c r="F29" s="4">
        <v>45756.66337962963</v>
      </c>
      <c r="G29" s="3" t="str">
        <f>HYPERLINK("https://hawk-eye.atlassian.net/browse/RTT-10412?atlOrigin=eyJpIjoiYzgwYTQ0ZjEyNzQzNGJhN2JmNjEyZTM0NmRhZWZhNjIiLCJwIjoic2hlZXRzLWppcmEifQ","RTT-10412")</f>
        <v>RTT-10412</v>
      </c>
      <c r="H29" s="1" t="s">
        <v>1058</v>
      </c>
      <c r="I29" s="1" t="s">
        <v>28</v>
      </c>
      <c r="J29" s="1" t="s">
        <v>26</v>
      </c>
      <c r="K29" s="1" t="s">
        <v>1072</v>
      </c>
      <c r="L29" s="1" t="s">
        <v>26</v>
      </c>
      <c r="M29" s="1" t="s">
        <v>27</v>
      </c>
      <c r="N29" s="1" t="s">
        <v>26</v>
      </c>
      <c r="O29" s="1" t="s">
        <v>26</v>
      </c>
      <c r="P29" s="4">
        <v>45762.40539351852</v>
      </c>
    </row>
    <row r="30" hidden="1">
      <c r="A30" s="1" t="s">
        <v>21</v>
      </c>
      <c r="B30" s="3" t="str">
        <f>HYPERLINK("https://hawk-eye.atlassian.net/browse/HWKREPORT-3413?atlOrigin=eyJpIjoiYzgwYTQ0ZjEyNzQzNGJhN2JmNjEyZTM0NmRhZWZhNjIiLCJwIjoic2hlZXRzLWppcmEifQ","HWKREPORT-3413")</f>
        <v>HWKREPORT-3413</v>
      </c>
      <c r="C30" s="1" t="s">
        <v>1110</v>
      </c>
      <c r="D30" s="1" t="s">
        <v>40</v>
      </c>
      <c r="E30" s="1" t="s">
        <v>35</v>
      </c>
      <c r="F30" s="4">
        <v>45756.708819444444</v>
      </c>
      <c r="G30" s="3" t="str">
        <f>HYPERLINK("https://hawk-eye.atlassian.net/browse/RTT-10410?atlOrigin=eyJpIjoiYzgwYTQ0ZjEyNzQzNGJhN2JmNjEyZTM0NmRhZWZhNjIiLCJwIjoic2hlZXRzLWppcmEifQ","RTT-10410")</f>
        <v>RTT-10410</v>
      </c>
      <c r="H30" s="1" t="s">
        <v>1058</v>
      </c>
      <c r="I30" s="1" t="s">
        <v>1071</v>
      </c>
      <c r="J30" s="1" t="s">
        <v>26</v>
      </c>
      <c r="K30" s="1" t="s">
        <v>1072</v>
      </c>
      <c r="L30" s="1" t="s">
        <v>26</v>
      </c>
      <c r="M30" s="1" t="s">
        <v>27</v>
      </c>
      <c r="N30" s="1" t="s">
        <v>26</v>
      </c>
      <c r="O30" s="1" t="s">
        <v>26</v>
      </c>
      <c r="P30" s="4">
        <v>45762.482037037036</v>
      </c>
    </row>
    <row r="31" hidden="1">
      <c r="A31" s="1" t="s">
        <v>21</v>
      </c>
      <c r="B31" s="3" t="str">
        <f>HYPERLINK("https://hawk-eye.atlassian.net/browse/HWKREPORT-3414?atlOrigin=eyJpIjoiYzgwYTQ0ZjEyNzQzNGJhN2JmNjEyZTM0NmRhZWZhNjIiLCJwIjoic2hlZXRzLWppcmEifQ","HWKREPORT-3414")</f>
        <v>HWKREPORT-3414</v>
      </c>
      <c r="C31" s="1" t="s">
        <v>1111</v>
      </c>
      <c r="D31" s="1" t="s">
        <v>34</v>
      </c>
      <c r="E31" s="1" t="s">
        <v>1091</v>
      </c>
      <c r="F31" s="4">
        <v>45756.7156712963</v>
      </c>
      <c r="G31" s="3" t="str">
        <f>HYPERLINK("https://hawk-eye.atlassian.net/browse/RTT-10411?atlOrigin=eyJpIjoiYzgwYTQ0ZjEyNzQzNGJhN2JmNjEyZTM0NmRhZWZhNjIiLCJwIjoic2hlZXRzLWppcmEifQ","RTT-10411")</f>
        <v>RTT-10411</v>
      </c>
      <c r="H31" s="1" t="s">
        <v>1058</v>
      </c>
      <c r="I31" s="1" t="s">
        <v>1071</v>
      </c>
      <c r="J31" s="1" t="s">
        <v>26</v>
      </c>
      <c r="K31" s="1" t="s">
        <v>1072</v>
      </c>
      <c r="L31" s="1" t="s">
        <v>26</v>
      </c>
      <c r="M31" s="1" t="s">
        <v>27</v>
      </c>
      <c r="N31" s="1" t="s">
        <v>26</v>
      </c>
      <c r="O31" s="1" t="s">
        <v>26</v>
      </c>
      <c r="P31" s="4">
        <v>45777.434537037036</v>
      </c>
    </row>
    <row r="32" hidden="1">
      <c r="A32" s="1" t="s">
        <v>1055</v>
      </c>
      <c r="B32" s="3" t="str">
        <f>HYPERLINK("https://hawk-eye.atlassian.net/browse/HWKREPORT-3415?atlOrigin=eyJpIjoiYzgwYTQ0ZjEyNzQzNGJhN2JmNjEyZTM0NmRhZWZhNjIiLCJwIjoic2hlZXRzLWppcmEifQ","HWKREPORT-3415")</f>
        <v>HWKREPORT-3415</v>
      </c>
      <c r="C32" s="1" t="s">
        <v>1112</v>
      </c>
      <c r="D32" s="1" t="s">
        <v>48</v>
      </c>
      <c r="E32" s="1" t="s">
        <v>1057</v>
      </c>
      <c r="F32" s="4">
        <v>45757.37372685185</v>
      </c>
      <c r="G32" s="3" t="str">
        <f>HYPERLINK("https://hawk-eye.atlassian.net/browse/RTT-10437?atlOrigin=eyJpIjoiYzgwYTQ0ZjEyNzQzNGJhN2JmNjEyZTM0NmRhZWZhNjIiLCJwIjoic2hlZXRzLWppcmEifQ","RTT-10437")</f>
        <v>RTT-10437</v>
      </c>
      <c r="H32" s="1" t="s">
        <v>1058</v>
      </c>
      <c r="I32" s="1" t="s">
        <v>1085</v>
      </c>
      <c r="J32" s="1" t="s">
        <v>26</v>
      </c>
      <c r="K32" s="1" t="s">
        <v>1072</v>
      </c>
      <c r="L32" s="1" t="s">
        <v>26</v>
      </c>
      <c r="M32" s="1" t="s">
        <v>27</v>
      </c>
      <c r="N32" s="1" t="s">
        <v>26</v>
      </c>
      <c r="O32" s="1" t="s">
        <v>26</v>
      </c>
      <c r="P32" s="4">
        <v>45757.37372685185</v>
      </c>
    </row>
    <row r="33" hidden="1">
      <c r="A33" s="1" t="s">
        <v>1055</v>
      </c>
      <c r="B33" s="3" t="str">
        <f>HYPERLINK("https://hawk-eye.atlassian.net/browse/HWKREPORT-3416?atlOrigin=eyJpIjoiYzgwYTQ0ZjEyNzQzNGJhN2JmNjEyZTM0NmRhZWZhNjIiLCJwIjoic2hlZXRzLWppcmEifQ","HWKREPORT-3416")</f>
        <v>HWKREPORT-3416</v>
      </c>
      <c r="C33" s="1" t="s">
        <v>1113</v>
      </c>
      <c r="D33" s="1" t="s">
        <v>48</v>
      </c>
      <c r="E33" s="1" t="s">
        <v>1057</v>
      </c>
      <c r="F33" s="4">
        <v>45757.523414351854</v>
      </c>
      <c r="G33" s="3" t="str">
        <f>HYPERLINK("https://hawk-eye.atlassian.net/browse/?atlOrigin=eyJpIjoiYzgwYTQ0ZjEyNzQzNGJhN2JmNjEyZTM0NmRhZWZhNjIiLCJwIjoic2hlZXRzLWppcmEifQ","")</f>
        <v/>
      </c>
      <c r="H33" s="1" t="s">
        <v>1058</v>
      </c>
      <c r="I33" s="1" t="s">
        <v>1085</v>
      </c>
      <c r="J33" s="1" t="s">
        <v>26</v>
      </c>
      <c r="K33" s="1" t="s">
        <v>1114</v>
      </c>
      <c r="L33" s="1" t="s">
        <v>26</v>
      </c>
      <c r="M33" s="1" t="s">
        <v>27</v>
      </c>
      <c r="N33" s="1" t="s">
        <v>26</v>
      </c>
      <c r="O33" s="1" t="s">
        <v>26</v>
      </c>
      <c r="P33" s="4">
        <v>45757.52342592592</v>
      </c>
    </row>
    <row r="34" hidden="1">
      <c r="A34" s="1" t="s">
        <v>1055</v>
      </c>
      <c r="B34" s="3" t="str">
        <f>HYPERLINK("https://hawk-eye.atlassian.net/browse/HWKREPORT-3417?atlOrigin=eyJpIjoiYzgwYTQ0ZjEyNzQzNGJhN2JmNjEyZTM0NmRhZWZhNjIiLCJwIjoic2hlZXRzLWppcmEifQ","HWKREPORT-3417")</f>
        <v>HWKREPORT-3417</v>
      </c>
      <c r="C34" s="1" t="s">
        <v>1115</v>
      </c>
      <c r="D34" s="1" t="s">
        <v>48</v>
      </c>
      <c r="E34" s="1" t="s">
        <v>1057</v>
      </c>
      <c r="F34" s="4">
        <v>45757.531273148146</v>
      </c>
      <c r="G34" s="3" t="str">
        <f>HYPERLINK("https://hawk-eye.atlassian.net/browse/SO-2432?atlOrigin=eyJpIjoiYzgwYTQ0ZjEyNzQzNGJhN2JmNjEyZTM0NmRhZWZhNjIiLCJwIjoic2hlZXRzLWppcmEifQ","SO-2432")</f>
        <v>SO-2432</v>
      </c>
      <c r="H34" s="1" t="s">
        <v>1058</v>
      </c>
      <c r="I34" s="1" t="s">
        <v>1085</v>
      </c>
      <c r="J34" s="1" t="s">
        <v>26</v>
      </c>
      <c r="K34" s="1" t="s">
        <v>1116</v>
      </c>
      <c r="L34" s="1" t="s">
        <v>26</v>
      </c>
      <c r="M34" s="1" t="s">
        <v>27</v>
      </c>
      <c r="N34" s="1" t="s">
        <v>26</v>
      </c>
      <c r="O34" s="1" t="s">
        <v>26</v>
      </c>
      <c r="P34" s="4">
        <v>45757.53128472222</v>
      </c>
    </row>
    <row r="35" hidden="1">
      <c r="A35" s="1" t="s">
        <v>1055</v>
      </c>
      <c r="B35" s="3" t="str">
        <f>HYPERLINK("https://hawk-eye.atlassian.net/browse/HWKREPORT-3418?atlOrigin=eyJpIjoiYzgwYTQ0ZjEyNzQzNGJhN2JmNjEyZTM0NmRhZWZhNjIiLCJwIjoic2hlZXRzLWppcmEifQ","HWKREPORT-3418")</f>
        <v>HWKREPORT-3418</v>
      </c>
      <c r="C35" s="1" t="s">
        <v>1117</v>
      </c>
      <c r="D35" s="1" t="s">
        <v>83</v>
      </c>
      <c r="E35" s="1" t="s">
        <v>1057</v>
      </c>
      <c r="F35" s="4">
        <v>45757.66457175926</v>
      </c>
      <c r="G35" s="3" t="str">
        <f t="shared" ref="G35:G40" si="4">HYPERLINK("https://hawk-eye.atlassian.net/browse/?atlOrigin=eyJpIjoiYzgwYTQ0ZjEyNzQzNGJhN2JmNjEyZTM0NmRhZWZhNjIiLCJwIjoic2hlZXRzLWppcmEifQ","")</f>
        <v/>
      </c>
      <c r="H35" s="1" t="s">
        <v>1058</v>
      </c>
      <c r="I35" s="1" t="s">
        <v>1071</v>
      </c>
      <c r="J35" s="1" t="s">
        <v>26</v>
      </c>
      <c r="K35" s="1" t="s">
        <v>1118</v>
      </c>
      <c r="L35" s="1" t="s">
        <v>26</v>
      </c>
      <c r="M35" s="1" t="s">
        <v>27</v>
      </c>
      <c r="N35" s="1" t="s">
        <v>26</v>
      </c>
      <c r="O35" s="1" t="s">
        <v>26</v>
      </c>
      <c r="P35" s="4">
        <v>45757.66457175926</v>
      </c>
    </row>
    <row r="36" hidden="1">
      <c r="A36" s="1" t="s">
        <v>1055</v>
      </c>
      <c r="B36" s="3" t="str">
        <f>HYPERLINK("https://hawk-eye.atlassian.net/browse/HWKREPORT-3419?atlOrigin=eyJpIjoiYzgwYTQ0ZjEyNzQzNGJhN2JmNjEyZTM0NmRhZWZhNjIiLCJwIjoic2hlZXRzLWppcmEifQ","HWKREPORT-3419")</f>
        <v>HWKREPORT-3419</v>
      </c>
      <c r="C36" s="1" t="s">
        <v>1119</v>
      </c>
      <c r="D36" s="1" t="s">
        <v>83</v>
      </c>
      <c r="E36" s="1" t="s">
        <v>1057</v>
      </c>
      <c r="F36" s="4">
        <v>45757.66611111111</v>
      </c>
      <c r="G36" s="3" t="str">
        <f t="shared" si="4"/>
        <v/>
      </c>
      <c r="H36" s="1" t="s">
        <v>1058</v>
      </c>
      <c r="I36" s="1" t="s">
        <v>1071</v>
      </c>
      <c r="J36" s="1" t="s">
        <v>26</v>
      </c>
      <c r="K36" s="1" t="s">
        <v>1072</v>
      </c>
      <c r="L36" s="1" t="s">
        <v>26</v>
      </c>
      <c r="M36" s="1" t="s">
        <v>27</v>
      </c>
      <c r="N36" s="1" t="s">
        <v>26</v>
      </c>
      <c r="O36" s="1" t="s">
        <v>26</v>
      </c>
      <c r="P36" s="4">
        <v>45757.66612268519</v>
      </c>
    </row>
    <row r="37" hidden="1">
      <c r="A37" s="1" t="s">
        <v>1055</v>
      </c>
      <c r="B37" s="3" t="str">
        <f>HYPERLINK("https://hawk-eye.atlassian.net/browse/HWKREPORT-3420?atlOrigin=eyJpIjoiYzgwYTQ0ZjEyNzQzNGJhN2JmNjEyZTM0NmRhZWZhNjIiLCJwIjoic2hlZXRzLWppcmEifQ","HWKREPORT-3420")</f>
        <v>HWKREPORT-3420</v>
      </c>
      <c r="C37" s="1" t="s">
        <v>1120</v>
      </c>
      <c r="D37" s="1" t="s">
        <v>23</v>
      </c>
      <c r="E37" s="1" t="s">
        <v>1057</v>
      </c>
      <c r="F37" s="4">
        <v>45757.6671412037</v>
      </c>
      <c r="G37" s="3" t="str">
        <f t="shared" si="4"/>
        <v/>
      </c>
      <c r="H37" s="1" t="s">
        <v>1058</v>
      </c>
      <c r="I37" s="1" t="s">
        <v>1071</v>
      </c>
      <c r="J37" s="1" t="s">
        <v>26</v>
      </c>
      <c r="K37" s="1" t="s">
        <v>1118</v>
      </c>
      <c r="L37" s="1" t="s">
        <v>26</v>
      </c>
      <c r="M37" s="1" t="s">
        <v>27</v>
      </c>
      <c r="N37" s="1" t="s">
        <v>26</v>
      </c>
      <c r="O37" s="1" t="s">
        <v>26</v>
      </c>
      <c r="P37" s="4">
        <v>45757.6671412037</v>
      </c>
    </row>
    <row r="38" hidden="1">
      <c r="A38" s="1" t="s">
        <v>1055</v>
      </c>
      <c r="B38" s="3" t="str">
        <f>HYPERLINK("https://hawk-eye.atlassian.net/browse/HWKREPORT-3421?atlOrigin=eyJpIjoiYzgwYTQ0ZjEyNzQzNGJhN2JmNjEyZTM0NmRhZWZhNjIiLCJwIjoic2hlZXRzLWppcmEifQ","HWKREPORT-3421")</f>
        <v>HWKREPORT-3421</v>
      </c>
      <c r="C38" s="1" t="s">
        <v>1121</v>
      </c>
      <c r="D38" s="1" t="s">
        <v>83</v>
      </c>
      <c r="E38" s="1" t="s">
        <v>1057</v>
      </c>
      <c r="F38" s="4">
        <v>45757.675405092596</v>
      </c>
      <c r="G38" s="3" t="str">
        <f t="shared" si="4"/>
        <v/>
      </c>
      <c r="H38" s="1" t="s">
        <v>1058</v>
      </c>
      <c r="I38" s="1" t="s">
        <v>1071</v>
      </c>
      <c r="J38" s="1" t="s">
        <v>26</v>
      </c>
      <c r="K38" s="1" t="s">
        <v>1093</v>
      </c>
      <c r="L38" s="1" t="s">
        <v>26</v>
      </c>
      <c r="M38" s="1" t="s">
        <v>27</v>
      </c>
      <c r="N38" s="1" t="s">
        <v>26</v>
      </c>
      <c r="O38" s="1" t="s">
        <v>26</v>
      </c>
      <c r="P38" s="4">
        <v>45757.675405092596</v>
      </c>
    </row>
    <row r="39" hidden="1">
      <c r="A39" s="1" t="s">
        <v>21</v>
      </c>
      <c r="B39" s="3" t="str">
        <f>HYPERLINK("https://hawk-eye.atlassian.net/browse/HWKREPORT-3422?atlOrigin=eyJpIjoiYzgwYTQ0ZjEyNzQzNGJhN2JmNjEyZTM0NmRhZWZhNjIiLCJwIjoic2hlZXRzLWppcmEifQ","HWKREPORT-3422")</f>
        <v>HWKREPORT-3422</v>
      </c>
      <c r="C39" s="1" t="s">
        <v>1122</v>
      </c>
      <c r="D39" s="1" t="s">
        <v>34</v>
      </c>
      <c r="E39" s="1" t="s">
        <v>1057</v>
      </c>
      <c r="F39" s="4">
        <v>45757.70927083334</v>
      </c>
      <c r="G39" s="3" t="str">
        <f t="shared" si="4"/>
        <v/>
      </c>
      <c r="H39" s="1" t="s">
        <v>1058</v>
      </c>
      <c r="I39" s="1" t="s">
        <v>1059</v>
      </c>
      <c r="J39" s="1" t="s">
        <v>26</v>
      </c>
      <c r="K39" s="1" t="s">
        <v>1116</v>
      </c>
      <c r="L39" s="1" t="s">
        <v>26</v>
      </c>
      <c r="M39" s="1" t="s">
        <v>27</v>
      </c>
      <c r="N39" s="1" t="s">
        <v>26</v>
      </c>
      <c r="O39" s="1" t="s">
        <v>26</v>
      </c>
      <c r="P39" s="4">
        <v>45757.709282407406</v>
      </c>
    </row>
    <row r="40" hidden="1">
      <c r="A40" s="1" t="s">
        <v>21</v>
      </c>
      <c r="B40" s="3" t="str">
        <f>HYPERLINK("https://hawk-eye.atlassian.net/browse/HWKREPORT-3423?atlOrigin=eyJpIjoiYzgwYTQ0ZjEyNzQzNGJhN2JmNjEyZTM0NmRhZWZhNjIiLCJwIjoic2hlZXRzLWppcmEifQ","HWKREPORT-3423")</f>
        <v>HWKREPORT-3423</v>
      </c>
      <c r="C40" s="1" t="s">
        <v>1123</v>
      </c>
      <c r="D40" s="1" t="s">
        <v>34</v>
      </c>
      <c r="E40" s="1" t="s">
        <v>1057</v>
      </c>
      <c r="F40" s="4">
        <v>45758.44273148148</v>
      </c>
      <c r="G40" s="3" t="str">
        <f t="shared" si="4"/>
        <v/>
      </c>
      <c r="H40" s="1" t="s">
        <v>1058</v>
      </c>
      <c r="I40" s="1" t="s">
        <v>1085</v>
      </c>
      <c r="J40" s="1" t="s">
        <v>26</v>
      </c>
      <c r="K40" s="1" t="s">
        <v>1072</v>
      </c>
      <c r="L40" s="1" t="s">
        <v>26</v>
      </c>
      <c r="M40" s="1" t="s">
        <v>27</v>
      </c>
      <c r="N40" s="1" t="s">
        <v>26</v>
      </c>
      <c r="O40" s="1" t="s">
        <v>26</v>
      </c>
      <c r="P40" s="4">
        <v>45758.44274305556</v>
      </c>
    </row>
    <row r="41" hidden="1">
      <c r="A41" s="1" t="s">
        <v>21</v>
      </c>
      <c r="B41" s="3" t="str">
        <f>HYPERLINK("https://hawk-eye.atlassian.net/browse/HWKREPORT-3424?atlOrigin=eyJpIjoiYzgwYTQ0ZjEyNzQzNGJhN2JmNjEyZTM0NmRhZWZhNjIiLCJwIjoic2hlZXRzLWppcmEifQ","HWKREPORT-3424")</f>
        <v>HWKREPORT-3424</v>
      </c>
      <c r="C41" s="1" t="s">
        <v>1124</v>
      </c>
      <c r="D41" s="1" t="s">
        <v>40</v>
      </c>
      <c r="E41" s="1" t="s">
        <v>35</v>
      </c>
      <c r="F41" s="4">
        <v>45761.59133101852</v>
      </c>
      <c r="G41" s="3" t="str">
        <f>HYPERLINK("https://hawk-eye.atlassian.net/browse/RTT-10427?atlOrigin=eyJpIjoiYzgwYTQ0ZjEyNzQzNGJhN2JmNjEyZTM0NmRhZWZhNjIiLCJwIjoic2hlZXRzLWppcmEifQ","RTT-10427")</f>
        <v>RTT-10427</v>
      </c>
      <c r="H41" s="1" t="s">
        <v>1058</v>
      </c>
      <c r="I41" s="1" t="s">
        <v>1071</v>
      </c>
      <c r="J41" s="1" t="s">
        <v>26</v>
      </c>
      <c r="K41" s="1" t="s">
        <v>1072</v>
      </c>
      <c r="L41" s="1" t="s">
        <v>26</v>
      </c>
      <c r="M41" s="1" t="s">
        <v>27</v>
      </c>
      <c r="N41" s="1" t="s">
        <v>26</v>
      </c>
      <c r="O41" s="1" t="s">
        <v>26</v>
      </c>
      <c r="P41" s="4">
        <v>45762.494363425925</v>
      </c>
    </row>
    <row r="42" hidden="1">
      <c r="A42" s="1" t="s">
        <v>1055</v>
      </c>
      <c r="B42" s="3" t="str">
        <f>HYPERLINK("https://hawk-eye.atlassian.net/browse/HWKREPORT-3425?atlOrigin=eyJpIjoiYzgwYTQ0ZjEyNzQzNGJhN2JmNjEyZTM0NmRhZWZhNjIiLCJwIjoic2hlZXRzLWppcmEifQ","HWKREPORT-3425")</f>
        <v>HWKREPORT-3425</v>
      </c>
      <c r="C42" s="1" t="s">
        <v>1125</v>
      </c>
      <c r="D42" s="1" t="s">
        <v>48</v>
      </c>
      <c r="E42" s="1" t="s">
        <v>1057</v>
      </c>
      <c r="F42" s="4">
        <v>45761.721041666664</v>
      </c>
      <c r="G42" s="3" t="str">
        <f>HYPERLINK("https://hawk-eye.atlassian.net/browse/?atlOrigin=eyJpIjoiYzgwYTQ0ZjEyNzQzNGJhN2JmNjEyZTM0NmRhZWZhNjIiLCJwIjoic2hlZXRzLWppcmEifQ","")</f>
        <v/>
      </c>
      <c r="H42" s="1" t="s">
        <v>1058</v>
      </c>
      <c r="I42" s="1" t="s">
        <v>1126</v>
      </c>
      <c r="J42" s="1" t="s">
        <v>26</v>
      </c>
      <c r="K42" s="1" t="s">
        <v>1127</v>
      </c>
      <c r="L42" s="1" t="s">
        <v>26</v>
      </c>
      <c r="M42" s="1" t="s">
        <v>27</v>
      </c>
      <c r="N42" s="1" t="s">
        <v>26</v>
      </c>
      <c r="O42" s="1" t="s">
        <v>26</v>
      </c>
      <c r="P42" s="4">
        <v>45761.72105324074</v>
      </c>
    </row>
    <row r="43" hidden="1">
      <c r="A43" s="1" t="s">
        <v>21</v>
      </c>
      <c r="B43" s="3" t="str">
        <f>HYPERLINK("https://hawk-eye.atlassian.net/browse/HWKREPORT-3426?atlOrigin=eyJpIjoiYzgwYTQ0ZjEyNzQzNGJhN2JmNjEyZTM0NmRhZWZhNjIiLCJwIjoic2hlZXRzLWppcmEifQ","HWKREPORT-3426")</f>
        <v>HWKREPORT-3426</v>
      </c>
      <c r="C43" s="1" t="s">
        <v>1128</v>
      </c>
      <c r="D43" s="1" t="s">
        <v>40</v>
      </c>
      <c r="E43" s="1" t="s">
        <v>35</v>
      </c>
      <c r="F43" s="4">
        <v>45762.411631944444</v>
      </c>
      <c r="G43" s="3" t="str">
        <f>HYPERLINK("https://hawk-eye.atlassian.net/issues/?atlOrigin=eyJpIjoiYzgwYTQ0ZjEyNzQzNGJhN2JmNjEyZTM0NmRhZWZhNjIiLCJwIjoic2hlZXRzLWppcmEifQ&amp;jql=key+in+%28RTT-10433%2CRTT-10446%29","RTT-10433;RTT-10446")</f>
        <v>RTT-10433;RTT-10446</v>
      </c>
      <c r="H43" s="1" t="s">
        <v>1058</v>
      </c>
      <c r="I43" s="1" t="s">
        <v>1085</v>
      </c>
      <c r="J43" s="1" t="s">
        <v>26</v>
      </c>
      <c r="K43" s="1" t="s">
        <v>1072</v>
      </c>
      <c r="L43" s="1" t="s">
        <v>26</v>
      </c>
      <c r="M43" s="1" t="s">
        <v>27</v>
      </c>
      <c r="N43" s="1" t="s">
        <v>26</v>
      </c>
      <c r="O43" s="1" t="s">
        <v>26</v>
      </c>
      <c r="P43" s="4">
        <v>45778.63773148148</v>
      </c>
    </row>
    <row r="44" hidden="1">
      <c r="A44" s="1" t="s">
        <v>1055</v>
      </c>
      <c r="B44" s="3" t="str">
        <f>HYPERLINK("https://hawk-eye.atlassian.net/browse/HWKREPORT-3427?atlOrigin=eyJpIjoiYzgwYTQ0ZjEyNzQzNGJhN2JmNjEyZTM0NmRhZWZhNjIiLCJwIjoic2hlZXRzLWppcmEifQ","HWKREPORT-3427")</f>
        <v>HWKREPORT-3427</v>
      </c>
      <c r="C44" s="1" t="s">
        <v>1129</v>
      </c>
      <c r="D44" s="1" t="s">
        <v>34</v>
      </c>
      <c r="E44" s="1" t="s">
        <v>1057</v>
      </c>
      <c r="F44" s="4">
        <v>45763.63171296296</v>
      </c>
      <c r="G44" s="3" t="str">
        <f>HYPERLINK("https://hawk-eye.atlassian.net/issues/?atlOrigin=eyJpIjoiYzgwYTQ0ZjEyNzQzNGJhN2JmNjEyZTM0NmRhZWZhNjIiLCJwIjoic2hlZXRzLWppcmEifQ&amp;jql=key+in+%28BAS-1131%2CBAS-1132%2CBAS-1133%2CBAS-1134%29","BAS-1131;BAS-1132;BAS-1133;BAS-1134")</f>
        <v>BAS-1131;BAS-1132;BAS-1133;BAS-1134</v>
      </c>
      <c r="H44" s="1" t="s">
        <v>1058</v>
      </c>
      <c r="I44" s="1" t="s">
        <v>1071</v>
      </c>
      <c r="J44" s="1" t="s">
        <v>26</v>
      </c>
      <c r="K44" s="1" t="s">
        <v>1130</v>
      </c>
      <c r="L44" s="1" t="s">
        <v>26</v>
      </c>
      <c r="M44" s="1" t="s">
        <v>27</v>
      </c>
      <c r="N44" s="1" t="s">
        <v>26</v>
      </c>
      <c r="O44" s="1" t="s">
        <v>26</v>
      </c>
      <c r="P44" s="4">
        <v>45763.63171296296</v>
      </c>
    </row>
    <row r="45">
      <c r="A45" s="1" t="s">
        <v>21</v>
      </c>
      <c r="B45" s="3" t="str">
        <f>HYPERLINK("https://hawk-eye.atlassian.net/browse/HWKREPORT-3428?atlOrigin=eyJpIjoiYzgwYTQ0ZjEyNzQzNGJhN2JmNjEyZTM0NmRhZWZhNjIiLCJwIjoic2hlZXRzLWppcmEifQ","HWKREPORT-3428")</f>
        <v>HWKREPORT-3428</v>
      </c>
      <c r="C45" s="1" t="s">
        <v>1131</v>
      </c>
      <c r="D45" s="1" t="s">
        <v>23</v>
      </c>
      <c r="E45" s="1" t="s">
        <v>1057</v>
      </c>
      <c r="F45" s="4">
        <v>45763.93471064815</v>
      </c>
      <c r="G45" s="3" t="str">
        <f t="shared" ref="G45:G46" si="5">HYPERLINK("https://hawk-eye.atlassian.net/browse/?atlOrigin=eyJpIjoiYzgwYTQ0ZjEyNzQzNGJhN2JmNjEyZTM0NmRhZWZhNjIiLCJwIjoic2hlZXRzLWppcmEifQ","")</f>
        <v/>
      </c>
      <c r="H45" s="1" t="s">
        <v>1058</v>
      </c>
      <c r="I45" s="1" t="s">
        <v>28</v>
      </c>
      <c r="J45" s="1" t="s">
        <v>26</v>
      </c>
      <c r="K45" s="1" t="s">
        <v>1099</v>
      </c>
      <c r="L45" s="1" t="s">
        <v>26</v>
      </c>
      <c r="M45" s="1" t="s">
        <v>27</v>
      </c>
      <c r="N45" s="1" t="s">
        <v>26</v>
      </c>
      <c r="O45" s="1" t="s">
        <v>26</v>
      </c>
      <c r="P45" s="4">
        <v>45763.93471064815</v>
      </c>
    </row>
    <row r="46" hidden="1">
      <c r="A46" s="1" t="s">
        <v>1055</v>
      </c>
      <c r="B46" s="3" t="str">
        <f>HYPERLINK("https://hawk-eye.atlassian.net/browse/HWKREPORT-3429?atlOrigin=eyJpIjoiYzgwYTQ0ZjEyNzQzNGJhN2JmNjEyZTM0NmRhZWZhNjIiLCJwIjoic2hlZXRzLWppcmEifQ","HWKREPORT-3429")</f>
        <v>HWKREPORT-3429</v>
      </c>
      <c r="C46" s="1" t="s">
        <v>1132</v>
      </c>
      <c r="D46" s="1" t="s">
        <v>48</v>
      </c>
      <c r="E46" s="1" t="s">
        <v>1057</v>
      </c>
      <c r="F46" s="4">
        <v>45764.414976851855</v>
      </c>
      <c r="G46" s="3" t="str">
        <f t="shared" si="5"/>
        <v/>
      </c>
      <c r="H46" s="1" t="s">
        <v>1058</v>
      </c>
      <c r="I46" s="1" t="s">
        <v>1133</v>
      </c>
      <c r="J46" s="1" t="s">
        <v>26</v>
      </c>
      <c r="K46" s="1" t="s">
        <v>1134</v>
      </c>
      <c r="L46" s="1" t="s">
        <v>26</v>
      </c>
      <c r="M46" s="1" t="s">
        <v>27</v>
      </c>
      <c r="N46" s="1" t="s">
        <v>26</v>
      </c>
      <c r="O46" s="1" t="s">
        <v>26</v>
      </c>
      <c r="P46" s="4">
        <v>45764.414988425924</v>
      </c>
    </row>
    <row r="47" hidden="1">
      <c r="A47" s="1" t="s">
        <v>21</v>
      </c>
      <c r="B47" s="3" t="str">
        <f>HYPERLINK("https://hawk-eye.atlassian.net/browse/HWKREPORT-3430?atlOrigin=eyJpIjoiYzgwYTQ0ZjEyNzQzNGJhN2JmNjEyZTM0NmRhZWZhNjIiLCJwIjoic2hlZXRzLWppcmEifQ","HWKREPORT-3430")</f>
        <v>HWKREPORT-3430</v>
      </c>
      <c r="C47" s="1" t="s">
        <v>1135</v>
      </c>
      <c r="D47" s="1" t="s">
        <v>34</v>
      </c>
      <c r="E47" s="1" t="s">
        <v>1091</v>
      </c>
      <c r="F47" s="4">
        <v>45764.65412037037</v>
      </c>
      <c r="G47" s="3" t="str">
        <f>HYPERLINK("https://hawk-eye.atlassian.net/browse/RTT-10459?atlOrigin=eyJpIjoiYzgwYTQ0ZjEyNzQzNGJhN2JmNjEyZTM0NmRhZWZhNjIiLCJwIjoic2hlZXRzLWppcmEifQ","RTT-10459")</f>
        <v>RTT-10459</v>
      </c>
      <c r="H47" s="1" t="s">
        <v>1058</v>
      </c>
      <c r="I47" s="1" t="s">
        <v>1071</v>
      </c>
      <c r="J47" s="1" t="s">
        <v>26</v>
      </c>
      <c r="K47" s="1" t="s">
        <v>1072</v>
      </c>
      <c r="L47" s="1" t="s">
        <v>26</v>
      </c>
      <c r="M47" s="1" t="s">
        <v>27</v>
      </c>
      <c r="N47" s="1" t="s">
        <v>26</v>
      </c>
      <c r="O47" s="1" t="s">
        <v>26</v>
      </c>
      <c r="P47" s="4">
        <v>45783.397627314815</v>
      </c>
    </row>
    <row r="48" hidden="1">
      <c r="A48" s="1" t="s">
        <v>1055</v>
      </c>
      <c r="B48" s="3" t="str">
        <f>HYPERLINK("https://hawk-eye.atlassian.net/browse/HWKREPORT-3431?atlOrigin=eyJpIjoiYzgwYTQ0ZjEyNzQzNGJhN2JmNjEyZTM0NmRhZWZhNjIiLCJwIjoic2hlZXRzLWppcmEifQ","HWKREPORT-3431")</f>
        <v>HWKREPORT-3431</v>
      </c>
      <c r="C48" s="1" t="s">
        <v>1136</v>
      </c>
      <c r="D48" s="1" t="s">
        <v>34</v>
      </c>
      <c r="E48" s="1" t="s">
        <v>1057</v>
      </c>
      <c r="F48" s="4">
        <v>45764.663090277776</v>
      </c>
      <c r="G48" s="3" t="str">
        <f>HYPERLINK("https://hawk-eye.atlassian.net/browse/AT-1802?atlOrigin=eyJpIjoiYzgwYTQ0ZjEyNzQzNGJhN2JmNjEyZTM0NmRhZWZhNjIiLCJwIjoic2hlZXRzLWppcmEifQ","AT-1802")</f>
        <v>AT-1802</v>
      </c>
      <c r="H48" s="1" t="s">
        <v>1058</v>
      </c>
      <c r="I48" s="1" t="s">
        <v>1085</v>
      </c>
      <c r="J48" s="1" t="s">
        <v>26</v>
      </c>
      <c r="K48" s="1" t="s">
        <v>26</v>
      </c>
      <c r="L48" s="1" t="s">
        <v>26</v>
      </c>
      <c r="M48" s="1" t="s">
        <v>27</v>
      </c>
      <c r="N48" s="1" t="s">
        <v>26</v>
      </c>
      <c r="O48" s="1" t="s">
        <v>26</v>
      </c>
      <c r="P48" s="4">
        <v>45764.66310185185</v>
      </c>
    </row>
    <row r="49" hidden="1">
      <c r="A49" s="1" t="s">
        <v>1055</v>
      </c>
      <c r="B49" s="3" t="str">
        <f>HYPERLINK("https://hawk-eye.atlassian.net/browse/HWKREPORT-3432?atlOrigin=eyJpIjoiYzgwYTQ0ZjEyNzQzNGJhN2JmNjEyZTM0NmRhZWZhNjIiLCJwIjoic2hlZXRzLWppcmEifQ","HWKREPORT-3432")</f>
        <v>HWKREPORT-3432</v>
      </c>
      <c r="C49" s="1" t="s">
        <v>1137</v>
      </c>
      <c r="D49" s="1" t="s">
        <v>48</v>
      </c>
      <c r="E49" s="1" t="s">
        <v>1057</v>
      </c>
      <c r="F49" s="4">
        <v>45764.785046296296</v>
      </c>
      <c r="G49" s="3" t="str">
        <f>HYPERLINK("https://hawk-eye.atlassian.net/browse/RTT-10501?atlOrigin=eyJpIjoiYzgwYTQ0ZjEyNzQzNGJhN2JmNjEyZTM0NmRhZWZhNjIiLCJwIjoic2hlZXRzLWppcmEifQ","RTT-10501")</f>
        <v>RTT-10501</v>
      </c>
      <c r="H49" s="1" t="s">
        <v>1058</v>
      </c>
      <c r="I49" s="1" t="s">
        <v>1085</v>
      </c>
      <c r="J49" s="1" t="s">
        <v>26</v>
      </c>
      <c r="K49" s="1" t="s">
        <v>1072</v>
      </c>
      <c r="L49" s="1" t="s">
        <v>26</v>
      </c>
      <c r="M49" s="1" t="s">
        <v>27</v>
      </c>
      <c r="N49" s="1" t="s">
        <v>26</v>
      </c>
      <c r="O49" s="1" t="s">
        <v>26</v>
      </c>
      <c r="P49" s="4">
        <v>45764.78505787037</v>
      </c>
    </row>
    <row r="50" hidden="1">
      <c r="A50" s="1" t="s">
        <v>1055</v>
      </c>
      <c r="B50" s="3" t="str">
        <f>HYPERLINK("https://hawk-eye.atlassian.net/browse/HWKREPORT-3433?atlOrigin=eyJpIjoiYzgwYTQ0ZjEyNzQzNGJhN2JmNjEyZTM0NmRhZWZhNjIiLCJwIjoic2hlZXRzLWppcmEifQ","HWKREPORT-3433")</f>
        <v>HWKREPORT-3433</v>
      </c>
      <c r="C50" s="1" t="s">
        <v>1138</v>
      </c>
      <c r="D50" s="1" t="s">
        <v>48</v>
      </c>
      <c r="E50" s="1" t="s">
        <v>1057</v>
      </c>
      <c r="F50" s="4">
        <v>45764.79361111111</v>
      </c>
      <c r="G50" s="3" t="str">
        <f>HYPERLINK("https://hawk-eye.atlassian.net/browse/RTT-10499?atlOrigin=eyJpIjoiYzgwYTQ0ZjEyNzQzNGJhN2JmNjEyZTM0NmRhZWZhNjIiLCJwIjoic2hlZXRzLWppcmEifQ","RTT-10499")</f>
        <v>RTT-10499</v>
      </c>
      <c r="H50" s="1" t="s">
        <v>1058</v>
      </c>
      <c r="I50" s="1" t="s">
        <v>1085</v>
      </c>
      <c r="J50" s="1" t="s">
        <v>26</v>
      </c>
      <c r="K50" s="1" t="s">
        <v>1072</v>
      </c>
      <c r="L50" s="1" t="s">
        <v>26</v>
      </c>
      <c r="M50" s="1" t="s">
        <v>27</v>
      </c>
      <c r="N50" s="1" t="s">
        <v>26</v>
      </c>
      <c r="O50" s="1" t="s">
        <v>26</v>
      </c>
      <c r="P50" s="4">
        <v>45764.79361111111</v>
      </c>
    </row>
    <row r="51" hidden="1">
      <c r="A51" s="1" t="s">
        <v>21</v>
      </c>
      <c r="B51" s="3" t="str">
        <f>HYPERLINK("https://hawk-eye.atlassian.net/browse/HWKREPORT-3434?atlOrigin=eyJpIjoiYzgwYTQ0ZjEyNzQzNGJhN2JmNjEyZTM0NmRhZWZhNjIiLCJwIjoic2hlZXRzLWppcmEifQ","HWKREPORT-3434")</f>
        <v>HWKREPORT-3434</v>
      </c>
      <c r="C51" s="1" t="s">
        <v>1139</v>
      </c>
      <c r="D51" s="1" t="s">
        <v>40</v>
      </c>
      <c r="E51" s="1" t="s">
        <v>1057</v>
      </c>
      <c r="F51" s="4">
        <v>45764.85313657407</v>
      </c>
      <c r="G51" s="3" t="str">
        <f>HYPERLINK("https://hawk-eye.atlassian.net/browse/?atlOrigin=eyJpIjoiYzgwYTQ0ZjEyNzQzNGJhN2JmNjEyZTM0NmRhZWZhNjIiLCJwIjoic2hlZXRzLWppcmEifQ","")</f>
        <v/>
      </c>
      <c r="H51" s="1" t="s">
        <v>1058</v>
      </c>
      <c r="I51" s="1" t="s">
        <v>1107</v>
      </c>
      <c r="J51" s="1" t="s">
        <v>26</v>
      </c>
      <c r="K51" s="1" t="s">
        <v>1108</v>
      </c>
      <c r="L51" s="1" t="s">
        <v>26</v>
      </c>
      <c r="M51" s="1" t="s">
        <v>27</v>
      </c>
      <c r="N51" s="1" t="s">
        <v>26</v>
      </c>
      <c r="O51" s="1" t="s">
        <v>26</v>
      </c>
      <c r="P51" s="4">
        <v>45764.85314814815</v>
      </c>
    </row>
    <row r="52">
      <c r="A52" s="1" t="s">
        <v>21</v>
      </c>
      <c r="B52" s="3" t="str">
        <f>HYPERLINK("https://hawk-eye.atlassian.net/browse/HWKREPORT-3435?atlOrigin=eyJpIjoiYzgwYTQ0ZjEyNzQzNGJhN2JmNjEyZTM0NmRhZWZhNjIiLCJwIjoic2hlZXRzLWppcmEifQ","HWKREPORT-3435")</f>
        <v>HWKREPORT-3435</v>
      </c>
      <c r="C52" s="1" t="s">
        <v>1140</v>
      </c>
      <c r="D52" s="1" t="s">
        <v>40</v>
      </c>
      <c r="E52" s="1" t="s">
        <v>1074</v>
      </c>
      <c r="F52" s="4">
        <v>45765.72326388889</v>
      </c>
      <c r="G52" s="3" t="str">
        <f>HYPERLINK("https://hawk-eye.atlassian.net/issues/?atlOrigin=eyJpIjoiYzgwYTQ0ZjEyNzQzNGJhN2JmNjEyZTM0NmRhZWZhNjIiLCJwIjoic2hlZXRzLWppcmEifQ&amp;jql=key+in+%28RTT-10504%2CRTT-10526%29","RTT-10504;RTT-10526")</f>
        <v>RTT-10504;RTT-10526</v>
      </c>
      <c r="H52" s="1" t="s">
        <v>1058</v>
      </c>
      <c r="I52" s="1" t="s">
        <v>28</v>
      </c>
      <c r="J52" s="1" t="s">
        <v>26</v>
      </c>
      <c r="K52" s="1" t="s">
        <v>1072</v>
      </c>
      <c r="L52" s="1" t="s">
        <v>26</v>
      </c>
      <c r="M52" s="1" t="s">
        <v>27</v>
      </c>
      <c r="N52" s="1" t="s">
        <v>26</v>
      </c>
      <c r="O52" s="1" t="s">
        <v>26</v>
      </c>
      <c r="P52" s="4">
        <v>45777.464108796295</v>
      </c>
    </row>
    <row r="53">
      <c r="A53" s="1" t="s">
        <v>21</v>
      </c>
      <c r="B53" s="3" t="str">
        <f>HYPERLINK("https://hawk-eye.atlassian.net/browse/HWKREPORT-3436?atlOrigin=eyJpIjoiYzgwYTQ0ZjEyNzQzNGJhN2JmNjEyZTM0NmRhZWZhNjIiLCJwIjoic2hlZXRzLWppcmEifQ","HWKREPORT-3436")</f>
        <v>HWKREPORT-3436</v>
      </c>
      <c r="C53" s="1" t="s">
        <v>1141</v>
      </c>
      <c r="D53" s="1" t="s">
        <v>40</v>
      </c>
      <c r="E53" s="1" t="s">
        <v>35</v>
      </c>
      <c r="F53" s="4">
        <v>45765.780706018515</v>
      </c>
      <c r="G53" s="3" t="str">
        <f>HYPERLINK("https://hawk-eye.atlassian.net/browse/RTT-10450?atlOrigin=eyJpIjoiYzgwYTQ0ZjEyNzQzNGJhN2JmNjEyZTM0NmRhZWZhNjIiLCJwIjoic2hlZXRzLWppcmEifQ","RTT-10450")</f>
        <v>RTT-10450</v>
      </c>
      <c r="H53" s="1" t="s">
        <v>1058</v>
      </c>
      <c r="I53" s="1" t="s">
        <v>28</v>
      </c>
      <c r="J53" s="1" t="s">
        <v>26</v>
      </c>
      <c r="K53" s="1" t="s">
        <v>1072</v>
      </c>
      <c r="L53" s="1" t="s">
        <v>26</v>
      </c>
      <c r="M53" s="1" t="s">
        <v>27</v>
      </c>
      <c r="N53" s="1" t="s">
        <v>26</v>
      </c>
      <c r="O53" s="1" t="s">
        <v>26</v>
      </c>
      <c r="P53" s="4">
        <v>45778.63415509259</v>
      </c>
    </row>
    <row r="54" hidden="1">
      <c r="A54" s="1" t="s">
        <v>21</v>
      </c>
      <c r="B54" s="3" t="str">
        <f>HYPERLINK("https://hawk-eye.atlassian.net/browse/HWKREPORT-3437?atlOrigin=eyJpIjoiYzgwYTQ0ZjEyNzQzNGJhN2JmNjEyZTM0NmRhZWZhNjIiLCJwIjoic2hlZXRzLWppcmEifQ","HWKREPORT-3437")</f>
        <v>HWKREPORT-3437</v>
      </c>
      <c r="C54" s="1" t="s">
        <v>1142</v>
      </c>
      <c r="D54" s="1" t="s">
        <v>34</v>
      </c>
      <c r="E54" s="1" t="s">
        <v>1057</v>
      </c>
      <c r="F54" s="4">
        <v>45768.796793981484</v>
      </c>
      <c r="G54" s="3" t="str">
        <f t="shared" ref="G54:G55" si="6">HYPERLINK("https://hawk-eye.atlassian.net/browse/?atlOrigin=eyJpIjoiYzgwYTQ0ZjEyNzQzNGJhN2JmNjEyZTM0NmRhZWZhNjIiLCJwIjoic2hlZXRzLWppcmEifQ","")</f>
        <v/>
      </c>
      <c r="H54" s="1" t="s">
        <v>1058</v>
      </c>
      <c r="I54" s="1" t="s">
        <v>1071</v>
      </c>
      <c r="J54" s="1" t="s">
        <v>26</v>
      </c>
      <c r="K54" s="1" t="s">
        <v>1143</v>
      </c>
      <c r="L54" s="1" t="s">
        <v>26</v>
      </c>
      <c r="M54" s="1" t="s">
        <v>27</v>
      </c>
      <c r="N54" s="1" t="s">
        <v>26</v>
      </c>
      <c r="O54" s="1" t="s">
        <v>26</v>
      </c>
      <c r="P54" s="4">
        <v>45768.796793981484</v>
      </c>
    </row>
    <row r="55" hidden="1">
      <c r="A55" s="1" t="s">
        <v>21</v>
      </c>
      <c r="B55" s="3" t="str">
        <f>HYPERLINK("https://hawk-eye.atlassian.net/browse/HWKREPORT-3438?atlOrigin=eyJpIjoiYzgwYTQ0ZjEyNzQzNGJhN2JmNjEyZTM0NmRhZWZhNjIiLCJwIjoic2hlZXRzLWppcmEifQ","HWKREPORT-3438")</f>
        <v>HWKREPORT-3438</v>
      </c>
      <c r="C55" s="1" t="s">
        <v>1144</v>
      </c>
      <c r="D55" s="1" t="s">
        <v>48</v>
      </c>
      <c r="E55" s="1" t="s">
        <v>1057</v>
      </c>
      <c r="F55" s="4">
        <v>45769.44112268519</v>
      </c>
      <c r="G55" s="3" t="str">
        <f t="shared" si="6"/>
        <v/>
      </c>
      <c r="H55" s="1" t="s">
        <v>1058</v>
      </c>
      <c r="I55" s="1" t="s">
        <v>1101</v>
      </c>
      <c r="J55" s="1" t="s">
        <v>26</v>
      </c>
      <c r="K55" s="1" t="s">
        <v>1116</v>
      </c>
      <c r="L55" s="1" t="s">
        <v>26</v>
      </c>
      <c r="M55" s="1" t="s">
        <v>27</v>
      </c>
      <c r="N55" s="1" t="s">
        <v>26</v>
      </c>
      <c r="O55" s="1" t="s">
        <v>26</v>
      </c>
      <c r="P55" s="4">
        <v>45769.44112268519</v>
      </c>
    </row>
    <row r="56" hidden="1">
      <c r="A56" s="1" t="s">
        <v>21</v>
      </c>
      <c r="B56" s="3" t="str">
        <f>HYPERLINK("https://hawk-eye.atlassian.net/browse/HWKREPORT-3439?atlOrigin=eyJpIjoiYzgwYTQ0ZjEyNzQzNGJhN2JmNjEyZTM0NmRhZWZhNjIiLCJwIjoic2hlZXRzLWppcmEifQ","HWKREPORT-3439")</f>
        <v>HWKREPORT-3439</v>
      </c>
      <c r="C56" s="1" t="s">
        <v>1145</v>
      </c>
      <c r="D56" s="1" t="s">
        <v>23</v>
      </c>
      <c r="E56" s="1" t="s">
        <v>35</v>
      </c>
      <c r="F56" s="4">
        <v>45769.566400462965</v>
      </c>
      <c r="G56" s="3" t="str">
        <f>HYPERLINK("https://hawk-eye.atlassian.net/browse/SO-2454?atlOrigin=eyJpIjoiYzgwYTQ0ZjEyNzQzNGJhN2JmNjEyZTM0NmRhZWZhNjIiLCJwIjoic2hlZXRzLWppcmEifQ","SO-2454")</f>
        <v>SO-2454</v>
      </c>
      <c r="H56" s="1" t="s">
        <v>1058</v>
      </c>
      <c r="I56" s="1" t="s">
        <v>1082</v>
      </c>
      <c r="J56" s="1" t="s">
        <v>26</v>
      </c>
      <c r="K56" s="1" t="s">
        <v>1116</v>
      </c>
      <c r="L56" s="1" t="s">
        <v>26</v>
      </c>
      <c r="M56" s="1" t="s">
        <v>27</v>
      </c>
      <c r="N56" s="1" t="s">
        <v>26</v>
      </c>
      <c r="O56" s="1" t="s">
        <v>26</v>
      </c>
      <c r="P56" s="4">
        <v>45776.678935185184</v>
      </c>
    </row>
    <row r="57" hidden="1">
      <c r="A57" s="1" t="s">
        <v>21</v>
      </c>
      <c r="B57" s="3" t="str">
        <f>HYPERLINK("https://hawk-eye.atlassian.net/browse/HWKREPORT-3440?atlOrigin=eyJpIjoiYzgwYTQ0ZjEyNzQzNGJhN2JmNjEyZTM0NmRhZWZhNjIiLCJwIjoic2hlZXRzLWppcmEifQ","HWKREPORT-3440")</f>
        <v>HWKREPORT-3440</v>
      </c>
      <c r="C57" s="1" t="s">
        <v>1146</v>
      </c>
      <c r="D57" s="1" t="s">
        <v>23</v>
      </c>
      <c r="E57" s="1" t="s">
        <v>35</v>
      </c>
      <c r="F57" s="4">
        <v>45769.56762731481</v>
      </c>
      <c r="G57" s="3" t="str">
        <f>HYPERLINK("https://hawk-eye.atlassian.net/browse/SO-2455?atlOrigin=eyJpIjoiYzgwYTQ0ZjEyNzQzNGJhN2JmNjEyZTM0NmRhZWZhNjIiLCJwIjoic2hlZXRzLWppcmEifQ","SO-2455")</f>
        <v>SO-2455</v>
      </c>
      <c r="H57" s="1" t="s">
        <v>1058</v>
      </c>
      <c r="I57" s="1" t="s">
        <v>1082</v>
      </c>
      <c r="J57" s="1" t="s">
        <v>26</v>
      </c>
      <c r="K57" s="1" t="s">
        <v>1116</v>
      </c>
      <c r="L57" s="1" t="s">
        <v>26</v>
      </c>
      <c r="M57" s="1" t="s">
        <v>27</v>
      </c>
      <c r="N57" s="1" t="s">
        <v>26</v>
      </c>
      <c r="O57" s="1" t="s">
        <v>26</v>
      </c>
      <c r="P57" s="4">
        <v>45777.54541666667</v>
      </c>
    </row>
    <row r="58" hidden="1">
      <c r="A58" s="1" t="s">
        <v>1055</v>
      </c>
      <c r="B58" s="3" t="str">
        <f>HYPERLINK("https://hawk-eye.atlassian.net/browse/HWKREPORT-3441?atlOrigin=eyJpIjoiYzgwYTQ0ZjEyNzQzNGJhN2JmNjEyZTM0NmRhZWZhNjIiLCJwIjoic2hlZXRzLWppcmEifQ","HWKREPORT-3441")</f>
        <v>HWKREPORT-3441</v>
      </c>
      <c r="C58" s="1" t="s">
        <v>1147</v>
      </c>
      <c r="D58" s="1" t="s">
        <v>48</v>
      </c>
      <c r="E58" s="1" t="s">
        <v>1057</v>
      </c>
      <c r="F58" s="4">
        <v>45769.578125</v>
      </c>
      <c r="G58" s="3" t="str">
        <f>HYPERLINK("https://hawk-eye.atlassian.net/browse/?atlOrigin=eyJpIjoiYzgwYTQ0ZjEyNzQzNGJhN2JmNjEyZTM0NmRhZWZhNjIiLCJwIjoic2hlZXRzLWppcmEifQ","")</f>
        <v/>
      </c>
      <c r="H58" s="1" t="s">
        <v>1058</v>
      </c>
      <c r="I58" s="1" t="s">
        <v>1082</v>
      </c>
      <c r="J58" s="1" t="s">
        <v>26</v>
      </c>
      <c r="K58" s="1" t="s">
        <v>1148</v>
      </c>
      <c r="L58" s="1" t="s">
        <v>26</v>
      </c>
      <c r="M58" s="1" t="s">
        <v>27</v>
      </c>
      <c r="N58" s="1" t="s">
        <v>26</v>
      </c>
      <c r="O58" s="1" t="s">
        <v>26</v>
      </c>
      <c r="P58" s="4">
        <v>45769.57813657408</v>
      </c>
    </row>
    <row r="59" hidden="1">
      <c r="A59" s="1" t="s">
        <v>1055</v>
      </c>
      <c r="B59" s="3" t="str">
        <f>HYPERLINK("https://hawk-eye.atlassian.net/browse/HWKREPORT-3442?atlOrigin=eyJpIjoiYzgwYTQ0ZjEyNzQzNGJhN2JmNjEyZTM0NmRhZWZhNjIiLCJwIjoic2hlZXRzLWppcmEifQ","HWKREPORT-3442")</f>
        <v>HWKREPORT-3442</v>
      </c>
      <c r="C59" s="1" t="s">
        <v>1149</v>
      </c>
      <c r="D59" s="1" t="s">
        <v>34</v>
      </c>
      <c r="E59" s="1" t="s">
        <v>1057</v>
      </c>
      <c r="F59" s="4">
        <v>45769.649988425925</v>
      </c>
      <c r="G59" s="3" t="str">
        <f>HYPERLINK("https://hawk-eye.atlassian.net/browse/AT-1804?atlOrigin=eyJpIjoiYzgwYTQ0ZjEyNzQzNGJhN2JmNjEyZTM0NmRhZWZhNjIiLCJwIjoic2hlZXRzLWppcmEifQ","AT-1804")</f>
        <v>AT-1804</v>
      </c>
      <c r="H59" s="1" t="s">
        <v>1058</v>
      </c>
      <c r="I59" s="1" t="s">
        <v>1085</v>
      </c>
      <c r="J59" s="1" t="s">
        <v>26</v>
      </c>
      <c r="K59" s="1" t="s">
        <v>26</v>
      </c>
      <c r="L59" s="1" t="s">
        <v>26</v>
      </c>
      <c r="M59" s="1" t="s">
        <v>27</v>
      </c>
      <c r="N59" s="1" t="s">
        <v>26</v>
      </c>
      <c r="O59" s="1" t="s">
        <v>26</v>
      </c>
      <c r="P59" s="4">
        <v>45769.65</v>
      </c>
    </row>
    <row r="60" hidden="1">
      <c r="A60" s="1" t="s">
        <v>1055</v>
      </c>
      <c r="B60" s="3" t="str">
        <f>HYPERLINK("https://hawk-eye.atlassian.net/browse/HWKREPORT-3443?atlOrigin=eyJpIjoiYzgwYTQ0ZjEyNzQzNGJhN2JmNjEyZTM0NmRhZWZhNjIiLCJwIjoic2hlZXRzLWppcmEifQ","HWKREPORT-3443")</f>
        <v>HWKREPORT-3443</v>
      </c>
      <c r="C60" s="1" t="s">
        <v>1150</v>
      </c>
      <c r="D60" s="1" t="s">
        <v>48</v>
      </c>
      <c r="E60" s="1" t="s">
        <v>1057</v>
      </c>
      <c r="F60" s="4">
        <v>45769.80820601852</v>
      </c>
      <c r="G60" s="3" t="str">
        <f>HYPERLINK("https://hawk-eye.atlassian.net/browse/RTT-10498?atlOrigin=eyJpIjoiYzgwYTQ0ZjEyNzQzNGJhN2JmNjEyZTM0NmRhZWZhNjIiLCJwIjoic2hlZXRzLWppcmEifQ","RTT-10498")</f>
        <v>RTT-10498</v>
      </c>
      <c r="H60" s="1" t="s">
        <v>1058</v>
      </c>
      <c r="I60" s="1" t="s">
        <v>1151</v>
      </c>
      <c r="J60" s="1" t="s">
        <v>26</v>
      </c>
      <c r="K60" s="1" t="s">
        <v>1072</v>
      </c>
      <c r="L60" s="1" t="s">
        <v>26</v>
      </c>
      <c r="M60" s="1" t="s">
        <v>27</v>
      </c>
      <c r="N60" s="1" t="s">
        <v>26</v>
      </c>
      <c r="O60" s="1" t="s">
        <v>26</v>
      </c>
      <c r="P60" s="4">
        <v>45769.80820601852</v>
      </c>
    </row>
    <row r="61" hidden="1">
      <c r="A61" s="1" t="s">
        <v>21</v>
      </c>
      <c r="B61" s="3" t="str">
        <f>HYPERLINK("https://hawk-eye.atlassian.net/browse/HWKREPORT-3444?atlOrigin=eyJpIjoiYzgwYTQ0ZjEyNzQzNGJhN2JmNjEyZTM0NmRhZWZhNjIiLCJwIjoic2hlZXRzLWppcmEifQ","HWKREPORT-3444")</f>
        <v>HWKREPORT-3444</v>
      </c>
      <c r="C61" s="1" t="s">
        <v>1152</v>
      </c>
      <c r="D61" s="1" t="s">
        <v>23</v>
      </c>
      <c r="E61" s="1" t="s">
        <v>1057</v>
      </c>
      <c r="F61" s="4">
        <v>45770.46875</v>
      </c>
      <c r="G61" s="3" t="str">
        <f>HYPERLINK("https://hawk-eye.atlassian.net/browse/?atlOrigin=eyJpIjoiYzgwYTQ0ZjEyNzQzNGJhN2JmNjEyZTM0NmRhZWZhNjIiLCJwIjoic2hlZXRzLWppcmEifQ","")</f>
        <v/>
      </c>
      <c r="H61" s="1" t="s">
        <v>1058</v>
      </c>
      <c r="I61" s="1" t="s">
        <v>1085</v>
      </c>
      <c r="J61" s="1" t="s">
        <v>26</v>
      </c>
      <c r="K61" s="1" t="s">
        <v>1153</v>
      </c>
      <c r="L61" s="1" t="s">
        <v>26</v>
      </c>
      <c r="M61" s="1" t="s">
        <v>27</v>
      </c>
      <c r="N61" s="1" t="s">
        <v>26</v>
      </c>
      <c r="O61" s="1" t="s">
        <v>26</v>
      </c>
      <c r="P61" s="4">
        <v>45770.46876157408</v>
      </c>
    </row>
    <row r="62" hidden="1">
      <c r="A62" s="1" t="s">
        <v>1055</v>
      </c>
      <c r="B62" s="3" t="str">
        <f>HYPERLINK("https://hawk-eye.atlassian.net/browse/HWKREPORT-3445?atlOrigin=eyJpIjoiYzgwYTQ0ZjEyNzQzNGJhN2JmNjEyZTM0NmRhZWZhNjIiLCJwIjoic2hlZXRzLWppcmEifQ","HWKREPORT-3445")</f>
        <v>HWKREPORT-3445</v>
      </c>
      <c r="C62" s="1" t="s">
        <v>1154</v>
      </c>
      <c r="D62" s="1" t="s">
        <v>48</v>
      </c>
      <c r="E62" s="1" t="s">
        <v>1057</v>
      </c>
      <c r="F62" s="4">
        <v>45770.590787037036</v>
      </c>
      <c r="G62" s="3" t="str">
        <f>HYPERLINK("https://hawk-eye.atlassian.net/browse/SO-2456?atlOrigin=eyJpIjoiYzgwYTQ0ZjEyNzQzNGJhN2JmNjEyZTM0NmRhZWZhNjIiLCJwIjoic2hlZXRzLWppcmEifQ","SO-2456")</f>
        <v>SO-2456</v>
      </c>
      <c r="H62" s="1" t="s">
        <v>1058</v>
      </c>
      <c r="I62" s="1" t="s">
        <v>1155</v>
      </c>
      <c r="J62" s="1" t="s">
        <v>26</v>
      </c>
      <c r="K62" s="1" t="s">
        <v>1116</v>
      </c>
      <c r="L62" s="1" t="s">
        <v>26</v>
      </c>
      <c r="M62" s="1" t="s">
        <v>27</v>
      </c>
      <c r="N62" s="1" t="s">
        <v>26</v>
      </c>
      <c r="O62" s="1" t="s">
        <v>26</v>
      </c>
      <c r="P62" s="4">
        <v>45770.590787037036</v>
      </c>
    </row>
    <row r="63" hidden="1">
      <c r="A63" s="1" t="s">
        <v>21</v>
      </c>
      <c r="B63" s="3" t="str">
        <f>HYPERLINK("https://hawk-eye.atlassian.net/browse/HWKREPORT-3446?atlOrigin=eyJpIjoiYzgwYTQ0ZjEyNzQzNGJhN2JmNjEyZTM0NmRhZWZhNjIiLCJwIjoic2hlZXRzLWppcmEifQ","HWKREPORT-3446")</f>
        <v>HWKREPORT-3446</v>
      </c>
      <c r="C63" s="1" t="s">
        <v>1156</v>
      </c>
      <c r="D63" s="1" t="s">
        <v>34</v>
      </c>
      <c r="E63" s="1" t="s">
        <v>1057</v>
      </c>
      <c r="F63" s="4">
        <v>45770.81290509259</v>
      </c>
      <c r="G63" s="3" t="str">
        <f t="shared" ref="G63:G66" si="7">HYPERLINK("https://hawk-eye.atlassian.net/browse/?atlOrigin=eyJpIjoiYzgwYTQ0ZjEyNzQzNGJhN2JmNjEyZTM0NmRhZWZhNjIiLCJwIjoic2hlZXRzLWppcmEifQ","")</f>
        <v/>
      </c>
      <c r="H63" s="1" t="s">
        <v>1058</v>
      </c>
      <c r="I63" s="1" t="s">
        <v>1085</v>
      </c>
      <c r="J63" s="1" t="s">
        <v>26</v>
      </c>
      <c r="K63" s="1" t="s">
        <v>1157</v>
      </c>
      <c r="L63" s="1" t="s">
        <v>26</v>
      </c>
      <c r="M63" s="1" t="s">
        <v>27</v>
      </c>
      <c r="N63" s="1" t="s">
        <v>26</v>
      </c>
      <c r="O63" s="1" t="s">
        <v>26</v>
      </c>
      <c r="P63" s="4">
        <v>45770.81292824074</v>
      </c>
    </row>
    <row r="64" hidden="1">
      <c r="A64" s="1" t="s">
        <v>21</v>
      </c>
      <c r="B64" s="3" t="str">
        <f>HYPERLINK("https://hawk-eye.atlassian.net/browse/HWKREPORT-3447?atlOrigin=eyJpIjoiYzgwYTQ0ZjEyNzQzNGJhN2JmNjEyZTM0NmRhZWZhNjIiLCJwIjoic2hlZXRzLWppcmEifQ","HWKREPORT-3447")</f>
        <v>HWKREPORT-3447</v>
      </c>
      <c r="C64" s="1" t="s">
        <v>1158</v>
      </c>
      <c r="D64" s="1" t="s">
        <v>34</v>
      </c>
      <c r="E64" s="1" t="s">
        <v>1057</v>
      </c>
      <c r="F64" s="4">
        <v>45770.834375</v>
      </c>
      <c r="G64" s="3" t="str">
        <f t="shared" si="7"/>
        <v/>
      </c>
      <c r="H64" s="1" t="s">
        <v>1058</v>
      </c>
      <c r="I64" s="1" t="s">
        <v>1085</v>
      </c>
      <c r="J64" s="1" t="s">
        <v>26</v>
      </c>
      <c r="K64" s="1" t="s">
        <v>1157</v>
      </c>
      <c r="L64" s="1" t="s">
        <v>26</v>
      </c>
      <c r="M64" s="1" t="s">
        <v>27</v>
      </c>
      <c r="N64" s="1" t="s">
        <v>26</v>
      </c>
      <c r="O64" s="1" t="s">
        <v>26</v>
      </c>
      <c r="P64" s="4">
        <v>45770.834386574075</v>
      </c>
    </row>
    <row r="65" hidden="1">
      <c r="A65" s="1" t="s">
        <v>1055</v>
      </c>
      <c r="B65" s="3" t="str">
        <f>HYPERLINK("https://hawk-eye.atlassian.net/browse/HWKREPORT-3448?atlOrigin=eyJpIjoiYzgwYTQ0ZjEyNzQzNGJhN2JmNjEyZTM0NmRhZWZhNjIiLCJwIjoic2hlZXRzLWppcmEifQ","HWKREPORT-3448")</f>
        <v>HWKREPORT-3448</v>
      </c>
      <c r="C65" s="1" t="s">
        <v>1159</v>
      </c>
      <c r="D65" s="1" t="s">
        <v>48</v>
      </c>
      <c r="E65" s="1" t="s">
        <v>1057</v>
      </c>
      <c r="F65" s="4">
        <v>45771.41824074074</v>
      </c>
      <c r="G65" s="3" t="str">
        <f t="shared" si="7"/>
        <v/>
      </c>
      <c r="H65" s="1" t="s">
        <v>1058</v>
      </c>
      <c r="I65" s="1" t="s">
        <v>1133</v>
      </c>
      <c r="J65" s="1" t="s">
        <v>26</v>
      </c>
      <c r="K65" s="1" t="s">
        <v>1116</v>
      </c>
      <c r="L65" s="1" t="s">
        <v>26</v>
      </c>
      <c r="M65" s="1" t="s">
        <v>27</v>
      </c>
      <c r="N65" s="1" t="s">
        <v>26</v>
      </c>
      <c r="O65" s="1" t="s">
        <v>26</v>
      </c>
      <c r="P65" s="4">
        <v>45771.41825231481</v>
      </c>
    </row>
    <row r="66" hidden="1">
      <c r="A66" s="1" t="s">
        <v>21</v>
      </c>
      <c r="B66" s="3" t="str">
        <f>HYPERLINK("https://hawk-eye.atlassian.net/browse/HWKREPORT-3449?atlOrigin=eyJpIjoiYzgwYTQ0ZjEyNzQzNGJhN2JmNjEyZTM0NmRhZWZhNjIiLCJwIjoic2hlZXRzLWppcmEifQ","HWKREPORT-3449")</f>
        <v>HWKREPORT-3449</v>
      </c>
      <c r="C66" s="1" t="s">
        <v>1160</v>
      </c>
      <c r="D66" s="1" t="s">
        <v>34</v>
      </c>
      <c r="E66" s="1" t="s">
        <v>1057</v>
      </c>
      <c r="F66" s="4">
        <v>45772.64643518518</v>
      </c>
      <c r="G66" s="3" t="str">
        <f t="shared" si="7"/>
        <v/>
      </c>
      <c r="H66" s="1" t="s">
        <v>1058</v>
      </c>
      <c r="I66" s="1" t="s">
        <v>1151</v>
      </c>
      <c r="J66" s="1" t="s">
        <v>26</v>
      </c>
      <c r="K66" s="1" t="s">
        <v>1161</v>
      </c>
      <c r="L66" s="1" t="s">
        <v>26</v>
      </c>
      <c r="M66" s="1" t="s">
        <v>27</v>
      </c>
      <c r="N66" s="1" t="s">
        <v>26</v>
      </c>
      <c r="O66" s="1" t="s">
        <v>26</v>
      </c>
      <c r="P66" s="4">
        <v>45772.64644675926</v>
      </c>
    </row>
    <row r="67" hidden="1">
      <c r="A67" s="1" t="s">
        <v>21</v>
      </c>
      <c r="B67" s="3" t="str">
        <f>HYPERLINK("https://hawk-eye.atlassian.net/browse/HWKREPORT-3450?atlOrigin=eyJpIjoiYzgwYTQ0ZjEyNzQzNGJhN2JmNjEyZTM0NmRhZWZhNjIiLCJwIjoic2hlZXRzLWppcmEifQ","HWKREPORT-3450")</f>
        <v>HWKREPORT-3450</v>
      </c>
      <c r="C67" s="1" t="s">
        <v>1162</v>
      </c>
      <c r="D67" s="1" t="s">
        <v>23</v>
      </c>
      <c r="E67" s="1" t="s">
        <v>1057</v>
      </c>
      <c r="F67" s="4">
        <v>45775.65561342592</v>
      </c>
      <c r="G67" s="3" t="str">
        <f>HYPERLINK("https://hawk-eye.atlassian.net/browse/RTT-10502?atlOrigin=eyJpIjoiYzgwYTQ0ZjEyNzQzNGJhN2JmNjEyZTM0NmRhZWZhNjIiLCJwIjoic2hlZXRzLWppcmEifQ","RTT-10502")</f>
        <v>RTT-10502</v>
      </c>
      <c r="H67" s="1" t="s">
        <v>1058</v>
      </c>
      <c r="I67" s="1" t="s">
        <v>1085</v>
      </c>
      <c r="J67" s="1" t="s">
        <v>26</v>
      </c>
      <c r="K67" s="1" t="s">
        <v>1072</v>
      </c>
      <c r="L67" s="1" t="s">
        <v>26</v>
      </c>
      <c r="M67" s="1" t="s">
        <v>27</v>
      </c>
      <c r="N67" s="1" t="s">
        <v>26</v>
      </c>
      <c r="O67" s="1" t="s">
        <v>26</v>
      </c>
      <c r="P67" s="4">
        <v>45775.655625</v>
      </c>
    </row>
    <row r="68" hidden="1">
      <c r="A68" s="1" t="s">
        <v>1055</v>
      </c>
      <c r="B68" s="3" t="str">
        <f>HYPERLINK("https://hawk-eye.atlassian.net/browse/HWKREPORT-3451?atlOrigin=eyJpIjoiYzgwYTQ0ZjEyNzQzNGJhN2JmNjEyZTM0NmRhZWZhNjIiLCJwIjoic2hlZXRzLWppcmEifQ","HWKREPORT-3451")</f>
        <v>HWKREPORT-3451</v>
      </c>
      <c r="C68" s="1" t="s">
        <v>1163</v>
      </c>
      <c r="D68" s="1" t="s">
        <v>34</v>
      </c>
      <c r="E68" s="1" t="s">
        <v>1057</v>
      </c>
      <c r="F68" s="4">
        <v>45775.68293981482</v>
      </c>
      <c r="G68" s="3" t="str">
        <f>HYPERLINK("https://hawk-eye.atlassian.net/browse/RTT-10503?atlOrigin=eyJpIjoiYzgwYTQ0ZjEyNzQzNGJhN2JmNjEyZTM0NmRhZWZhNjIiLCJwIjoic2hlZXRzLWppcmEifQ","RTT-10503")</f>
        <v>RTT-10503</v>
      </c>
      <c r="H68" s="1" t="s">
        <v>1058</v>
      </c>
      <c r="I68" s="1" t="s">
        <v>1071</v>
      </c>
      <c r="J68" s="1" t="s">
        <v>26</v>
      </c>
      <c r="K68" s="1" t="s">
        <v>1072</v>
      </c>
      <c r="L68" s="1" t="s">
        <v>26</v>
      </c>
      <c r="M68" s="1" t="s">
        <v>27</v>
      </c>
      <c r="N68" s="1" t="s">
        <v>26</v>
      </c>
      <c r="O68" s="1" t="s">
        <v>26</v>
      </c>
      <c r="P68" s="4">
        <v>45775.68293981482</v>
      </c>
    </row>
    <row r="69" hidden="1">
      <c r="A69" s="1" t="s">
        <v>21</v>
      </c>
      <c r="B69" s="3" t="str">
        <f>HYPERLINK("https://hawk-eye.atlassian.net/browse/HWKREPORT-3452?atlOrigin=eyJpIjoiYzgwYTQ0ZjEyNzQzNGJhN2JmNjEyZTM0NmRhZWZhNjIiLCJwIjoic2hlZXRzLWppcmEifQ","HWKREPORT-3452")</f>
        <v>HWKREPORT-3452</v>
      </c>
      <c r="C69" s="1" t="s">
        <v>1164</v>
      </c>
      <c r="D69" s="1" t="s">
        <v>23</v>
      </c>
      <c r="E69" s="1" t="s">
        <v>1057</v>
      </c>
      <c r="F69" s="4">
        <v>45775.724375</v>
      </c>
      <c r="G69" s="3" t="str">
        <f t="shared" ref="G69:G71" si="8">HYPERLINK("https://hawk-eye.atlassian.net/browse/?atlOrigin=eyJpIjoiYzgwYTQ0ZjEyNzQzNGJhN2JmNjEyZTM0NmRhZWZhNjIiLCJwIjoic2hlZXRzLWppcmEifQ","")</f>
        <v/>
      </c>
      <c r="H69" s="1" t="s">
        <v>1058</v>
      </c>
      <c r="I69" s="1" t="s">
        <v>1085</v>
      </c>
      <c r="J69" s="1" t="s">
        <v>26</v>
      </c>
      <c r="K69" s="1" t="s">
        <v>1157</v>
      </c>
      <c r="L69" s="1" t="s">
        <v>26</v>
      </c>
      <c r="M69" s="1" t="s">
        <v>27</v>
      </c>
      <c r="N69" s="1" t="s">
        <v>26</v>
      </c>
      <c r="O69" s="1" t="s">
        <v>26</v>
      </c>
      <c r="P69" s="4">
        <v>45775.724375</v>
      </c>
    </row>
    <row r="70" hidden="1">
      <c r="A70" s="1" t="s">
        <v>21</v>
      </c>
      <c r="B70" s="3" t="str">
        <f>HYPERLINK("https://hawk-eye.atlassian.net/browse/HWKREPORT-3453?atlOrigin=eyJpIjoiYzgwYTQ0ZjEyNzQzNGJhN2JmNjEyZTM0NmRhZWZhNjIiLCJwIjoic2hlZXRzLWppcmEifQ","HWKREPORT-3453")</f>
        <v>HWKREPORT-3453</v>
      </c>
      <c r="C70" s="1" t="s">
        <v>1165</v>
      </c>
      <c r="D70" s="1" t="s">
        <v>83</v>
      </c>
      <c r="E70" s="1" t="s">
        <v>1057</v>
      </c>
      <c r="F70" s="4">
        <v>45775.732395833336</v>
      </c>
      <c r="G70" s="3" t="str">
        <f t="shared" si="8"/>
        <v/>
      </c>
      <c r="H70" s="1" t="s">
        <v>1058</v>
      </c>
      <c r="I70" s="1" t="s">
        <v>1085</v>
      </c>
      <c r="J70" s="1" t="s">
        <v>26</v>
      </c>
      <c r="K70" s="1" t="s">
        <v>1157</v>
      </c>
      <c r="L70" s="1" t="s">
        <v>26</v>
      </c>
      <c r="M70" s="1" t="s">
        <v>27</v>
      </c>
      <c r="N70" s="1" t="s">
        <v>26</v>
      </c>
      <c r="O70" s="1" t="s">
        <v>26</v>
      </c>
      <c r="P70" s="4">
        <v>45775.732395833336</v>
      </c>
    </row>
    <row r="71" hidden="1">
      <c r="A71" s="1" t="s">
        <v>21</v>
      </c>
      <c r="B71" s="3" t="str">
        <f>HYPERLINK("https://hawk-eye.atlassian.net/browse/HWKREPORT-3454?atlOrigin=eyJpIjoiYzgwYTQ0ZjEyNzQzNGJhN2JmNjEyZTM0NmRhZWZhNjIiLCJwIjoic2hlZXRzLWppcmEifQ","HWKREPORT-3454")</f>
        <v>HWKREPORT-3454</v>
      </c>
      <c r="C71" s="1" t="s">
        <v>1166</v>
      </c>
      <c r="D71" s="1" t="s">
        <v>23</v>
      </c>
      <c r="E71" s="1" t="s">
        <v>1057</v>
      </c>
      <c r="F71" s="4">
        <v>45775.89324074074</v>
      </c>
      <c r="G71" s="3" t="str">
        <f t="shared" si="8"/>
        <v/>
      </c>
      <c r="H71" s="1" t="s">
        <v>1058</v>
      </c>
      <c r="I71" s="1" t="s">
        <v>1151</v>
      </c>
      <c r="J71" s="1" t="s">
        <v>26</v>
      </c>
      <c r="K71" s="1" t="s">
        <v>1167</v>
      </c>
      <c r="L71" s="1" t="s">
        <v>26</v>
      </c>
      <c r="M71" s="1" t="s">
        <v>27</v>
      </c>
      <c r="N71" s="1" t="s">
        <v>26</v>
      </c>
      <c r="O71" s="1" t="s">
        <v>26</v>
      </c>
      <c r="P71" s="4">
        <v>45775.89325231482</v>
      </c>
    </row>
    <row r="72" hidden="1">
      <c r="A72" s="1" t="s">
        <v>1055</v>
      </c>
      <c r="B72" s="3" t="str">
        <f>HYPERLINK("https://hawk-eye.atlassian.net/browse/HWKREPORT-3455?atlOrigin=eyJpIjoiYzgwYTQ0ZjEyNzQzNGJhN2JmNjEyZTM0NmRhZWZhNjIiLCJwIjoic2hlZXRzLWppcmEifQ","HWKREPORT-3455")</f>
        <v>HWKREPORT-3455</v>
      </c>
      <c r="C72" s="1" t="s">
        <v>1168</v>
      </c>
      <c r="D72" s="1" t="s">
        <v>23</v>
      </c>
      <c r="E72" s="1" t="s">
        <v>1057</v>
      </c>
      <c r="F72" s="4">
        <v>45776.60202546296</v>
      </c>
      <c r="G72" s="3" t="str">
        <f>HYPERLINK("https://hawk-eye.atlassian.net/browse/AT-1817?atlOrigin=eyJpIjoiYzgwYTQ0ZjEyNzQzNGJhN2JmNjEyZTM0NmRhZWZhNjIiLCJwIjoic2hlZXRzLWppcmEifQ","AT-1817")</f>
        <v>AT-1817</v>
      </c>
      <c r="H72" s="1" t="s">
        <v>1058</v>
      </c>
      <c r="I72" s="1" t="s">
        <v>1082</v>
      </c>
      <c r="J72" s="1" t="s">
        <v>26</v>
      </c>
      <c r="K72" s="1" t="s">
        <v>26</v>
      </c>
      <c r="L72" s="1" t="s">
        <v>26</v>
      </c>
      <c r="M72" s="1" t="s">
        <v>27</v>
      </c>
      <c r="N72" s="1" t="s">
        <v>26</v>
      </c>
      <c r="O72" s="1" t="s">
        <v>26</v>
      </c>
      <c r="P72" s="4">
        <v>45776.60202546296</v>
      </c>
    </row>
    <row r="73" hidden="1">
      <c r="A73" s="1" t="s">
        <v>21</v>
      </c>
      <c r="B73" s="3" t="str">
        <f>HYPERLINK("https://hawk-eye.atlassian.net/browse/HWKREPORT-3456?atlOrigin=eyJpIjoiYzgwYTQ0ZjEyNzQzNGJhN2JmNjEyZTM0NmRhZWZhNjIiLCJwIjoic2hlZXRzLWppcmEifQ","HWKREPORT-3456")</f>
        <v>HWKREPORT-3456</v>
      </c>
      <c r="C73" s="1" t="s">
        <v>1169</v>
      </c>
      <c r="D73" s="1" t="s">
        <v>34</v>
      </c>
      <c r="E73" s="1" t="s">
        <v>1057</v>
      </c>
      <c r="F73" s="4">
        <v>45776.621469907404</v>
      </c>
      <c r="G73" s="3" t="str">
        <f>HYPERLINK("https://hawk-eye.atlassian.net/browse/?atlOrigin=eyJpIjoiYzgwYTQ0ZjEyNzQzNGJhN2JmNjEyZTM0NmRhZWZhNjIiLCJwIjoic2hlZXRzLWppcmEifQ","")</f>
        <v/>
      </c>
      <c r="H73" s="1" t="s">
        <v>1058</v>
      </c>
      <c r="I73" s="1" t="s">
        <v>1059</v>
      </c>
      <c r="J73" s="1" t="s">
        <v>26</v>
      </c>
      <c r="K73" s="1" t="s">
        <v>1116</v>
      </c>
      <c r="L73" s="1" t="s">
        <v>26</v>
      </c>
      <c r="M73" s="1" t="s">
        <v>27</v>
      </c>
      <c r="N73" s="1" t="s">
        <v>26</v>
      </c>
      <c r="O73" s="1" t="s">
        <v>26</v>
      </c>
      <c r="P73" s="4">
        <v>45776.621469907404</v>
      </c>
    </row>
    <row r="74" hidden="1">
      <c r="A74" s="1" t="s">
        <v>21</v>
      </c>
      <c r="B74" s="3" t="str">
        <f>HYPERLINK("https://hawk-eye.atlassian.net/browse/HWKREPORT-3457?atlOrigin=eyJpIjoiYzgwYTQ0ZjEyNzQzNGJhN2JmNjEyZTM0NmRhZWZhNjIiLCJwIjoic2hlZXRzLWppcmEifQ","HWKREPORT-3457")</f>
        <v>HWKREPORT-3457</v>
      </c>
      <c r="C74" s="1" t="s">
        <v>1170</v>
      </c>
      <c r="D74" s="1" t="s">
        <v>34</v>
      </c>
      <c r="E74" s="1" t="s">
        <v>1057</v>
      </c>
      <c r="F74" s="4">
        <v>45776.74188657408</v>
      </c>
      <c r="G74" s="3" t="str">
        <f>HYPERLINK("https://hawk-eye.atlassian.net/browse/RTT-10523?atlOrigin=eyJpIjoiYzgwYTQ0ZjEyNzQzNGJhN2JmNjEyZTM0NmRhZWZhNjIiLCJwIjoic2hlZXRzLWppcmEifQ","RTT-10523")</f>
        <v>RTT-10523</v>
      </c>
      <c r="H74" s="1" t="s">
        <v>1058</v>
      </c>
      <c r="I74" s="1" t="s">
        <v>1071</v>
      </c>
      <c r="J74" s="1" t="s">
        <v>26</v>
      </c>
      <c r="K74" s="1" t="s">
        <v>1072</v>
      </c>
      <c r="L74" s="1" t="s">
        <v>26</v>
      </c>
      <c r="M74" s="1" t="s">
        <v>27</v>
      </c>
      <c r="N74" s="1" t="s">
        <v>26</v>
      </c>
      <c r="O74" s="1" t="s">
        <v>26</v>
      </c>
      <c r="P74" s="4">
        <v>45776.74188657408</v>
      </c>
    </row>
    <row r="75" hidden="1">
      <c r="A75" s="1" t="s">
        <v>1055</v>
      </c>
      <c r="B75" s="3" t="str">
        <f>HYPERLINK("https://hawk-eye.atlassian.net/browse/HWKREPORT-3458?atlOrigin=eyJpIjoiYzgwYTQ0ZjEyNzQzNGJhN2JmNjEyZTM0NmRhZWZhNjIiLCJwIjoic2hlZXRzLWppcmEifQ","HWKREPORT-3458")</f>
        <v>HWKREPORT-3458</v>
      </c>
      <c r="C75" s="1" t="s">
        <v>1171</v>
      </c>
      <c r="D75" s="1" t="s">
        <v>48</v>
      </c>
      <c r="E75" s="1" t="s">
        <v>1057</v>
      </c>
      <c r="F75" s="4">
        <v>45777.42940972222</v>
      </c>
      <c r="G75" s="3" t="str">
        <f>HYPERLINK("https://hawk-eye.atlassian.net/browse/SO-2471?atlOrigin=eyJpIjoiYzgwYTQ0ZjEyNzQzNGJhN2JmNjEyZTM0NmRhZWZhNjIiLCJwIjoic2hlZXRzLWppcmEifQ","SO-2471")</f>
        <v>SO-2471</v>
      </c>
      <c r="H75" s="1" t="s">
        <v>1058</v>
      </c>
      <c r="I75" s="1" t="s">
        <v>1085</v>
      </c>
      <c r="J75" s="1" t="s">
        <v>26</v>
      </c>
      <c r="K75" s="1" t="s">
        <v>1116</v>
      </c>
      <c r="L75" s="1" t="s">
        <v>26</v>
      </c>
      <c r="M75" s="1" t="s">
        <v>27</v>
      </c>
      <c r="N75" s="1" t="s">
        <v>26</v>
      </c>
      <c r="O75" s="1" t="s">
        <v>26</v>
      </c>
      <c r="P75" s="4">
        <v>45777.42940972222</v>
      </c>
    </row>
    <row r="76" hidden="1">
      <c r="A76" s="1" t="s">
        <v>1055</v>
      </c>
      <c r="B76" s="3" t="str">
        <f>HYPERLINK("https://hawk-eye.atlassian.net/browse/HWKREPORT-3459?atlOrigin=eyJpIjoiYzgwYTQ0ZjEyNzQzNGJhN2JmNjEyZTM0NmRhZWZhNjIiLCJwIjoic2hlZXRzLWppcmEifQ","HWKREPORT-3459")</f>
        <v>HWKREPORT-3459</v>
      </c>
      <c r="C76" s="1" t="s">
        <v>1172</v>
      </c>
      <c r="D76" s="1" t="s">
        <v>48</v>
      </c>
      <c r="E76" s="1" t="s">
        <v>1057</v>
      </c>
      <c r="F76" s="4">
        <v>45777.673796296294</v>
      </c>
      <c r="G76" s="3" t="str">
        <f t="shared" ref="G76:G97" si="9">HYPERLINK("https://hawk-eye.atlassian.net/browse/?atlOrigin=eyJpIjoiYzgwYTQ0ZjEyNzQzNGJhN2JmNjEyZTM0NmRhZWZhNjIiLCJwIjoic2hlZXRzLWppcmEifQ","")</f>
        <v/>
      </c>
      <c r="H76" s="1" t="s">
        <v>1058</v>
      </c>
      <c r="I76" s="1" t="s">
        <v>1082</v>
      </c>
      <c r="J76" s="1" t="s">
        <v>26</v>
      </c>
      <c r="K76" s="1" t="s">
        <v>1173</v>
      </c>
      <c r="L76" s="1" t="s">
        <v>26</v>
      </c>
      <c r="M76" s="1" t="s">
        <v>27</v>
      </c>
      <c r="N76" s="1" t="s">
        <v>26</v>
      </c>
      <c r="O76" s="1" t="s">
        <v>26</v>
      </c>
      <c r="P76" s="4">
        <v>45777.673796296294</v>
      </c>
    </row>
    <row r="77" hidden="1">
      <c r="A77" s="1" t="s">
        <v>1055</v>
      </c>
      <c r="B77" s="3" t="str">
        <f>HYPERLINK("https://hawk-eye.atlassian.net/browse/HWKREPORT-3460?atlOrigin=eyJpIjoiYzgwYTQ0ZjEyNzQzNGJhN2JmNjEyZTM0NmRhZWZhNjIiLCJwIjoic2hlZXRzLWppcmEifQ","HWKREPORT-3460")</f>
        <v>HWKREPORT-3460</v>
      </c>
      <c r="C77" s="1" t="s">
        <v>1174</v>
      </c>
      <c r="D77" s="1" t="s">
        <v>48</v>
      </c>
      <c r="E77" s="1" t="s">
        <v>1057</v>
      </c>
      <c r="F77" s="4">
        <v>45777.788402777776</v>
      </c>
      <c r="G77" s="3" t="str">
        <f t="shared" si="9"/>
        <v/>
      </c>
      <c r="H77" s="1" t="s">
        <v>1058</v>
      </c>
      <c r="I77" s="1" t="s">
        <v>1085</v>
      </c>
      <c r="J77" s="1" t="s">
        <v>26</v>
      </c>
      <c r="K77" s="1" t="s">
        <v>1157</v>
      </c>
      <c r="L77" s="1" t="s">
        <v>26</v>
      </c>
      <c r="M77" s="1" t="s">
        <v>27</v>
      </c>
      <c r="N77" s="1" t="s">
        <v>26</v>
      </c>
      <c r="O77" s="1" t="s">
        <v>26</v>
      </c>
      <c r="P77" s="4">
        <v>45777.788402777776</v>
      </c>
    </row>
    <row r="78" hidden="1">
      <c r="A78" s="1" t="s">
        <v>1055</v>
      </c>
      <c r="B78" s="3" t="str">
        <f>HYPERLINK("https://hawk-eye.atlassian.net/browse/HWKREPORT-3461?atlOrigin=eyJpIjoiYzgwYTQ0ZjEyNzQzNGJhN2JmNjEyZTM0NmRhZWZhNjIiLCJwIjoic2hlZXRzLWppcmEifQ","HWKREPORT-3461")</f>
        <v>HWKREPORT-3461</v>
      </c>
      <c r="C78" s="1" t="s">
        <v>1175</v>
      </c>
      <c r="D78" s="1" t="s">
        <v>48</v>
      </c>
      <c r="E78" s="1" t="s">
        <v>1057</v>
      </c>
      <c r="F78" s="4">
        <v>45777.80122685185</v>
      </c>
      <c r="G78" s="3" t="str">
        <f t="shared" si="9"/>
        <v/>
      </c>
      <c r="H78" s="1" t="s">
        <v>1058</v>
      </c>
      <c r="I78" s="1" t="s">
        <v>1085</v>
      </c>
      <c r="J78" s="1" t="s">
        <v>26</v>
      </c>
      <c r="K78" s="1" t="s">
        <v>1157</v>
      </c>
      <c r="L78" s="1" t="s">
        <v>26</v>
      </c>
      <c r="M78" s="1" t="s">
        <v>27</v>
      </c>
      <c r="N78" s="1" t="s">
        <v>26</v>
      </c>
      <c r="O78" s="1" t="s">
        <v>26</v>
      </c>
      <c r="P78" s="4">
        <v>45777.80123842593</v>
      </c>
    </row>
    <row r="79" hidden="1">
      <c r="A79" s="1" t="s">
        <v>1055</v>
      </c>
      <c r="B79" s="3" t="str">
        <f>HYPERLINK("https://hawk-eye.atlassian.net/browse/HWKREPORT-3462?atlOrigin=eyJpIjoiYzgwYTQ0ZjEyNzQzNGJhN2JmNjEyZTM0NmRhZWZhNjIiLCJwIjoic2hlZXRzLWppcmEifQ","HWKREPORT-3462")</f>
        <v>HWKREPORT-3462</v>
      </c>
      <c r="C79" s="1" t="s">
        <v>1176</v>
      </c>
      <c r="D79" s="1" t="s">
        <v>48</v>
      </c>
      <c r="E79" s="1" t="s">
        <v>1057</v>
      </c>
      <c r="F79" s="4">
        <v>45777.80868055556</v>
      </c>
      <c r="G79" s="3" t="str">
        <f t="shared" si="9"/>
        <v/>
      </c>
      <c r="H79" s="1" t="s">
        <v>1058</v>
      </c>
      <c r="I79" s="1" t="s">
        <v>1085</v>
      </c>
      <c r="J79" s="1" t="s">
        <v>26</v>
      </c>
      <c r="K79" s="1" t="s">
        <v>1157</v>
      </c>
      <c r="L79" s="1" t="s">
        <v>26</v>
      </c>
      <c r="M79" s="1" t="s">
        <v>27</v>
      </c>
      <c r="N79" s="1" t="s">
        <v>26</v>
      </c>
      <c r="O79" s="1" t="s">
        <v>26</v>
      </c>
      <c r="P79" s="4">
        <v>45777.80868055556</v>
      </c>
    </row>
    <row r="80" hidden="1">
      <c r="A80" s="1" t="s">
        <v>1055</v>
      </c>
      <c r="B80" s="3" t="str">
        <f>HYPERLINK("https://hawk-eye.atlassian.net/browse/HWKREPORT-3463?atlOrigin=eyJpIjoiYzgwYTQ0ZjEyNzQzNGJhN2JmNjEyZTM0NmRhZWZhNjIiLCJwIjoic2hlZXRzLWppcmEifQ","HWKREPORT-3463")</f>
        <v>HWKREPORT-3463</v>
      </c>
      <c r="C80" s="1" t="s">
        <v>1177</v>
      </c>
      <c r="D80" s="1" t="s">
        <v>48</v>
      </c>
      <c r="E80" s="1" t="s">
        <v>1057</v>
      </c>
      <c r="F80" s="4">
        <v>45778.80638888889</v>
      </c>
      <c r="G80" s="3" t="str">
        <f t="shared" si="9"/>
        <v/>
      </c>
      <c r="H80" s="1" t="s">
        <v>1058</v>
      </c>
      <c r="I80" s="1" t="s">
        <v>1178</v>
      </c>
      <c r="J80" s="1" t="s">
        <v>26</v>
      </c>
      <c r="K80" s="1" t="s">
        <v>1179</v>
      </c>
      <c r="L80" s="1" t="s">
        <v>26</v>
      </c>
      <c r="M80" s="1" t="s">
        <v>27</v>
      </c>
      <c r="N80" s="1" t="s">
        <v>26</v>
      </c>
      <c r="O80" s="1" t="s">
        <v>26</v>
      </c>
      <c r="P80" s="4">
        <v>45778.80640046296</v>
      </c>
    </row>
    <row r="81" hidden="1">
      <c r="A81" s="1" t="s">
        <v>1055</v>
      </c>
      <c r="B81" s="3" t="str">
        <f>HYPERLINK("https://hawk-eye.atlassian.net/browse/HWKREPORT-3464?atlOrigin=eyJpIjoiYzgwYTQ0ZjEyNzQzNGJhN2JmNjEyZTM0NmRhZWZhNjIiLCJwIjoic2hlZXRzLWppcmEifQ","HWKREPORT-3464")</f>
        <v>HWKREPORT-3464</v>
      </c>
      <c r="C81" s="1" t="s">
        <v>1180</v>
      </c>
      <c r="D81" s="1" t="s">
        <v>48</v>
      </c>
      <c r="E81" s="1" t="s">
        <v>1057</v>
      </c>
      <c r="F81" s="4">
        <v>45779.591145833336</v>
      </c>
      <c r="G81" s="3" t="str">
        <f t="shared" si="9"/>
        <v/>
      </c>
      <c r="H81" s="1" t="s">
        <v>1058</v>
      </c>
      <c r="I81" s="1" t="s">
        <v>1085</v>
      </c>
      <c r="J81" s="1" t="s">
        <v>26</v>
      </c>
      <c r="K81" s="1" t="s">
        <v>1157</v>
      </c>
      <c r="L81" s="1" t="s">
        <v>26</v>
      </c>
      <c r="M81" s="1" t="s">
        <v>27</v>
      </c>
      <c r="N81" s="1" t="s">
        <v>26</v>
      </c>
      <c r="O81" s="1" t="s">
        <v>26</v>
      </c>
      <c r="P81" s="4">
        <v>45779.591145833336</v>
      </c>
    </row>
    <row r="82" hidden="1">
      <c r="A82" s="1" t="s">
        <v>1055</v>
      </c>
      <c r="B82" s="3" t="str">
        <f>HYPERLINK("https://hawk-eye.atlassian.net/browse/HWKREPORT-3465?atlOrigin=eyJpIjoiYzgwYTQ0ZjEyNzQzNGJhN2JmNjEyZTM0NmRhZWZhNjIiLCJwIjoic2hlZXRzLWppcmEifQ","HWKREPORT-3465")</f>
        <v>HWKREPORT-3465</v>
      </c>
      <c r="C82" s="1" t="s">
        <v>1181</v>
      </c>
      <c r="D82" s="1" t="s">
        <v>48</v>
      </c>
      <c r="E82" s="1" t="s">
        <v>1057</v>
      </c>
      <c r="F82" s="4">
        <v>45779.597708333335</v>
      </c>
      <c r="G82" s="3" t="str">
        <f t="shared" si="9"/>
        <v/>
      </c>
      <c r="H82" s="1" t="s">
        <v>1058</v>
      </c>
      <c r="I82" s="1" t="s">
        <v>1085</v>
      </c>
      <c r="J82" s="1" t="s">
        <v>26</v>
      </c>
      <c r="K82" s="1" t="s">
        <v>1157</v>
      </c>
      <c r="L82" s="1" t="s">
        <v>26</v>
      </c>
      <c r="M82" s="1" t="s">
        <v>27</v>
      </c>
      <c r="N82" s="1" t="s">
        <v>26</v>
      </c>
      <c r="O82" s="1" t="s">
        <v>26</v>
      </c>
      <c r="P82" s="4">
        <v>45779.597719907404</v>
      </c>
    </row>
    <row r="83" hidden="1">
      <c r="A83" s="1" t="s">
        <v>1055</v>
      </c>
      <c r="B83" s="3" t="str">
        <f>HYPERLINK("https://hawk-eye.atlassian.net/browse/HWKREPORT-3466?atlOrigin=eyJpIjoiYzgwYTQ0ZjEyNzQzNGJhN2JmNjEyZTM0NmRhZWZhNjIiLCJwIjoic2hlZXRzLWppcmEifQ","HWKREPORT-3466")</f>
        <v>HWKREPORT-3466</v>
      </c>
      <c r="C83" s="1" t="s">
        <v>1182</v>
      </c>
      <c r="D83" s="1" t="s">
        <v>48</v>
      </c>
      <c r="E83" s="1" t="s">
        <v>1057</v>
      </c>
      <c r="F83" s="4">
        <v>45779.6062962963</v>
      </c>
      <c r="G83" s="3" t="str">
        <f t="shared" si="9"/>
        <v/>
      </c>
      <c r="H83" s="1" t="s">
        <v>1058</v>
      </c>
      <c r="I83" s="1" t="s">
        <v>1085</v>
      </c>
      <c r="J83" s="1" t="s">
        <v>26</v>
      </c>
      <c r="K83" s="1" t="s">
        <v>1157</v>
      </c>
      <c r="L83" s="1" t="s">
        <v>26</v>
      </c>
      <c r="M83" s="1" t="s">
        <v>27</v>
      </c>
      <c r="N83" s="1" t="s">
        <v>26</v>
      </c>
      <c r="O83" s="1" t="s">
        <v>26</v>
      </c>
      <c r="P83" s="4">
        <v>45779.6062962963</v>
      </c>
    </row>
    <row r="84" hidden="1">
      <c r="A84" s="1" t="s">
        <v>21</v>
      </c>
      <c r="B84" s="3" t="str">
        <f>HYPERLINK("https://hawk-eye.atlassian.net/browse/HWKREPORT-3467?atlOrigin=eyJpIjoiYzgwYTQ0ZjEyNzQzNGJhN2JmNjEyZTM0NmRhZWZhNjIiLCJwIjoic2hlZXRzLWppcmEifQ","HWKREPORT-3467")</f>
        <v>HWKREPORT-3467</v>
      </c>
      <c r="C84" s="1" t="s">
        <v>1183</v>
      </c>
      <c r="D84" s="1" t="s">
        <v>40</v>
      </c>
      <c r="E84" s="1" t="s">
        <v>1057</v>
      </c>
      <c r="F84" s="4">
        <v>45779.63631944444</v>
      </c>
      <c r="G84" s="3" t="str">
        <f t="shared" si="9"/>
        <v/>
      </c>
      <c r="H84" s="1" t="s">
        <v>1058</v>
      </c>
      <c r="I84" s="1" t="s">
        <v>1071</v>
      </c>
      <c r="J84" s="1" t="s">
        <v>26</v>
      </c>
      <c r="K84" s="1" t="s">
        <v>1072</v>
      </c>
      <c r="L84" s="1" t="s">
        <v>26</v>
      </c>
      <c r="M84" s="1" t="s">
        <v>27</v>
      </c>
      <c r="N84" s="1" t="s">
        <v>26</v>
      </c>
      <c r="O84" s="1" t="s">
        <v>26</v>
      </c>
      <c r="P84" s="4">
        <v>45779.63633101852</v>
      </c>
    </row>
    <row r="85" hidden="1">
      <c r="A85" s="1" t="s">
        <v>21</v>
      </c>
      <c r="B85" s="3" t="str">
        <f>HYPERLINK("https://hawk-eye.atlassian.net/browse/HWKREPORT-3468?atlOrigin=eyJpIjoiYzgwYTQ0ZjEyNzQzNGJhN2JmNjEyZTM0NmRhZWZhNjIiLCJwIjoic2hlZXRzLWppcmEifQ","HWKREPORT-3468")</f>
        <v>HWKREPORT-3468</v>
      </c>
      <c r="C85" s="1" t="s">
        <v>1184</v>
      </c>
      <c r="D85" s="1" t="s">
        <v>40</v>
      </c>
      <c r="E85" s="1" t="s">
        <v>1057</v>
      </c>
      <c r="F85" s="4">
        <v>45779.63995370371</v>
      </c>
      <c r="G85" s="3" t="str">
        <f t="shared" si="9"/>
        <v/>
      </c>
      <c r="H85" s="1" t="s">
        <v>1058</v>
      </c>
      <c r="I85" s="1" t="s">
        <v>1071</v>
      </c>
      <c r="J85" s="1" t="s">
        <v>26</v>
      </c>
      <c r="K85" s="1" t="s">
        <v>1072</v>
      </c>
      <c r="L85" s="1" t="s">
        <v>26</v>
      </c>
      <c r="M85" s="1" t="s">
        <v>27</v>
      </c>
      <c r="N85" s="1" t="s">
        <v>26</v>
      </c>
      <c r="O85" s="1" t="s">
        <v>26</v>
      </c>
      <c r="P85" s="4">
        <v>45779.639965277776</v>
      </c>
    </row>
    <row r="86" hidden="1">
      <c r="A86" s="1" t="s">
        <v>21</v>
      </c>
      <c r="B86" s="3" t="str">
        <f>HYPERLINK("https://hawk-eye.atlassian.net/browse/HWKREPORT-3469?atlOrigin=eyJpIjoiYzgwYTQ0ZjEyNzQzNGJhN2JmNjEyZTM0NmRhZWZhNjIiLCJwIjoic2hlZXRzLWppcmEifQ","HWKREPORT-3469")</f>
        <v>HWKREPORT-3469</v>
      </c>
      <c r="C86" s="1" t="s">
        <v>1185</v>
      </c>
      <c r="D86" s="1" t="s">
        <v>34</v>
      </c>
      <c r="E86" s="1" t="s">
        <v>1057</v>
      </c>
      <c r="F86" s="4">
        <v>45781.79888888889</v>
      </c>
      <c r="G86" s="3" t="str">
        <f t="shared" si="9"/>
        <v/>
      </c>
      <c r="H86" s="1" t="s">
        <v>1058</v>
      </c>
      <c r="I86" s="1" t="s">
        <v>1151</v>
      </c>
      <c r="J86" s="1" t="s">
        <v>26</v>
      </c>
      <c r="K86" s="1" t="s">
        <v>1060</v>
      </c>
      <c r="L86" s="1" t="s">
        <v>26</v>
      </c>
      <c r="M86" s="1" t="s">
        <v>27</v>
      </c>
      <c r="N86" s="1" t="s">
        <v>26</v>
      </c>
      <c r="O86" s="1" t="s">
        <v>26</v>
      </c>
      <c r="P86" s="4">
        <v>45781.79890046296</v>
      </c>
    </row>
    <row r="87" hidden="1">
      <c r="A87" s="1" t="s">
        <v>21</v>
      </c>
      <c r="B87" s="3" t="str">
        <f>HYPERLINK("https://hawk-eye.atlassian.net/browse/HWKREPORT-3470?atlOrigin=eyJpIjoiYzgwYTQ0ZjEyNzQzNGJhN2JmNjEyZTM0NmRhZWZhNjIiLCJwIjoic2hlZXRzLWppcmEifQ","HWKREPORT-3470")</f>
        <v>HWKREPORT-3470</v>
      </c>
      <c r="C87" s="1" t="s">
        <v>1186</v>
      </c>
      <c r="D87" s="1" t="s">
        <v>83</v>
      </c>
      <c r="E87" s="1" t="s">
        <v>1057</v>
      </c>
      <c r="F87" s="4">
        <v>45781.80079861111</v>
      </c>
      <c r="G87" s="3" t="str">
        <f t="shared" si="9"/>
        <v/>
      </c>
      <c r="H87" s="1" t="s">
        <v>1058</v>
      </c>
      <c r="I87" s="1" t="s">
        <v>1151</v>
      </c>
      <c r="J87" s="1" t="s">
        <v>26</v>
      </c>
      <c r="K87" s="1" t="s">
        <v>1060</v>
      </c>
      <c r="L87" s="1" t="s">
        <v>26</v>
      </c>
      <c r="M87" s="1" t="s">
        <v>27</v>
      </c>
      <c r="N87" s="1" t="s">
        <v>26</v>
      </c>
      <c r="O87" s="1" t="s">
        <v>26</v>
      </c>
      <c r="P87" s="4">
        <v>45781.80081018519</v>
      </c>
    </row>
    <row r="88" hidden="1">
      <c r="A88" s="1" t="s">
        <v>1055</v>
      </c>
      <c r="B88" s="3" t="str">
        <f>HYPERLINK("https://hawk-eye.atlassian.net/browse/HWKREPORT-3471?atlOrigin=eyJpIjoiYzgwYTQ0ZjEyNzQzNGJhN2JmNjEyZTM0NmRhZWZhNjIiLCJwIjoic2hlZXRzLWppcmEifQ","HWKREPORT-3471")</f>
        <v>HWKREPORT-3471</v>
      </c>
      <c r="C88" s="1" t="s">
        <v>1187</v>
      </c>
      <c r="D88" s="1" t="s">
        <v>48</v>
      </c>
      <c r="E88" s="1" t="s">
        <v>1057</v>
      </c>
      <c r="F88" s="4">
        <v>45781.80302083334</v>
      </c>
      <c r="G88" s="3" t="str">
        <f t="shared" si="9"/>
        <v/>
      </c>
      <c r="H88" s="1" t="s">
        <v>1058</v>
      </c>
      <c r="I88" s="1" t="s">
        <v>1151</v>
      </c>
      <c r="J88" s="1" t="s">
        <v>26</v>
      </c>
      <c r="K88" s="1" t="s">
        <v>1060</v>
      </c>
      <c r="L88" s="1" t="s">
        <v>26</v>
      </c>
      <c r="M88" s="1" t="s">
        <v>27</v>
      </c>
      <c r="N88" s="1" t="s">
        <v>26</v>
      </c>
      <c r="O88" s="1" t="s">
        <v>26</v>
      </c>
      <c r="P88" s="4">
        <v>45781.803032407406</v>
      </c>
    </row>
    <row r="89" hidden="1">
      <c r="A89" s="1" t="s">
        <v>21</v>
      </c>
      <c r="B89" s="3" t="str">
        <f>HYPERLINK("https://hawk-eye.atlassian.net/browse/HWKREPORT-3472?atlOrigin=eyJpIjoiYzgwYTQ0ZjEyNzQzNGJhN2JmNjEyZTM0NmRhZWZhNjIiLCJwIjoic2hlZXRzLWppcmEifQ","HWKREPORT-3472")</f>
        <v>HWKREPORT-3472</v>
      </c>
      <c r="C89" s="1" t="s">
        <v>1188</v>
      </c>
      <c r="D89" s="1" t="s">
        <v>40</v>
      </c>
      <c r="E89" s="1" t="s">
        <v>1057</v>
      </c>
      <c r="F89" s="4">
        <v>45781.80674768519</v>
      </c>
      <c r="G89" s="3" t="str">
        <f t="shared" si="9"/>
        <v/>
      </c>
      <c r="H89" s="1" t="s">
        <v>1058</v>
      </c>
      <c r="I89" s="1" t="s">
        <v>1151</v>
      </c>
      <c r="J89" s="1" t="s">
        <v>26</v>
      </c>
      <c r="K89" s="1" t="s">
        <v>1060</v>
      </c>
      <c r="L89" s="1" t="s">
        <v>26</v>
      </c>
      <c r="M89" s="1" t="s">
        <v>27</v>
      </c>
      <c r="N89" s="1" t="s">
        <v>26</v>
      </c>
      <c r="O89" s="1" t="s">
        <v>26</v>
      </c>
      <c r="P89" s="4">
        <v>45781.806759259256</v>
      </c>
    </row>
    <row r="90" hidden="1">
      <c r="A90" s="1" t="s">
        <v>21</v>
      </c>
      <c r="B90" s="3" t="str">
        <f>HYPERLINK("https://hawk-eye.atlassian.net/browse/HWKREPORT-3473?atlOrigin=eyJpIjoiYzgwYTQ0ZjEyNzQzNGJhN2JmNjEyZTM0NmRhZWZhNjIiLCJwIjoic2hlZXRzLWppcmEifQ","HWKREPORT-3473")</f>
        <v>HWKREPORT-3473</v>
      </c>
      <c r="C90" s="1" t="s">
        <v>1189</v>
      </c>
      <c r="D90" s="1" t="s">
        <v>34</v>
      </c>
      <c r="E90" s="1" t="s">
        <v>1057</v>
      </c>
      <c r="F90" s="4">
        <v>45781.80988425926</v>
      </c>
      <c r="G90" s="3" t="str">
        <f t="shared" si="9"/>
        <v/>
      </c>
      <c r="H90" s="1" t="s">
        <v>1058</v>
      </c>
      <c r="I90" s="1" t="s">
        <v>1151</v>
      </c>
      <c r="J90" s="1" t="s">
        <v>26</v>
      </c>
      <c r="K90" s="1" t="s">
        <v>1179</v>
      </c>
      <c r="L90" s="1" t="s">
        <v>26</v>
      </c>
      <c r="M90" s="1" t="s">
        <v>27</v>
      </c>
      <c r="N90" s="1" t="s">
        <v>26</v>
      </c>
      <c r="O90" s="1" t="s">
        <v>26</v>
      </c>
      <c r="P90" s="4">
        <v>45781.80988425926</v>
      </c>
    </row>
    <row r="91" hidden="1">
      <c r="A91" s="1" t="s">
        <v>21</v>
      </c>
      <c r="B91" s="3" t="str">
        <f>HYPERLINK("https://hawk-eye.atlassian.net/browse/HWKREPORT-3474?atlOrigin=eyJpIjoiYzgwYTQ0ZjEyNzQzNGJhN2JmNjEyZTM0NmRhZWZhNjIiLCJwIjoic2hlZXRzLWppcmEifQ","HWKREPORT-3474")</f>
        <v>HWKREPORT-3474</v>
      </c>
      <c r="C91" s="1" t="s">
        <v>1190</v>
      </c>
      <c r="D91" s="1" t="s">
        <v>40</v>
      </c>
      <c r="E91" s="1" t="s">
        <v>1057</v>
      </c>
      <c r="F91" s="4">
        <v>45782.61863425926</v>
      </c>
      <c r="G91" s="3" t="str">
        <f t="shared" si="9"/>
        <v/>
      </c>
      <c r="H91" s="1" t="s">
        <v>1058</v>
      </c>
      <c r="I91" s="1" t="s">
        <v>1071</v>
      </c>
      <c r="J91" s="1" t="s">
        <v>26</v>
      </c>
      <c r="K91" s="1" t="s">
        <v>1072</v>
      </c>
      <c r="L91" s="1" t="s">
        <v>26</v>
      </c>
      <c r="M91" s="1" t="s">
        <v>27</v>
      </c>
      <c r="N91" s="1" t="s">
        <v>26</v>
      </c>
      <c r="O91" s="1" t="s">
        <v>26</v>
      </c>
      <c r="P91" s="4">
        <v>45782.61864583333</v>
      </c>
    </row>
    <row r="92" hidden="1">
      <c r="A92" s="1" t="s">
        <v>1055</v>
      </c>
      <c r="B92" s="3" t="str">
        <f>HYPERLINK("https://hawk-eye.atlassian.net/browse/HWKREPORT-3475?atlOrigin=eyJpIjoiYzgwYTQ0ZjEyNzQzNGJhN2JmNjEyZTM0NmRhZWZhNjIiLCJwIjoic2hlZXRzLWppcmEifQ","HWKREPORT-3475")</f>
        <v>HWKREPORT-3475</v>
      </c>
      <c r="C92" s="1" t="s">
        <v>1191</v>
      </c>
      <c r="D92" s="1" t="s">
        <v>40</v>
      </c>
      <c r="E92" s="1" t="s">
        <v>1057</v>
      </c>
      <c r="F92" s="4">
        <v>45782.657534722224</v>
      </c>
      <c r="G92" s="3" t="str">
        <f t="shared" si="9"/>
        <v/>
      </c>
      <c r="H92" s="1" t="s">
        <v>1058</v>
      </c>
      <c r="I92" s="1" t="s">
        <v>1085</v>
      </c>
      <c r="J92" s="1" t="s">
        <v>26</v>
      </c>
      <c r="K92" s="1" t="s">
        <v>26</v>
      </c>
      <c r="L92" s="1" t="s">
        <v>26</v>
      </c>
      <c r="M92" s="1" t="s">
        <v>27</v>
      </c>
      <c r="N92" s="1" t="s">
        <v>26</v>
      </c>
      <c r="O92" s="1" t="s">
        <v>26</v>
      </c>
      <c r="P92" s="4">
        <v>45782.657546296294</v>
      </c>
    </row>
    <row r="93" hidden="1">
      <c r="A93" s="1" t="s">
        <v>21</v>
      </c>
      <c r="B93" s="3" t="str">
        <f>HYPERLINK("https://hawk-eye.atlassian.net/browse/HWKREPORT-3476?atlOrigin=eyJpIjoiYzgwYTQ0ZjEyNzQzNGJhN2JmNjEyZTM0NmRhZWZhNjIiLCJwIjoic2hlZXRzLWppcmEifQ","HWKREPORT-3476")</f>
        <v>HWKREPORT-3476</v>
      </c>
      <c r="C93" s="1" t="s">
        <v>1190</v>
      </c>
      <c r="D93" s="1" t="s">
        <v>40</v>
      </c>
      <c r="E93" s="1" t="s">
        <v>1057</v>
      </c>
      <c r="F93" s="4">
        <v>45782.73578703704</v>
      </c>
      <c r="G93" s="3" t="str">
        <f t="shared" si="9"/>
        <v/>
      </c>
      <c r="H93" s="1" t="s">
        <v>1058</v>
      </c>
      <c r="I93" s="1" t="s">
        <v>1071</v>
      </c>
      <c r="J93" s="1" t="s">
        <v>26</v>
      </c>
      <c r="K93" s="1" t="s">
        <v>1072</v>
      </c>
      <c r="L93" s="1" t="s">
        <v>26</v>
      </c>
      <c r="M93" s="1" t="s">
        <v>27</v>
      </c>
      <c r="N93" s="1" t="s">
        <v>26</v>
      </c>
      <c r="O93" s="1" t="s">
        <v>26</v>
      </c>
      <c r="P93" s="4">
        <v>45782.73579861111</v>
      </c>
    </row>
    <row r="94" hidden="1">
      <c r="A94" s="1" t="s">
        <v>21</v>
      </c>
      <c r="B94" s="3" t="str">
        <f>HYPERLINK("https://hawk-eye.atlassian.net/browse/HWKREPORT-3477?atlOrigin=eyJpIjoiYzgwYTQ0ZjEyNzQzNGJhN2JmNjEyZTM0NmRhZWZhNjIiLCJwIjoic2hlZXRzLWppcmEifQ","HWKREPORT-3477")</f>
        <v>HWKREPORT-3477</v>
      </c>
      <c r="C94" s="1" t="s">
        <v>1192</v>
      </c>
      <c r="D94" s="1" t="s">
        <v>34</v>
      </c>
      <c r="E94" s="1" t="s">
        <v>1057</v>
      </c>
      <c r="F94" s="4">
        <v>45783.45923611111</v>
      </c>
      <c r="G94" s="3" t="str">
        <f t="shared" si="9"/>
        <v/>
      </c>
      <c r="H94" s="1" t="s">
        <v>1058</v>
      </c>
      <c r="I94" s="1" t="s">
        <v>1193</v>
      </c>
      <c r="J94" s="1" t="s">
        <v>26</v>
      </c>
      <c r="K94" s="1" t="s">
        <v>1194</v>
      </c>
      <c r="L94" s="1" t="s">
        <v>26</v>
      </c>
      <c r="M94" s="1" t="s">
        <v>27</v>
      </c>
      <c r="N94" s="1" t="s">
        <v>26</v>
      </c>
      <c r="O94" s="1" t="s">
        <v>26</v>
      </c>
      <c r="P94" s="4">
        <v>45783.45924768518</v>
      </c>
    </row>
    <row r="95" hidden="1">
      <c r="A95" s="1" t="s">
        <v>21</v>
      </c>
      <c r="B95" s="3" t="str">
        <f>HYPERLINK("https://hawk-eye.atlassian.net/browse/HWKREPORT-3478?atlOrigin=eyJpIjoiYzgwYTQ0ZjEyNzQzNGJhN2JmNjEyZTM0NmRhZWZhNjIiLCJwIjoic2hlZXRzLWppcmEifQ","HWKREPORT-3478")</f>
        <v>HWKREPORT-3478</v>
      </c>
      <c r="C95" s="1" t="s">
        <v>1195</v>
      </c>
      <c r="D95" s="1" t="s">
        <v>48</v>
      </c>
      <c r="E95" s="1" t="s">
        <v>1057</v>
      </c>
      <c r="F95" s="4">
        <v>45783.46979166667</v>
      </c>
      <c r="G95" s="3" t="str">
        <f t="shared" si="9"/>
        <v/>
      </c>
      <c r="H95" s="1" t="s">
        <v>1058</v>
      </c>
      <c r="I95" s="1" t="s">
        <v>1085</v>
      </c>
      <c r="J95" s="1" t="s">
        <v>26</v>
      </c>
      <c r="K95" s="1" t="s">
        <v>1196</v>
      </c>
      <c r="L95" s="1" t="s">
        <v>26</v>
      </c>
      <c r="M95" s="1" t="s">
        <v>27</v>
      </c>
      <c r="N95" s="1" t="s">
        <v>26</v>
      </c>
      <c r="O95" s="1" t="s">
        <v>26</v>
      </c>
      <c r="P95" s="4">
        <v>45783.46980324074</v>
      </c>
    </row>
    <row r="96" hidden="1">
      <c r="A96" s="1" t="s">
        <v>21</v>
      </c>
      <c r="B96" s="3" t="str">
        <f>HYPERLINK("https://hawk-eye.atlassian.net/browse/HWKREPORT-3479?atlOrigin=eyJpIjoiYzgwYTQ0ZjEyNzQzNGJhN2JmNjEyZTM0NmRhZWZhNjIiLCJwIjoic2hlZXRzLWppcmEifQ","HWKREPORT-3479")</f>
        <v>HWKREPORT-3479</v>
      </c>
      <c r="C96" s="1" t="s">
        <v>1197</v>
      </c>
      <c r="D96" s="1" t="s">
        <v>34</v>
      </c>
      <c r="E96" s="1" t="s">
        <v>1057</v>
      </c>
      <c r="F96" s="4">
        <v>45783.63380787037</v>
      </c>
      <c r="G96" s="3" t="str">
        <f t="shared" si="9"/>
        <v/>
      </c>
      <c r="H96" s="1" t="s">
        <v>1058</v>
      </c>
      <c r="I96" s="1" t="s">
        <v>1085</v>
      </c>
      <c r="J96" s="1" t="s">
        <v>26</v>
      </c>
      <c r="K96" s="1" t="s">
        <v>1072</v>
      </c>
      <c r="L96" s="1" t="s">
        <v>26</v>
      </c>
      <c r="M96" s="1" t="s">
        <v>27</v>
      </c>
      <c r="N96" s="1" t="s">
        <v>26</v>
      </c>
      <c r="O96" s="1" t="s">
        <v>26</v>
      </c>
      <c r="P96" s="4">
        <v>45783.63381944445</v>
      </c>
    </row>
    <row r="97" hidden="1">
      <c r="A97" s="1" t="s">
        <v>1055</v>
      </c>
      <c r="B97" s="3" t="str">
        <f>HYPERLINK("https://hawk-eye.atlassian.net/browse/HWKREPORT-3480?atlOrigin=eyJpIjoiYzgwYTQ0ZjEyNzQzNGJhN2JmNjEyZTM0NmRhZWZhNjIiLCJwIjoic2hlZXRzLWppcmEifQ","HWKREPORT-3480")</f>
        <v>HWKREPORT-3480</v>
      </c>
      <c r="C97" s="1" t="s">
        <v>1198</v>
      </c>
      <c r="D97" s="1" t="s">
        <v>48</v>
      </c>
      <c r="E97" s="1" t="s">
        <v>1057</v>
      </c>
      <c r="F97" s="4">
        <v>45783.7106712963</v>
      </c>
      <c r="G97" s="3" t="str">
        <f t="shared" si="9"/>
        <v/>
      </c>
      <c r="H97" s="1" t="s">
        <v>1058</v>
      </c>
      <c r="I97" s="1" t="s">
        <v>1133</v>
      </c>
      <c r="J97" s="1" t="s">
        <v>26</v>
      </c>
      <c r="K97" s="1" t="s">
        <v>1116</v>
      </c>
      <c r="L97" s="1" t="s">
        <v>26</v>
      </c>
      <c r="M97" s="1" t="s">
        <v>27</v>
      </c>
      <c r="N97" s="1" t="s">
        <v>26</v>
      </c>
      <c r="O97" s="1" t="s">
        <v>26</v>
      </c>
      <c r="P97" s="4">
        <v>45783.71068287037</v>
      </c>
    </row>
    <row r="98" hidden="1">
      <c r="A98" s="1" t="s">
        <v>21</v>
      </c>
      <c r="B98" s="3" t="str">
        <f>HYPERLINK("https://hawk-eye.atlassian.net/browse/HWKREPORT-3481?atlOrigin=eyJpIjoiYzgwYTQ0ZjEyNzQzNGJhN2JmNjEyZTM0NmRhZWZhNjIiLCJwIjoic2hlZXRzLWppcmEifQ","HWKREPORT-3481")</f>
        <v>HWKREPORT-3481</v>
      </c>
      <c r="C98" s="1" t="s">
        <v>1199</v>
      </c>
      <c r="D98" s="1" t="s">
        <v>83</v>
      </c>
      <c r="E98" s="1" t="s">
        <v>1057</v>
      </c>
      <c r="F98" s="4">
        <v>45783.743368055555</v>
      </c>
      <c r="G98" s="3" t="str">
        <f>HYPERLINK("https://hawk-eye.atlassian.net/browse/CTF-1548?atlOrigin=eyJpIjoiYzgwYTQ0ZjEyNzQzNGJhN2JmNjEyZTM0NmRhZWZhNjIiLCJwIjoic2hlZXRzLWppcmEifQ","CTF-1548")</f>
        <v>CTF-1548</v>
      </c>
      <c r="H98" s="1" t="s">
        <v>1058</v>
      </c>
      <c r="I98" s="1" t="s">
        <v>1059</v>
      </c>
      <c r="J98" s="1" t="s">
        <v>26</v>
      </c>
      <c r="K98" s="1" t="s">
        <v>1060</v>
      </c>
      <c r="L98" s="1" t="s">
        <v>26</v>
      </c>
      <c r="M98" s="1" t="s">
        <v>27</v>
      </c>
      <c r="N98" s="1" t="s">
        <v>26</v>
      </c>
      <c r="O98" s="1" t="s">
        <v>26</v>
      </c>
      <c r="P98" s="4">
        <v>45783.743368055555</v>
      </c>
    </row>
    <row r="99" hidden="1">
      <c r="A99" s="1" t="s">
        <v>1055</v>
      </c>
      <c r="B99" s="3" t="str">
        <f>HYPERLINK("https://hawk-eye.atlassian.net/browse/HWKREPORT-3482?atlOrigin=eyJpIjoiYzgwYTQ0ZjEyNzQzNGJhN2JmNjEyZTM0NmRhZWZhNjIiLCJwIjoic2hlZXRzLWppcmEifQ","HWKREPORT-3482")</f>
        <v>HWKREPORT-3482</v>
      </c>
      <c r="C99" s="1" t="s">
        <v>1200</v>
      </c>
      <c r="D99" s="1" t="s">
        <v>83</v>
      </c>
      <c r="E99" s="1" t="s">
        <v>1057</v>
      </c>
      <c r="F99" s="4">
        <v>45783.796747685185</v>
      </c>
      <c r="G99" s="3" t="str">
        <f>HYPERLINK("https://hawk-eye.atlassian.net/browse/CTF-1546?atlOrigin=eyJpIjoiYzgwYTQ0ZjEyNzQzNGJhN2JmNjEyZTM0NmRhZWZhNjIiLCJwIjoic2hlZXRzLWppcmEifQ","CTF-1546")</f>
        <v>CTF-1546</v>
      </c>
      <c r="H99" s="1" t="s">
        <v>1058</v>
      </c>
      <c r="I99" s="1" t="s">
        <v>1059</v>
      </c>
      <c r="J99" s="1" t="s">
        <v>26</v>
      </c>
      <c r="K99" s="1" t="s">
        <v>1201</v>
      </c>
      <c r="L99" s="1" t="s">
        <v>26</v>
      </c>
      <c r="M99" s="1" t="s">
        <v>27</v>
      </c>
      <c r="N99" s="1" t="s">
        <v>26</v>
      </c>
      <c r="O99" s="1" t="s">
        <v>26</v>
      </c>
      <c r="P99" s="4">
        <v>45783.796747685185</v>
      </c>
    </row>
    <row r="100" hidden="1">
      <c r="A100" s="1" t="s">
        <v>21</v>
      </c>
      <c r="B100" s="3" t="str">
        <f>HYPERLINK("https://hawk-eye.atlassian.net/browse/HWKREPORT-3483?atlOrigin=eyJpIjoiYzgwYTQ0ZjEyNzQzNGJhN2JmNjEyZTM0NmRhZWZhNjIiLCJwIjoic2hlZXRzLWppcmEifQ","HWKREPORT-3483")</f>
        <v>HWKREPORT-3483</v>
      </c>
      <c r="C100" s="1" t="s">
        <v>1202</v>
      </c>
      <c r="D100" s="1" t="s">
        <v>34</v>
      </c>
      <c r="E100" s="1" t="s">
        <v>1057</v>
      </c>
      <c r="F100" s="4">
        <v>45783.82126157408</v>
      </c>
      <c r="G100" s="3" t="str">
        <f t="shared" ref="G100:G102" si="10">HYPERLINK("https://hawk-eye.atlassian.net/browse/?atlOrigin=eyJpIjoiYzgwYTQ0ZjEyNzQzNGJhN2JmNjEyZTM0NmRhZWZhNjIiLCJwIjoic2hlZXRzLWppcmEifQ","")</f>
        <v/>
      </c>
      <c r="H100" s="1" t="s">
        <v>1058</v>
      </c>
      <c r="I100" s="1" t="s">
        <v>1059</v>
      </c>
      <c r="J100" s="1" t="s">
        <v>26</v>
      </c>
      <c r="K100" s="1" t="s">
        <v>1203</v>
      </c>
      <c r="L100" s="1" t="s">
        <v>26</v>
      </c>
      <c r="M100" s="1" t="s">
        <v>27</v>
      </c>
      <c r="N100" s="1" t="s">
        <v>26</v>
      </c>
      <c r="O100" s="1" t="s">
        <v>26</v>
      </c>
      <c r="P100" s="4">
        <v>45783.82127314815</v>
      </c>
    </row>
    <row r="101" hidden="1">
      <c r="A101" s="1" t="s">
        <v>21</v>
      </c>
      <c r="B101" s="3" t="str">
        <f>HYPERLINK("https://hawk-eye.atlassian.net/browse/HWKREPORT-3484?atlOrigin=eyJpIjoiYzgwYTQ0ZjEyNzQzNGJhN2JmNjEyZTM0NmRhZWZhNjIiLCJwIjoic2hlZXRzLWppcmEifQ","HWKREPORT-3484")</f>
        <v>HWKREPORT-3484</v>
      </c>
      <c r="C101" s="1" t="s">
        <v>1204</v>
      </c>
      <c r="D101" s="1" t="s">
        <v>83</v>
      </c>
      <c r="E101" s="1" t="s">
        <v>1057</v>
      </c>
      <c r="F101" s="4">
        <v>45783.87636574074</v>
      </c>
      <c r="G101" s="3" t="str">
        <f t="shared" si="10"/>
        <v/>
      </c>
      <c r="H101" s="1" t="s">
        <v>1058</v>
      </c>
      <c r="I101" s="1" t="s">
        <v>1059</v>
      </c>
      <c r="J101" s="1" t="s">
        <v>26</v>
      </c>
      <c r="K101" s="1" t="s">
        <v>1201</v>
      </c>
      <c r="L101" s="1" t="s">
        <v>26</v>
      </c>
      <c r="M101" s="1" t="s">
        <v>27</v>
      </c>
      <c r="N101" s="1" t="s">
        <v>26</v>
      </c>
      <c r="O101" s="1" t="s">
        <v>26</v>
      </c>
      <c r="P101" s="4">
        <v>45783.87637731482</v>
      </c>
    </row>
    <row r="102" hidden="1">
      <c r="A102" s="1" t="s">
        <v>21</v>
      </c>
      <c r="B102" s="3" t="str">
        <f>HYPERLINK("https://hawk-eye.atlassian.net/browse/HWKREPORT-3285?atlOrigin=eyJpIjoiYzgwYTQ0ZjEyNzQzNGJhN2JmNjEyZTM0NmRhZWZhNjIiLCJwIjoic2hlZXRzLWppcmEifQ","HWKREPORT-3285")</f>
        <v>HWKREPORT-3285</v>
      </c>
      <c r="C102" s="1" t="s">
        <v>1205</v>
      </c>
      <c r="D102" s="1" t="s">
        <v>34</v>
      </c>
      <c r="E102" s="1" t="s">
        <v>35</v>
      </c>
      <c r="F102" s="4">
        <v>45705.89368055556</v>
      </c>
      <c r="G102" s="3" t="str">
        <f t="shared" si="10"/>
        <v/>
      </c>
      <c r="H102" s="1" t="s">
        <v>1058</v>
      </c>
      <c r="I102" s="1" t="s">
        <v>1071</v>
      </c>
      <c r="J102" s="1" t="s">
        <v>26</v>
      </c>
      <c r="K102" s="1" t="s">
        <v>1095</v>
      </c>
      <c r="L102" s="1" t="s">
        <v>26</v>
      </c>
      <c r="M102" s="1" t="s">
        <v>27</v>
      </c>
      <c r="N102" s="1" t="s">
        <v>26</v>
      </c>
      <c r="O102" s="1" t="s">
        <v>26</v>
      </c>
      <c r="P102" s="4">
        <v>45728.7124537037</v>
      </c>
    </row>
    <row r="103" hidden="1">
      <c r="A103" s="1" t="s">
        <v>21</v>
      </c>
      <c r="B103" s="3" t="str">
        <f>HYPERLINK("https://hawk-eye.atlassian.net/browse/HWKREPORT-3286?atlOrigin=eyJpIjoiYzgwYTQ0ZjEyNzQzNGJhN2JmNjEyZTM0NmRhZWZhNjIiLCJwIjoic2hlZXRzLWppcmEifQ","HWKREPORT-3286")</f>
        <v>HWKREPORT-3286</v>
      </c>
      <c r="C103" s="1" t="s">
        <v>1206</v>
      </c>
      <c r="D103" s="1" t="s">
        <v>40</v>
      </c>
      <c r="E103" s="1" t="s">
        <v>1207</v>
      </c>
      <c r="F103" s="4">
        <v>45706.50671296296</v>
      </c>
      <c r="G103" s="3" t="str">
        <f>HYPERLINK("https://hawk-eye.atlassian.net/browse/RTT-10092?atlOrigin=eyJpIjoiYzgwYTQ0ZjEyNzQzNGJhN2JmNjEyZTM0NmRhZWZhNjIiLCJwIjoic2hlZXRzLWppcmEifQ","RTT-10092")</f>
        <v>RTT-10092</v>
      </c>
      <c r="H103" s="1" t="s">
        <v>1058</v>
      </c>
      <c r="I103" s="1" t="s">
        <v>1085</v>
      </c>
      <c r="J103" s="1" t="s">
        <v>26</v>
      </c>
      <c r="K103" s="1" t="s">
        <v>1072</v>
      </c>
      <c r="L103" s="1" t="s">
        <v>26</v>
      </c>
      <c r="M103" s="1" t="s">
        <v>27</v>
      </c>
      <c r="N103" s="1" t="s">
        <v>26</v>
      </c>
      <c r="O103" s="1" t="s">
        <v>26</v>
      </c>
      <c r="P103" s="4">
        <v>45716.68984953704</v>
      </c>
    </row>
    <row r="104" hidden="1">
      <c r="A104" s="1" t="s">
        <v>21</v>
      </c>
      <c r="B104" s="3" t="str">
        <f>HYPERLINK("https://hawk-eye.atlassian.net/browse/HWKREPORT-3287?atlOrigin=eyJpIjoiYzgwYTQ0ZjEyNzQzNGJhN2JmNjEyZTM0NmRhZWZhNjIiLCJwIjoic2hlZXRzLWppcmEifQ","HWKREPORT-3287")</f>
        <v>HWKREPORT-3287</v>
      </c>
      <c r="C104" s="1" t="s">
        <v>1208</v>
      </c>
      <c r="D104" s="1" t="s">
        <v>34</v>
      </c>
      <c r="E104" s="1" t="s">
        <v>35</v>
      </c>
      <c r="F104" s="4">
        <v>45706.514340277776</v>
      </c>
      <c r="G104" s="3" t="str">
        <f>HYPERLINK("https://hawk-eye.atlassian.net/browse/SO-2299?atlOrigin=eyJpIjoiYzgwYTQ0ZjEyNzQzNGJhN2JmNjEyZTM0NmRhZWZhNjIiLCJwIjoic2hlZXRzLWppcmEifQ","SO-2299")</f>
        <v>SO-2299</v>
      </c>
      <c r="H104" s="1" t="s">
        <v>1058</v>
      </c>
      <c r="I104" s="1" t="s">
        <v>1085</v>
      </c>
      <c r="J104" s="1" t="s">
        <v>26</v>
      </c>
      <c r="K104" s="1" t="s">
        <v>1134</v>
      </c>
      <c r="L104" s="1" t="s">
        <v>26</v>
      </c>
      <c r="M104" s="1" t="s">
        <v>27</v>
      </c>
      <c r="N104" s="1" t="s">
        <v>26</v>
      </c>
      <c r="O104" s="1" t="s">
        <v>26</v>
      </c>
      <c r="P104" s="4">
        <v>45720.43651620371</v>
      </c>
    </row>
    <row r="105" hidden="1">
      <c r="A105" s="1" t="s">
        <v>21</v>
      </c>
      <c r="B105" s="3" t="str">
        <f>HYPERLINK("https://hawk-eye.atlassian.net/browse/HWKREPORT-3288?atlOrigin=eyJpIjoiYzgwYTQ0ZjEyNzQzNGJhN2JmNjEyZTM0NmRhZWZhNjIiLCJwIjoic2hlZXRzLWppcmEifQ","HWKREPORT-3288")</f>
        <v>HWKREPORT-3288</v>
      </c>
      <c r="C105" s="1" t="s">
        <v>1209</v>
      </c>
      <c r="D105" s="1" t="s">
        <v>34</v>
      </c>
      <c r="E105" s="1" t="s">
        <v>1091</v>
      </c>
      <c r="F105" s="4">
        <v>45706.683391203704</v>
      </c>
      <c r="G105" s="3" t="str">
        <f>HYPERLINK("https://hawk-eye.atlassian.net/browse/SO-2293?atlOrigin=eyJpIjoiYzgwYTQ0ZjEyNzQzNGJhN2JmNjEyZTM0NmRhZWZhNjIiLCJwIjoic2hlZXRzLWppcmEifQ","SO-2293")</f>
        <v>SO-2293</v>
      </c>
      <c r="H105" s="1" t="s">
        <v>1058</v>
      </c>
      <c r="I105" s="1" t="s">
        <v>1071</v>
      </c>
      <c r="J105" s="1" t="s">
        <v>26</v>
      </c>
      <c r="K105" s="1" t="s">
        <v>1134</v>
      </c>
      <c r="L105" s="1" t="s">
        <v>26</v>
      </c>
      <c r="M105" s="1" t="s">
        <v>27</v>
      </c>
      <c r="N105" s="1" t="s">
        <v>26</v>
      </c>
      <c r="O105" s="1" t="s">
        <v>26</v>
      </c>
      <c r="P105" s="4">
        <v>45751.51640046296</v>
      </c>
    </row>
    <row r="106" hidden="1">
      <c r="A106" s="1" t="s">
        <v>21</v>
      </c>
      <c r="B106" s="3" t="str">
        <f>HYPERLINK("https://hawk-eye.atlassian.net/browse/HWKREPORT-3289?atlOrigin=eyJpIjoiYzgwYTQ0ZjEyNzQzNGJhN2JmNjEyZTM0NmRhZWZhNjIiLCJwIjoic2hlZXRzLWppcmEifQ","HWKREPORT-3289")</f>
        <v>HWKREPORT-3289</v>
      </c>
      <c r="C106" s="1" t="s">
        <v>1210</v>
      </c>
      <c r="D106" s="1" t="s">
        <v>40</v>
      </c>
      <c r="E106" s="1" t="s">
        <v>35</v>
      </c>
      <c r="F106" s="4">
        <v>45706.86444444444</v>
      </c>
      <c r="G106" s="3" t="str">
        <f>HYPERLINK("https://hawk-eye.atlassian.net/browse/TMP-181?atlOrigin=eyJpIjoiYzgwYTQ0ZjEyNzQzNGJhN2JmNjEyZTM0NmRhZWZhNjIiLCJwIjoic2hlZXRzLWppcmEifQ","TMP-181")</f>
        <v>TMP-181</v>
      </c>
      <c r="H106" s="1" t="s">
        <v>1058</v>
      </c>
      <c r="I106" s="1" t="s">
        <v>1126</v>
      </c>
      <c r="J106" s="1" t="s">
        <v>26</v>
      </c>
      <c r="K106" s="1" t="s">
        <v>1211</v>
      </c>
      <c r="L106" s="1" t="s">
        <v>26</v>
      </c>
      <c r="M106" s="1" t="s">
        <v>27</v>
      </c>
      <c r="N106" s="1" t="s">
        <v>26</v>
      </c>
      <c r="O106" s="1" t="s">
        <v>26</v>
      </c>
      <c r="P106" s="4">
        <v>45728.53592592593</v>
      </c>
    </row>
    <row r="107" hidden="1">
      <c r="A107" s="1" t="s">
        <v>1055</v>
      </c>
      <c r="B107" s="3" t="str">
        <f>HYPERLINK("https://hawk-eye.atlassian.net/browse/HWKREPORT-3290?atlOrigin=eyJpIjoiYzgwYTQ0ZjEyNzQzNGJhN2JmNjEyZTM0NmRhZWZhNjIiLCJwIjoic2hlZXRzLWppcmEifQ","HWKREPORT-3290")</f>
        <v>HWKREPORT-3290</v>
      </c>
      <c r="C107" s="1" t="s">
        <v>1212</v>
      </c>
      <c r="D107" s="1" t="s">
        <v>23</v>
      </c>
      <c r="E107" s="1" t="s">
        <v>1057</v>
      </c>
      <c r="F107" s="4">
        <v>45707.564722222225</v>
      </c>
      <c r="G107" s="3" t="str">
        <f t="shared" ref="G107:G110" si="11">HYPERLINK("https://hawk-eye.atlassian.net/browse/?atlOrigin=eyJpIjoiYzgwYTQ0ZjEyNzQzNGJhN2JmNjEyZTM0NmRhZWZhNjIiLCJwIjoic2hlZXRzLWppcmEifQ","")</f>
        <v/>
      </c>
      <c r="H107" s="1" t="s">
        <v>1058</v>
      </c>
      <c r="I107" s="1" t="s">
        <v>1059</v>
      </c>
      <c r="J107" s="1" t="s">
        <v>26</v>
      </c>
      <c r="K107" s="1" t="s">
        <v>1060</v>
      </c>
      <c r="L107" s="1" t="s">
        <v>26</v>
      </c>
      <c r="M107" s="1" t="s">
        <v>27</v>
      </c>
      <c r="N107" s="1" t="s">
        <v>26</v>
      </c>
      <c r="O107" s="1" t="s">
        <v>26</v>
      </c>
      <c r="P107" s="4">
        <v>45707.564722222225</v>
      </c>
    </row>
    <row r="108" hidden="1">
      <c r="A108" s="1" t="s">
        <v>1055</v>
      </c>
      <c r="B108" s="3" t="str">
        <f>HYPERLINK("https://hawk-eye.atlassian.net/browse/HWKREPORT-3291?atlOrigin=eyJpIjoiYzgwYTQ0ZjEyNzQzNGJhN2JmNjEyZTM0NmRhZWZhNjIiLCJwIjoic2hlZXRzLWppcmEifQ","HWKREPORT-3291")</f>
        <v>HWKREPORT-3291</v>
      </c>
      <c r="C108" s="1" t="s">
        <v>1213</v>
      </c>
      <c r="D108" s="1" t="s">
        <v>34</v>
      </c>
      <c r="E108" s="1" t="s">
        <v>1057</v>
      </c>
      <c r="F108" s="4">
        <v>45707.5703125</v>
      </c>
      <c r="G108" s="3" t="str">
        <f t="shared" si="11"/>
        <v/>
      </c>
      <c r="H108" s="1" t="s">
        <v>1058</v>
      </c>
      <c r="I108" s="1" t="s">
        <v>1059</v>
      </c>
      <c r="J108" s="1" t="s">
        <v>26</v>
      </c>
      <c r="K108" s="1" t="s">
        <v>1060</v>
      </c>
      <c r="L108" s="1" t="s">
        <v>26</v>
      </c>
      <c r="M108" s="1" t="s">
        <v>27</v>
      </c>
      <c r="N108" s="1" t="s">
        <v>26</v>
      </c>
      <c r="O108" s="1" t="s">
        <v>26</v>
      </c>
      <c r="P108" s="4">
        <v>45707.5703125</v>
      </c>
    </row>
    <row r="109" hidden="1">
      <c r="A109" s="1" t="s">
        <v>1055</v>
      </c>
      <c r="B109" s="3" t="str">
        <f>HYPERLINK("https://hawk-eye.atlassian.net/browse/HWKREPORT-3292?atlOrigin=eyJpIjoiYzgwYTQ0ZjEyNzQzNGJhN2JmNjEyZTM0NmRhZWZhNjIiLCJwIjoic2hlZXRzLWppcmEifQ","HWKREPORT-3292")</f>
        <v>HWKREPORT-3292</v>
      </c>
      <c r="C109" s="1" t="s">
        <v>1214</v>
      </c>
      <c r="D109" s="1" t="s">
        <v>34</v>
      </c>
      <c r="E109" s="1" t="s">
        <v>1057</v>
      </c>
      <c r="F109" s="4">
        <v>45707.57722222222</v>
      </c>
      <c r="G109" s="3" t="str">
        <f t="shared" si="11"/>
        <v/>
      </c>
      <c r="H109" s="1" t="s">
        <v>1058</v>
      </c>
      <c r="I109" s="1" t="s">
        <v>1059</v>
      </c>
      <c r="J109" s="1" t="s">
        <v>26</v>
      </c>
      <c r="K109" s="1" t="s">
        <v>1060</v>
      </c>
      <c r="L109" s="1" t="s">
        <v>26</v>
      </c>
      <c r="M109" s="1" t="s">
        <v>27</v>
      </c>
      <c r="N109" s="1" t="s">
        <v>26</v>
      </c>
      <c r="O109" s="1" t="s">
        <v>26</v>
      </c>
      <c r="P109" s="4">
        <v>45707.5772337963</v>
      </c>
    </row>
    <row r="110" hidden="1">
      <c r="A110" s="1" t="s">
        <v>1055</v>
      </c>
      <c r="B110" s="3" t="str">
        <f>HYPERLINK("https://hawk-eye.atlassian.net/browse/HWKREPORT-3293?atlOrigin=eyJpIjoiYzgwYTQ0ZjEyNzQzNGJhN2JmNjEyZTM0NmRhZWZhNjIiLCJwIjoic2hlZXRzLWppcmEifQ","HWKREPORT-3293")</f>
        <v>HWKREPORT-3293</v>
      </c>
      <c r="C110" s="1" t="s">
        <v>1215</v>
      </c>
      <c r="D110" s="1" t="s">
        <v>48</v>
      </c>
      <c r="E110" s="1" t="s">
        <v>1057</v>
      </c>
      <c r="F110" s="4">
        <v>45708.523564814815</v>
      </c>
      <c r="G110" s="3" t="str">
        <f t="shared" si="11"/>
        <v/>
      </c>
      <c r="H110" s="1" t="s">
        <v>1058</v>
      </c>
      <c r="I110" s="1" t="s">
        <v>1085</v>
      </c>
      <c r="J110" s="1" t="s">
        <v>26</v>
      </c>
      <c r="K110" s="1" t="s">
        <v>1143</v>
      </c>
      <c r="L110" s="1" t="s">
        <v>26</v>
      </c>
      <c r="M110" s="1" t="s">
        <v>27</v>
      </c>
      <c r="N110" s="1" t="s">
        <v>26</v>
      </c>
      <c r="O110" s="1" t="s">
        <v>26</v>
      </c>
      <c r="P110" s="4">
        <v>45708.523564814815</v>
      </c>
    </row>
    <row r="111">
      <c r="A111" s="1" t="s">
        <v>21</v>
      </c>
      <c r="B111" s="3" t="str">
        <f>HYPERLINK("https://hawk-eye.atlassian.net/browse/HWKREPORT-3294?atlOrigin=eyJpIjoiYzgwYTQ0ZjEyNzQzNGJhN2JmNjEyZTM0NmRhZWZhNjIiLCJwIjoic2hlZXRzLWppcmEifQ","HWKREPORT-3294")</f>
        <v>HWKREPORT-3294</v>
      </c>
      <c r="C111" s="1" t="s">
        <v>1216</v>
      </c>
      <c r="D111" s="1" t="s">
        <v>34</v>
      </c>
      <c r="E111" s="1" t="s">
        <v>1207</v>
      </c>
      <c r="F111" s="4">
        <v>45708.58644675926</v>
      </c>
      <c r="G111" s="3" t="str">
        <f>HYPERLINK("https://hawk-eye.atlassian.net/browse/RTT-10116?atlOrigin=eyJpIjoiYzgwYTQ0ZjEyNzQzNGJhN2JmNjEyZTM0NmRhZWZhNjIiLCJwIjoic2hlZXRzLWppcmEifQ","RTT-10116")</f>
        <v>RTT-10116</v>
      </c>
      <c r="H111" s="1" t="s">
        <v>1058</v>
      </c>
      <c r="I111" s="1" t="s">
        <v>28</v>
      </c>
      <c r="J111" s="1" t="s">
        <v>26</v>
      </c>
      <c r="K111" s="1" t="s">
        <v>1099</v>
      </c>
      <c r="L111" s="1" t="s">
        <v>26</v>
      </c>
      <c r="M111" s="1" t="s">
        <v>27</v>
      </c>
      <c r="N111" s="1" t="s">
        <v>26</v>
      </c>
      <c r="O111" s="1" t="s">
        <v>26</v>
      </c>
      <c r="P111" s="4">
        <v>45721.526712962965</v>
      </c>
    </row>
    <row r="112" hidden="1">
      <c r="A112" s="1" t="s">
        <v>21</v>
      </c>
      <c r="B112" s="3" t="str">
        <f>HYPERLINK("https://hawk-eye.atlassian.net/browse/HWKREPORT-3295?atlOrigin=eyJpIjoiYzgwYTQ0ZjEyNzQzNGJhN2JmNjEyZTM0NmRhZWZhNjIiLCJwIjoic2hlZXRzLWppcmEifQ","HWKREPORT-3295")</f>
        <v>HWKREPORT-3295</v>
      </c>
      <c r="C112" s="1" t="s">
        <v>1217</v>
      </c>
      <c r="D112" s="1" t="s">
        <v>40</v>
      </c>
      <c r="E112" s="1" t="s">
        <v>35</v>
      </c>
      <c r="F112" s="4">
        <v>45708.666863425926</v>
      </c>
      <c r="G112" s="3" t="str">
        <f>HYPERLINK("https://hawk-eye.atlassian.net/browse/TTS-38?atlOrigin=eyJpIjoiYzgwYTQ0ZjEyNzQzNGJhN2JmNjEyZTM0NmRhZWZhNjIiLCJwIjoic2hlZXRzLWppcmEifQ","TTS-38")</f>
        <v>TTS-38</v>
      </c>
      <c r="H112" s="1" t="s">
        <v>1058</v>
      </c>
      <c r="I112" s="1" t="s">
        <v>1085</v>
      </c>
      <c r="J112" s="1" t="s">
        <v>26</v>
      </c>
      <c r="K112" s="1" t="s">
        <v>1134</v>
      </c>
      <c r="L112" s="1" t="s">
        <v>26</v>
      </c>
      <c r="M112" s="1" t="s">
        <v>27</v>
      </c>
      <c r="N112" s="1" t="s">
        <v>26</v>
      </c>
      <c r="O112" s="1" t="s">
        <v>26</v>
      </c>
      <c r="P112" s="4">
        <v>45726.71059027778</v>
      </c>
    </row>
    <row r="113" hidden="1">
      <c r="A113" s="1" t="s">
        <v>21</v>
      </c>
      <c r="B113" s="3" t="str">
        <f>HYPERLINK("https://hawk-eye.atlassian.net/browse/HWKREPORT-3296?atlOrigin=eyJpIjoiYzgwYTQ0ZjEyNzQzNGJhN2JmNjEyZTM0NmRhZWZhNjIiLCJwIjoic2hlZXRzLWppcmEifQ","HWKREPORT-3296")</f>
        <v>HWKREPORT-3296</v>
      </c>
      <c r="C113" s="1" t="s">
        <v>1218</v>
      </c>
      <c r="D113" s="1" t="s">
        <v>40</v>
      </c>
      <c r="E113" s="1" t="s">
        <v>1057</v>
      </c>
      <c r="F113" s="4">
        <v>45709.425787037035</v>
      </c>
      <c r="G113" s="3" t="str">
        <f>HYPERLINK("https://hawk-eye.atlassian.net/browse/?atlOrigin=eyJpIjoiYzgwYTQ0ZjEyNzQzNGJhN2JmNjEyZTM0NmRhZWZhNjIiLCJwIjoic2hlZXRzLWppcmEifQ","")</f>
        <v/>
      </c>
      <c r="H113" s="1" t="s">
        <v>1058</v>
      </c>
      <c r="I113" s="1" t="s">
        <v>1085</v>
      </c>
      <c r="J113" s="1" t="s">
        <v>26</v>
      </c>
      <c r="K113" s="1" t="s">
        <v>1219</v>
      </c>
      <c r="L113" s="1" t="s">
        <v>26</v>
      </c>
      <c r="M113" s="1" t="s">
        <v>27</v>
      </c>
      <c r="N113" s="1" t="s">
        <v>26</v>
      </c>
      <c r="O113" s="1" t="s">
        <v>26</v>
      </c>
      <c r="P113" s="4">
        <v>45709.42579861111</v>
      </c>
    </row>
    <row r="114" hidden="1">
      <c r="A114" s="1" t="s">
        <v>21</v>
      </c>
      <c r="B114" s="3" t="str">
        <f>HYPERLINK("https://hawk-eye.atlassian.net/browse/HWKREPORT-3297?atlOrigin=eyJpIjoiYzgwYTQ0ZjEyNzQzNGJhN2JmNjEyZTM0NmRhZWZhNjIiLCJwIjoic2hlZXRzLWppcmEifQ","HWKREPORT-3297")</f>
        <v>HWKREPORT-3297</v>
      </c>
      <c r="C114" s="1" t="s">
        <v>1220</v>
      </c>
      <c r="D114" s="1" t="s">
        <v>40</v>
      </c>
      <c r="E114" s="1" t="s">
        <v>1207</v>
      </c>
      <c r="F114" s="4">
        <v>45709.43010416667</v>
      </c>
      <c r="G114" s="3" t="str">
        <f>HYPERLINK("https://hawk-eye.atlassian.net/browse/RTT-10090?atlOrigin=eyJpIjoiYzgwYTQ0ZjEyNzQzNGJhN2JmNjEyZTM0NmRhZWZhNjIiLCJwIjoic2hlZXRzLWppcmEifQ","RTT-10090")</f>
        <v>RTT-10090</v>
      </c>
      <c r="H114" s="1" t="s">
        <v>1058</v>
      </c>
      <c r="I114" s="1" t="s">
        <v>1085</v>
      </c>
      <c r="J114" s="1" t="s">
        <v>26</v>
      </c>
      <c r="K114" s="1" t="s">
        <v>1072</v>
      </c>
      <c r="L114" s="1" t="s">
        <v>26</v>
      </c>
      <c r="M114" s="1" t="s">
        <v>27</v>
      </c>
      <c r="N114" s="1" t="s">
        <v>26</v>
      </c>
      <c r="O114" s="1" t="s">
        <v>26</v>
      </c>
      <c r="P114" s="4">
        <v>45716.69005787037</v>
      </c>
    </row>
    <row r="115" hidden="1">
      <c r="A115" s="1" t="s">
        <v>21</v>
      </c>
      <c r="B115" s="3" t="str">
        <f>HYPERLINK("https://hawk-eye.atlassian.net/browse/HWKREPORT-3298?atlOrigin=eyJpIjoiYzgwYTQ0ZjEyNzQzNGJhN2JmNjEyZTM0NmRhZWZhNjIiLCJwIjoic2hlZXRzLWppcmEifQ","HWKREPORT-3298")</f>
        <v>HWKREPORT-3298</v>
      </c>
      <c r="C115" s="1" t="s">
        <v>1221</v>
      </c>
      <c r="D115" s="1" t="s">
        <v>40</v>
      </c>
      <c r="E115" s="1" t="s">
        <v>35</v>
      </c>
      <c r="F115" s="4">
        <v>45709.49979166667</v>
      </c>
      <c r="G115" s="3" t="str">
        <f t="shared" ref="G115:G117" si="12">HYPERLINK("https://hawk-eye.atlassian.net/browse/?atlOrigin=eyJpIjoiYzgwYTQ0ZjEyNzQzNGJhN2JmNjEyZTM0NmRhZWZhNjIiLCJwIjoic2hlZXRzLWppcmEifQ","")</f>
        <v/>
      </c>
      <c r="H115" s="1" t="s">
        <v>1058</v>
      </c>
      <c r="I115" s="1" t="s">
        <v>1085</v>
      </c>
      <c r="J115" s="1" t="s">
        <v>26</v>
      </c>
      <c r="K115" s="1" t="s">
        <v>1105</v>
      </c>
      <c r="L115" s="1" t="s">
        <v>26</v>
      </c>
      <c r="M115" s="1" t="s">
        <v>27</v>
      </c>
      <c r="N115" s="1" t="s">
        <v>26</v>
      </c>
      <c r="O115" s="1" t="s">
        <v>26</v>
      </c>
      <c r="P115" s="4">
        <v>45761.42076388889</v>
      </c>
    </row>
    <row r="116" hidden="1">
      <c r="A116" s="1" t="s">
        <v>1055</v>
      </c>
      <c r="B116" s="3" t="str">
        <f>HYPERLINK("https://hawk-eye.atlassian.net/browse/HWKREPORT-3299?atlOrigin=eyJpIjoiYzgwYTQ0ZjEyNzQzNGJhN2JmNjEyZTM0NmRhZWZhNjIiLCJwIjoic2hlZXRzLWppcmEifQ","HWKREPORT-3299")</f>
        <v>HWKREPORT-3299</v>
      </c>
      <c r="C116" s="1" t="s">
        <v>1222</v>
      </c>
      <c r="D116" s="1" t="s">
        <v>48</v>
      </c>
      <c r="E116" s="1" t="s">
        <v>1057</v>
      </c>
      <c r="F116" s="4">
        <v>45709.57326388889</v>
      </c>
      <c r="G116" s="3" t="str">
        <f t="shared" si="12"/>
        <v/>
      </c>
      <c r="H116" s="1" t="s">
        <v>1058</v>
      </c>
      <c r="I116" s="1" t="s">
        <v>1085</v>
      </c>
      <c r="J116" s="1" t="s">
        <v>26</v>
      </c>
      <c r="K116" s="1" t="s">
        <v>1116</v>
      </c>
      <c r="L116" s="1" t="s">
        <v>26</v>
      </c>
      <c r="M116" s="1" t="s">
        <v>27</v>
      </c>
      <c r="N116" s="1" t="s">
        <v>26</v>
      </c>
      <c r="O116" s="1" t="s">
        <v>26</v>
      </c>
      <c r="P116" s="4">
        <v>45709.573275462964</v>
      </c>
    </row>
    <row r="117" hidden="1">
      <c r="A117" s="1" t="s">
        <v>1055</v>
      </c>
      <c r="B117" s="3" t="str">
        <f>HYPERLINK("https://hawk-eye.atlassian.net/browse/HWKREPORT-3300?atlOrigin=eyJpIjoiYzgwYTQ0ZjEyNzQzNGJhN2JmNjEyZTM0NmRhZWZhNjIiLCJwIjoic2hlZXRzLWppcmEifQ","HWKREPORT-3300")</f>
        <v>HWKREPORT-3300</v>
      </c>
      <c r="C117" s="1" t="s">
        <v>1223</v>
      </c>
      <c r="D117" s="1" t="s">
        <v>48</v>
      </c>
      <c r="E117" s="1" t="s">
        <v>1057</v>
      </c>
      <c r="F117" s="4">
        <v>45709.59563657407</v>
      </c>
      <c r="G117" s="3" t="str">
        <f t="shared" si="12"/>
        <v/>
      </c>
      <c r="H117" s="1" t="s">
        <v>1058</v>
      </c>
      <c r="I117" s="1" t="s">
        <v>28</v>
      </c>
      <c r="J117" s="1" t="s">
        <v>26</v>
      </c>
      <c r="K117" s="1" t="s">
        <v>1099</v>
      </c>
      <c r="L117" s="1" t="s">
        <v>26</v>
      </c>
      <c r="M117" s="1" t="s">
        <v>27</v>
      </c>
      <c r="N117" s="1" t="s">
        <v>26</v>
      </c>
      <c r="O117" s="1" t="s">
        <v>26</v>
      </c>
      <c r="P117" s="4">
        <v>45709.59564814815</v>
      </c>
    </row>
    <row r="118" hidden="1">
      <c r="A118" s="1" t="s">
        <v>21</v>
      </c>
      <c r="B118" s="3" t="str">
        <f>HYPERLINK("https://hawk-eye.atlassian.net/browse/HWKREPORT-3301?atlOrigin=eyJpIjoiYzgwYTQ0ZjEyNzQzNGJhN2JmNjEyZTM0NmRhZWZhNjIiLCJwIjoic2hlZXRzLWppcmEifQ","HWKREPORT-3301")</f>
        <v>HWKREPORT-3301</v>
      </c>
      <c r="C118" s="1" t="s">
        <v>1224</v>
      </c>
      <c r="D118" s="1" t="s">
        <v>83</v>
      </c>
      <c r="E118" s="1" t="s">
        <v>35</v>
      </c>
      <c r="F118" s="4">
        <v>45709.75771990741</v>
      </c>
      <c r="G118" s="3" t="str">
        <f>HYPERLINK("https://hawk-eye.atlassian.net/browse/RTT-10093?atlOrigin=eyJpIjoiYzgwYTQ0ZjEyNzQzNGJhN2JmNjEyZTM0NmRhZWZhNjIiLCJwIjoic2hlZXRzLWppcmEifQ","RTT-10093")</f>
        <v>RTT-10093</v>
      </c>
      <c r="H118" s="1" t="s">
        <v>1058</v>
      </c>
      <c r="I118" s="1" t="s">
        <v>1085</v>
      </c>
      <c r="J118" s="1" t="s">
        <v>26</v>
      </c>
      <c r="K118" s="1" t="s">
        <v>1072</v>
      </c>
      <c r="L118" s="1" t="s">
        <v>26</v>
      </c>
      <c r="M118" s="1" t="s">
        <v>27</v>
      </c>
      <c r="N118" s="1" t="s">
        <v>26</v>
      </c>
      <c r="O118" s="1" t="s">
        <v>26</v>
      </c>
      <c r="P118" s="4">
        <v>45751.56083333334</v>
      </c>
    </row>
    <row r="119" hidden="1">
      <c r="A119" s="1" t="s">
        <v>1055</v>
      </c>
      <c r="B119" s="3" t="str">
        <f>HYPERLINK("https://hawk-eye.atlassian.net/browse/HWKREPORT-3302?atlOrigin=eyJpIjoiYzgwYTQ0ZjEyNzQzNGJhN2JmNjEyZTM0NmRhZWZhNjIiLCJwIjoic2hlZXRzLWppcmEifQ","HWKREPORT-3302")</f>
        <v>HWKREPORT-3302</v>
      </c>
      <c r="C119" s="1" t="s">
        <v>1225</v>
      </c>
      <c r="D119" s="1" t="s">
        <v>23</v>
      </c>
      <c r="E119" s="1" t="s">
        <v>1074</v>
      </c>
      <c r="F119" s="4">
        <v>45711.021840277775</v>
      </c>
      <c r="G119" s="3" t="str">
        <f>HYPERLINK("https://hawk-eye.atlassian.net/browse/BAS-1061?atlOrigin=eyJpIjoiYzgwYTQ0ZjEyNzQzNGJhN2JmNjEyZTM0NmRhZWZhNjIiLCJwIjoic2hlZXRzLWppcmEifQ","BAS-1061")</f>
        <v>BAS-1061</v>
      </c>
      <c r="H119" s="1" t="s">
        <v>1058</v>
      </c>
      <c r="I119" s="1" t="s">
        <v>1071</v>
      </c>
      <c r="J119" s="1" t="s">
        <v>26</v>
      </c>
      <c r="K119" s="1" t="s">
        <v>1118</v>
      </c>
      <c r="L119" s="1" t="s">
        <v>26</v>
      </c>
      <c r="M119" s="1" t="s">
        <v>27</v>
      </c>
      <c r="N119" s="1" t="s">
        <v>26</v>
      </c>
      <c r="O119" s="1" t="s">
        <v>26</v>
      </c>
      <c r="P119" s="4">
        <v>45755.62644675926</v>
      </c>
    </row>
    <row r="120" hidden="1">
      <c r="A120" s="1" t="s">
        <v>21</v>
      </c>
      <c r="B120" s="3" t="str">
        <f>HYPERLINK("https://hawk-eye.atlassian.net/browse/HWKREPORT-3303?atlOrigin=eyJpIjoiYzgwYTQ0ZjEyNzQzNGJhN2JmNjEyZTM0NmRhZWZhNjIiLCJwIjoic2hlZXRzLWppcmEifQ","HWKREPORT-3303")</f>
        <v>HWKREPORT-3303</v>
      </c>
      <c r="C120" s="1" t="s">
        <v>1226</v>
      </c>
      <c r="D120" s="1" t="s">
        <v>34</v>
      </c>
      <c r="E120" s="1" t="s">
        <v>35</v>
      </c>
      <c r="F120" s="4">
        <v>45711.99056712963</v>
      </c>
      <c r="G120" s="3" t="str">
        <f>HYPERLINK("https://hawk-eye.atlassian.net/browse/RTT-10086?atlOrigin=eyJpIjoiYzgwYTQ0ZjEyNzQzNGJhN2JmNjEyZTM0NmRhZWZhNjIiLCJwIjoic2hlZXRzLWppcmEifQ","RTT-10086")</f>
        <v>RTT-10086</v>
      </c>
      <c r="H120" s="1" t="s">
        <v>1058</v>
      </c>
      <c r="I120" s="1" t="s">
        <v>1071</v>
      </c>
      <c r="J120" s="1" t="s">
        <v>26</v>
      </c>
      <c r="K120" s="1" t="s">
        <v>1095</v>
      </c>
      <c r="L120" s="1" t="s">
        <v>26</v>
      </c>
      <c r="M120" s="1" t="s">
        <v>27</v>
      </c>
      <c r="N120" s="1" t="s">
        <v>26</v>
      </c>
      <c r="O120" s="1" t="s">
        <v>26</v>
      </c>
      <c r="P120" s="4">
        <v>45712.697164351855</v>
      </c>
    </row>
    <row r="121" hidden="1">
      <c r="A121" s="1" t="s">
        <v>21</v>
      </c>
      <c r="B121" s="3" t="str">
        <f>HYPERLINK("https://hawk-eye.atlassian.net/browse/HWKREPORT-3304?atlOrigin=eyJpIjoiYzgwYTQ0ZjEyNzQzNGJhN2JmNjEyZTM0NmRhZWZhNjIiLCJwIjoic2hlZXRzLWppcmEifQ","HWKREPORT-3304")</f>
        <v>HWKREPORT-3304</v>
      </c>
      <c r="C121" s="1" t="s">
        <v>1227</v>
      </c>
      <c r="D121" s="1" t="s">
        <v>34</v>
      </c>
      <c r="E121" s="1" t="s">
        <v>1207</v>
      </c>
      <c r="F121" s="4">
        <v>45712.00565972222</v>
      </c>
      <c r="G121" s="3" t="str">
        <f>HYPERLINK("https://hawk-eye.atlassian.net/browse/RTT-10087?atlOrigin=eyJpIjoiYzgwYTQ0ZjEyNzQzNGJhN2JmNjEyZTM0NmRhZWZhNjIiLCJwIjoic2hlZXRzLWppcmEifQ","RTT-10087")</f>
        <v>RTT-10087</v>
      </c>
      <c r="H121" s="1" t="s">
        <v>1058</v>
      </c>
      <c r="I121" s="1" t="s">
        <v>1071</v>
      </c>
      <c r="J121" s="1" t="s">
        <v>26</v>
      </c>
      <c r="K121" s="1" t="s">
        <v>1095</v>
      </c>
      <c r="L121" s="1" t="s">
        <v>26</v>
      </c>
      <c r="M121" s="1" t="s">
        <v>27</v>
      </c>
      <c r="N121" s="1" t="s">
        <v>26</v>
      </c>
      <c r="O121" s="1" t="s">
        <v>26</v>
      </c>
      <c r="P121" s="4">
        <v>45727.61009259259</v>
      </c>
    </row>
    <row r="122" hidden="1">
      <c r="A122" s="1" t="s">
        <v>21</v>
      </c>
      <c r="B122" s="3" t="str">
        <f>HYPERLINK("https://hawk-eye.atlassian.net/browse/HWKREPORT-3305?atlOrigin=eyJpIjoiYzgwYTQ0ZjEyNzQzNGJhN2JmNjEyZTM0NmRhZWZhNjIiLCJwIjoic2hlZXRzLWppcmEifQ","HWKREPORT-3305")</f>
        <v>HWKREPORT-3305</v>
      </c>
      <c r="C122" s="1" t="s">
        <v>1228</v>
      </c>
      <c r="D122" s="1" t="s">
        <v>40</v>
      </c>
      <c r="E122" s="1" t="s">
        <v>35</v>
      </c>
      <c r="F122" s="4">
        <v>45712.01484953704</v>
      </c>
      <c r="G122" s="3" t="str">
        <f>HYPERLINK("https://hawk-eye.atlassian.net/browse/RTT-10088?atlOrigin=eyJpIjoiYzgwYTQ0ZjEyNzQzNGJhN2JmNjEyZTM0NmRhZWZhNjIiLCJwIjoic2hlZXRzLWppcmEifQ","RTT-10088")</f>
        <v>RTT-10088</v>
      </c>
      <c r="H122" s="1" t="s">
        <v>1058</v>
      </c>
      <c r="I122" s="1" t="s">
        <v>1071</v>
      </c>
      <c r="J122" s="1" t="s">
        <v>26</v>
      </c>
      <c r="K122" s="1" t="s">
        <v>1095</v>
      </c>
      <c r="L122" s="1" t="s">
        <v>26</v>
      </c>
      <c r="M122" s="1" t="s">
        <v>27</v>
      </c>
      <c r="N122" s="1" t="s">
        <v>26</v>
      </c>
      <c r="O122" s="1" t="s">
        <v>26</v>
      </c>
      <c r="P122" s="4">
        <v>45722.37138888889</v>
      </c>
    </row>
    <row r="123" hidden="1">
      <c r="A123" s="1" t="s">
        <v>21</v>
      </c>
      <c r="B123" s="3" t="str">
        <f>HYPERLINK("https://hawk-eye.atlassian.net/browse/HWKREPORT-3306?atlOrigin=eyJpIjoiYzgwYTQ0ZjEyNzQzNGJhN2JmNjEyZTM0NmRhZWZhNjIiLCJwIjoic2hlZXRzLWppcmEifQ","HWKREPORT-3306")</f>
        <v>HWKREPORT-3306</v>
      </c>
      <c r="C123" s="1" t="s">
        <v>1229</v>
      </c>
      <c r="D123" s="1" t="s">
        <v>23</v>
      </c>
      <c r="E123" s="1" t="s">
        <v>1057</v>
      </c>
      <c r="F123" s="4">
        <v>45712.04414351852</v>
      </c>
      <c r="G123" s="3" t="str">
        <f>HYPERLINK("https://hawk-eye.atlassian.net/browse/BAS-1127?atlOrigin=eyJpIjoiYzgwYTQ0ZjEyNzQzNGJhN2JmNjEyZTM0NmRhZWZhNjIiLCJwIjoic2hlZXRzLWppcmEifQ","BAS-1127")</f>
        <v>BAS-1127</v>
      </c>
      <c r="H123" s="1" t="s">
        <v>1058</v>
      </c>
      <c r="I123" s="1" t="s">
        <v>1071</v>
      </c>
      <c r="J123" s="1" t="s">
        <v>26</v>
      </c>
      <c r="K123" s="1" t="s">
        <v>1130</v>
      </c>
      <c r="L123" s="1" t="s">
        <v>26</v>
      </c>
      <c r="M123" s="1" t="s">
        <v>27</v>
      </c>
      <c r="N123" s="1" t="s">
        <v>26</v>
      </c>
      <c r="O123" s="1" t="s">
        <v>26</v>
      </c>
      <c r="P123" s="4">
        <v>45712.04415509259</v>
      </c>
    </row>
    <row r="124" hidden="1">
      <c r="A124" s="1" t="s">
        <v>21</v>
      </c>
      <c r="B124" s="3" t="str">
        <f>HYPERLINK("https://hawk-eye.atlassian.net/browse/HWKREPORT-3307?atlOrigin=eyJpIjoiYzgwYTQ0ZjEyNzQzNGJhN2JmNjEyZTM0NmRhZWZhNjIiLCJwIjoic2hlZXRzLWppcmEifQ","HWKREPORT-3307")</f>
        <v>HWKREPORT-3307</v>
      </c>
      <c r="C124" s="1" t="s">
        <v>1230</v>
      </c>
      <c r="D124" s="1" t="s">
        <v>34</v>
      </c>
      <c r="E124" s="1" t="s">
        <v>35</v>
      </c>
      <c r="F124" s="4">
        <v>45712.047581018516</v>
      </c>
      <c r="G124" s="3" t="str">
        <f>HYPERLINK("https://hawk-eye.atlassian.net/browse/?atlOrigin=eyJpIjoiYzgwYTQ0ZjEyNzQzNGJhN2JmNjEyZTM0NmRhZWZhNjIiLCJwIjoic2hlZXRzLWppcmEifQ","")</f>
        <v/>
      </c>
      <c r="H124" s="1" t="s">
        <v>1058</v>
      </c>
      <c r="I124" s="1" t="s">
        <v>1071</v>
      </c>
      <c r="J124" s="1" t="s">
        <v>26</v>
      </c>
      <c r="K124" s="1" t="s">
        <v>1143</v>
      </c>
      <c r="L124" s="1" t="s">
        <v>26</v>
      </c>
      <c r="M124" s="1" t="s">
        <v>27</v>
      </c>
      <c r="N124" s="1" t="s">
        <v>26</v>
      </c>
      <c r="O124" s="1" t="s">
        <v>26</v>
      </c>
      <c r="P124" s="4">
        <v>45734.72324074074</v>
      </c>
    </row>
    <row r="125" hidden="1">
      <c r="A125" s="1" t="s">
        <v>1055</v>
      </c>
      <c r="B125" s="3" t="str">
        <f>HYPERLINK("https://hawk-eye.atlassian.net/browse/HWKREPORT-3308?atlOrigin=eyJpIjoiYzgwYTQ0ZjEyNzQzNGJhN2JmNjEyZTM0NmRhZWZhNjIiLCJwIjoic2hlZXRzLWppcmEifQ","HWKREPORT-3308")</f>
        <v>HWKREPORT-3308</v>
      </c>
      <c r="C125" s="1" t="s">
        <v>1231</v>
      </c>
      <c r="D125" s="1" t="s">
        <v>23</v>
      </c>
      <c r="E125" s="1" t="s">
        <v>1057</v>
      </c>
      <c r="F125" s="4">
        <v>45712.66158564815</v>
      </c>
      <c r="G125" s="3" t="str">
        <f>HYPERLINK("https://hawk-eye.atlassian.net/browse/AT-1711?atlOrigin=eyJpIjoiYzgwYTQ0ZjEyNzQzNGJhN2JmNjEyZTM0NmRhZWZhNjIiLCJwIjoic2hlZXRzLWppcmEifQ","AT-1711")</f>
        <v>AT-1711</v>
      </c>
      <c r="H125" s="1" t="s">
        <v>1058</v>
      </c>
      <c r="I125" s="1" t="s">
        <v>1085</v>
      </c>
      <c r="J125" s="1" t="s">
        <v>26</v>
      </c>
      <c r="K125" s="1" t="s">
        <v>26</v>
      </c>
      <c r="L125" s="1" t="s">
        <v>26</v>
      </c>
      <c r="M125" s="1" t="s">
        <v>27</v>
      </c>
      <c r="N125" s="1" t="s">
        <v>26</v>
      </c>
      <c r="O125" s="1" t="s">
        <v>26</v>
      </c>
      <c r="P125" s="4">
        <v>45712.66159722222</v>
      </c>
    </row>
    <row r="126" hidden="1">
      <c r="A126" s="1" t="s">
        <v>21</v>
      </c>
      <c r="B126" s="3" t="str">
        <f>HYPERLINK("https://hawk-eye.atlassian.net/browse/HWKREPORT-3309?atlOrigin=eyJpIjoiYzgwYTQ0ZjEyNzQzNGJhN2JmNjEyZTM0NmRhZWZhNjIiLCJwIjoic2hlZXRzLWppcmEifQ","HWKREPORT-3309")</f>
        <v>HWKREPORT-3309</v>
      </c>
      <c r="C126" s="1" t="s">
        <v>1232</v>
      </c>
      <c r="D126" s="1" t="s">
        <v>34</v>
      </c>
      <c r="E126" s="1" t="s">
        <v>35</v>
      </c>
      <c r="F126" s="4">
        <v>45712.776875</v>
      </c>
      <c r="G126" s="3" t="str">
        <f>HYPERLINK("https://hawk-eye.atlassian.net/browse/SO-2291?atlOrigin=eyJpIjoiYzgwYTQ0ZjEyNzQzNGJhN2JmNjEyZTM0NmRhZWZhNjIiLCJwIjoic2hlZXRzLWppcmEifQ","SO-2291")</f>
        <v>SO-2291</v>
      </c>
      <c r="H126" s="1" t="s">
        <v>1058</v>
      </c>
      <c r="I126" s="1" t="s">
        <v>1233</v>
      </c>
      <c r="J126" s="1" t="s">
        <v>26</v>
      </c>
      <c r="K126" s="1" t="s">
        <v>1234</v>
      </c>
      <c r="L126" s="1" t="s">
        <v>26</v>
      </c>
      <c r="M126" s="1" t="s">
        <v>27</v>
      </c>
      <c r="N126" s="1" t="s">
        <v>26</v>
      </c>
      <c r="O126" s="1" t="s">
        <v>26</v>
      </c>
      <c r="P126" s="4">
        <v>45733.413449074076</v>
      </c>
    </row>
    <row r="127" hidden="1">
      <c r="A127" s="1" t="s">
        <v>1055</v>
      </c>
      <c r="B127" s="3" t="str">
        <f>HYPERLINK("https://hawk-eye.atlassian.net/browse/HWKREPORT-3310?atlOrigin=eyJpIjoiYzgwYTQ0ZjEyNzQzNGJhN2JmNjEyZTM0NmRhZWZhNjIiLCJwIjoic2hlZXRzLWppcmEifQ","HWKREPORT-3310")</f>
        <v>HWKREPORT-3310</v>
      </c>
      <c r="C127" s="1" t="s">
        <v>1235</v>
      </c>
      <c r="D127" s="1" t="s">
        <v>48</v>
      </c>
      <c r="E127" s="1" t="s">
        <v>1057</v>
      </c>
      <c r="F127" s="4">
        <v>45713.482152777775</v>
      </c>
      <c r="G127" s="3" t="str">
        <f t="shared" ref="G127:G128" si="13">HYPERLINK("https://hawk-eye.atlassian.net/browse/?atlOrigin=eyJpIjoiYzgwYTQ0ZjEyNzQzNGJhN2JmNjEyZTM0NmRhZWZhNjIiLCJwIjoic2hlZXRzLWppcmEifQ","")</f>
        <v/>
      </c>
      <c r="H127" s="1" t="s">
        <v>1058</v>
      </c>
      <c r="I127" s="1" t="s">
        <v>1236</v>
      </c>
      <c r="J127" s="1" t="s">
        <v>26</v>
      </c>
      <c r="K127" s="1" t="s">
        <v>1237</v>
      </c>
      <c r="L127" s="1" t="s">
        <v>26</v>
      </c>
      <c r="M127" s="1" t="s">
        <v>27</v>
      </c>
      <c r="N127" s="1" t="s">
        <v>26</v>
      </c>
      <c r="O127" s="1" t="s">
        <v>26</v>
      </c>
      <c r="P127" s="4">
        <v>45713.48216435185</v>
      </c>
    </row>
    <row r="128" hidden="1">
      <c r="A128" s="1" t="s">
        <v>21</v>
      </c>
      <c r="B128" s="3" t="str">
        <f>HYPERLINK("https://hawk-eye.atlassian.net/browse/HWKREPORT-3311?atlOrigin=eyJpIjoiYzgwYTQ0ZjEyNzQzNGJhN2JmNjEyZTM0NmRhZWZhNjIiLCJwIjoic2hlZXRzLWppcmEifQ","HWKREPORT-3311")</f>
        <v>HWKREPORT-3311</v>
      </c>
      <c r="C128" s="1" t="s">
        <v>1238</v>
      </c>
      <c r="D128" s="1" t="s">
        <v>34</v>
      </c>
      <c r="E128" s="1" t="s">
        <v>1057</v>
      </c>
      <c r="F128" s="4">
        <v>45713.67943287037</v>
      </c>
      <c r="G128" s="3" t="str">
        <f t="shared" si="13"/>
        <v/>
      </c>
      <c r="H128" s="1" t="s">
        <v>1058</v>
      </c>
      <c r="I128" s="1" t="s">
        <v>1059</v>
      </c>
      <c r="J128" s="1" t="s">
        <v>26</v>
      </c>
      <c r="K128" s="1" t="s">
        <v>1116</v>
      </c>
      <c r="L128" s="1" t="s">
        <v>26</v>
      </c>
      <c r="M128" s="1" t="s">
        <v>27</v>
      </c>
      <c r="N128" s="1" t="s">
        <v>26</v>
      </c>
      <c r="O128" s="1" t="s">
        <v>26</v>
      </c>
      <c r="P128" s="4">
        <v>45713.679444444446</v>
      </c>
    </row>
    <row r="129" hidden="1">
      <c r="A129" s="1" t="s">
        <v>21</v>
      </c>
      <c r="B129" s="3" t="str">
        <f>HYPERLINK("https://hawk-eye.atlassian.net/browse/HWKREPORT-3312?atlOrigin=eyJpIjoiYzgwYTQ0ZjEyNzQzNGJhN2JmNjEyZTM0NmRhZWZhNjIiLCJwIjoic2hlZXRzLWppcmEifQ","HWKREPORT-3312")</f>
        <v>HWKREPORT-3312</v>
      </c>
      <c r="C129" s="1" t="s">
        <v>1239</v>
      </c>
      <c r="D129" s="1" t="s">
        <v>83</v>
      </c>
      <c r="E129" s="1" t="s">
        <v>1207</v>
      </c>
      <c r="F129" s="4">
        <v>45713.77804398148</v>
      </c>
      <c r="G129" s="3" t="str">
        <f>HYPERLINK("https://hawk-eye.atlassian.net/browse/RTT-10125?atlOrigin=eyJpIjoiYzgwYTQ0ZjEyNzQzNGJhN2JmNjEyZTM0NmRhZWZhNjIiLCJwIjoic2hlZXRzLWppcmEifQ","RTT-10125")</f>
        <v>RTT-10125</v>
      </c>
      <c r="H129" s="1" t="s">
        <v>1058</v>
      </c>
      <c r="I129" s="1" t="s">
        <v>1071</v>
      </c>
      <c r="J129" s="1" t="s">
        <v>26</v>
      </c>
      <c r="K129" s="1" t="s">
        <v>1072</v>
      </c>
      <c r="L129" s="1" t="s">
        <v>26</v>
      </c>
      <c r="M129" s="1" t="s">
        <v>27</v>
      </c>
      <c r="N129" s="1" t="s">
        <v>26</v>
      </c>
      <c r="O129" s="1" t="s">
        <v>26</v>
      </c>
      <c r="P129" s="4">
        <v>45783.51048611111</v>
      </c>
    </row>
    <row r="130" hidden="1">
      <c r="A130" s="1" t="s">
        <v>21</v>
      </c>
      <c r="B130" s="3" t="str">
        <f>HYPERLINK("https://hawk-eye.atlassian.net/browse/HWKREPORT-3313?atlOrigin=eyJpIjoiYzgwYTQ0ZjEyNzQzNGJhN2JmNjEyZTM0NmRhZWZhNjIiLCJwIjoic2hlZXRzLWppcmEifQ","HWKREPORT-3313")</f>
        <v>HWKREPORT-3313</v>
      </c>
      <c r="C130" s="1" t="s">
        <v>1240</v>
      </c>
      <c r="D130" s="1" t="s">
        <v>23</v>
      </c>
      <c r="E130" s="1" t="s">
        <v>35</v>
      </c>
      <c r="F130" s="4">
        <v>45713.828043981484</v>
      </c>
      <c r="G130" s="3" t="str">
        <f>HYPERLINK("https://hawk-eye.atlassian.net/browse/RTT-10138?atlOrigin=eyJpIjoiYzgwYTQ0ZjEyNzQzNGJhN2JmNjEyZTM0NmRhZWZhNjIiLCJwIjoic2hlZXRzLWppcmEifQ","RTT-10138")</f>
        <v>RTT-10138</v>
      </c>
      <c r="H130" s="1" t="s">
        <v>1058</v>
      </c>
      <c r="I130" s="1" t="s">
        <v>1071</v>
      </c>
      <c r="J130" s="1" t="s">
        <v>26</v>
      </c>
      <c r="K130" s="1" t="s">
        <v>1241</v>
      </c>
      <c r="L130" s="1" t="s">
        <v>26</v>
      </c>
      <c r="M130" s="1" t="s">
        <v>27</v>
      </c>
      <c r="N130" s="1" t="s">
        <v>26</v>
      </c>
      <c r="O130" s="1" t="s">
        <v>26</v>
      </c>
      <c r="P130" s="4">
        <v>45768.61969907407</v>
      </c>
    </row>
    <row r="131" hidden="1">
      <c r="A131" s="1" t="s">
        <v>21</v>
      </c>
      <c r="B131" s="3" t="str">
        <f>HYPERLINK("https://hawk-eye.atlassian.net/browse/HWKREPORT-3314?atlOrigin=eyJpIjoiYzgwYTQ0ZjEyNzQzNGJhN2JmNjEyZTM0NmRhZWZhNjIiLCJwIjoic2hlZXRzLWppcmEifQ","HWKREPORT-3314")</f>
        <v>HWKREPORT-3314</v>
      </c>
      <c r="C131" s="1" t="s">
        <v>1242</v>
      </c>
      <c r="D131" s="1" t="s">
        <v>23</v>
      </c>
      <c r="E131" s="1" t="s">
        <v>1057</v>
      </c>
      <c r="F131" s="4">
        <v>45713.86298611111</v>
      </c>
      <c r="G131" s="3" t="str">
        <f>HYPERLINK("https://hawk-eye.atlassian.net/browse/BR-1987?atlOrigin=eyJpIjoiYzgwYTQ0ZjEyNzQzNGJhN2JmNjEyZTM0NmRhZWZhNjIiLCJwIjoic2hlZXRzLWppcmEifQ","BR-1987")</f>
        <v>BR-1987</v>
      </c>
      <c r="H131" s="1" t="s">
        <v>1058</v>
      </c>
      <c r="I131" s="1" t="s">
        <v>1107</v>
      </c>
      <c r="J131" s="1" t="s">
        <v>26</v>
      </c>
      <c r="K131" s="1" t="s">
        <v>1108</v>
      </c>
      <c r="L131" s="1" t="s">
        <v>26</v>
      </c>
      <c r="M131" s="1" t="s">
        <v>27</v>
      </c>
      <c r="N131" s="1" t="s">
        <v>26</v>
      </c>
      <c r="O131" s="1" t="s">
        <v>26</v>
      </c>
      <c r="P131" s="4">
        <v>45713.86299768519</v>
      </c>
    </row>
    <row r="132" hidden="1">
      <c r="A132" s="1" t="s">
        <v>1055</v>
      </c>
      <c r="B132" s="3" t="str">
        <f>HYPERLINK("https://hawk-eye.atlassian.net/browse/HWKREPORT-3315?atlOrigin=eyJpIjoiYzgwYTQ0ZjEyNzQzNGJhN2JmNjEyZTM0NmRhZWZhNjIiLCJwIjoic2hlZXRzLWppcmEifQ","HWKREPORT-3315")</f>
        <v>HWKREPORT-3315</v>
      </c>
      <c r="C132" s="1" t="s">
        <v>1243</v>
      </c>
      <c r="D132" s="1" t="s">
        <v>48</v>
      </c>
      <c r="E132" s="1" t="s">
        <v>1057</v>
      </c>
      <c r="F132" s="4">
        <v>45713.89728009259</v>
      </c>
      <c r="G132" s="3" t="str">
        <f>HYPERLINK("https://hawk-eye.atlassian.net/issues/?atlOrigin=eyJpIjoiYzgwYTQ0ZjEyNzQzNGJhN2JmNjEyZTM0NmRhZWZhNjIiLCJwIjoic2hlZXRzLWppcmEifQ&amp;jql=key+in+%28GDS-429%2CBR-1997%29","GDS-429;BR-1997")</f>
        <v>GDS-429;BR-1997</v>
      </c>
      <c r="H132" s="1" t="s">
        <v>1058</v>
      </c>
      <c r="I132" s="1" t="s">
        <v>1087</v>
      </c>
      <c r="J132" s="1" t="s">
        <v>26</v>
      </c>
      <c r="K132" s="1" t="s">
        <v>1244</v>
      </c>
      <c r="L132" s="1" t="s">
        <v>26</v>
      </c>
      <c r="M132" s="1" t="s">
        <v>27</v>
      </c>
      <c r="N132" s="1" t="s">
        <v>26</v>
      </c>
      <c r="O132" s="1" t="s">
        <v>26</v>
      </c>
      <c r="P132" s="4">
        <v>45713.89729166667</v>
      </c>
    </row>
    <row r="133">
      <c r="A133" s="1" t="s">
        <v>21</v>
      </c>
      <c r="B133" s="3" t="str">
        <f>HYPERLINK("https://hawk-eye.atlassian.net/browse/HWKREPORT-3316?atlOrigin=eyJpIjoiYzgwYTQ0ZjEyNzQzNGJhN2JmNjEyZTM0NmRhZWZhNjIiLCJwIjoic2hlZXRzLWppcmEifQ","HWKREPORT-3316")</f>
        <v>HWKREPORT-3316</v>
      </c>
      <c r="C133" s="1" t="s">
        <v>1245</v>
      </c>
      <c r="D133" s="1" t="s">
        <v>23</v>
      </c>
      <c r="E133" s="1" t="s">
        <v>1057</v>
      </c>
      <c r="F133" s="4">
        <v>45714.62564814815</v>
      </c>
      <c r="G133" s="3" t="str">
        <f>HYPERLINK("https://hawk-eye.atlassian.net/browse/?atlOrigin=eyJpIjoiYzgwYTQ0ZjEyNzQzNGJhN2JmNjEyZTM0NmRhZWZhNjIiLCJwIjoic2hlZXRzLWppcmEifQ","")</f>
        <v/>
      </c>
      <c r="H133" s="1" t="s">
        <v>1058</v>
      </c>
      <c r="I133" s="1" t="s">
        <v>28</v>
      </c>
      <c r="J133" s="1" t="s">
        <v>26</v>
      </c>
      <c r="K133" s="1" t="s">
        <v>1072</v>
      </c>
      <c r="L133" s="1" t="s">
        <v>26</v>
      </c>
      <c r="M133" s="1" t="s">
        <v>27</v>
      </c>
      <c r="N133" s="1" t="s">
        <v>26</v>
      </c>
      <c r="O133" s="1" t="s">
        <v>26</v>
      </c>
      <c r="P133" s="4">
        <v>45714.625659722224</v>
      </c>
    </row>
    <row r="134" hidden="1">
      <c r="A134" s="1" t="s">
        <v>21</v>
      </c>
      <c r="B134" s="3" t="str">
        <f>HYPERLINK("https://hawk-eye.atlassian.net/browse/HWKREPORT-3317?atlOrigin=eyJpIjoiYzgwYTQ0ZjEyNzQzNGJhN2JmNjEyZTM0NmRhZWZhNjIiLCJwIjoic2hlZXRzLWppcmEifQ","HWKREPORT-3317")</f>
        <v>HWKREPORT-3317</v>
      </c>
      <c r="C134" s="1" t="s">
        <v>1246</v>
      </c>
      <c r="D134" s="1" t="s">
        <v>23</v>
      </c>
      <c r="E134" s="1" t="s">
        <v>1057</v>
      </c>
      <c r="F134" s="4">
        <v>45714.74854166667</v>
      </c>
      <c r="G134" s="3" t="str">
        <f>HYPERLINK("https://hawk-eye.atlassian.net/browse/BR-1981?atlOrigin=eyJpIjoiYzgwYTQ0ZjEyNzQzNGJhN2JmNjEyZTM0NmRhZWZhNjIiLCJwIjoic2hlZXRzLWppcmEifQ","BR-1981")</f>
        <v>BR-1981</v>
      </c>
      <c r="H134" s="1" t="s">
        <v>1058</v>
      </c>
      <c r="I134" s="1" t="s">
        <v>1107</v>
      </c>
      <c r="J134" s="1" t="s">
        <v>26</v>
      </c>
      <c r="K134" s="1" t="s">
        <v>1247</v>
      </c>
      <c r="L134" s="1" t="s">
        <v>26</v>
      </c>
      <c r="M134" s="1" t="s">
        <v>27</v>
      </c>
      <c r="N134" s="1" t="s">
        <v>26</v>
      </c>
      <c r="O134" s="1" t="s">
        <v>26</v>
      </c>
      <c r="P134" s="4">
        <v>45714.74855324074</v>
      </c>
    </row>
    <row r="135" hidden="1">
      <c r="A135" s="1" t="s">
        <v>21</v>
      </c>
      <c r="B135" s="3" t="str">
        <f>HYPERLINK("https://hawk-eye.atlassian.net/browse/HWKREPORT-3318?atlOrigin=eyJpIjoiYzgwYTQ0ZjEyNzQzNGJhN2JmNjEyZTM0NmRhZWZhNjIiLCJwIjoic2hlZXRzLWppcmEifQ","HWKREPORT-3318")</f>
        <v>HWKREPORT-3318</v>
      </c>
      <c r="C135" s="1" t="s">
        <v>1248</v>
      </c>
      <c r="D135" s="1" t="s">
        <v>34</v>
      </c>
      <c r="E135" s="1" t="s">
        <v>35</v>
      </c>
      <c r="F135" s="4">
        <v>45715.62553240741</v>
      </c>
      <c r="G135" s="3" t="str">
        <f t="shared" ref="G135:G136" si="14">HYPERLINK("https://hawk-eye.atlassian.net/browse/?atlOrigin=eyJpIjoiYzgwYTQ0ZjEyNzQzNGJhN2JmNjEyZTM0NmRhZWZhNjIiLCJwIjoic2hlZXRzLWppcmEifQ","")</f>
        <v/>
      </c>
      <c r="H135" s="1" t="s">
        <v>1058</v>
      </c>
      <c r="I135" s="1" t="s">
        <v>1249</v>
      </c>
      <c r="J135" s="1" t="s">
        <v>26</v>
      </c>
      <c r="K135" s="1" t="s">
        <v>1093</v>
      </c>
      <c r="L135" s="1" t="s">
        <v>26</v>
      </c>
      <c r="M135" s="1" t="s">
        <v>27</v>
      </c>
      <c r="N135" s="1" t="s">
        <v>26</v>
      </c>
      <c r="O135" s="1" t="s">
        <v>26</v>
      </c>
      <c r="P135" s="4">
        <v>45719.501979166664</v>
      </c>
    </row>
    <row r="136" hidden="1">
      <c r="A136" s="1" t="s">
        <v>1055</v>
      </c>
      <c r="B136" s="3" t="str">
        <f>HYPERLINK("https://hawk-eye.atlassian.net/browse/HWKREPORT-3319?atlOrigin=eyJpIjoiYzgwYTQ0ZjEyNzQzNGJhN2JmNjEyZTM0NmRhZWZhNjIiLCJwIjoic2hlZXRzLWppcmEifQ","HWKREPORT-3319")</f>
        <v>HWKREPORT-3319</v>
      </c>
      <c r="C136" s="1" t="s">
        <v>1250</v>
      </c>
      <c r="D136" s="1" t="s">
        <v>48</v>
      </c>
      <c r="E136" s="1" t="s">
        <v>1057</v>
      </c>
      <c r="F136" s="4">
        <v>45716.66798611111</v>
      </c>
      <c r="G136" s="3" t="str">
        <f t="shared" si="14"/>
        <v/>
      </c>
      <c r="H136" s="1" t="s">
        <v>1058</v>
      </c>
      <c r="I136" s="1" t="s">
        <v>1082</v>
      </c>
      <c r="J136" s="1" t="s">
        <v>26</v>
      </c>
      <c r="K136" s="1" t="s">
        <v>1251</v>
      </c>
      <c r="L136" s="1" t="s">
        <v>26</v>
      </c>
      <c r="M136" s="1" t="s">
        <v>27</v>
      </c>
      <c r="N136" s="1" t="s">
        <v>26</v>
      </c>
      <c r="O136" s="1" t="s">
        <v>26</v>
      </c>
      <c r="P136" s="4">
        <v>45716.66799768519</v>
      </c>
    </row>
    <row r="137" hidden="1">
      <c r="A137" s="1" t="s">
        <v>1055</v>
      </c>
      <c r="B137" s="3" t="str">
        <f>HYPERLINK("https://hawk-eye.atlassian.net/browse/HWKREPORT-3320?atlOrigin=eyJpIjoiYzgwYTQ0ZjEyNzQzNGJhN2JmNjEyZTM0NmRhZWZhNjIiLCJwIjoic2hlZXRzLWppcmEifQ","HWKREPORT-3320")</f>
        <v>HWKREPORT-3320</v>
      </c>
      <c r="C137" s="1" t="s">
        <v>1252</v>
      </c>
      <c r="D137" s="1" t="s">
        <v>40</v>
      </c>
      <c r="E137" s="1" t="s">
        <v>1057</v>
      </c>
      <c r="F137" s="4">
        <v>45716.79255787037</v>
      </c>
      <c r="G137" s="3" t="str">
        <f>HYPERLINK("https://hawk-eye.atlassian.net/browse/AT-1727?atlOrigin=eyJpIjoiYzgwYTQ0ZjEyNzQzNGJhN2JmNjEyZTM0NmRhZWZhNjIiLCJwIjoic2hlZXRzLWppcmEifQ","AT-1727")</f>
        <v>AT-1727</v>
      </c>
      <c r="H137" s="1" t="s">
        <v>1058</v>
      </c>
      <c r="I137" s="1" t="s">
        <v>1085</v>
      </c>
      <c r="J137" s="1" t="s">
        <v>26</v>
      </c>
      <c r="K137" s="1" t="s">
        <v>26</v>
      </c>
      <c r="L137" s="1" t="s">
        <v>26</v>
      </c>
      <c r="M137" s="1" t="s">
        <v>27</v>
      </c>
      <c r="N137" s="1" t="s">
        <v>26</v>
      </c>
      <c r="O137" s="1" t="s">
        <v>26</v>
      </c>
      <c r="P137" s="4">
        <v>45716.79256944444</v>
      </c>
    </row>
    <row r="138" hidden="1">
      <c r="A138" s="1" t="s">
        <v>1055</v>
      </c>
      <c r="B138" s="3" t="str">
        <f>HYPERLINK("https://hawk-eye.atlassian.net/browse/HWKREPORT-3321?atlOrigin=eyJpIjoiYzgwYTQ0ZjEyNzQzNGJhN2JmNjEyZTM0NmRhZWZhNjIiLCJwIjoic2hlZXRzLWppcmEifQ","HWKREPORT-3321")</f>
        <v>HWKREPORT-3321</v>
      </c>
      <c r="C138" s="1" t="s">
        <v>1253</v>
      </c>
      <c r="D138" s="1" t="s">
        <v>40</v>
      </c>
      <c r="E138" s="1" t="s">
        <v>1057</v>
      </c>
      <c r="F138" s="4">
        <v>45716.79424768518</v>
      </c>
      <c r="G138" s="3" t="str">
        <f>HYPERLINK("https://hawk-eye.atlassian.net/browse/AT-1728?atlOrigin=eyJpIjoiYzgwYTQ0ZjEyNzQzNGJhN2JmNjEyZTM0NmRhZWZhNjIiLCJwIjoic2hlZXRzLWppcmEifQ","AT-1728")</f>
        <v>AT-1728</v>
      </c>
      <c r="H138" s="1" t="s">
        <v>1058</v>
      </c>
      <c r="I138" s="1" t="s">
        <v>1085</v>
      </c>
      <c r="J138" s="1" t="s">
        <v>26</v>
      </c>
      <c r="K138" s="1" t="s">
        <v>26</v>
      </c>
      <c r="L138" s="1" t="s">
        <v>26</v>
      </c>
      <c r="M138" s="1" t="s">
        <v>27</v>
      </c>
      <c r="N138" s="1" t="s">
        <v>26</v>
      </c>
      <c r="O138" s="1" t="s">
        <v>26</v>
      </c>
      <c r="P138" s="4">
        <v>45716.79424768518</v>
      </c>
    </row>
    <row r="139" hidden="1">
      <c r="A139" s="1" t="s">
        <v>1055</v>
      </c>
      <c r="B139" s="3" t="str">
        <f>HYPERLINK("https://hawk-eye.atlassian.net/browse/HWKREPORT-3322?atlOrigin=eyJpIjoiYzgwYTQ0ZjEyNzQzNGJhN2JmNjEyZTM0NmRhZWZhNjIiLCJwIjoic2hlZXRzLWppcmEifQ","HWKREPORT-3322")</f>
        <v>HWKREPORT-3322</v>
      </c>
      <c r="C139" s="1" t="s">
        <v>1254</v>
      </c>
      <c r="D139" s="1" t="s">
        <v>48</v>
      </c>
      <c r="E139" s="1" t="s">
        <v>1057</v>
      </c>
      <c r="F139" s="4">
        <v>45716.85765046296</v>
      </c>
      <c r="G139" s="3" t="str">
        <f t="shared" ref="G139:G140" si="15">HYPERLINK("https://hawk-eye.atlassian.net/browse/?atlOrigin=eyJpIjoiYzgwYTQ0ZjEyNzQzNGJhN2JmNjEyZTM0NmRhZWZhNjIiLCJwIjoic2hlZXRzLWppcmEifQ","")</f>
        <v/>
      </c>
      <c r="H139" s="1" t="s">
        <v>1058</v>
      </c>
      <c r="I139" s="1" t="s">
        <v>1151</v>
      </c>
      <c r="J139" s="1" t="s">
        <v>26</v>
      </c>
      <c r="K139" s="1" t="s">
        <v>1255</v>
      </c>
      <c r="L139" s="1" t="s">
        <v>26</v>
      </c>
      <c r="M139" s="1" t="s">
        <v>27</v>
      </c>
      <c r="N139" s="1" t="s">
        <v>26</v>
      </c>
      <c r="O139" s="1" t="s">
        <v>26</v>
      </c>
      <c r="P139" s="4">
        <v>45716.85766203704</v>
      </c>
    </row>
    <row r="140" hidden="1">
      <c r="A140" s="1" t="s">
        <v>21</v>
      </c>
      <c r="B140" s="3" t="str">
        <f>HYPERLINK("https://hawk-eye.atlassian.net/browse/HWKREPORT-3323?atlOrigin=eyJpIjoiYzgwYTQ0ZjEyNzQzNGJhN2JmNjEyZTM0NmRhZWZhNjIiLCJwIjoic2hlZXRzLWppcmEifQ","HWKREPORT-3323")</f>
        <v>HWKREPORT-3323</v>
      </c>
      <c r="C140" s="1" t="s">
        <v>1256</v>
      </c>
      <c r="D140" s="1" t="s">
        <v>83</v>
      </c>
      <c r="E140" s="1" t="s">
        <v>1057</v>
      </c>
      <c r="F140" s="4">
        <v>45719.46239583333</v>
      </c>
      <c r="G140" s="3" t="str">
        <f t="shared" si="15"/>
        <v/>
      </c>
      <c r="H140" s="1" t="s">
        <v>1058</v>
      </c>
      <c r="I140" s="1" t="s">
        <v>1126</v>
      </c>
      <c r="J140" s="1" t="s">
        <v>26</v>
      </c>
      <c r="K140" s="1" t="s">
        <v>1105</v>
      </c>
      <c r="L140" s="1" t="s">
        <v>26</v>
      </c>
      <c r="M140" s="1" t="s">
        <v>27</v>
      </c>
      <c r="N140" s="1" t="s">
        <v>26</v>
      </c>
      <c r="O140" s="1" t="s">
        <v>26</v>
      </c>
      <c r="P140" s="4">
        <v>45719.46240740741</v>
      </c>
    </row>
    <row r="141" hidden="1">
      <c r="A141" s="1" t="s">
        <v>1055</v>
      </c>
      <c r="B141" s="3" t="str">
        <f>HYPERLINK("https://hawk-eye.atlassian.net/browse/HWKREPORT-3324?atlOrigin=eyJpIjoiYzgwYTQ0ZjEyNzQzNGJhN2JmNjEyZTM0NmRhZWZhNjIiLCJwIjoic2hlZXRzLWppcmEifQ","HWKREPORT-3324")</f>
        <v>HWKREPORT-3324</v>
      </c>
      <c r="C141" s="1" t="s">
        <v>1257</v>
      </c>
      <c r="D141" s="1" t="s">
        <v>48</v>
      </c>
      <c r="E141" s="1" t="s">
        <v>35</v>
      </c>
      <c r="F141" s="4">
        <v>45720.59892361111</v>
      </c>
      <c r="G141" s="3" t="str">
        <f>HYPERLINK("https://hawk-eye.atlassian.net/browse/CTK-195?atlOrigin=eyJpIjoiYzgwYTQ0ZjEyNzQzNGJhN2JmNjEyZTM0NmRhZWZhNjIiLCJwIjoic2hlZXRzLWppcmEifQ","CTK-195")</f>
        <v>CTK-195</v>
      </c>
      <c r="H141" s="1" t="s">
        <v>1058</v>
      </c>
      <c r="I141" s="1" t="s">
        <v>1082</v>
      </c>
      <c r="J141" s="1" t="s">
        <v>26</v>
      </c>
      <c r="K141" s="1" t="s">
        <v>1083</v>
      </c>
      <c r="L141" s="1" t="s">
        <v>26</v>
      </c>
      <c r="M141" s="1" t="s">
        <v>27</v>
      </c>
      <c r="N141" s="1" t="s">
        <v>26</v>
      </c>
      <c r="O141" s="1" t="s">
        <v>26</v>
      </c>
      <c r="P141" s="4">
        <v>45736.432337962964</v>
      </c>
    </row>
    <row r="142" hidden="1">
      <c r="A142" s="1" t="s">
        <v>21</v>
      </c>
      <c r="B142" s="3" t="str">
        <f>HYPERLINK("https://hawk-eye.atlassian.net/browse/HWKREPORT-3325?atlOrigin=eyJpIjoiYzgwYTQ0ZjEyNzQzNGJhN2JmNjEyZTM0NmRhZWZhNjIiLCJwIjoic2hlZXRzLWppcmEifQ","HWKREPORT-3325")</f>
        <v>HWKREPORT-3325</v>
      </c>
      <c r="C142" s="1" t="s">
        <v>1258</v>
      </c>
      <c r="D142" s="1" t="s">
        <v>34</v>
      </c>
      <c r="E142" s="1" t="s">
        <v>35</v>
      </c>
      <c r="F142" s="4">
        <v>45721.5856712963</v>
      </c>
      <c r="G142" s="3" t="str">
        <f>HYPERLINK("https://hawk-eye.atlassian.net/browse/RTT-10153?atlOrigin=eyJpIjoiYzgwYTQ0ZjEyNzQzNGJhN2JmNjEyZTM0NmRhZWZhNjIiLCJwIjoic2hlZXRzLWppcmEifQ","RTT-10153")</f>
        <v>RTT-10153</v>
      </c>
      <c r="H142" s="1" t="s">
        <v>1058</v>
      </c>
      <c r="I142" s="1" t="s">
        <v>1071</v>
      </c>
      <c r="J142" s="1" t="s">
        <v>26</v>
      </c>
      <c r="K142" s="1" t="s">
        <v>1072</v>
      </c>
      <c r="L142" s="1" t="s">
        <v>26</v>
      </c>
      <c r="M142" s="1" t="s">
        <v>27</v>
      </c>
      <c r="N142" s="1" t="s">
        <v>26</v>
      </c>
      <c r="O142" s="1" t="s">
        <v>26</v>
      </c>
      <c r="P142" s="4">
        <v>45728.59265046296</v>
      </c>
    </row>
    <row r="143" hidden="1">
      <c r="A143" s="1" t="s">
        <v>21</v>
      </c>
      <c r="B143" s="3" t="str">
        <f>HYPERLINK("https://hawk-eye.atlassian.net/browse/HWKREPORT-3326?atlOrigin=eyJpIjoiYzgwYTQ0ZjEyNzQzNGJhN2JmNjEyZTM0NmRhZWZhNjIiLCJwIjoic2hlZXRzLWppcmEifQ","HWKREPORT-3326")</f>
        <v>HWKREPORT-3326</v>
      </c>
      <c r="C143" s="1" t="s">
        <v>1259</v>
      </c>
      <c r="D143" s="1" t="s">
        <v>34</v>
      </c>
      <c r="E143" s="1" t="s">
        <v>35</v>
      </c>
      <c r="F143" s="4">
        <v>45721.69945601852</v>
      </c>
      <c r="G143" s="3" t="str">
        <f>HYPERLINK("https://hawk-eye.atlassian.net/browse/SO-2270?atlOrigin=eyJpIjoiYzgwYTQ0ZjEyNzQzNGJhN2JmNjEyZTM0NmRhZWZhNjIiLCJwIjoic2hlZXRzLWppcmEifQ","SO-2270")</f>
        <v>SO-2270</v>
      </c>
      <c r="H143" s="1" t="s">
        <v>1058</v>
      </c>
      <c r="I143" s="1" t="s">
        <v>1082</v>
      </c>
      <c r="J143" s="1" t="s">
        <v>26</v>
      </c>
      <c r="K143" s="1" t="s">
        <v>1116</v>
      </c>
      <c r="L143" s="1" t="s">
        <v>26</v>
      </c>
      <c r="M143" s="1" t="s">
        <v>27</v>
      </c>
      <c r="N143" s="1" t="s">
        <v>26</v>
      </c>
      <c r="O143" s="1" t="s">
        <v>26</v>
      </c>
      <c r="P143" s="4">
        <v>45727.51939814815</v>
      </c>
    </row>
    <row r="144" hidden="1">
      <c r="A144" s="1" t="s">
        <v>21</v>
      </c>
      <c r="B144" s="3" t="str">
        <f>HYPERLINK("https://hawk-eye.atlassian.net/browse/HWKREPORT-3327?atlOrigin=eyJpIjoiYzgwYTQ0ZjEyNzQzNGJhN2JmNjEyZTM0NmRhZWZhNjIiLCJwIjoic2hlZXRzLWppcmEifQ","HWKREPORT-3327")</f>
        <v>HWKREPORT-3327</v>
      </c>
      <c r="C144" s="1" t="s">
        <v>1260</v>
      </c>
      <c r="D144" s="1" t="s">
        <v>34</v>
      </c>
      <c r="E144" s="1" t="s">
        <v>1207</v>
      </c>
      <c r="F144" s="4">
        <v>45723.60649305556</v>
      </c>
      <c r="G144" s="3" t="str">
        <f>HYPERLINK("https://hawk-eye.atlassian.net/browse/RTT-10162?atlOrigin=eyJpIjoiYzgwYTQ0ZjEyNzQzNGJhN2JmNjEyZTM0NmRhZWZhNjIiLCJwIjoic2hlZXRzLWppcmEifQ","RTT-10162")</f>
        <v>RTT-10162</v>
      </c>
      <c r="H144" s="1" t="s">
        <v>1058</v>
      </c>
      <c r="I144" s="1" t="s">
        <v>1071</v>
      </c>
      <c r="J144" s="1" t="s">
        <v>26</v>
      </c>
      <c r="K144" s="1" t="s">
        <v>1095</v>
      </c>
      <c r="L144" s="1" t="s">
        <v>26</v>
      </c>
      <c r="M144" s="1" t="s">
        <v>27</v>
      </c>
      <c r="N144" s="1" t="s">
        <v>26</v>
      </c>
      <c r="O144" s="1" t="s">
        <v>26</v>
      </c>
      <c r="P144" s="4">
        <v>45750.90047453704</v>
      </c>
    </row>
    <row r="145" hidden="1">
      <c r="A145" s="1" t="s">
        <v>21</v>
      </c>
      <c r="B145" s="3" t="str">
        <f>HYPERLINK("https://hawk-eye.atlassian.net/browse/HWKREPORT-3328?atlOrigin=eyJpIjoiYzgwYTQ0ZjEyNzQzNGJhN2JmNjEyZTM0NmRhZWZhNjIiLCJwIjoic2hlZXRzLWppcmEifQ","HWKREPORT-3328")</f>
        <v>HWKREPORT-3328</v>
      </c>
      <c r="C145" s="1" t="s">
        <v>1261</v>
      </c>
      <c r="D145" s="1" t="s">
        <v>23</v>
      </c>
      <c r="E145" s="1" t="s">
        <v>1057</v>
      </c>
      <c r="F145" s="4">
        <v>45723.757835648146</v>
      </c>
      <c r="G145" s="3" t="str">
        <f>HYPERLINK("https://hawk-eye.atlassian.net/browse/RTT-10439?atlOrigin=eyJpIjoiYzgwYTQ0ZjEyNzQzNGJhN2JmNjEyZTM0NmRhZWZhNjIiLCJwIjoic2hlZXRzLWppcmEifQ","RTT-10439")</f>
        <v>RTT-10439</v>
      </c>
      <c r="H145" s="1" t="s">
        <v>1058</v>
      </c>
      <c r="I145" s="1" t="s">
        <v>1085</v>
      </c>
      <c r="J145" s="1" t="s">
        <v>26</v>
      </c>
      <c r="K145" s="1" t="s">
        <v>1072</v>
      </c>
      <c r="L145" s="1" t="s">
        <v>26</v>
      </c>
      <c r="M145" s="1" t="s">
        <v>27</v>
      </c>
      <c r="N145" s="1" t="s">
        <v>26</v>
      </c>
      <c r="O145" s="1" t="s">
        <v>26</v>
      </c>
      <c r="P145" s="4">
        <v>45723.75784722222</v>
      </c>
    </row>
    <row r="146" hidden="1">
      <c r="A146" s="1" t="s">
        <v>21</v>
      </c>
      <c r="B146" s="3" t="str">
        <f>HYPERLINK("https://hawk-eye.atlassian.net/browse/HWKREPORT-3329?atlOrigin=eyJpIjoiYzgwYTQ0ZjEyNzQzNGJhN2JmNjEyZTM0NmRhZWZhNjIiLCJwIjoic2hlZXRzLWppcmEifQ","HWKREPORT-3329")</f>
        <v>HWKREPORT-3329</v>
      </c>
      <c r="C146" s="1" t="s">
        <v>1262</v>
      </c>
      <c r="D146" s="1" t="s">
        <v>83</v>
      </c>
      <c r="E146" s="1" t="s">
        <v>1057</v>
      </c>
      <c r="F146" s="4">
        <v>45726.84255787037</v>
      </c>
      <c r="G146" s="3" t="str">
        <f>HYPERLINK("https://hawk-eye.atlassian.net/browse/RTT-10169?atlOrigin=eyJpIjoiYzgwYTQ0ZjEyNzQzNGJhN2JmNjEyZTM0NmRhZWZhNjIiLCJwIjoic2hlZXRzLWppcmEifQ","RTT-10169")</f>
        <v>RTT-10169</v>
      </c>
      <c r="H146" s="1" t="s">
        <v>1058</v>
      </c>
      <c r="I146" s="1" t="s">
        <v>1071</v>
      </c>
      <c r="J146" s="1" t="s">
        <v>26</v>
      </c>
      <c r="K146" s="1" t="s">
        <v>1095</v>
      </c>
      <c r="L146" s="1" t="s">
        <v>26</v>
      </c>
      <c r="M146" s="1" t="s">
        <v>27</v>
      </c>
      <c r="N146" s="1" t="s">
        <v>26</v>
      </c>
      <c r="O146" s="1" t="s">
        <v>26</v>
      </c>
      <c r="P146" s="4">
        <v>45726.842569444445</v>
      </c>
    </row>
    <row r="147" hidden="1">
      <c r="A147" s="1" t="s">
        <v>21</v>
      </c>
      <c r="B147" s="3" t="str">
        <f>HYPERLINK("https://hawk-eye.atlassian.net/browse/HWKREPORT-3330?atlOrigin=eyJpIjoiYzgwYTQ0ZjEyNzQzNGJhN2JmNjEyZTM0NmRhZWZhNjIiLCJwIjoic2hlZXRzLWppcmEifQ","HWKREPORT-3330")</f>
        <v>HWKREPORT-3330</v>
      </c>
      <c r="C147" s="1" t="s">
        <v>1263</v>
      </c>
      <c r="D147" s="1" t="s">
        <v>23</v>
      </c>
      <c r="E147" s="1" t="s">
        <v>1057</v>
      </c>
      <c r="F147" s="4">
        <v>45727.465787037036</v>
      </c>
      <c r="G147" s="3" t="str">
        <f>HYPERLINK("https://hawk-eye.atlassian.net/browse/SO-2323?atlOrigin=eyJpIjoiYzgwYTQ0ZjEyNzQzNGJhN2JmNjEyZTM0NmRhZWZhNjIiLCJwIjoic2hlZXRzLWppcmEifQ","SO-2323")</f>
        <v>SO-2323</v>
      </c>
      <c r="H147" s="1" t="s">
        <v>1058</v>
      </c>
      <c r="I147" s="1" t="s">
        <v>1085</v>
      </c>
      <c r="J147" s="1" t="s">
        <v>26</v>
      </c>
      <c r="K147" s="1" t="s">
        <v>1264</v>
      </c>
      <c r="L147" s="1" t="s">
        <v>26</v>
      </c>
      <c r="M147" s="1" t="s">
        <v>27</v>
      </c>
      <c r="N147" s="1" t="s">
        <v>26</v>
      </c>
      <c r="O147" s="1" t="s">
        <v>26</v>
      </c>
      <c r="P147" s="4">
        <v>45727.46579861111</v>
      </c>
    </row>
    <row r="148" hidden="1">
      <c r="A148" s="1" t="s">
        <v>1055</v>
      </c>
      <c r="B148" s="3" t="str">
        <f>HYPERLINK("https://hawk-eye.atlassian.net/browse/HWKREPORT-3331?atlOrigin=eyJpIjoiYzgwYTQ0ZjEyNzQzNGJhN2JmNjEyZTM0NmRhZWZhNjIiLCJwIjoic2hlZXRzLWppcmEifQ","HWKREPORT-3331")</f>
        <v>HWKREPORT-3331</v>
      </c>
      <c r="C148" s="1" t="s">
        <v>1265</v>
      </c>
      <c r="D148" s="1" t="s">
        <v>34</v>
      </c>
      <c r="E148" s="1" t="s">
        <v>1057</v>
      </c>
      <c r="F148" s="4">
        <v>45727.52142361111</v>
      </c>
      <c r="G148" s="3" t="str">
        <f>HYPERLINK("https://hawk-eye.atlassian.net/browse/AT-1737?atlOrigin=eyJpIjoiYzgwYTQ0ZjEyNzQzNGJhN2JmNjEyZTM0NmRhZWZhNjIiLCJwIjoic2hlZXRzLWppcmEifQ","AT-1737")</f>
        <v>AT-1737</v>
      </c>
      <c r="H148" s="1" t="s">
        <v>1058</v>
      </c>
      <c r="I148" s="1" t="s">
        <v>1082</v>
      </c>
      <c r="J148" s="1" t="s">
        <v>26</v>
      </c>
      <c r="K148" s="1" t="s">
        <v>26</v>
      </c>
      <c r="L148" s="1" t="s">
        <v>26</v>
      </c>
      <c r="M148" s="1" t="s">
        <v>27</v>
      </c>
      <c r="N148" s="1" t="s">
        <v>26</v>
      </c>
      <c r="O148" s="1" t="s">
        <v>26</v>
      </c>
      <c r="P148" s="4">
        <v>45727.52143518518</v>
      </c>
    </row>
    <row r="149" hidden="1">
      <c r="A149" s="1" t="s">
        <v>21</v>
      </c>
      <c r="B149" s="3" t="str">
        <f>HYPERLINK("https://hawk-eye.atlassian.net/browse/HWKREPORT-3332?atlOrigin=eyJpIjoiYzgwYTQ0ZjEyNzQzNGJhN2JmNjEyZTM0NmRhZWZhNjIiLCJwIjoic2hlZXRzLWppcmEifQ","HWKREPORT-3332")</f>
        <v>HWKREPORT-3332</v>
      </c>
      <c r="C149" s="1" t="s">
        <v>1266</v>
      </c>
      <c r="D149" s="1" t="s">
        <v>83</v>
      </c>
      <c r="E149" s="1" t="s">
        <v>1057</v>
      </c>
      <c r="F149" s="4">
        <v>45727.707395833335</v>
      </c>
      <c r="G149" s="3" t="str">
        <f t="shared" ref="G149:G150" si="16">HYPERLINK("https://hawk-eye.atlassian.net/browse/?atlOrigin=eyJpIjoiYzgwYTQ0ZjEyNzQzNGJhN2JmNjEyZTM0NmRhZWZhNjIiLCJwIjoic2hlZXRzLWppcmEifQ","")</f>
        <v/>
      </c>
      <c r="H149" s="1" t="s">
        <v>1058</v>
      </c>
      <c r="I149" s="1" t="s">
        <v>1071</v>
      </c>
      <c r="J149" s="1" t="s">
        <v>26</v>
      </c>
      <c r="K149" s="1" t="s">
        <v>1130</v>
      </c>
      <c r="L149" s="1" t="s">
        <v>26</v>
      </c>
      <c r="M149" s="1" t="s">
        <v>27</v>
      </c>
      <c r="N149" s="1" t="s">
        <v>26</v>
      </c>
      <c r="O149" s="1" t="s">
        <v>26</v>
      </c>
      <c r="P149" s="4">
        <v>45727.707407407404</v>
      </c>
    </row>
    <row r="150" hidden="1">
      <c r="A150" s="1" t="s">
        <v>21</v>
      </c>
      <c r="B150" s="3" t="str">
        <f>HYPERLINK("https://hawk-eye.atlassian.net/browse/HWKREPORT-3333?atlOrigin=eyJpIjoiYzgwYTQ0ZjEyNzQzNGJhN2JmNjEyZTM0NmRhZWZhNjIiLCJwIjoic2hlZXRzLWppcmEifQ","HWKREPORT-3333")</f>
        <v>HWKREPORT-3333</v>
      </c>
      <c r="C150" s="1" t="s">
        <v>1267</v>
      </c>
      <c r="D150" s="1" t="s">
        <v>23</v>
      </c>
      <c r="E150" s="1" t="s">
        <v>1057</v>
      </c>
      <c r="F150" s="4">
        <v>45728.60084490741</v>
      </c>
      <c r="G150" s="3" t="str">
        <f t="shared" si="16"/>
        <v/>
      </c>
      <c r="H150" s="1" t="s">
        <v>1058</v>
      </c>
      <c r="I150" s="1" t="s">
        <v>1071</v>
      </c>
      <c r="J150" s="1" t="s">
        <v>26</v>
      </c>
      <c r="K150" s="1" t="s">
        <v>1095</v>
      </c>
      <c r="L150" s="1" t="s">
        <v>26</v>
      </c>
      <c r="M150" s="1" t="s">
        <v>27</v>
      </c>
      <c r="N150" s="1" t="s">
        <v>26</v>
      </c>
      <c r="O150" s="1" t="s">
        <v>26</v>
      </c>
      <c r="P150" s="4">
        <v>45728.60084490741</v>
      </c>
    </row>
    <row r="151" hidden="1">
      <c r="A151" s="1" t="s">
        <v>21</v>
      </c>
      <c r="B151" s="3" t="str">
        <f>HYPERLINK("https://hawk-eye.atlassian.net/browse/HWKREPORT-3334?atlOrigin=eyJpIjoiYzgwYTQ0ZjEyNzQzNGJhN2JmNjEyZTM0NmRhZWZhNjIiLCJwIjoic2hlZXRzLWppcmEifQ","HWKREPORT-3334")</f>
        <v>HWKREPORT-3334</v>
      </c>
      <c r="C151" s="1" t="s">
        <v>1268</v>
      </c>
      <c r="D151" s="1" t="s">
        <v>23</v>
      </c>
      <c r="E151" s="1" t="s">
        <v>1057</v>
      </c>
      <c r="F151" s="4">
        <v>45728.615902777776</v>
      </c>
      <c r="G151" s="3" t="str">
        <f>HYPERLINK("https://hawk-eye.atlassian.net/browse/RTT-10219?atlOrigin=eyJpIjoiYzgwYTQ0ZjEyNzQzNGJhN2JmNjEyZTM0NmRhZWZhNjIiLCJwIjoic2hlZXRzLWppcmEifQ","RTT-10219")</f>
        <v>RTT-10219</v>
      </c>
      <c r="H151" s="1" t="s">
        <v>1058</v>
      </c>
      <c r="I151" s="1" t="s">
        <v>1071</v>
      </c>
      <c r="J151" s="1" t="s">
        <v>26</v>
      </c>
      <c r="K151" s="1" t="s">
        <v>1095</v>
      </c>
      <c r="L151" s="1" t="s">
        <v>26</v>
      </c>
      <c r="M151" s="1" t="s">
        <v>27</v>
      </c>
      <c r="N151" s="1" t="s">
        <v>26</v>
      </c>
      <c r="O151" s="1" t="s">
        <v>26</v>
      </c>
      <c r="P151" s="4">
        <v>45742.591412037036</v>
      </c>
    </row>
    <row r="152" hidden="1">
      <c r="A152" s="1" t="s">
        <v>1055</v>
      </c>
      <c r="B152" s="3" t="str">
        <f>HYPERLINK("https://hawk-eye.atlassian.net/browse/HWKREPORT-3335?atlOrigin=eyJpIjoiYzgwYTQ0ZjEyNzQzNGJhN2JmNjEyZTM0NmRhZWZhNjIiLCJwIjoic2hlZXRzLWppcmEifQ","HWKREPORT-3335")</f>
        <v>HWKREPORT-3335</v>
      </c>
      <c r="C152" s="1" t="s">
        <v>1269</v>
      </c>
      <c r="D152" s="1" t="s">
        <v>23</v>
      </c>
      <c r="E152" s="1" t="s">
        <v>35</v>
      </c>
      <c r="F152" s="4">
        <v>45728.692557870374</v>
      </c>
      <c r="G152" s="3" t="str">
        <f>HYPERLINK("https://hawk-eye.atlassian.net/browse/TTS-42?atlOrigin=eyJpIjoiYzgwYTQ0ZjEyNzQzNGJhN2JmNjEyZTM0NmRhZWZhNjIiLCJwIjoic2hlZXRzLWppcmEifQ","TTS-42")</f>
        <v>TTS-42</v>
      </c>
      <c r="H152" s="1" t="s">
        <v>1058</v>
      </c>
      <c r="I152" s="1" t="s">
        <v>1071</v>
      </c>
      <c r="J152" s="1" t="s">
        <v>26</v>
      </c>
      <c r="K152" s="1" t="s">
        <v>1143</v>
      </c>
      <c r="L152" s="1" t="s">
        <v>26</v>
      </c>
      <c r="M152" s="1" t="s">
        <v>27</v>
      </c>
      <c r="N152" s="1" t="s">
        <v>26</v>
      </c>
      <c r="O152" s="1" t="s">
        <v>26</v>
      </c>
      <c r="P152" s="4">
        <v>45768.602164351854</v>
      </c>
    </row>
    <row r="153" hidden="1">
      <c r="A153" s="1" t="s">
        <v>21</v>
      </c>
      <c r="B153" s="3" t="str">
        <f>HYPERLINK("https://hawk-eye.atlassian.net/browse/HWKREPORT-3336?atlOrigin=eyJpIjoiYzgwYTQ0ZjEyNzQzNGJhN2JmNjEyZTM0NmRhZWZhNjIiLCJwIjoic2hlZXRzLWppcmEifQ","HWKREPORT-3336")</f>
        <v>HWKREPORT-3336</v>
      </c>
      <c r="C153" s="1" t="s">
        <v>1270</v>
      </c>
      <c r="D153" s="1" t="s">
        <v>23</v>
      </c>
      <c r="E153" s="1" t="s">
        <v>35</v>
      </c>
      <c r="F153" s="4">
        <v>45729.752916666665</v>
      </c>
      <c r="G153" s="3" t="str">
        <f>HYPERLINK("https://hawk-eye.atlassian.net/browse/TTS-43?atlOrigin=eyJpIjoiYzgwYTQ0ZjEyNzQzNGJhN2JmNjEyZTM0NmRhZWZhNjIiLCJwIjoic2hlZXRzLWppcmEifQ","TTS-43")</f>
        <v>TTS-43</v>
      </c>
      <c r="H153" s="1" t="s">
        <v>1058</v>
      </c>
      <c r="I153" s="1" t="s">
        <v>1071</v>
      </c>
      <c r="J153" s="1" t="s">
        <v>26</v>
      </c>
      <c r="K153" s="1" t="s">
        <v>1143</v>
      </c>
      <c r="L153" s="1" t="s">
        <v>26</v>
      </c>
      <c r="M153" s="1" t="s">
        <v>27</v>
      </c>
      <c r="N153" s="1" t="s">
        <v>26</v>
      </c>
      <c r="O153" s="1" t="s">
        <v>26</v>
      </c>
      <c r="P153" s="4">
        <v>45768.60197916667</v>
      </c>
    </row>
    <row r="154" hidden="1">
      <c r="A154" s="1" t="s">
        <v>21</v>
      </c>
      <c r="B154" s="3" t="str">
        <f>HYPERLINK("https://hawk-eye.atlassian.net/browse/HWKREPORT-3337?atlOrigin=eyJpIjoiYzgwYTQ0ZjEyNzQzNGJhN2JmNjEyZTM0NmRhZWZhNjIiLCJwIjoic2hlZXRzLWppcmEifQ","HWKREPORT-3337")</f>
        <v>HWKREPORT-3337</v>
      </c>
      <c r="C154" s="1" t="s">
        <v>1271</v>
      </c>
      <c r="D154" s="1" t="s">
        <v>34</v>
      </c>
      <c r="E154" s="1" t="s">
        <v>1207</v>
      </c>
      <c r="F154" s="4">
        <v>45729.79721064815</v>
      </c>
      <c r="G154" s="3" t="str">
        <f>HYPERLINK("https://hawk-eye.atlassian.net/browse/RTT-10223?atlOrigin=eyJpIjoiYzgwYTQ0ZjEyNzQzNGJhN2JmNjEyZTM0NmRhZWZhNjIiLCJwIjoic2hlZXRzLWppcmEifQ","RTT-10223")</f>
        <v>RTT-10223</v>
      </c>
      <c r="H154" s="1" t="s">
        <v>1058</v>
      </c>
      <c r="I154" s="1" t="s">
        <v>1071</v>
      </c>
      <c r="J154" s="1" t="s">
        <v>26</v>
      </c>
      <c r="K154" s="1" t="s">
        <v>1072</v>
      </c>
      <c r="L154" s="1" t="s">
        <v>26</v>
      </c>
      <c r="M154" s="1" t="s">
        <v>27</v>
      </c>
      <c r="N154" s="1" t="s">
        <v>26</v>
      </c>
      <c r="O154" s="1" t="s">
        <v>26</v>
      </c>
      <c r="P154" s="4">
        <v>45755.592835648145</v>
      </c>
    </row>
    <row r="155" hidden="1">
      <c r="A155" s="1" t="s">
        <v>21</v>
      </c>
      <c r="B155" s="3" t="str">
        <f>HYPERLINK("https://hawk-eye.atlassian.net/browse/HWKREPORT-3338?atlOrigin=eyJpIjoiYzgwYTQ0ZjEyNzQzNGJhN2JmNjEyZTM0NmRhZWZhNjIiLCJwIjoic2hlZXRzLWppcmEifQ","HWKREPORT-3338")</f>
        <v>HWKREPORT-3338</v>
      </c>
      <c r="C155" s="1" t="s">
        <v>1272</v>
      </c>
      <c r="D155" s="1" t="s">
        <v>34</v>
      </c>
      <c r="E155" s="1" t="s">
        <v>1057</v>
      </c>
      <c r="F155" s="4">
        <v>45730.62887731481</v>
      </c>
      <c r="G155" s="3" t="str">
        <f t="shared" ref="G155:G157" si="17">HYPERLINK("https://hawk-eye.atlassian.net/browse/?atlOrigin=eyJpIjoiYzgwYTQ0ZjEyNzQzNGJhN2JmNjEyZTM0NmRhZWZhNjIiLCJwIjoic2hlZXRzLWppcmEifQ","")</f>
        <v/>
      </c>
      <c r="H155" s="1" t="s">
        <v>1058</v>
      </c>
      <c r="I155" s="1" t="s">
        <v>1082</v>
      </c>
      <c r="J155" s="1" t="s">
        <v>26</v>
      </c>
      <c r="K155" s="1" t="s">
        <v>1105</v>
      </c>
      <c r="L155" s="1" t="s">
        <v>26</v>
      </c>
      <c r="M155" s="1" t="s">
        <v>27</v>
      </c>
      <c r="N155" s="1" t="s">
        <v>26</v>
      </c>
      <c r="O155" s="1" t="s">
        <v>26</v>
      </c>
      <c r="P155" s="4">
        <v>45730.62887731481</v>
      </c>
    </row>
    <row r="156" hidden="1">
      <c r="A156" s="1" t="s">
        <v>21</v>
      </c>
      <c r="B156" s="3" t="str">
        <f>HYPERLINK("https://hawk-eye.atlassian.net/browse/HWKREPORT-3339?atlOrigin=eyJpIjoiYzgwYTQ0ZjEyNzQzNGJhN2JmNjEyZTM0NmRhZWZhNjIiLCJwIjoic2hlZXRzLWppcmEifQ","HWKREPORT-3339")</f>
        <v>HWKREPORT-3339</v>
      </c>
      <c r="C156" s="1" t="s">
        <v>1273</v>
      </c>
      <c r="D156" s="1" t="s">
        <v>23</v>
      </c>
      <c r="E156" s="1" t="s">
        <v>1057</v>
      </c>
      <c r="F156" s="4">
        <v>45730.631203703706</v>
      </c>
      <c r="G156" s="3" t="str">
        <f t="shared" si="17"/>
        <v/>
      </c>
      <c r="H156" s="1" t="s">
        <v>1058</v>
      </c>
      <c r="I156" s="1" t="s">
        <v>1082</v>
      </c>
      <c r="J156" s="1" t="s">
        <v>26</v>
      </c>
      <c r="K156" s="1" t="s">
        <v>1148</v>
      </c>
      <c r="L156" s="1" t="s">
        <v>26</v>
      </c>
      <c r="M156" s="1" t="s">
        <v>27</v>
      </c>
      <c r="N156" s="1" t="s">
        <v>26</v>
      </c>
      <c r="O156" s="1" t="s">
        <v>26</v>
      </c>
      <c r="P156" s="4">
        <v>45730.631203703706</v>
      </c>
    </row>
    <row r="157" hidden="1">
      <c r="A157" s="1" t="s">
        <v>21</v>
      </c>
      <c r="B157" s="3" t="str">
        <f>HYPERLINK("https://hawk-eye.atlassian.net/browse/HWKREPORT-3340?atlOrigin=eyJpIjoiYzgwYTQ0ZjEyNzQzNGJhN2JmNjEyZTM0NmRhZWZhNjIiLCJwIjoic2hlZXRzLWppcmEifQ","HWKREPORT-3340")</f>
        <v>HWKREPORT-3340</v>
      </c>
      <c r="C157" s="1" t="s">
        <v>1274</v>
      </c>
      <c r="D157" s="1" t="s">
        <v>34</v>
      </c>
      <c r="E157" s="1" t="s">
        <v>1057</v>
      </c>
      <c r="F157" s="4">
        <v>45730.63245370371</v>
      </c>
      <c r="G157" s="3" t="str">
        <f t="shared" si="17"/>
        <v/>
      </c>
      <c r="H157" s="1" t="s">
        <v>1058</v>
      </c>
      <c r="I157" s="1" t="s">
        <v>1082</v>
      </c>
      <c r="J157" s="1" t="s">
        <v>26</v>
      </c>
      <c r="K157" s="1" t="s">
        <v>1148</v>
      </c>
      <c r="L157" s="1" t="s">
        <v>26</v>
      </c>
      <c r="M157" s="1" t="s">
        <v>27</v>
      </c>
      <c r="N157" s="1" t="s">
        <v>26</v>
      </c>
      <c r="O157" s="1" t="s">
        <v>26</v>
      </c>
      <c r="P157" s="4">
        <v>45730.63246527778</v>
      </c>
    </row>
    <row r="158" hidden="1">
      <c r="A158" s="1" t="s">
        <v>21</v>
      </c>
      <c r="B158" s="3" t="str">
        <f>HYPERLINK("https://hawk-eye.atlassian.net/browse/HWKREPORT-3341?atlOrigin=eyJpIjoiYzgwYTQ0ZjEyNzQzNGJhN2JmNjEyZTM0NmRhZWZhNjIiLCJwIjoic2hlZXRzLWppcmEifQ","HWKREPORT-3341")</f>
        <v>HWKREPORT-3341</v>
      </c>
      <c r="C158" s="1" t="s">
        <v>1275</v>
      </c>
      <c r="D158" s="1" t="s">
        <v>23</v>
      </c>
      <c r="E158" s="1" t="s">
        <v>35</v>
      </c>
      <c r="F158" s="4">
        <v>45733.677256944444</v>
      </c>
      <c r="G158" s="3" t="str">
        <f>HYPERLINK("https://hawk-eye.atlassian.net/browse/TTS-44?atlOrigin=eyJpIjoiYzgwYTQ0ZjEyNzQzNGJhN2JmNjEyZTM0NmRhZWZhNjIiLCJwIjoic2hlZXRzLWppcmEifQ","TTS-44")</f>
        <v>TTS-44</v>
      </c>
      <c r="H158" s="1" t="s">
        <v>1058</v>
      </c>
      <c r="I158" s="1" t="s">
        <v>1071</v>
      </c>
      <c r="J158" s="1" t="s">
        <v>26</v>
      </c>
      <c r="K158" s="1" t="s">
        <v>1276</v>
      </c>
      <c r="L158" s="1" t="s">
        <v>26</v>
      </c>
      <c r="M158" s="1" t="s">
        <v>27</v>
      </c>
      <c r="N158" s="1" t="s">
        <v>26</v>
      </c>
      <c r="O158" s="1" t="s">
        <v>26</v>
      </c>
      <c r="P158" s="4">
        <v>45768.602326388886</v>
      </c>
    </row>
    <row r="159" hidden="1">
      <c r="A159" s="1" t="s">
        <v>1055</v>
      </c>
      <c r="B159" s="3" t="str">
        <f>HYPERLINK("https://hawk-eye.atlassian.net/browse/HWKREPORT-3342?atlOrigin=eyJpIjoiYzgwYTQ0ZjEyNzQzNGJhN2JmNjEyZTM0NmRhZWZhNjIiLCJwIjoic2hlZXRzLWppcmEifQ","HWKREPORT-3342")</f>
        <v>HWKREPORT-3342</v>
      </c>
      <c r="C159" s="1" t="s">
        <v>1277</v>
      </c>
      <c r="D159" s="1" t="s">
        <v>40</v>
      </c>
      <c r="E159" s="1" t="s">
        <v>1057</v>
      </c>
      <c r="F159" s="4">
        <v>45733.74377314815</v>
      </c>
      <c r="G159" s="3" t="str">
        <f>HYPERLINK("https://hawk-eye.atlassian.net/issues/?atlOrigin=eyJpIjoiYzgwYTQ0ZjEyNzQzNGJhN2JmNjEyZTM0NmRhZWZhNjIiLCJwIjoic2hlZXRzLWppcmEifQ&amp;jql=key+in+%28RTT-9840%2CRTT-10387%2CRTT-10316%2CRTT-10267%2CRTT-10170%2CHWKREPORT-3393%29","RTT-9840;RTT-10387;RTT-10316;RTT-10267;RTT-10170;HWKREPORT-3393")</f>
        <v>RTT-9840;RTT-10387;RTT-10316;RTT-10267;RTT-10170;HWKREPORT-3393</v>
      </c>
      <c r="H159" s="1" t="s">
        <v>1058</v>
      </c>
      <c r="I159" s="1" t="s">
        <v>1059</v>
      </c>
      <c r="J159" s="1" t="s">
        <v>26</v>
      </c>
      <c r="K159" s="1" t="s">
        <v>1060</v>
      </c>
      <c r="L159" s="1" t="s">
        <v>26</v>
      </c>
      <c r="M159" s="1" t="s">
        <v>27</v>
      </c>
      <c r="N159" s="1" t="s">
        <v>26</v>
      </c>
      <c r="O159" s="1" t="s">
        <v>26</v>
      </c>
      <c r="P159" s="4">
        <v>45733.74377314815</v>
      </c>
    </row>
    <row r="160" hidden="1">
      <c r="A160" s="1" t="s">
        <v>1055</v>
      </c>
      <c r="B160" s="3" t="str">
        <f>HYPERLINK("https://hawk-eye.atlassian.net/browse/HWKREPORT-3343?atlOrigin=eyJpIjoiYzgwYTQ0ZjEyNzQzNGJhN2JmNjEyZTM0NmRhZWZhNjIiLCJwIjoic2hlZXRzLWppcmEifQ","HWKREPORT-3343")</f>
        <v>HWKREPORT-3343</v>
      </c>
      <c r="C160" s="1" t="s">
        <v>1278</v>
      </c>
      <c r="D160" s="1" t="s">
        <v>34</v>
      </c>
      <c r="E160" s="1" t="s">
        <v>1057</v>
      </c>
      <c r="F160" s="4">
        <v>45733.750543981485</v>
      </c>
      <c r="G160" s="3" t="str">
        <f>HYPERLINK("https://hawk-eye.atlassian.net/browse/RTT-9786?atlOrigin=eyJpIjoiYzgwYTQ0ZjEyNzQzNGJhN2JmNjEyZTM0NmRhZWZhNjIiLCJwIjoic2hlZXRzLWppcmEifQ","RTT-9786")</f>
        <v>RTT-9786</v>
      </c>
      <c r="H160" s="1" t="s">
        <v>1058</v>
      </c>
      <c r="I160" s="1" t="s">
        <v>1059</v>
      </c>
      <c r="J160" s="1" t="s">
        <v>26</v>
      </c>
      <c r="K160" s="1" t="s">
        <v>1060</v>
      </c>
      <c r="L160" s="1" t="s">
        <v>26</v>
      </c>
      <c r="M160" s="1" t="s">
        <v>27</v>
      </c>
      <c r="N160" s="1" t="s">
        <v>26</v>
      </c>
      <c r="O160" s="1" t="s">
        <v>26</v>
      </c>
      <c r="P160" s="4">
        <v>45733.750543981485</v>
      </c>
    </row>
    <row r="161" hidden="1">
      <c r="A161" s="1" t="s">
        <v>1055</v>
      </c>
      <c r="B161" s="3" t="str">
        <f>HYPERLINK("https://hawk-eye.atlassian.net/browse/HWKREPORT-3344?atlOrigin=eyJpIjoiYzgwYTQ0ZjEyNzQzNGJhN2JmNjEyZTM0NmRhZWZhNjIiLCJwIjoic2hlZXRzLWppcmEifQ","HWKREPORT-3344")</f>
        <v>HWKREPORT-3344</v>
      </c>
      <c r="C161" s="1" t="s">
        <v>1279</v>
      </c>
      <c r="D161" s="1" t="s">
        <v>48</v>
      </c>
      <c r="E161" s="1" t="s">
        <v>1057</v>
      </c>
      <c r="F161" s="4">
        <v>45734.585439814815</v>
      </c>
      <c r="G161" s="3" t="str">
        <f>HYPERLINK("https://hawk-eye.atlassian.net/browse/?atlOrigin=eyJpIjoiYzgwYTQ0ZjEyNzQzNGJhN2JmNjEyZTM0NmRhZWZhNjIiLCJwIjoic2hlZXRzLWppcmEifQ","")</f>
        <v/>
      </c>
      <c r="H161" s="1" t="s">
        <v>1058</v>
      </c>
      <c r="I161" s="1" t="s">
        <v>1280</v>
      </c>
      <c r="J161" s="1" t="s">
        <v>26</v>
      </c>
      <c r="K161" s="1" t="s">
        <v>1116</v>
      </c>
      <c r="L161" s="1" t="s">
        <v>26</v>
      </c>
      <c r="M161" s="1" t="s">
        <v>27</v>
      </c>
      <c r="N161" s="1" t="s">
        <v>26</v>
      </c>
      <c r="O161" s="1" t="s">
        <v>26</v>
      </c>
      <c r="P161" s="4">
        <v>45734.58545138889</v>
      </c>
    </row>
    <row r="162" hidden="1">
      <c r="A162" s="1" t="s">
        <v>1055</v>
      </c>
      <c r="B162" s="3" t="str">
        <f>HYPERLINK("https://hawk-eye.atlassian.net/browse/HWKREPORT-3345?atlOrigin=eyJpIjoiYzgwYTQ0ZjEyNzQzNGJhN2JmNjEyZTM0NmRhZWZhNjIiLCJwIjoic2hlZXRzLWppcmEifQ","HWKREPORT-3345")</f>
        <v>HWKREPORT-3345</v>
      </c>
      <c r="C162" s="1" t="s">
        <v>1281</v>
      </c>
      <c r="D162" s="1" t="s">
        <v>34</v>
      </c>
      <c r="E162" s="1" t="s">
        <v>1057</v>
      </c>
      <c r="F162" s="4">
        <v>45735.385717592595</v>
      </c>
      <c r="G162" s="3" t="str">
        <f>HYPERLINK("https://hawk-eye.atlassian.net/browse/AT-1757?atlOrigin=eyJpIjoiYzgwYTQ0ZjEyNzQzNGJhN2JmNjEyZTM0NmRhZWZhNjIiLCJwIjoic2hlZXRzLWppcmEifQ","AT-1757")</f>
        <v>AT-1757</v>
      </c>
      <c r="H162" s="1" t="s">
        <v>1058</v>
      </c>
      <c r="I162" s="1" t="s">
        <v>1085</v>
      </c>
      <c r="J162" s="1" t="s">
        <v>26</v>
      </c>
      <c r="K162" s="1" t="s">
        <v>26</v>
      </c>
      <c r="L162" s="1" t="s">
        <v>26</v>
      </c>
      <c r="M162" s="1" t="s">
        <v>27</v>
      </c>
      <c r="N162" s="1" t="s">
        <v>26</v>
      </c>
      <c r="O162" s="1" t="s">
        <v>26</v>
      </c>
      <c r="P162" s="4">
        <v>45735.385717592595</v>
      </c>
    </row>
    <row r="163" hidden="1">
      <c r="A163" s="1" t="s">
        <v>21</v>
      </c>
      <c r="B163" s="3" t="str">
        <f>HYPERLINK("https://hawk-eye.atlassian.net/browse/HWKREPORT-3346?atlOrigin=eyJpIjoiYzgwYTQ0ZjEyNzQzNGJhN2JmNjEyZTM0NmRhZWZhNjIiLCJwIjoic2hlZXRzLWppcmEifQ","HWKREPORT-3346")</f>
        <v>HWKREPORT-3346</v>
      </c>
      <c r="C163" s="1" t="s">
        <v>1282</v>
      </c>
      <c r="D163" s="1" t="s">
        <v>34</v>
      </c>
      <c r="E163" s="1" t="s">
        <v>1207</v>
      </c>
      <c r="F163" s="4">
        <v>45735.466458333336</v>
      </c>
      <c r="G163" s="3" t="str">
        <f>HYPERLINK("https://hawk-eye.atlassian.net/browse/RTT-10238?atlOrigin=eyJpIjoiYzgwYTQ0ZjEyNzQzNGJhN2JmNjEyZTM0NmRhZWZhNjIiLCJwIjoic2hlZXRzLWppcmEifQ","RTT-10238")</f>
        <v>RTT-10238</v>
      </c>
      <c r="H163" s="1" t="s">
        <v>1058</v>
      </c>
      <c r="I163" s="1" t="s">
        <v>1085</v>
      </c>
      <c r="J163" s="1" t="s">
        <v>26</v>
      </c>
      <c r="K163" s="1" t="s">
        <v>1196</v>
      </c>
      <c r="L163" s="1" t="s">
        <v>26</v>
      </c>
      <c r="M163" s="1" t="s">
        <v>27</v>
      </c>
      <c r="N163" s="1" t="s">
        <v>26</v>
      </c>
      <c r="O163" s="1" t="s">
        <v>26</v>
      </c>
      <c r="P163" s="4">
        <v>45762.45217592592</v>
      </c>
    </row>
    <row r="164" hidden="1">
      <c r="A164" s="1" t="s">
        <v>21</v>
      </c>
      <c r="B164" s="3" t="str">
        <f>HYPERLINK("https://hawk-eye.atlassian.net/browse/HWKREPORT-3347?atlOrigin=eyJpIjoiYzgwYTQ0ZjEyNzQzNGJhN2JmNjEyZTM0NmRhZWZhNjIiLCJwIjoic2hlZXRzLWppcmEifQ","HWKREPORT-3347")</f>
        <v>HWKREPORT-3347</v>
      </c>
      <c r="C164" s="1" t="s">
        <v>1283</v>
      </c>
      <c r="D164" s="1" t="s">
        <v>40</v>
      </c>
      <c r="E164" s="1" t="s">
        <v>1074</v>
      </c>
      <c r="F164" s="4">
        <v>45735.655590277776</v>
      </c>
      <c r="G164" s="3" t="str">
        <f t="shared" ref="G164:G170" si="18">HYPERLINK("https://hawk-eye.atlassian.net/browse/?atlOrigin=eyJpIjoiYzgwYTQ0ZjEyNzQzNGJhN2JmNjEyZTM0NmRhZWZhNjIiLCJwIjoic2hlZXRzLWppcmEifQ","")</f>
        <v/>
      </c>
      <c r="H164" s="1" t="s">
        <v>1058</v>
      </c>
      <c r="I164" s="1" t="s">
        <v>1059</v>
      </c>
      <c r="J164" s="1" t="s">
        <v>26</v>
      </c>
      <c r="K164" s="1" t="s">
        <v>1116</v>
      </c>
      <c r="L164" s="1" t="s">
        <v>26</v>
      </c>
      <c r="M164" s="1" t="s">
        <v>27</v>
      </c>
      <c r="N164" s="1" t="s">
        <v>26</v>
      </c>
      <c r="O164" s="1" t="s">
        <v>26</v>
      </c>
      <c r="P164" s="4">
        <v>45783.36615740741</v>
      </c>
    </row>
    <row r="165" hidden="1">
      <c r="A165" s="1" t="s">
        <v>21</v>
      </c>
      <c r="B165" s="3" t="str">
        <f>HYPERLINK("https://hawk-eye.atlassian.net/browse/HWKREPORT-3348?atlOrigin=eyJpIjoiYzgwYTQ0ZjEyNzQzNGJhN2JmNjEyZTM0NmRhZWZhNjIiLCJwIjoic2hlZXRzLWppcmEifQ","HWKREPORT-3348")</f>
        <v>HWKREPORT-3348</v>
      </c>
      <c r="C165" s="1" t="s">
        <v>1284</v>
      </c>
      <c r="D165" s="1" t="s">
        <v>34</v>
      </c>
      <c r="E165" s="1" t="s">
        <v>1057</v>
      </c>
      <c r="F165" s="4">
        <v>45735.66289351852</v>
      </c>
      <c r="G165" s="3" t="str">
        <f t="shared" si="18"/>
        <v/>
      </c>
      <c r="H165" s="1" t="s">
        <v>1058</v>
      </c>
      <c r="I165" s="1" t="s">
        <v>1059</v>
      </c>
      <c r="J165" s="1" t="s">
        <v>26</v>
      </c>
      <c r="K165" s="1" t="s">
        <v>1060</v>
      </c>
      <c r="L165" s="1" t="s">
        <v>26</v>
      </c>
      <c r="M165" s="1" t="s">
        <v>27</v>
      </c>
      <c r="N165" s="1" t="s">
        <v>26</v>
      </c>
      <c r="O165" s="1" t="s">
        <v>26</v>
      </c>
      <c r="P165" s="4">
        <v>45735.66290509259</v>
      </c>
    </row>
    <row r="166" hidden="1">
      <c r="A166" s="1" t="s">
        <v>1055</v>
      </c>
      <c r="B166" s="3" t="str">
        <f>HYPERLINK("https://hawk-eye.atlassian.net/browse/HWKREPORT-3349?atlOrigin=eyJpIjoiYzgwYTQ0ZjEyNzQzNGJhN2JmNjEyZTM0NmRhZWZhNjIiLCJwIjoic2hlZXRzLWppcmEifQ","HWKREPORT-3349")</f>
        <v>HWKREPORT-3349</v>
      </c>
      <c r="C166" s="1" t="s">
        <v>1285</v>
      </c>
      <c r="D166" s="1" t="s">
        <v>23</v>
      </c>
      <c r="E166" s="1" t="s">
        <v>35</v>
      </c>
      <c r="F166" s="4">
        <v>45735.68152777778</v>
      </c>
      <c r="G166" s="3" t="str">
        <f t="shared" si="18"/>
        <v/>
      </c>
      <c r="H166" s="1" t="s">
        <v>1058</v>
      </c>
      <c r="I166" s="1" t="s">
        <v>1071</v>
      </c>
      <c r="J166" s="1" t="s">
        <v>26</v>
      </c>
      <c r="K166" s="1" t="s">
        <v>1095</v>
      </c>
      <c r="L166" s="1" t="s">
        <v>26</v>
      </c>
      <c r="M166" s="1" t="s">
        <v>27</v>
      </c>
      <c r="N166" s="1" t="s">
        <v>26</v>
      </c>
      <c r="O166" s="1" t="s">
        <v>26</v>
      </c>
      <c r="P166" s="4">
        <v>45768.60157407408</v>
      </c>
    </row>
    <row r="167" hidden="1">
      <c r="A167" s="1" t="s">
        <v>21</v>
      </c>
      <c r="B167" s="3" t="str">
        <f>HYPERLINK("https://hawk-eye.atlassian.net/browse/HWKREPORT-3350?atlOrigin=eyJpIjoiYzgwYTQ0ZjEyNzQzNGJhN2JmNjEyZTM0NmRhZWZhNjIiLCJwIjoic2hlZXRzLWppcmEifQ","HWKREPORT-3350")</f>
        <v>HWKREPORT-3350</v>
      </c>
      <c r="C167" s="1" t="s">
        <v>1286</v>
      </c>
      <c r="D167" s="1" t="s">
        <v>34</v>
      </c>
      <c r="E167" s="1" t="s">
        <v>35</v>
      </c>
      <c r="F167" s="4">
        <v>45735.878599537034</v>
      </c>
      <c r="G167" s="3" t="str">
        <f t="shared" si="18"/>
        <v/>
      </c>
      <c r="H167" s="1" t="s">
        <v>1058</v>
      </c>
      <c r="I167" s="1" t="s">
        <v>1071</v>
      </c>
      <c r="J167" s="1" t="s">
        <v>26</v>
      </c>
      <c r="K167" s="1" t="s">
        <v>1287</v>
      </c>
      <c r="L167" s="1" t="s">
        <v>26</v>
      </c>
      <c r="M167" s="1" t="s">
        <v>27</v>
      </c>
      <c r="N167" s="1" t="s">
        <v>26</v>
      </c>
      <c r="O167" s="1" t="s">
        <v>26</v>
      </c>
      <c r="P167" s="4">
        <v>45736.404861111114</v>
      </c>
    </row>
    <row r="168" hidden="1">
      <c r="A168" s="1" t="s">
        <v>21</v>
      </c>
      <c r="B168" s="3" t="str">
        <f>HYPERLINK("https://hawk-eye.atlassian.net/browse/HWKREPORT-3351?atlOrigin=eyJpIjoiYzgwYTQ0ZjEyNzQzNGJhN2JmNjEyZTM0NmRhZWZhNjIiLCJwIjoic2hlZXRzLWppcmEifQ","HWKREPORT-3351")</f>
        <v>HWKREPORT-3351</v>
      </c>
      <c r="C168" s="1" t="s">
        <v>1288</v>
      </c>
      <c r="D168" s="1" t="s">
        <v>83</v>
      </c>
      <c r="E168" s="1" t="s">
        <v>1057</v>
      </c>
      <c r="F168" s="4">
        <v>45736.54553240741</v>
      </c>
      <c r="G168" s="3" t="str">
        <f t="shared" si="18"/>
        <v/>
      </c>
      <c r="H168" s="1" t="s">
        <v>1058</v>
      </c>
      <c r="I168" s="1" t="s">
        <v>1107</v>
      </c>
      <c r="J168" s="1" t="s">
        <v>26</v>
      </c>
      <c r="K168" s="1" t="s">
        <v>1108</v>
      </c>
      <c r="L168" s="1" t="s">
        <v>26</v>
      </c>
      <c r="M168" s="1" t="s">
        <v>27</v>
      </c>
      <c r="N168" s="1" t="s">
        <v>26</v>
      </c>
      <c r="O168" s="1" t="s">
        <v>26</v>
      </c>
      <c r="P168" s="4">
        <v>45736.54554398148</v>
      </c>
    </row>
    <row r="169" hidden="1">
      <c r="A169" s="1" t="s">
        <v>21</v>
      </c>
      <c r="B169" s="3" t="str">
        <f>HYPERLINK("https://hawk-eye.atlassian.net/browse/HWKREPORT-3352?atlOrigin=eyJpIjoiYzgwYTQ0ZjEyNzQzNGJhN2JmNjEyZTM0NmRhZWZhNjIiLCJwIjoic2hlZXRzLWppcmEifQ","HWKREPORT-3352")</f>
        <v>HWKREPORT-3352</v>
      </c>
      <c r="C169" s="1" t="s">
        <v>1286</v>
      </c>
      <c r="D169" s="1" t="s">
        <v>23</v>
      </c>
      <c r="E169" s="1" t="s">
        <v>1057</v>
      </c>
      <c r="F169" s="4">
        <v>45736.599803240744</v>
      </c>
      <c r="G169" s="3" t="str">
        <f t="shared" si="18"/>
        <v/>
      </c>
      <c r="H169" s="1" t="s">
        <v>1058</v>
      </c>
      <c r="I169" s="1" t="s">
        <v>1071</v>
      </c>
      <c r="J169" s="1" t="s">
        <v>26</v>
      </c>
      <c r="K169" s="1" t="s">
        <v>1287</v>
      </c>
      <c r="L169" s="1" t="s">
        <v>26</v>
      </c>
      <c r="M169" s="1" t="s">
        <v>27</v>
      </c>
      <c r="N169" s="1" t="s">
        <v>26</v>
      </c>
      <c r="O169" s="1" t="s">
        <v>26</v>
      </c>
      <c r="P169" s="4">
        <v>45736.599814814814</v>
      </c>
    </row>
    <row r="170" hidden="1">
      <c r="A170" s="1" t="s">
        <v>21</v>
      </c>
      <c r="B170" s="3" t="str">
        <f>HYPERLINK("https://hawk-eye.atlassian.net/browse/HWKREPORT-3353?atlOrigin=eyJpIjoiYzgwYTQ0ZjEyNzQzNGJhN2JmNjEyZTM0NmRhZWZhNjIiLCJwIjoic2hlZXRzLWppcmEifQ","HWKREPORT-3353")</f>
        <v>HWKREPORT-3353</v>
      </c>
      <c r="C170" s="1" t="s">
        <v>1289</v>
      </c>
      <c r="D170" s="1" t="s">
        <v>23</v>
      </c>
      <c r="E170" s="1" t="s">
        <v>1057</v>
      </c>
      <c r="F170" s="4">
        <v>45737.3865625</v>
      </c>
      <c r="G170" s="3" t="str">
        <f t="shared" si="18"/>
        <v/>
      </c>
      <c r="H170" s="1" t="s">
        <v>1058</v>
      </c>
      <c r="I170" s="1" t="s">
        <v>1085</v>
      </c>
      <c r="J170" s="1" t="s">
        <v>26</v>
      </c>
      <c r="K170" s="1" t="s">
        <v>1290</v>
      </c>
      <c r="L170" s="1" t="s">
        <v>26</v>
      </c>
      <c r="M170" s="1" t="s">
        <v>27</v>
      </c>
      <c r="N170" s="1" t="s">
        <v>26</v>
      </c>
      <c r="O170" s="1" t="s">
        <v>26</v>
      </c>
      <c r="P170" s="4">
        <v>45737.38657407407</v>
      </c>
    </row>
    <row r="171" hidden="1">
      <c r="A171" s="1" t="s">
        <v>21</v>
      </c>
      <c r="B171" s="3" t="str">
        <f>HYPERLINK("https://hawk-eye.atlassian.net/browse/HWKREPORT-3354?atlOrigin=eyJpIjoiYzgwYTQ0ZjEyNzQzNGJhN2JmNjEyZTM0NmRhZWZhNjIiLCJwIjoic2hlZXRzLWppcmEifQ","HWKREPORT-3354")</f>
        <v>HWKREPORT-3354</v>
      </c>
      <c r="C171" s="1" t="s">
        <v>1291</v>
      </c>
      <c r="D171" s="1" t="s">
        <v>23</v>
      </c>
      <c r="E171" s="1" t="s">
        <v>35</v>
      </c>
      <c r="F171" s="4">
        <v>45740.57240740741</v>
      </c>
      <c r="G171" s="3" t="str">
        <f>HYPERLINK("https://hawk-eye.atlassian.net/browse/SO-2374?atlOrigin=eyJpIjoiYzgwYTQ0ZjEyNzQzNGJhN2JmNjEyZTM0NmRhZWZhNjIiLCJwIjoic2hlZXRzLWppcmEifQ","SO-2374")</f>
        <v>SO-2374</v>
      </c>
      <c r="H171" s="1" t="s">
        <v>1058</v>
      </c>
      <c r="I171" s="1" t="s">
        <v>1151</v>
      </c>
      <c r="J171" s="1" t="s">
        <v>26</v>
      </c>
      <c r="K171" s="1" t="s">
        <v>1292</v>
      </c>
      <c r="L171" s="1" t="s">
        <v>26</v>
      </c>
      <c r="M171" s="1" t="s">
        <v>27</v>
      </c>
      <c r="N171" s="1" t="s">
        <v>26</v>
      </c>
      <c r="O171" s="1" t="s">
        <v>26</v>
      </c>
      <c r="P171" s="4">
        <v>45757.5756712963</v>
      </c>
    </row>
    <row r="172" hidden="1">
      <c r="A172" s="1" t="s">
        <v>1055</v>
      </c>
      <c r="B172" s="3" t="str">
        <f>HYPERLINK("https://hawk-eye.atlassian.net/browse/HWKREPORT-3355?atlOrigin=eyJpIjoiYzgwYTQ0ZjEyNzQzNGJhN2JmNjEyZTM0NmRhZWZhNjIiLCJwIjoic2hlZXRzLWppcmEifQ","HWKREPORT-3355")</f>
        <v>HWKREPORT-3355</v>
      </c>
      <c r="C172" s="1" t="s">
        <v>1293</v>
      </c>
      <c r="D172" s="1" t="s">
        <v>34</v>
      </c>
      <c r="E172" s="1" t="s">
        <v>35</v>
      </c>
      <c r="F172" s="4">
        <v>45740.65571759259</v>
      </c>
      <c r="G172" s="3" t="str">
        <f>HYPERLINK("https://hawk-eye.atlassian.net/browse/?atlOrigin=eyJpIjoiYzgwYTQ0ZjEyNzQzNGJhN2JmNjEyZTM0NmRhZWZhNjIiLCJwIjoic2hlZXRzLWppcmEifQ","")</f>
        <v/>
      </c>
      <c r="H172" s="1" t="s">
        <v>1058</v>
      </c>
      <c r="I172" s="1" t="s">
        <v>1071</v>
      </c>
      <c r="J172" s="1" t="s">
        <v>26</v>
      </c>
      <c r="K172" s="1" t="s">
        <v>1130</v>
      </c>
      <c r="L172" s="1" t="s">
        <v>26</v>
      </c>
      <c r="M172" s="1" t="s">
        <v>27</v>
      </c>
      <c r="N172" s="1" t="s">
        <v>26</v>
      </c>
      <c r="O172" s="1" t="s">
        <v>26</v>
      </c>
      <c r="P172" s="4">
        <v>45755.62966435185</v>
      </c>
    </row>
    <row r="173" hidden="1">
      <c r="A173" s="1" t="s">
        <v>21</v>
      </c>
      <c r="B173" s="3" t="str">
        <f>HYPERLINK("https://hawk-eye.atlassian.net/browse/HWKREPORT-3356?atlOrigin=eyJpIjoiYzgwYTQ0ZjEyNzQzNGJhN2JmNjEyZTM0NmRhZWZhNjIiLCJwIjoic2hlZXRzLWppcmEifQ","HWKREPORT-3356")</f>
        <v>HWKREPORT-3356</v>
      </c>
      <c r="C173" s="1" t="s">
        <v>1294</v>
      </c>
      <c r="D173" s="1" t="s">
        <v>40</v>
      </c>
      <c r="E173" s="1" t="s">
        <v>35</v>
      </c>
      <c r="F173" s="4">
        <v>45740.82586805556</v>
      </c>
      <c r="G173" s="3" t="str">
        <f>HYPERLINK("https://hawk-eye.atlassian.net/browse/SO-2383?atlOrigin=eyJpIjoiYzgwYTQ0ZjEyNzQzNGJhN2JmNjEyZTM0NmRhZWZhNjIiLCJwIjoic2hlZXRzLWppcmEifQ","SO-2383")</f>
        <v>SO-2383</v>
      </c>
      <c r="H173" s="1" t="s">
        <v>1058</v>
      </c>
      <c r="I173" s="1" t="s">
        <v>1085</v>
      </c>
      <c r="J173" s="1" t="s">
        <v>26</v>
      </c>
      <c r="K173" s="1" t="s">
        <v>1116</v>
      </c>
      <c r="L173" s="1" t="s">
        <v>26</v>
      </c>
      <c r="M173" s="1" t="s">
        <v>27</v>
      </c>
      <c r="N173" s="1" t="s">
        <v>26</v>
      </c>
      <c r="O173" s="1" t="s">
        <v>26</v>
      </c>
      <c r="P173" s="4">
        <v>45749.38136574074</v>
      </c>
    </row>
    <row r="174" hidden="1">
      <c r="A174" s="1" t="s">
        <v>21</v>
      </c>
      <c r="B174" s="3" t="str">
        <f>HYPERLINK("https://hawk-eye.atlassian.net/browse/HWKREPORT-3357?atlOrigin=eyJpIjoiYzgwYTQ0ZjEyNzQzNGJhN2JmNjEyZTM0NmRhZWZhNjIiLCJwIjoic2hlZXRzLWppcmEifQ","HWKREPORT-3357")</f>
        <v>HWKREPORT-3357</v>
      </c>
      <c r="C174" s="1" t="s">
        <v>1295</v>
      </c>
      <c r="D174" s="1" t="s">
        <v>40</v>
      </c>
      <c r="E174" s="1" t="s">
        <v>1057</v>
      </c>
      <c r="F174" s="4">
        <v>45741.42917824074</v>
      </c>
      <c r="G174" s="3" t="str">
        <f>HYPERLINK("https://hawk-eye.atlassian.net/browse/TTS-46?atlOrigin=eyJpIjoiYzgwYTQ0ZjEyNzQzNGJhN2JmNjEyZTM0NmRhZWZhNjIiLCJwIjoic2hlZXRzLWppcmEifQ","TTS-46")</f>
        <v>TTS-46</v>
      </c>
      <c r="H174" s="1" t="s">
        <v>1058</v>
      </c>
      <c r="I174" s="1" t="s">
        <v>1085</v>
      </c>
      <c r="J174" s="1" t="s">
        <v>26</v>
      </c>
      <c r="K174" s="1" t="s">
        <v>1219</v>
      </c>
      <c r="L174" s="1" t="s">
        <v>26</v>
      </c>
      <c r="M174" s="1" t="s">
        <v>27</v>
      </c>
      <c r="N174" s="1" t="s">
        <v>26</v>
      </c>
      <c r="O174" s="1" t="s">
        <v>26</v>
      </c>
      <c r="P174" s="4">
        <v>45741.429189814815</v>
      </c>
    </row>
    <row r="175" hidden="1">
      <c r="A175" s="1" t="s">
        <v>21</v>
      </c>
      <c r="B175" s="3" t="str">
        <f>HYPERLINK("https://hawk-eye.atlassian.net/browse/HWKREPORT-3358?atlOrigin=eyJpIjoiYzgwYTQ0ZjEyNzQzNGJhN2JmNjEyZTM0NmRhZWZhNjIiLCJwIjoic2hlZXRzLWppcmEifQ","HWKREPORT-3358")</f>
        <v>HWKREPORT-3358</v>
      </c>
      <c r="C175" s="1" t="s">
        <v>1296</v>
      </c>
      <c r="D175" s="1" t="s">
        <v>34</v>
      </c>
      <c r="E175" s="1" t="s">
        <v>1057</v>
      </c>
      <c r="F175" s="4">
        <v>45741.51070601852</v>
      </c>
      <c r="G175" s="3" t="str">
        <f>HYPERLINK("https://hawk-eye.atlassian.net/browse/AT-1768?atlOrigin=eyJpIjoiYzgwYTQ0ZjEyNzQzNGJhN2JmNjEyZTM0NmRhZWZhNjIiLCJwIjoic2hlZXRzLWppcmEifQ","AT-1768")</f>
        <v>AT-1768</v>
      </c>
      <c r="H175" s="1" t="s">
        <v>1058</v>
      </c>
      <c r="I175" s="1" t="s">
        <v>1085</v>
      </c>
      <c r="J175" s="1" t="s">
        <v>26</v>
      </c>
      <c r="K175" s="1" t="s">
        <v>1105</v>
      </c>
      <c r="L175" s="1" t="s">
        <v>26</v>
      </c>
      <c r="M175" s="1" t="s">
        <v>27</v>
      </c>
      <c r="N175" s="1" t="s">
        <v>26</v>
      </c>
      <c r="O175" s="1" t="s">
        <v>26</v>
      </c>
      <c r="P175" s="4">
        <v>45741.510717592595</v>
      </c>
    </row>
    <row r="176" hidden="1">
      <c r="A176" s="1" t="s">
        <v>21</v>
      </c>
      <c r="B176" s="3" t="str">
        <f>HYPERLINK("https://hawk-eye.atlassian.net/browse/HWKREPORT-3359?atlOrigin=eyJpIjoiYzgwYTQ0ZjEyNzQzNGJhN2JmNjEyZTM0NmRhZWZhNjIiLCJwIjoic2hlZXRzLWppcmEifQ","HWKREPORT-3359")</f>
        <v>HWKREPORT-3359</v>
      </c>
      <c r="C176" s="1" t="s">
        <v>1297</v>
      </c>
      <c r="D176" s="1" t="s">
        <v>83</v>
      </c>
      <c r="E176" s="1" t="s">
        <v>1091</v>
      </c>
      <c r="F176" s="4">
        <v>45741.819560185184</v>
      </c>
      <c r="G176" s="3" t="str">
        <f>HYPERLINK("https://hawk-eye.atlassian.net/browse/SO-2399?atlOrigin=eyJpIjoiYzgwYTQ0ZjEyNzQzNGJhN2JmNjEyZTM0NmRhZWZhNjIiLCJwIjoic2hlZXRzLWppcmEifQ","SO-2399")</f>
        <v>SO-2399</v>
      </c>
      <c r="H176" s="1" t="s">
        <v>1058</v>
      </c>
      <c r="I176" s="1" t="s">
        <v>1071</v>
      </c>
      <c r="J176" s="1" t="s">
        <v>26</v>
      </c>
      <c r="K176" s="1" t="s">
        <v>1134</v>
      </c>
      <c r="L176" s="1" t="s">
        <v>26</v>
      </c>
      <c r="M176" s="1" t="s">
        <v>27</v>
      </c>
      <c r="N176" s="1" t="s">
        <v>26</v>
      </c>
      <c r="O176" s="1" t="s">
        <v>26</v>
      </c>
      <c r="P176" s="4">
        <v>45762.44417824074</v>
      </c>
    </row>
    <row r="177" hidden="1">
      <c r="A177" s="1" t="s">
        <v>21</v>
      </c>
      <c r="B177" s="3" t="str">
        <f>HYPERLINK("https://hawk-eye.atlassian.net/browse/HWKREPORT-3360?atlOrigin=eyJpIjoiYzgwYTQ0ZjEyNzQzNGJhN2JmNjEyZTM0NmRhZWZhNjIiLCJwIjoic2hlZXRzLWppcmEifQ","HWKREPORT-3360")</f>
        <v>HWKREPORT-3360</v>
      </c>
      <c r="C177" s="1" t="s">
        <v>1298</v>
      </c>
      <c r="D177" s="1" t="s">
        <v>34</v>
      </c>
      <c r="E177" s="1" t="s">
        <v>1057</v>
      </c>
      <c r="F177" s="4">
        <v>45742.03650462963</v>
      </c>
      <c r="G177" s="3" t="str">
        <f>HYPERLINK("https://hawk-eye.atlassian.net/browse/SO-2380?atlOrigin=eyJpIjoiYzgwYTQ0ZjEyNzQzNGJhN2JmNjEyZTM0NmRhZWZhNjIiLCJwIjoic2hlZXRzLWppcmEifQ","SO-2380")</f>
        <v>SO-2380</v>
      </c>
      <c r="H177" s="1" t="s">
        <v>1058</v>
      </c>
      <c r="I177" s="1" t="s">
        <v>1126</v>
      </c>
      <c r="J177" s="1" t="s">
        <v>26</v>
      </c>
      <c r="K177" s="1" t="s">
        <v>1287</v>
      </c>
      <c r="L177" s="1" t="s">
        <v>26</v>
      </c>
      <c r="M177" s="1" t="s">
        <v>27</v>
      </c>
      <c r="N177" s="1" t="s">
        <v>26</v>
      </c>
      <c r="O177" s="1" t="s">
        <v>26</v>
      </c>
      <c r="P177" s="4">
        <v>45742.03650462963</v>
      </c>
    </row>
    <row r="178" hidden="1">
      <c r="A178" s="1" t="s">
        <v>21</v>
      </c>
      <c r="B178" s="3" t="str">
        <f>HYPERLINK("https://hawk-eye.atlassian.net/browse/HWKREPORT-3361?atlOrigin=eyJpIjoiYzgwYTQ0ZjEyNzQzNGJhN2JmNjEyZTM0NmRhZWZhNjIiLCJwIjoic2hlZXRzLWppcmEifQ","HWKREPORT-3361")</f>
        <v>HWKREPORT-3361</v>
      </c>
      <c r="C178" s="1" t="s">
        <v>1299</v>
      </c>
      <c r="D178" s="1" t="s">
        <v>34</v>
      </c>
      <c r="E178" s="1" t="s">
        <v>35</v>
      </c>
      <c r="F178" s="4">
        <v>45742.429976851854</v>
      </c>
      <c r="G178" s="3" t="str">
        <f>HYPERLINK("https://hawk-eye.atlassian.net/browse/SO-2382?atlOrigin=eyJpIjoiYzgwYTQ0ZjEyNzQzNGJhN2JmNjEyZTM0NmRhZWZhNjIiLCJwIjoic2hlZXRzLWppcmEifQ","SO-2382")</f>
        <v>SO-2382</v>
      </c>
      <c r="H178" s="1" t="s">
        <v>1058</v>
      </c>
      <c r="I178" s="1" t="s">
        <v>1082</v>
      </c>
      <c r="J178" s="1" t="s">
        <v>26</v>
      </c>
      <c r="K178" s="1" t="s">
        <v>1116</v>
      </c>
      <c r="L178" s="1" t="s">
        <v>26</v>
      </c>
      <c r="M178" s="1" t="s">
        <v>27</v>
      </c>
      <c r="N178" s="1" t="s">
        <v>26</v>
      </c>
      <c r="O178" s="1" t="s">
        <v>26</v>
      </c>
      <c r="P178" s="4">
        <v>45744.48936342593</v>
      </c>
    </row>
    <row r="179" hidden="1">
      <c r="A179" s="1" t="s">
        <v>1055</v>
      </c>
      <c r="B179" s="3" t="str">
        <f>HYPERLINK("https://hawk-eye.atlassian.net/browse/HWKREPORT-3362?atlOrigin=eyJpIjoiYzgwYTQ0ZjEyNzQzNGJhN2JmNjEyZTM0NmRhZWZhNjIiLCJwIjoic2hlZXRzLWppcmEifQ","HWKREPORT-3362")</f>
        <v>HWKREPORT-3362</v>
      </c>
      <c r="C179" s="1" t="s">
        <v>1300</v>
      </c>
      <c r="D179" s="1" t="s">
        <v>34</v>
      </c>
      <c r="E179" s="1" t="s">
        <v>1057</v>
      </c>
      <c r="F179" s="4">
        <v>45742.43945601852</v>
      </c>
      <c r="G179" s="3" t="str">
        <f>HYPERLINK("https://hawk-eye.atlassian.net/browse/AT-1769?atlOrigin=eyJpIjoiYzgwYTQ0ZjEyNzQzNGJhN2JmNjEyZTM0NmRhZWZhNjIiLCJwIjoic2hlZXRzLWppcmEifQ","AT-1769")</f>
        <v>AT-1769</v>
      </c>
      <c r="H179" s="1" t="s">
        <v>1058</v>
      </c>
      <c r="I179" s="1" t="s">
        <v>1085</v>
      </c>
      <c r="J179" s="1" t="s">
        <v>26</v>
      </c>
      <c r="K179" s="1" t="s">
        <v>26</v>
      </c>
      <c r="L179" s="1" t="s">
        <v>26</v>
      </c>
      <c r="M179" s="1" t="s">
        <v>27</v>
      </c>
      <c r="N179" s="1" t="s">
        <v>26</v>
      </c>
      <c r="O179" s="1" t="s">
        <v>26</v>
      </c>
      <c r="P179" s="4">
        <v>45742.439467592594</v>
      </c>
    </row>
    <row r="180" hidden="1">
      <c r="A180" s="1" t="s">
        <v>21</v>
      </c>
      <c r="B180" s="3" t="str">
        <f>HYPERLINK("https://hawk-eye.atlassian.net/browse/HWKREPORT-3363?atlOrigin=eyJpIjoiYzgwYTQ0ZjEyNzQzNGJhN2JmNjEyZTM0NmRhZWZhNjIiLCJwIjoic2hlZXRzLWppcmEifQ","HWKREPORT-3363")</f>
        <v>HWKREPORT-3363</v>
      </c>
      <c r="C180" s="1" t="s">
        <v>1301</v>
      </c>
      <c r="D180" s="1" t="s">
        <v>40</v>
      </c>
      <c r="E180" s="1" t="s">
        <v>1057</v>
      </c>
      <c r="F180" s="4">
        <v>45742.47478009259</v>
      </c>
      <c r="G180" s="3" t="str">
        <f>HYPERLINK("https://hawk-eye.atlassian.net/browse/RTT-10405?atlOrigin=eyJpIjoiYzgwYTQ0ZjEyNzQzNGJhN2JmNjEyZTM0NmRhZWZhNjIiLCJwIjoic2hlZXRzLWppcmEifQ","RTT-10405")</f>
        <v>RTT-10405</v>
      </c>
      <c r="H180" s="1" t="s">
        <v>1058</v>
      </c>
      <c r="I180" s="1" t="s">
        <v>1085</v>
      </c>
      <c r="J180" s="1" t="s">
        <v>26</v>
      </c>
      <c r="K180" s="1" t="s">
        <v>1247</v>
      </c>
      <c r="L180" s="1" t="s">
        <v>26</v>
      </c>
      <c r="M180" s="1" t="s">
        <v>27</v>
      </c>
      <c r="N180" s="1" t="s">
        <v>26</v>
      </c>
      <c r="O180" s="1" t="s">
        <v>26</v>
      </c>
      <c r="P180" s="4">
        <v>45742.47479166667</v>
      </c>
    </row>
    <row r="181" hidden="1">
      <c r="A181" s="1" t="s">
        <v>21</v>
      </c>
      <c r="B181" s="3" t="str">
        <f>HYPERLINK("https://hawk-eye.atlassian.net/browse/HWKREPORT-3364?atlOrigin=eyJpIjoiYzgwYTQ0ZjEyNzQzNGJhN2JmNjEyZTM0NmRhZWZhNjIiLCJwIjoic2hlZXRzLWppcmEifQ","HWKREPORT-3364")</f>
        <v>HWKREPORT-3364</v>
      </c>
      <c r="C181" s="1" t="s">
        <v>1302</v>
      </c>
      <c r="D181" s="1" t="s">
        <v>23</v>
      </c>
      <c r="E181" s="1" t="s">
        <v>1057</v>
      </c>
      <c r="F181" s="4">
        <v>45744.58819444444</v>
      </c>
      <c r="G181" s="3" t="str">
        <f t="shared" ref="G181:G182" si="19">HYPERLINK("https://hawk-eye.atlassian.net/browse/?atlOrigin=eyJpIjoiYzgwYTQ0ZjEyNzQzNGJhN2JmNjEyZTM0NmRhZWZhNjIiLCJwIjoic2hlZXRzLWppcmEifQ","")</f>
        <v/>
      </c>
      <c r="H181" s="1" t="s">
        <v>1058</v>
      </c>
      <c r="I181" s="1" t="s">
        <v>1107</v>
      </c>
      <c r="J181" s="1" t="s">
        <v>26</v>
      </c>
      <c r="K181" s="1" t="s">
        <v>1108</v>
      </c>
      <c r="L181" s="1" t="s">
        <v>26</v>
      </c>
      <c r="M181" s="1" t="s">
        <v>27</v>
      </c>
      <c r="N181" s="1" t="s">
        <v>26</v>
      </c>
      <c r="O181" s="1" t="s">
        <v>26</v>
      </c>
      <c r="P181" s="4">
        <v>45744.58820601852</v>
      </c>
    </row>
    <row r="182" hidden="1">
      <c r="A182" s="1" t="s">
        <v>21</v>
      </c>
      <c r="B182" s="3" t="str">
        <f>HYPERLINK("https://hawk-eye.atlassian.net/browse/HWKREPORT-3365?atlOrigin=eyJpIjoiYzgwYTQ0ZjEyNzQzNGJhN2JmNjEyZTM0NmRhZWZhNjIiLCJwIjoic2hlZXRzLWppcmEifQ","HWKREPORT-3365")</f>
        <v>HWKREPORT-3365</v>
      </c>
      <c r="C182" s="1" t="s">
        <v>1303</v>
      </c>
      <c r="D182" s="1" t="s">
        <v>83</v>
      </c>
      <c r="E182" s="1" t="s">
        <v>1057</v>
      </c>
      <c r="F182" s="4">
        <v>45744.66719907407</v>
      </c>
      <c r="G182" s="3" t="str">
        <f t="shared" si="19"/>
        <v/>
      </c>
      <c r="H182" s="1" t="s">
        <v>1058</v>
      </c>
      <c r="I182" s="1" t="s">
        <v>1107</v>
      </c>
      <c r="J182" s="1" t="s">
        <v>26</v>
      </c>
      <c r="K182" s="1" t="s">
        <v>1108</v>
      </c>
      <c r="L182" s="1" t="s">
        <v>26</v>
      </c>
      <c r="M182" s="1" t="s">
        <v>27</v>
      </c>
      <c r="N182" s="1" t="s">
        <v>26</v>
      </c>
      <c r="O182" s="1" t="s">
        <v>26</v>
      </c>
      <c r="P182" s="4">
        <v>45744.66721064815</v>
      </c>
    </row>
    <row r="183" hidden="1">
      <c r="A183" s="1" t="s">
        <v>1055</v>
      </c>
      <c r="B183" s="3" t="str">
        <f>HYPERLINK("https://hawk-eye.atlassian.net/browse/HWKREPORT-3366?atlOrigin=eyJpIjoiYzgwYTQ0ZjEyNzQzNGJhN2JmNjEyZTM0NmRhZWZhNjIiLCJwIjoic2hlZXRzLWppcmEifQ","HWKREPORT-3366")</f>
        <v>HWKREPORT-3366</v>
      </c>
      <c r="C183" s="1" t="s">
        <v>1304</v>
      </c>
      <c r="D183" s="1" t="s">
        <v>48</v>
      </c>
      <c r="E183" s="1" t="s">
        <v>1057</v>
      </c>
      <c r="F183" s="4">
        <v>45745.49652777778</v>
      </c>
      <c r="G183" s="3" t="str">
        <f>HYPERLINK("https://hawk-eye.atlassian.net/browse/RTT-10286?atlOrigin=eyJpIjoiYzgwYTQ0ZjEyNzQzNGJhN2JmNjEyZTM0NmRhZWZhNjIiLCJwIjoic2hlZXRzLWppcmEifQ","RTT-10286")</f>
        <v>RTT-10286</v>
      </c>
      <c r="H183" s="1" t="s">
        <v>1058</v>
      </c>
      <c r="I183" s="1" t="s">
        <v>1085</v>
      </c>
      <c r="J183" s="1" t="s">
        <v>26</v>
      </c>
      <c r="K183" s="1" t="s">
        <v>1072</v>
      </c>
      <c r="L183" s="1" t="s">
        <v>26</v>
      </c>
      <c r="M183" s="1" t="s">
        <v>27</v>
      </c>
      <c r="N183" s="1" t="s">
        <v>26</v>
      </c>
      <c r="O183" s="1" t="s">
        <v>26</v>
      </c>
      <c r="P183" s="4">
        <v>45745.49653935185</v>
      </c>
    </row>
    <row r="184" hidden="1">
      <c r="A184" s="1" t="s">
        <v>21</v>
      </c>
      <c r="B184" s="3" t="str">
        <f>HYPERLINK("https://hawk-eye.atlassian.net/browse/HWKREPORT-3367?atlOrigin=eyJpIjoiYzgwYTQ0ZjEyNzQzNGJhN2JmNjEyZTM0NmRhZWZhNjIiLCJwIjoic2hlZXRzLWppcmEifQ","HWKREPORT-3367")</f>
        <v>HWKREPORT-3367</v>
      </c>
      <c r="C184" s="1" t="s">
        <v>1305</v>
      </c>
      <c r="D184" s="1" t="s">
        <v>48</v>
      </c>
      <c r="E184" s="1" t="s">
        <v>1057</v>
      </c>
      <c r="F184" s="4">
        <v>45746.80244212963</v>
      </c>
      <c r="G184" s="3" t="str">
        <f>HYPERLINK("https://hawk-eye.atlassian.net/browse/?atlOrigin=eyJpIjoiYzgwYTQ0ZjEyNzQzNGJhN2JmNjEyZTM0NmRhZWZhNjIiLCJwIjoic2hlZXRzLWppcmEifQ","")</f>
        <v/>
      </c>
      <c r="H184" s="1" t="s">
        <v>1058</v>
      </c>
      <c r="I184" s="1" t="s">
        <v>1107</v>
      </c>
      <c r="J184" s="1" t="s">
        <v>26</v>
      </c>
      <c r="K184" s="1" t="s">
        <v>1108</v>
      </c>
      <c r="L184" s="1" t="s">
        <v>26</v>
      </c>
      <c r="M184" s="1" t="s">
        <v>27</v>
      </c>
      <c r="N184" s="1" t="s">
        <v>26</v>
      </c>
      <c r="O184" s="1" t="s">
        <v>26</v>
      </c>
      <c r="P184" s="4">
        <v>45746.80244212963</v>
      </c>
    </row>
    <row r="185" hidden="1">
      <c r="A185" s="1" t="s">
        <v>21</v>
      </c>
      <c r="B185" s="3" t="str">
        <f>HYPERLINK("https://hawk-eye.atlassian.net/browse/HWKREPORT-3368?atlOrigin=eyJpIjoiYzgwYTQ0ZjEyNzQzNGJhN2JmNjEyZTM0NmRhZWZhNjIiLCJwIjoic2hlZXRzLWppcmEifQ","HWKREPORT-3368")</f>
        <v>HWKREPORT-3368</v>
      </c>
      <c r="C185" s="1" t="s">
        <v>1306</v>
      </c>
      <c r="D185" s="1" t="s">
        <v>23</v>
      </c>
      <c r="E185" s="1" t="s">
        <v>1057</v>
      </c>
      <c r="F185" s="4">
        <v>45746.88444444445</v>
      </c>
      <c r="G185" s="3" t="str">
        <f>HYPERLINK("https://hawk-eye.atlassian.net/browse/RTT-10293?atlOrigin=eyJpIjoiYzgwYTQ0ZjEyNzQzNGJhN2JmNjEyZTM0NmRhZWZhNjIiLCJwIjoic2hlZXRzLWppcmEifQ","RTT-10293")</f>
        <v>RTT-10293</v>
      </c>
      <c r="H185" s="1" t="s">
        <v>1058</v>
      </c>
      <c r="I185" s="1" t="s">
        <v>1071</v>
      </c>
      <c r="J185" s="1" t="s">
        <v>26</v>
      </c>
      <c r="K185" s="1" t="s">
        <v>1072</v>
      </c>
      <c r="L185" s="1" t="s">
        <v>26</v>
      </c>
      <c r="M185" s="1" t="s">
        <v>27</v>
      </c>
      <c r="N185" s="1" t="s">
        <v>26</v>
      </c>
      <c r="O185" s="1" t="s">
        <v>26</v>
      </c>
      <c r="P185" s="4">
        <v>45746.88444444445</v>
      </c>
    </row>
    <row r="186" hidden="1">
      <c r="A186" s="1" t="s">
        <v>1055</v>
      </c>
      <c r="B186" s="3" t="str">
        <f>HYPERLINK("https://hawk-eye.atlassian.net/browse/HWKREPORT-3369?atlOrigin=eyJpIjoiYzgwYTQ0ZjEyNzQzNGJhN2JmNjEyZTM0NmRhZWZhNjIiLCJwIjoic2hlZXRzLWppcmEifQ","HWKREPORT-3369")</f>
        <v>HWKREPORT-3369</v>
      </c>
      <c r="C186" s="1" t="s">
        <v>1307</v>
      </c>
      <c r="D186" s="1" t="s">
        <v>23</v>
      </c>
      <c r="E186" s="1" t="s">
        <v>1057</v>
      </c>
      <c r="F186" s="4">
        <v>45747.69248842593</v>
      </c>
      <c r="G186" s="3" t="str">
        <f>HYPERLINK("https://hawk-eye.atlassian.net/browse/BAS-1117?atlOrigin=eyJpIjoiYzgwYTQ0ZjEyNzQzNGJhN2JmNjEyZTM0NmRhZWZhNjIiLCJwIjoic2hlZXRzLWppcmEifQ","BAS-1117")</f>
        <v>BAS-1117</v>
      </c>
      <c r="H186" s="1" t="s">
        <v>1058</v>
      </c>
      <c r="I186" s="1" t="s">
        <v>1071</v>
      </c>
      <c r="J186" s="1" t="s">
        <v>26</v>
      </c>
      <c r="K186" s="1" t="s">
        <v>1130</v>
      </c>
      <c r="L186" s="1" t="s">
        <v>26</v>
      </c>
      <c r="M186" s="1" t="s">
        <v>27</v>
      </c>
      <c r="N186" s="1" t="s">
        <v>26</v>
      </c>
      <c r="O186" s="1" t="s">
        <v>26</v>
      </c>
      <c r="P186" s="4">
        <v>45747.6925</v>
      </c>
    </row>
    <row r="187" hidden="1">
      <c r="A187" s="1" t="s">
        <v>1055</v>
      </c>
      <c r="B187" s="3" t="str">
        <f>HYPERLINK("https://hawk-eye.atlassian.net/browse/HWKREPORT-3370?atlOrigin=eyJpIjoiYzgwYTQ0ZjEyNzQzNGJhN2JmNjEyZTM0NmRhZWZhNjIiLCJwIjoic2hlZXRzLWppcmEifQ","HWKREPORT-3370")</f>
        <v>HWKREPORT-3370</v>
      </c>
      <c r="C187" s="1" t="s">
        <v>1308</v>
      </c>
      <c r="D187" s="1" t="s">
        <v>48</v>
      </c>
      <c r="E187" s="1" t="s">
        <v>1057</v>
      </c>
      <c r="F187" s="4">
        <v>45747.699016203704</v>
      </c>
      <c r="G187" s="3" t="str">
        <f>HYPERLINK("https://hawk-eye.atlassian.net/browse/RTT-10548?atlOrigin=eyJpIjoiYzgwYTQ0ZjEyNzQzNGJhN2JmNjEyZTM0NmRhZWZhNjIiLCJwIjoic2hlZXRzLWppcmEifQ","RTT-10548")</f>
        <v>RTT-10548</v>
      </c>
      <c r="H187" s="1" t="s">
        <v>1058</v>
      </c>
      <c r="I187" s="1" t="s">
        <v>1151</v>
      </c>
      <c r="J187" s="1" t="s">
        <v>26</v>
      </c>
      <c r="K187" s="1" t="s">
        <v>1309</v>
      </c>
      <c r="L187" s="1" t="s">
        <v>26</v>
      </c>
      <c r="M187" s="1" t="s">
        <v>27</v>
      </c>
      <c r="N187" s="1" t="s">
        <v>26</v>
      </c>
      <c r="O187" s="1" t="s">
        <v>26</v>
      </c>
      <c r="P187" s="4">
        <v>45747.699016203704</v>
      </c>
    </row>
    <row r="188" hidden="1">
      <c r="A188" s="1" t="s">
        <v>21</v>
      </c>
      <c r="B188" s="3" t="str">
        <f>HYPERLINK("https://hawk-eye.atlassian.net/browse/HWKREPORT-3371?atlOrigin=eyJpIjoiYzgwYTQ0ZjEyNzQzNGJhN2JmNjEyZTM0NmRhZWZhNjIiLCJwIjoic2hlZXRzLWppcmEifQ","HWKREPORT-3371")</f>
        <v>HWKREPORT-3371</v>
      </c>
      <c r="C188" s="1" t="s">
        <v>1310</v>
      </c>
      <c r="D188" s="1" t="s">
        <v>34</v>
      </c>
      <c r="E188" s="1" t="s">
        <v>35</v>
      </c>
      <c r="F188" s="4">
        <v>45748.63097222222</v>
      </c>
      <c r="G188" s="3" t="str">
        <f>HYPERLINK("https://hawk-eye.atlassian.net/browse/RTT-10295?atlOrigin=eyJpIjoiYzgwYTQ0ZjEyNzQzNGJhN2JmNjEyZTM0NmRhZWZhNjIiLCJwIjoic2hlZXRzLWppcmEifQ","RTT-10295")</f>
        <v>RTT-10295</v>
      </c>
      <c r="H188" s="1" t="s">
        <v>1058</v>
      </c>
      <c r="I188" s="1" t="s">
        <v>1071</v>
      </c>
      <c r="J188" s="1" t="s">
        <v>26</v>
      </c>
      <c r="K188" s="1" t="s">
        <v>1072</v>
      </c>
      <c r="L188" s="1" t="s">
        <v>26</v>
      </c>
      <c r="M188" s="1" t="s">
        <v>27</v>
      </c>
      <c r="N188" s="1" t="s">
        <v>26</v>
      </c>
      <c r="O188" s="1" t="s">
        <v>26</v>
      </c>
      <c r="P188" s="4">
        <v>45756.47143518519</v>
      </c>
    </row>
    <row r="189" hidden="1">
      <c r="A189" s="1" t="s">
        <v>21</v>
      </c>
      <c r="B189" s="3" t="str">
        <f>HYPERLINK("https://hawk-eye.atlassian.net/browse/HWKREPORT-3372?atlOrigin=eyJpIjoiYzgwYTQ0ZjEyNzQzNGJhN2JmNjEyZTM0NmRhZWZhNjIiLCJwIjoic2hlZXRzLWppcmEifQ","HWKREPORT-3372")</f>
        <v>HWKREPORT-3372</v>
      </c>
      <c r="C189" s="1" t="s">
        <v>1311</v>
      </c>
      <c r="D189" s="1" t="s">
        <v>34</v>
      </c>
      <c r="E189" s="1" t="s">
        <v>1057</v>
      </c>
      <c r="F189" s="4">
        <v>45748.632060185184</v>
      </c>
      <c r="G189" s="3" t="str">
        <f>HYPERLINK("https://hawk-eye.atlassian.net/browse/RTT-10294?atlOrigin=eyJpIjoiYzgwYTQ0ZjEyNzQzNGJhN2JmNjEyZTM0NmRhZWZhNjIiLCJwIjoic2hlZXRzLWppcmEifQ","RTT-10294")</f>
        <v>RTT-10294</v>
      </c>
      <c r="H189" s="1" t="s">
        <v>1058</v>
      </c>
      <c r="I189" s="1" t="s">
        <v>1071</v>
      </c>
      <c r="J189" s="1" t="s">
        <v>26</v>
      </c>
      <c r="K189" s="1" t="s">
        <v>1312</v>
      </c>
      <c r="L189" s="1" t="s">
        <v>26</v>
      </c>
      <c r="M189" s="1" t="s">
        <v>27</v>
      </c>
      <c r="N189" s="1" t="s">
        <v>26</v>
      </c>
      <c r="O189" s="1" t="s">
        <v>26</v>
      </c>
      <c r="P189" s="4">
        <v>45748.632060185184</v>
      </c>
    </row>
    <row r="190" hidden="1">
      <c r="A190" s="1" t="s">
        <v>21</v>
      </c>
      <c r="B190" s="3" t="str">
        <f>HYPERLINK("https://hawk-eye.atlassian.net/browse/HWKREPORT-3373?atlOrigin=eyJpIjoiYzgwYTQ0ZjEyNzQzNGJhN2JmNjEyZTM0NmRhZWZhNjIiLCJwIjoic2hlZXRzLWppcmEifQ","HWKREPORT-3373")</f>
        <v>HWKREPORT-3373</v>
      </c>
      <c r="C190" s="1" t="s">
        <v>1313</v>
      </c>
      <c r="D190" s="1" t="s">
        <v>34</v>
      </c>
      <c r="E190" s="1" t="s">
        <v>35</v>
      </c>
      <c r="F190" s="4">
        <v>45748.729050925926</v>
      </c>
      <c r="G190" s="3" t="str">
        <f>HYPERLINK("https://hawk-eye.atlassian.net/browse/RTT-10307?atlOrigin=eyJpIjoiYzgwYTQ0ZjEyNzQzNGJhN2JmNjEyZTM0NmRhZWZhNjIiLCJwIjoic2hlZXRzLWppcmEifQ","RTT-10307")</f>
        <v>RTT-10307</v>
      </c>
      <c r="H190" s="1" t="s">
        <v>1058</v>
      </c>
      <c r="I190" s="1" t="s">
        <v>1071</v>
      </c>
      <c r="J190" s="1" t="s">
        <v>26</v>
      </c>
      <c r="K190" s="1" t="s">
        <v>1072</v>
      </c>
      <c r="L190" s="1" t="s">
        <v>26</v>
      </c>
      <c r="M190" s="1" t="s">
        <v>27</v>
      </c>
      <c r="N190" s="1" t="s">
        <v>26</v>
      </c>
      <c r="O190" s="1" t="s">
        <v>26</v>
      </c>
      <c r="P190" s="4">
        <v>45756.38563657407</v>
      </c>
    </row>
    <row r="191">
      <c r="A191" s="1" t="s">
        <v>21</v>
      </c>
      <c r="B191" s="3" t="str">
        <f>HYPERLINK("https://hawk-eye.atlassian.net/browse/HWKREPORT-3374?atlOrigin=eyJpIjoiYzgwYTQ0ZjEyNzQzNGJhN2JmNjEyZTM0NmRhZWZhNjIiLCJwIjoic2hlZXRzLWppcmEifQ","HWKREPORT-3374")</f>
        <v>HWKREPORT-3374</v>
      </c>
      <c r="C191" s="1" t="s">
        <v>1314</v>
      </c>
      <c r="D191" s="1" t="s">
        <v>34</v>
      </c>
      <c r="E191" s="1" t="s">
        <v>1074</v>
      </c>
      <c r="F191" s="4">
        <v>45748.87336805555</v>
      </c>
      <c r="G191" s="3" t="str">
        <f>HYPERLINK("https://hawk-eye.atlassian.net/browse/RTT-10527?atlOrigin=eyJpIjoiYzgwYTQ0ZjEyNzQzNGJhN2JmNjEyZTM0NmRhZWZhNjIiLCJwIjoic2hlZXRzLWppcmEifQ","RTT-10527")</f>
        <v>RTT-10527</v>
      </c>
      <c r="H191" s="1" t="s">
        <v>1058</v>
      </c>
      <c r="I191" s="1" t="s">
        <v>28</v>
      </c>
      <c r="J191" s="1" t="s">
        <v>26</v>
      </c>
      <c r="K191" s="1" t="s">
        <v>1315</v>
      </c>
      <c r="L191" s="1" t="s">
        <v>26</v>
      </c>
      <c r="M191" s="1" t="s">
        <v>27</v>
      </c>
      <c r="N191" s="1" t="s">
        <v>26</v>
      </c>
      <c r="O191" s="1" t="s">
        <v>26</v>
      </c>
      <c r="P191" s="4">
        <v>45778.5775462963</v>
      </c>
    </row>
    <row r="192">
      <c r="A192" s="1" t="s">
        <v>21</v>
      </c>
      <c r="B192" s="3" t="str">
        <f>HYPERLINK("https://hawk-eye.atlassian.net/browse/HWKREPORT-3375?atlOrigin=eyJpIjoiYzgwYTQ0ZjEyNzQzNGJhN2JmNjEyZTM0NmRhZWZhNjIiLCJwIjoic2hlZXRzLWppcmEifQ","HWKREPORT-3375")</f>
        <v>HWKREPORT-3375</v>
      </c>
      <c r="C192" s="1" t="s">
        <v>1316</v>
      </c>
      <c r="D192" s="1" t="s">
        <v>23</v>
      </c>
      <c r="E192" s="1" t="s">
        <v>1057</v>
      </c>
      <c r="F192" s="4">
        <v>45748.88630787037</v>
      </c>
      <c r="G192" s="3" t="str">
        <f t="shared" ref="G192:G196" si="20">HYPERLINK("https://hawk-eye.atlassian.net/browse/?atlOrigin=eyJpIjoiYzgwYTQ0ZjEyNzQzNGJhN2JmNjEyZTM0NmRhZWZhNjIiLCJwIjoic2hlZXRzLWppcmEifQ","")</f>
        <v/>
      </c>
      <c r="H192" s="1" t="s">
        <v>1058</v>
      </c>
      <c r="I192" s="1" t="s">
        <v>28</v>
      </c>
      <c r="J192" s="1" t="s">
        <v>26</v>
      </c>
      <c r="K192" s="1" t="s">
        <v>1072</v>
      </c>
      <c r="L192" s="1" t="s">
        <v>26</v>
      </c>
      <c r="M192" s="1" t="s">
        <v>27</v>
      </c>
      <c r="N192" s="1" t="s">
        <v>26</v>
      </c>
      <c r="O192" s="1" t="s">
        <v>26</v>
      </c>
      <c r="P192" s="4">
        <v>45748.88631944444</v>
      </c>
    </row>
    <row r="193" hidden="1">
      <c r="A193" s="1" t="s">
        <v>1055</v>
      </c>
      <c r="B193" s="3" t="str">
        <f>HYPERLINK("https://hawk-eye.atlassian.net/browse/HWKREPORT-3376?atlOrigin=eyJpIjoiYzgwYTQ0ZjEyNzQzNGJhN2JmNjEyZTM0NmRhZWZhNjIiLCJwIjoic2hlZXRzLWppcmEifQ","HWKREPORT-3376")</f>
        <v>HWKREPORT-3376</v>
      </c>
      <c r="C193" s="1" t="s">
        <v>1317</v>
      </c>
      <c r="D193" s="1" t="s">
        <v>34</v>
      </c>
      <c r="E193" s="1" t="s">
        <v>1057</v>
      </c>
      <c r="F193" s="4">
        <v>45749.55818287037</v>
      </c>
      <c r="G193" s="3" t="str">
        <f t="shared" si="20"/>
        <v/>
      </c>
      <c r="H193" s="1" t="s">
        <v>1058</v>
      </c>
      <c r="I193" s="1" t="s">
        <v>1059</v>
      </c>
      <c r="J193" s="1" t="s">
        <v>26</v>
      </c>
      <c r="K193" s="1" t="s">
        <v>1060</v>
      </c>
      <c r="L193" s="1" t="s">
        <v>26</v>
      </c>
      <c r="M193" s="1" t="s">
        <v>27</v>
      </c>
      <c r="N193" s="1" t="s">
        <v>26</v>
      </c>
      <c r="O193" s="1" t="s">
        <v>26</v>
      </c>
      <c r="P193" s="4">
        <v>45749.55819444444</v>
      </c>
    </row>
    <row r="194" hidden="1">
      <c r="A194" s="1" t="s">
        <v>1055</v>
      </c>
      <c r="B194" s="3" t="str">
        <f>HYPERLINK("https://hawk-eye.atlassian.net/browse/HWKREPORT-3377?atlOrigin=eyJpIjoiYzgwYTQ0ZjEyNzQzNGJhN2JmNjEyZTM0NmRhZWZhNjIiLCJwIjoic2hlZXRzLWppcmEifQ","HWKREPORT-3377")</f>
        <v>HWKREPORT-3377</v>
      </c>
      <c r="C194" s="1" t="s">
        <v>1318</v>
      </c>
      <c r="D194" s="1" t="s">
        <v>23</v>
      </c>
      <c r="E194" s="1" t="s">
        <v>1057</v>
      </c>
      <c r="F194" s="4">
        <v>45749.55987268518</v>
      </c>
      <c r="G194" s="3" t="str">
        <f t="shared" si="20"/>
        <v/>
      </c>
      <c r="H194" s="1" t="s">
        <v>1058</v>
      </c>
      <c r="I194" s="1" t="s">
        <v>1059</v>
      </c>
      <c r="J194" s="1" t="s">
        <v>26</v>
      </c>
      <c r="K194" s="1" t="s">
        <v>1060</v>
      </c>
      <c r="L194" s="1" t="s">
        <v>26</v>
      </c>
      <c r="M194" s="1" t="s">
        <v>27</v>
      </c>
      <c r="N194" s="1" t="s">
        <v>26</v>
      </c>
      <c r="O194" s="1" t="s">
        <v>26</v>
      </c>
      <c r="P194" s="4">
        <v>45749.55988425926</v>
      </c>
    </row>
    <row r="195" hidden="1">
      <c r="A195" s="1" t="s">
        <v>1055</v>
      </c>
      <c r="B195" s="3" t="str">
        <f>HYPERLINK("https://hawk-eye.atlassian.net/browse/HWKREPORT-3378?atlOrigin=eyJpIjoiYzgwYTQ0ZjEyNzQzNGJhN2JmNjEyZTM0NmRhZWZhNjIiLCJwIjoic2hlZXRzLWppcmEifQ","HWKREPORT-3378")</f>
        <v>HWKREPORT-3378</v>
      </c>
      <c r="C195" s="1" t="s">
        <v>1319</v>
      </c>
      <c r="D195" s="1" t="s">
        <v>83</v>
      </c>
      <c r="E195" s="1" t="s">
        <v>1057</v>
      </c>
      <c r="F195" s="4">
        <v>45749.56118055555</v>
      </c>
      <c r="G195" s="3" t="str">
        <f t="shared" si="20"/>
        <v/>
      </c>
      <c r="H195" s="1" t="s">
        <v>1058</v>
      </c>
      <c r="I195" s="1" t="s">
        <v>1059</v>
      </c>
      <c r="J195" s="1" t="s">
        <v>26</v>
      </c>
      <c r="K195" s="1" t="s">
        <v>1060</v>
      </c>
      <c r="L195" s="1" t="s">
        <v>26</v>
      </c>
      <c r="M195" s="1" t="s">
        <v>27</v>
      </c>
      <c r="N195" s="1" t="s">
        <v>26</v>
      </c>
      <c r="O195" s="1" t="s">
        <v>26</v>
      </c>
      <c r="P195" s="4">
        <v>45749.56118055555</v>
      </c>
    </row>
    <row r="196" hidden="1">
      <c r="A196" s="1" t="s">
        <v>1055</v>
      </c>
      <c r="B196" s="3" t="str">
        <f>HYPERLINK("https://hawk-eye.atlassian.net/browse/HWKREPORT-3379?atlOrigin=eyJpIjoiYzgwYTQ0ZjEyNzQzNGJhN2JmNjEyZTM0NmRhZWZhNjIiLCJwIjoic2hlZXRzLWppcmEifQ","HWKREPORT-3379")</f>
        <v>HWKREPORT-3379</v>
      </c>
      <c r="C196" s="1" t="s">
        <v>1320</v>
      </c>
      <c r="D196" s="1" t="s">
        <v>83</v>
      </c>
      <c r="E196" s="1" t="s">
        <v>1057</v>
      </c>
      <c r="F196" s="4">
        <v>45749.5627662037</v>
      </c>
      <c r="G196" s="3" t="str">
        <f t="shared" si="20"/>
        <v/>
      </c>
      <c r="H196" s="1" t="s">
        <v>1058</v>
      </c>
      <c r="I196" s="1" t="s">
        <v>1059</v>
      </c>
      <c r="J196" s="1" t="s">
        <v>26</v>
      </c>
      <c r="K196" s="1" t="s">
        <v>1060</v>
      </c>
      <c r="L196" s="1" t="s">
        <v>26</v>
      </c>
      <c r="M196" s="1" t="s">
        <v>27</v>
      </c>
      <c r="N196" s="1" t="s">
        <v>26</v>
      </c>
      <c r="O196" s="1" t="s">
        <v>26</v>
      </c>
      <c r="P196" s="4">
        <v>45749.56277777778</v>
      </c>
    </row>
    <row r="197" hidden="1">
      <c r="A197" s="1" t="s">
        <v>1055</v>
      </c>
      <c r="B197" s="3" t="str">
        <f>HYPERLINK("https://hawk-eye.atlassian.net/browse/HWKREPORT-3380?atlOrigin=eyJpIjoiYzgwYTQ0ZjEyNzQzNGJhN2JmNjEyZTM0NmRhZWZhNjIiLCJwIjoic2hlZXRzLWppcmEifQ","HWKREPORT-3380")</f>
        <v>HWKREPORT-3380</v>
      </c>
      <c r="C197" s="1" t="s">
        <v>1321</v>
      </c>
      <c r="D197" s="1" t="s">
        <v>23</v>
      </c>
      <c r="E197" s="1" t="s">
        <v>35</v>
      </c>
      <c r="F197" s="4">
        <v>45749.56716435185</v>
      </c>
      <c r="G197" s="3" t="str">
        <f>HYPERLINK("https://hawk-eye.atlassian.net/browse/CTF-1173?atlOrigin=eyJpIjoiYzgwYTQ0ZjEyNzQzNGJhN2JmNjEyZTM0NmRhZWZhNjIiLCJwIjoic2hlZXRzLWppcmEifQ","CTF-1173")</f>
        <v>CTF-1173</v>
      </c>
      <c r="H197" s="1" t="s">
        <v>1058</v>
      </c>
      <c r="I197" s="1" t="s">
        <v>1059</v>
      </c>
      <c r="J197" s="1" t="s">
        <v>26</v>
      </c>
      <c r="K197" s="1" t="s">
        <v>1060</v>
      </c>
      <c r="L197" s="1" t="s">
        <v>26</v>
      </c>
      <c r="M197" s="1" t="s">
        <v>27</v>
      </c>
      <c r="N197" s="1" t="s">
        <v>26</v>
      </c>
      <c r="O197" s="1" t="s">
        <v>26</v>
      </c>
      <c r="P197" s="4">
        <v>45778.70118055555</v>
      </c>
    </row>
    <row r="198" hidden="1">
      <c r="A198" s="1" t="s">
        <v>1055</v>
      </c>
      <c r="B198" s="3" t="str">
        <f>HYPERLINK("https://hawk-eye.atlassian.net/browse/HWKREPORT-3381?atlOrigin=eyJpIjoiYzgwYTQ0ZjEyNzQzNGJhN2JmNjEyZTM0NmRhZWZhNjIiLCJwIjoic2hlZXRzLWppcmEifQ","HWKREPORT-3381")</f>
        <v>HWKREPORT-3381</v>
      </c>
      <c r="C198" s="1" t="s">
        <v>1322</v>
      </c>
      <c r="D198" s="1" t="s">
        <v>48</v>
      </c>
      <c r="E198" s="1" t="s">
        <v>1207</v>
      </c>
      <c r="F198" s="4">
        <v>45749.56798611111</v>
      </c>
      <c r="G198" s="3" t="str">
        <f>HYPERLINK("https://hawk-eye.atlassian.net/browse/RTT-10331?atlOrigin=eyJpIjoiYzgwYTQ0ZjEyNzQzNGJhN2JmNjEyZTM0NmRhZWZhNjIiLCJwIjoic2hlZXRzLWppcmEifQ","RTT-10331")</f>
        <v>RTT-10331</v>
      </c>
      <c r="H198" s="1" t="s">
        <v>1058</v>
      </c>
      <c r="I198" s="1" t="s">
        <v>1085</v>
      </c>
      <c r="J198" s="1" t="s">
        <v>26</v>
      </c>
      <c r="K198" s="1" t="s">
        <v>1072</v>
      </c>
      <c r="L198" s="1" t="s">
        <v>26</v>
      </c>
      <c r="M198" s="1" t="s">
        <v>27</v>
      </c>
      <c r="N198" s="1" t="s">
        <v>26</v>
      </c>
      <c r="O198" s="1" t="s">
        <v>26</v>
      </c>
      <c r="P198" s="4">
        <v>45783.76405092593</v>
      </c>
    </row>
    <row r="199" hidden="1">
      <c r="A199" s="1" t="s">
        <v>1055</v>
      </c>
      <c r="B199" s="3" t="str">
        <f>HYPERLINK("https://hawk-eye.atlassian.net/browse/HWKREPORT-3382?atlOrigin=eyJpIjoiYzgwYTQ0ZjEyNzQzNGJhN2JmNjEyZTM0NmRhZWZhNjIiLCJwIjoic2hlZXRzLWppcmEifQ","HWKREPORT-3382")</f>
        <v>HWKREPORT-3382</v>
      </c>
      <c r="C199" s="1" t="s">
        <v>1323</v>
      </c>
      <c r="D199" s="1" t="s">
        <v>83</v>
      </c>
      <c r="E199" s="1" t="s">
        <v>1057</v>
      </c>
      <c r="F199" s="4">
        <v>45749.56925925926</v>
      </c>
      <c r="G199" s="3" t="str">
        <f t="shared" ref="G199:G201" si="21">HYPERLINK("https://hawk-eye.atlassian.net/browse/?atlOrigin=eyJpIjoiYzgwYTQ0ZjEyNzQzNGJhN2JmNjEyZTM0NmRhZWZhNjIiLCJwIjoic2hlZXRzLWppcmEifQ","")</f>
        <v/>
      </c>
      <c r="H199" s="1" t="s">
        <v>1058</v>
      </c>
      <c r="I199" s="1" t="s">
        <v>1059</v>
      </c>
      <c r="J199" s="1" t="s">
        <v>26</v>
      </c>
      <c r="K199" s="1" t="s">
        <v>1060</v>
      </c>
      <c r="L199" s="1" t="s">
        <v>26</v>
      </c>
      <c r="M199" s="1" t="s">
        <v>27</v>
      </c>
      <c r="N199" s="1" t="s">
        <v>26</v>
      </c>
      <c r="O199" s="1" t="s">
        <v>26</v>
      </c>
      <c r="P199" s="4">
        <v>45749.56927083333</v>
      </c>
    </row>
    <row r="200" hidden="1">
      <c r="A200" s="1" t="s">
        <v>1055</v>
      </c>
      <c r="B200" s="3" t="str">
        <f>HYPERLINK("https://hawk-eye.atlassian.net/browse/HWKREPORT-3383?atlOrigin=eyJpIjoiYzgwYTQ0ZjEyNzQzNGJhN2JmNjEyZTM0NmRhZWZhNjIiLCJwIjoic2hlZXRzLWppcmEifQ","HWKREPORT-3383")</f>
        <v>HWKREPORT-3383</v>
      </c>
      <c r="C200" s="1" t="s">
        <v>1324</v>
      </c>
      <c r="D200" s="1" t="s">
        <v>83</v>
      </c>
      <c r="E200" s="1" t="s">
        <v>1057</v>
      </c>
      <c r="F200" s="4">
        <v>45749.57173611111</v>
      </c>
      <c r="G200" s="3" t="str">
        <f t="shared" si="21"/>
        <v/>
      </c>
      <c r="H200" s="1" t="s">
        <v>1058</v>
      </c>
      <c r="I200" s="1" t="s">
        <v>1059</v>
      </c>
      <c r="J200" s="1" t="s">
        <v>26</v>
      </c>
      <c r="K200" s="1" t="s">
        <v>1060</v>
      </c>
      <c r="L200" s="1" t="s">
        <v>26</v>
      </c>
      <c r="M200" s="1" t="s">
        <v>27</v>
      </c>
      <c r="N200" s="1" t="s">
        <v>26</v>
      </c>
      <c r="O200" s="1" t="s">
        <v>26</v>
      </c>
      <c r="P200" s="4">
        <v>45749.57173611111</v>
      </c>
    </row>
    <row r="201" hidden="1">
      <c r="A201" s="1" t="s">
        <v>1055</v>
      </c>
      <c r="B201" s="3" t="str">
        <f>HYPERLINK("https://hawk-eye.atlassian.net/browse/HWKREPORT-3384?atlOrigin=eyJpIjoiYzgwYTQ0ZjEyNzQzNGJhN2JmNjEyZTM0NmRhZWZhNjIiLCJwIjoic2hlZXRzLWppcmEifQ","HWKREPORT-3384")</f>
        <v>HWKREPORT-3384</v>
      </c>
      <c r="C201" s="1" t="s">
        <v>1325</v>
      </c>
      <c r="D201" s="1" t="s">
        <v>83</v>
      </c>
      <c r="E201" s="1" t="s">
        <v>1057</v>
      </c>
      <c r="F201" s="4">
        <v>45749.57386574074</v>
      </c>
      <c r="G201" s="3" t="str">
        <f t="shared" si="21"/>
        <v/>
      </c>
      <c r="H201" s="1" t="s">
        <v>1058</v>
      </c>
      <c r="I201" s="1" t="s">
        <v>1059</v>
      </c>
      <c r="J201" s="1" t="s">
        <v>26</v>
      </c>
      <c r="K201" s="1" t="s">
        <v>1060</v>
      </c>
      <c r="L201" s="1" t="s">
        <v>26</v>
      </c>
      <c r="M201" s="1" t="s">
        <v>27</v>
      </c>
      <c r="N201" s="1" t="s">
        <v>26</v>
      </c>
      <c r="O201" s="1" t="s">
        <v>26</v>
      </c>
      <c r="P201" s="4">
        <v>45749.57386574074</v>
      </c>
    </row>
    <row r="202" hidden="1">
      <c r="A202" s="1" t="s">
        <v>21</v>
      </c>
      <c r="B202" s="3" t="str">
        <f>HYPERLINK("https://hawk-eye.atlassian.net/browse/HWKREPORT-3185?atlOrigin=eyJpIjoiYzgwYTQ0ZjEyNzQzNGJhN2JmNjEyZTM0NmRhZWZhNjIiLCJwIjoic2hlZXRzLWppcmEifQ","HWKREPORT-3185")</f>
        <v>HWKREPORT-3185</v>
      </c>
      <c r="C202" s="1" t="s">
        <v>1326</v>
      </c>
      <c r="D202" s="1" t="s">
        <v>40</v>
      </c>
      <c r="E202" s="1" t="s">
        <v>35</v>
      </c>
      <c r="F202" s="4">
        <v>45671.64436342593</v>
      </c>
      <c r="G202" s="3" t="str">
        <f>HYPERLINK("https://hawk-eye.atlassian.net/browse/HWKREPORT-2886?atlOrigin=eyJpIjoiYzgwYTQ0ZjEyNzQzNGJhN2JmNjEyZTM0NmRhZWZhNjIiLCJwIjoic2hlZXRzLWppcmEifQ","HWKREPORT-2886")</f>
        <v>HWKREPORT-2886</v>
      </c>
      <c r="H202" s="1" t="s">
        <v>1058</v>
      </c>
      <c r="I202" s="1" t="s">
        <v>1126</v>
      </c>
      <c r="J202" s="1" t="s">
        <v>26</v>
      </c>
      <c r="K202" s="1" t="s">
        <v>1116</v>
      </c>
      <c r="L202" s="1" t="s">
        <v>26</v>
      </c>
      <c r="M202" s="1" t="s">
        <v>27</v>
      </c>
      <c r="N202" s="1" t="s">
        <v>26</v>
      </c>
      <c r="O202" s="1" t="s">
        <v>26</v>
      </c>
      <c r="P202" s="4">
        <v>45736.41059027778</v>
      </c>
    </row>
    <row r="203" hidden="1">
      <c r="A203" s="1" t="s">
        <v>1055</v>
      </c>
      <c r="B203" s="3" t="str">
        <f>HYPERLINK("https://hawk-eye.atlassian.net/browse/HWKREPORT-3186?atlOrigin=eyJpIjoiYzgwYTQ0ZjEyNzQzNGJhN2JmNjEyZTM0NmRhZWZhNjIiLCJwIjoic2hlZXRzLWppcmEifQ","HWKREPORT-3186")</f>
        <v>HWKREPORT-3186</v>
      </c>
      <c r="C203" s="1" t="s">
        <v>1327</v>
      </c>
      <c r="D203" s="1" t="s">
        <v>48</v>
      </c>
      <c r="E203" s="1" t="s">
        <v>1057</v>
      </c>
      <c r="F203" s="4">
        <v>45671.87019675926</v>
      </c>
      <c r="G203" s="3" t="str">
        <f>HYPERLINK("https://hawk-eye.atlassian.net/browse/BR-1875?atlOrigin=eyJpIjoiYzgwYTQ0ZjEyNzQzNGJhN2JmNjEyZTM0NmRhZWZhNjIiLCJwIjoic2hlZXRzLWppcmEifQ","BR-1875")</f>
        <v>BR-1875</v>
      </c>
      <c r="H203" s="1" t="s">
        <v>1058</v>
      </c>
      <c r="I203" s="1" t="s">
        <v>1107</v>
      </c>
      <c r="J203" s="1" t="s">
        <v>26</v>
      </c>
      <c r="K203" s="1" t="s">
        <v>1108</v>
      </c>
      <c r="L203" s="1" t="s">
        <v>26</v>
      </c>
      <c r="M203" s="1" t="s">
        <v>27</v>
      </c>
      <c r="N203" s="1" t="s">
        <v>26</v>
      </c>
      <c r="O203" s="1" t="s">
        <v>26</v>
      </c>
      <c r="P203" s="4">
        <v>45671.870208333334</v>
      </c>
    </row>
    <row r="204" hidden="1">
      <c r="A204" s="1" t="s">
        <v>21</v>
      </c>
      <c r="B204" s="3" t="str">
        <f>HYPERLINK("https://hawk-eye.atlassian.net/browse/HWKREPORT-3187?atlOrigin=eyJpIjoiYzgwYTQ0ZjEyNzQzNGJhN2JmNjEyZTM0NmRhZWZhNjIiLCJwIjoic2hlZXRzLWppcmEifQ","HWKREPORT-3187")</f>
        <v>HWKREPORT-3187</v>
      </c>
      <c r="C204" s="1" t="s">
        <v>1328</v>
      </c>
      <c r="D204" s="1" t="s">
        <v>34</v>
      </c>
      <c r="E204" s="1" t="s">
        <v>1057</v>
      </c>
      <c r="F204" s="4">
        <v>45672.45863425926</v>
      </c>
      <c r="G204" s="3" t="str">
        <f>HYPERLINK("https://hawk-eye.atlassian.net/browse/RTT-9841?atlOrigin=eyJpIjoiYzgwYTQ0ZjEyNzQzNGJhN2JmNjEyZTM0NmRhZWZhNjIiLCJwIjoic2hlZXRzLWppcmEifQ","RTT-9841")</f>
        <v>RTT-9841</v>
      </c>
      <c r="H204" s="1" t="s">
        <v>1058</v>
      </c>
      <c r="I204" s="1" t="s">
        <v>1126</v>
      </c>
      <c r="J204" s="1" t="s">
        <v>26</v>
      </c>
      <c r="K204" s="1" t="s">
        <v>1312</v>
      </c>
      <c r="L204" s="1" t="s">
        <v>26</v>
      </c>
      <c r="M204" s="1" t="s">
        <v>27</v>
      </c>
      <c r="N204" s="1" t="s">
        <v>26</v>
      </c>
      <c r="O204" s="1" t="s">
        <v>26</v>
      </c>
      <c r="P204" s="4">
        <v>45672.458657407406</v>
      </c>
    </row>
    <row r="205" hidden="1">
      <c r="A205" s="1" t="s">
        <v>1055</v>
      </c>
      <c r="B205" s="3" t="str">
        <f>HYPERLINK("https://hawk-eye.atlassian.net/browse/HWKREPORT-3188?atlOrigin=eyJpIjoiYzgwYTQ0ZjEyNzQzNGJhN2JmNjEyZTM0NmRhZWZhNjIiLCJwIjoic2hlZXRzLWppcmEifQ","HWKREPORT-3188")</f>
        <v>HWKREPORT-3188</v>
      </c>
      <c r="C205" s="1" t="s">
        <v>1329</v>
      </c>
      <c r="D205" s="1" t="s">
        <v>48</v>
      </c>
      <c r="E205" s="1" t="s">
        <v>1057</v>
      </c>
      <c r="F205" s="4">
        <v>45672.59510416666</v>
      </c>
      <c r="G205" s="3" t="str">
        <f>HYPERLINK("https://hawk-eye.atlassian.net/browse/?atlOrigin=eyJpIjoiYzgwYTQ0ZjEyNzQzNGJhN2JmNjEyZTM0NmRhZWZhNjIiLCJwIjoic2hlZXRzLWppcmEifQ","")</f>
        <v/>
      </c>
      <c r="H205" s="1" t="s">
        <v>1058</v>
      </c>
      <c r="I205" s="1" t="s">
        <v>1085</v>
      </c>
      <c r="J205" s="1" t="s">
        <v>26</v>
      </c>
      <c r="K205" s="1" t="s">
        <v>1290</v>
      </c>
      <c r="L205" s="1" t="s">
        <v>26</v>
      </c>
      <c r="M205" s="1" t="s">
        <v>27</v>
      </c>
      <c r="N205" s="1" t="s">
        <v>26</v>
      </c>
      <c r="O205" s="1" t="s">
        <v>26</v>
      </c>
      <c r="P205" s="4">
        <v>45672.59511574074</v>
      </c>
    </row>
    <row r="206" hidden="1">
      <c r="A206" s="1" t="s">
        <v>21</v>
      </c>
      <c r="B206" s="3" t="str">
        <f>HYPERLINK("https://hawk-eye.atlassian.net/browse/HWKREPORT-3189?atlOrigin=eyJpIjoiYzgwYTQ0ZjEyNzQzNGJhN2JmNjEyZTM0NmRhZWZhNjIiLCJwIjoic2hlZXRzLWppcmEifQ","HWKREPORT-3189")</f>
        <v>HWKREPORT-3189</v>
      </c>
      <c r="C206" s="1" t="s">
        <v>1330</v>
      </c>
      <c r="D206" s="1" t="s">
        <v>23</v>
      </c>
      <c r="E206" s="1" t="s">
        <v>1057</v>
      </c>
      <c r="F206" s="4">
        <v>45672.66070601852</v>
      </c>
      <c r="G206" s="3" t="str">
        <f>HYPERLINK("https://hawk-eye.atlassian.net/browse/RTT-9847?atlOrigin=eyJpIjoiYzgwYTQ0ZjEyNzQzNGJhN2JmNjEyZTM0NmRhZWZhNjIiLCJwIjoic2hlZXRzLWppcmEifQ","RTT-9847")</f>
        <v>RTT-9847</v>
      </c>
      <c r="H206" s="1" t="s">
        <v>1058</v>
      </c>
      <c r="I206" s="1" t="s">
        <v>1151</v>
      </c>
      <c r="J206" s="1" t="s">
        <v>26</v>
      </c>
      <c r="K206" s="1" t="s">
        <v>1255</v>
      </c>
      <c r="L206" s="1" t="s">
        <v>26</v>
      </c>
      <c r="M206" s="1" t="s">
        <v>27</v>
      </c>
      <c r="N206" s="1" t="s">
        <v>26</v>
      </c>
      <c r="O206" s="1" t="s">
        <v>26</v>
      </c>
      <c r="P206" s="4">
        <v>45672.66071759259</v>
      </c>
    </row>
    <row r="207" hidden="1">
      <c r="A207" s="1" t="s">
        <v>1055</v>
      </c>
      <c r="B207" s="3" t="str">
        <f>HYPERLINK("https://hawk-eye.atlassian.net/browse/HWKREPORT-3190?atlOrigin=eyJpIjoiYzgwYTQ0ZjEyNzQzNGJhN2JmNjEyZTM0NmRhZWZhNjIiLCJwIjoic2hlZXRzLWppcmEifQ","HWKREPORT-3190")</f>
        <v>HWKREPORT-3190</v>
      </c>
      <c r="C207" s="1" t="s">
        <v>1331</v>
      </c>
      <c r="D207" s="1" t="s">
        <v>48</v>
      </c>
      <c r="E207" s="1" t="s">
        <v>1057</v>
      </c>
      <c r="F207" s="4">
        <v>45673.56696759259</v>
      </c>
      <c r="G207" s="3" t="str">
        <f>HYPERLINK("https://hawk-eye.atlassian.net/browse/?atlOrigin=eyJpIjoiYzgwYTQ0ZjEyNzQzNGJhN2JmNjEyZTM0NmRhZWZhNjIiLCJwIjoic2hlZXRzLWppcmEifQ","")</f>
        <v/>
      </c>
      <c r="H207" s="1" t="s">
        <v>1058</v>
      </c>
      <c r="I207" s="1" t="s">
        <v>1085</v>
      </c>
      <c r="J207" s="1" t="s">
        <v>26</v>
      </c>
      <c r="K207" s="1" t="s">
        <v>1332</v>
      </c>
      <c r="L207" s="1" t="s">
        <v>26</v>
      </c>
      <c r="M207" s="1" t="s">
        <v>27</v>
      </c>
      <c r="N207" s="1" t="s">
        <v>26</v>
      </c>
      <c r="O207" s="1" t="s">
        <v>26</v>
      </c>
      <c r="P207" s="4">
        <v>45673.56696759259</v>
      </c>
    </row>
    <row r="208">
      <c r="A208" s="1" t="s">
        <v>21</v>
      </c>
      <c r="B208" s="3" t="str">
        <f>HYPERLINK("https://hawk-eye.atlassian.net/browse/HWKREPORT-3191?atlOrigin=eyJpIjoiYzgwYTQ0ZjEyNzQzNGJhN2JmNjEyZTM0NmRhZWZhNjIiLCJwIjoic2hlZXRzLWppcmEifQ","HWKREPORT-3191")</f>
        <v>HWKREPORT-3191</v>
      </c>
      <c r="C208" s="1" t="s">
        <v>1333</v>
      </c>
      <c r="D208" s="1" t="s">
        <v>40</v>
      </c>
      <c r="E208" s="1" t="s">
        <v>35</v>
      </c>
      <c r="F208" s="4">
        <v>45673.571539351855</v>
      </c>
      <c r="G208" s="3" t="str">
        <f>HYPERLINK("https://hawk-eye.atlassian.net/browse/RTT-9849?atlOrigin=eyJpIjoiYzgwYTQ0ZjEyNzQzNGJhN2JmNjEyZTM0NmRhZWZhNjIiLCJwIjoic2hlZXRzLWppcmEifQ","RTT-9849")</f>
        <v>RTT-9849</v>
      </c>
      <c r="H208" s="1" t="s">
        <v>1058</v>
      </c>
      <c r="I208" s="1" t="s">
        <v>28</v>
      </c>
      <c r="J208" s="1" t="s">
        <v>26</v>
      </c>
      <c r="K208" s="1" t="s">
        <v>1072</v>
      </c>
      <c r="L208" s="1" t="s">
        <v>26</v>
      </c>
      <c r="M208" s="1" t="s">
        <v>27</v>
      </c>
      <c r="N208" s="1" t="s">
        <v>26</v>
      </c>
      <c r="O208" s="1" t="s">
        <v>26</v>
      </c>
      <c r="P208" s="4">
        <v>45694.669074074074</v>
      </c>
    </row>
    <row r="209" hidden="1">
      <c r="A209" s="1" t="s">
        <v>1055</v>
      </c>
      <c r="B209" s="3" t="str">
        <f>HYPERLINK("https://hawk-eye.atlassian.net/browse/HWKREPORT-3192?atlOrigin=eyJpIjoiYzgwYTQ0ZjEyNzQzNGJhN2JmNjEyZTM0NmRhZWZhNjIiLCJwIjoic2hlZXRzLWppcmEifQ","HWKREPORT-3192")</f>
        <v>HWKREPORT-3192</v>
      </c>
      <c r="C209" s="1" t="s">
        <v>1334</v>
      </c>
      <c r="D209" s="1" t="s">
        <v>34</v>
      </c>
      <c r="E209" s="1" t="s">
        <v>1057</v>
      </c>
      <c r="F209" s="4">
        <v>45674.62635416666</v>
      </c>
      <c r="G209" s="3" t="str">
        <f>HYPERLINK("https://hawk-eye.atlassian.net/browse/?atlOrigin=eyJpIjoiYzgwYTQ0ZjEyNzQzNGJhN2JmNjEyZTM0NmRhZWZhNjIiLCJwIjoic2hlZXRzLWppcmEifQ","")</f>
        <v/>
      </c>
      <c r="H209" s="1" t="s">
        <v>1058</v>
      </c>
      <c r="I209" s="1" t="s">
        <v>1071</v>
      </c>
      <c r="J209" s="1" t="s">
        <v>26</v>
      </c>
      <c r="K209" s="1" t="s">
        <v>1335</v>
      </c>
      <c r="L209" s="1" t="s">
        <v>26</v>
      </c>
      <c r="M209" s="1" t="s">
        <v>27</v>
      </c>
      <c r="N209" s="1" t="s">
        <v>26</v>
      </c>
      <c r="O209" s="1" t="s">
        <v>26</v>
      </c>
      <c r="P209" s="4">
        <v>45674.62636574074</v>
      </c>
    </row>
    <row r="210" hidden="1">
      <c r="A210" s="1" t="s">
        <v>21</v>
      </c>
      <c r="B210" s="3" t="str">
        <f>HYPERLINK("https://hawk-eye.atlassian.net/browse/HWKREPORT-3193?atlOrigin=eyJpIjoiYzgwYTQ0ZjEyNzQzNGJhN2JmNjEyZTM0NmRhZWZhNjIiLCJwIjoic2hlZXRzLWppcmEifQ","HWKREPORT-3193")</f>
        <v>HWKREPORT-3193</v>
      </c>
      <c r="C210" s="1" t="s">
        <v>1336</v>
      </c>
      <c r="D210" s="1" t="s">
        <v>48</v>
      </c>
      <c r="E210" s="1" t="s">
        <v>1057</v>
      </c>
      <c r="F210" s="4">
        <v>45674.68549768518</v>
      </c>
      <c r="G210" s="3" t="str">
        <f>HYPERLINK("https://hawk-eye.atlassian.net/browse/BR-1986?atlOrigin=eyJpIjoiYzgwYTQ0ZjEyNzQzNGJhN2JmNjEyZTM0NmRhZWZhNjIiLCJwIjoic2hlZXRzLWppcmEifQ","BR-1986")</f>
        <v>BR-1986</v>
      </c>
      <c r="H210" s="1" t="s">
        <v>1058</v>
      </c>
      <c r="I210" s="1" t="s">
        <v>1107</v>
      </c>
      <c r="J210" s="1" t="s">
        <v>26</v>
      </c>
      <c r="K210" s="1" t="s">
        <v>1337</v>
      </c>
      <c r="L210" s="1" t="s">
        <v>26</v>
      </c>
      <c r="M210" s="1" t="s">
        <v>27</v>
      </c>
      <c r="N210" s="1" t="s">
        <v>26</v>
      </c>
      <c r="O210" s="1" t="s">
        <v>26</v>
      </c>
      <c r="P210" s="4">
        <v>45674.68550925926</v>
      </c>
    </row>
    <row r="211" hidden="1">
      <c r="A211" s="1" t="s">
        <v>1055</v>
      </c>
      <c r="B211" s="3" t="str">
        <f>HYPERLINK("https://hawk-eye.atlassian.net/browse/HWKREPORT-3194?atlOrigin=eyJpIjoiYzgwYTQ0ZjEyNzQzNGJhN2JmNjEyZTM0NmRhZWZhNjIiLCJwIjoic2hlZXRzLWppcmEifQ","HWKREPORT-3194")</f>
        <v>HWKREPORT-3194</v>
      </c>
      <c r="C211" s="1" t="s">
        <v>1338</v>
      </c>
      <c r="D211" s="1" t="s">
        <v>48</v>
      </c>
      <c r="E211" s="1" t="s">
        <v>1057</v>
      </c>
      <c r="F211" s="4">
        <v>45674.9612037037</v>
      </c>
      <c r="G211" s="3" t="str">
        <f t="shared" ref="G211:G213" si="22">HYPERLINK("https://hawk-eye.atlassian.net/browse/?atlOrigin=eyJpIjoiYzgwYTQ0ZjEyNzQzNGJhN2JmNjEyZTM0NmRhZWZhNjIiLCJwIjoic2hlZXRzLWppcmEifQ","")</f>
        <v/>
      </c>
      <c r="H211" s="1" t="s">
        <v>1058</v>
      </c>
      <c r="I211" s="1" t="s">
        <v>1107</v>
      </c>
      <c r="J211" s="1" t="s">
        <v>26</v>
      </c>
      <c r="K211" s="1" t="s">
        <v>1108</v>
      </c>
      <c r="L211" s="1" t="s">
        <v>26</v>
      </c>
      <c r="M211" s="1" t="s">
        <v>27</v>
      </c>
      <c r="N211" s="1" t="s">
        <v>26</v>
      </c>
      <c r="O211" s="1" t="s">
        <v>26</v>
      </c>
      <c r="P211" s="4">
        <v>45674.96121527778</v>
      </c>
    </row>
    <row r="212" hidden="1">
      <c r="A212" s="1" t="s">
        <v>1055</v>
      </c>
      <c r="B212" s="3" t="str">
        <f>HYPERLINK("https://hawk-eye.atlassian.net/browse/HWKREPORT-3195?atlOrigin=eyJpIjoiYzgwYTQ0ZjEyNzQzNGJhN2JmNjEyZTM0NmRhZWZhNjIiLCJwIjoic2hlZXRzLWppcmEifQ","HWKREPORT-3195")</f>
        <v>HWKREPORT-3195</v>
      </c>
      <c r="C212" s="1" t="s">
        <v>1339</v>
      </c>
      <c r="D212" s="1" t="s">
        <v>48</v>
      </c>
      <c r="E212" s="1" t="s">
        <v>1057</v>
      </c>
      <c r="F212" s="4">
        <v>45675.73417824074</v>
      </c>
      <c r="G212" s="3" t="str">
        <f t="shared" si="22"/>
        <v/>
      </c>
      <c r="H212" s="1" t="s">
        <v>1058</v>
      </c>
      <c r="I212" s="1" t="s">
        <v>1107</v>
      </c>
      <c r="J212" s="1" t="s">
        <v>26</v>
      </c>
      <c r="K212" s="1" t="s">
        <v>1108</v>
      </c>
      <c r="L212" s="1" t="s">
        <v>26</v>
      </c>
      <c r="M212" s="1" t="s">
        <v>27</v>
      </c>
      <c r="N212" s="1" t="s">
        <v>26</v>
      </c>
      <c r="O212" s="1" t="s">
        <v>26</v>
      </c>
      <c r="P212" s="4">
        <v>45675.734189814815</v>
      </c>
    </row>
    <row r="213" hidden="1">
      <c r="A213" s="1" t="s">
        <v>1055</v>
      </c>
      <c r="B213" s="3" t="str">
        <f>HYPERLINK("https://hawk-eye.atlassian.net/browse/HWKREPORT-3196?atlOrigin=eyJpIjoiYzgwYTQ0ZjEyNzQzNGJhN2JmNjEyZTM0NmRhZWZhNjIiLCJwIjoic2hlZXRzLWppcmEifQ","HWKREPORT-3196")</f>
        <v>HWKREPORT-3196</v>
      </c>
      <c r="C213" s="1" t="s">
        <v>1340</v>
      </c>
      <c r="D213" s="1" t="s">
        <v>48</v>
      </c>
      <c r="E213" s="1" t="s">
        <v>1057</v>
      </c>
      <c r="F213" s="4">
        <v>45675.73619212963</v>
      </c>
      <c r="G213" s="3" t="str">
        <f t="shared" si="22"/>
        <v/>
      </c>
      <c r="H213" s="1" t="s">
        <v>1058</v>
      </c>
      <c r="I213" s="1" t="s">
        <v>1107</v>
      </c>
      <c r="J213" s="1" t="s">
        <v>26</v>
      </c>
      <c r="K213" s="1" t="s">
        <v>1108</v>
      </c>
      <c r="L213" s="1" t="s">
        <v>26</v>
      </c>
      <c r="M213" s="1" t="s">
        <v>27</v>
      </c>
      <c r="N213" s="1" t="s">
        <v>26</v>
      </c>
      <c r="O213" s="1" t="s">
        <v>26</v>
      </c>
      <c r="P213" s="4">
        <v>45675.73619212963</v>
      </c>
    </row>
    <row r="214" hidden="1">
      <c r="A214" s="1" t="s">
        <v>21</v>
      </c>
      <c r="B214" s="3" t="str">
        <f>HYPERLINK("https://hawk-eye.atlassian.net/browse/HWKREPORT-3197?atlOrigin=eyJpIjoiYzgwYTQ0ZjEyNzQzNGJhN2JmNjEyZTM0NmRhZWZhNjIiLCJwIjoic2hlZXRzLWppcmEifQ","HWKREPORT-3197")</f>
        <v>HWKREPORT-3197</v>
      </c>
      <c r="C214" s="1" t="s">
        <v>1341</v>
      </c>
      <c r="D214" s="1" t="s">
        <v>34</v>
      </c>
      <c r="E214" s="1" t="s">
        <v>1057</v>
      </c>
      <c r="F214" s="4">
        <v>45675.947905092595</v>
      </c>
      <c r="G214" s="3" t="str">
        <f>HYPERLINK("https://hawk-eye.atlassian.net/browse/BR-1983?atlOrigin=eyJpIjoiYzgwYTQ0ZjEyNzQzNGJhN2JmNjEyZTM0NmRhZWZhNjIiLCJwIjoic2hlZXRzLWppcmEifQ","BR-1983")</f>
        <v>BR-1983</v>
      </c>
      <c r="H214" s="1" t="s">
        <v>1058</v>
      </c>
      <c r="I214" s="1" t="s">
        <v>1107</v>
      </c>
      <c r="J214" s="1" t="s">
        <v>26</v>
      </c>
      <c r="K214" s="1" t="s">
        <v>1108</v>
      </c>
      <c r="L214" s="1" t="s">
        <v>26</v>
      </c>
      <c r="M214" s="1" t="s">
        <v>27</v>
      </c>
      <c r="N214" s="1" t="s">
        <v>26</v>
      </c>
      <c r="O214" s="1" t="s">
        <v>26</v>
      </c>
      <c r="P214" s="4">
        <v>45675.947916666664</v>
      </c>
    </row>
    <row r="215" hidden="1">
      <c r="A215" s="1" t="s">
        <v>1055</v>
      </c>
      <c r="B215" s="3" t="str">
        <f>HYPERLINK("https://hawk-eye.atlassian.net/browse/HWKREPORT-3198?atlOrigin=eyJpIjoiYzgwYTQ0ZjEyNzQzNGJhN2JmNjEyZTM0NmRhZWZhNjIiLCJwIjoic2hlZXRzLWppcmEifQ","HWKREPORT-3198")</f>
        <v>HWKREPORT-3198</v>
      </c>
      <c r="C215" s="1" t="s">
        <v>1342</v>
      </c>
      <c r="D215" s="1" t="s">
        <v>23</v>
      </c>
      <c r="E215" s="1" t="s">
        <v>1057</v>
      </c>
      <c r="F215" s="4">
        <v>45678.623449074075</v>
      </c>
      <c r="G215" s="3" t="str">
        <f>HYPERLINK("https://hawk-eye.atlassian.net/browse/AT-1673?atlOrigin=eyJpIjoiYzgwYTQ0ZjEyNzQzNGJhN2JmNjEyZTM0NmRhZWZhNjIiLCJwIjoic2hlZXRzLWppcmEifQ","AT-1673")</f>
        <v>AT-1673</v>
      </c>
      <c r="H215" s="1" t="s">
        <v>1058</v>
      </c>
      <c r="I215" s="1" t="s">
        <v>1085</v>
      </c>
      <c r="J215" s="1" t="s">
        <v>26</v>
      </c>
      <c r="K215" s="1" t="s">
        <v>26</v>
      </c>
      <c r="L215" s="1" t="s">
        <v>26</v>
      </c>
      <c r="M215" s="1" t="s">
        <v>27</v>
      </c>
      <c r="N215" s="1" t="s">
        <v>26</v>
      </c>
      <c r="O215" s="1" t="s">
        <v>26</v>
      </c>
      <c r="P215" s="4">
        <v>45678.623460648145</v>
      </c>
    </row>
    <row r="216" hidden="1">
      <c r="A216" s="1" t="s">
        <v>1055</v>
      </c>
      <c r="B216" s="3" t="str">
        <f>HYPERLINK("https://hawk-eye.atlassian.net/browse/HWKREPORT-3199?atlOrigin=eyJpIjoiYzgwYTQ0ZjEyNzQzNGJhN2JmNjEyZTM0NmRhZWZhNjIiLCJwIjoic2hlZXRzLWppcmEifQ","HWKREPORT-3199")</f>
        <v>HWKREPORT-3199</v>
      </c>
      <c r="C216" s="1" t="s">
        <v>1343</v>
      </c>
      <c r="D216" s="1" t="s">
        <v>23</v>
      </c>
      <c r="E216" s="1" t="s">
        <v>1057</v>
      </c>
      <c r="F216" s="4">
        <v>45678.629583333335</v>
      </c>
      <c r="G216" s="3" t="str">
        <f>HYPERLINK("https://hawk-eye.atlassian.net/browse/AT-1674?atlOrigin=eyJpIjoiYzgwYTQ0ZjEyNzQzNGJhN2JmNjEyZTM0NmRhZWZhNjIiLCJwIjoic2hlZXRzLWppcmEifQ","AT-1674")</f>
        <v>AT-1674</v>
      </c>
      <c r="H216" s="1" t="s">
        <v>1058</v>
      </c>
      <c r="I216" s="1" t="s">
        <v>1085</v>
      </c>
      <c r="J216" s="1" t="s">
        <v>26</v>
      </c>
      <c r="K216" s="1" t="s">
        <v>26</v>
      </c>
      <c r="L216" s="1" t="s">
        <v>26</v>
      </c>
      <c r="M216" s="1" t="s">
        <v>27</v>
      </c>
      <c r="N216" s="1" t="s">
        <v>26</v>
      </c>
      <c r="O216" s="1" t="s">
        <v>26</v>
      </c>
      <c r="P216" s="4">
        <v>45678.629594907405</v>
      </c>
    </row>
    <row r="217" hidden="1">
      <c r="A217" s="1" t="s">
        <v>1055</v>
      </c>
      <c r="B217" s="3" t="str">
        <f>HYPERLINK("https://hawk-eye.atlassian.net/browse/HWKREPORT-3200?atlOrigin=eyJpIjoiYzgwYTQ0ZjEyNzQzNGJhN2JmNjEyZTM0NmRhZWZhNjIiLCJwIjoic2hlZXRzLWppcmEifQ","HWKREPORT-3200")</f>
        <v>HWKREPORT-3200</v>
      </c>
      <c r="C217" s="1" t="s">
        <v>1344</v>
      </c>
      <c r="D217" s="1" t="s">
        <v>48</v>
      </c>
      <c r="E217" s="1" t="s">
        <v>35</v>
      </c>
      <c r="F217" s="4">
        <v>45678.692407407405</v>
      </c>
      <c r="G217" s="3" t="str">
        <f>HYPERLINK("https://hawk-eye.atlassian.net/browse/SO-2186?atlOrigin=eyJpIjoiYzgwYTQ0ZjEyNzQzNGJhN2JmNjEyZTM0NmRhZWZhNjIiLCJwIjoic2hlZXRzLWppcmEifQ","SO-2186")</f>
        <v>SO-2186</v>
      </c>
      <c r="H217" s="1" t="s">
        <v>1058</v>
      </c>
      <c r="I217" s="1" t="s">
        <v>28</v>
      </c>
      <c r="J217" s="1" t="s">
        <v>26</v>
      </c>
      <c r="K217" s="1" t="s">
        <v>1116</v>
      </c>
      <c r="L217" s="1" t="s">
        <v>26</v>
      </c>
      <c r="M217" s="1" t="s">
        <v>27</v>
      </c>
      <c r="N217" s="1" t="s">
        <v>26</v>
      </c>
      <c r="O217" s="1" t="s">
        <v>26</v>
      </c>
      <c r="P217" s="4">
        <v>45750.70842592593</v>
      </c>
    </row>
    <row r="218" hidden="1">
      <c r="A218" s="1" t="s">
        <v>21</v>
      </c>
      <c r="B218" s="3" t="str">
        <f>HYPERLINK("https://hawk-eye.atlassian.net/browse/HWKREPORT-3201?atlOrigin=eyJpIjoiYzgwYTQ0ZjEyNzQzNGJhN2JmNjEyZTM0NmRhZWZhNjIiLCJwIjoic2hlZXRzLWppcmEifQ","HWKREPORT-3201")</f>
        <v>HWKREPORT-3201</v>
      </c>
      <c r="C218" s="1" t="s">
        <v>1345</v>
      </c>
      <c r="D218" s="1" t="s">
        <v>48</v>
      </c>
      <c r="E218" s="1" t="s">
        <v>35</v>
      </c>
      <c r="F218" s="4">
        <v>45678.7634375</v>
      </c>
      <c r="G218" s="3" t="str">
        <f>HYPERLINK("https://hawk-eye.atlassian.net/browse/SO-2181?atlOrigin=eyJpIjoiYzgwYTQ0ZjEyNzQzNGJhN2JmNjEyZTM0NmRhZWZhNjIiLCJwIjoic2hlZXRzLWppcmEifQ","SO-2181")</f>
        <v>SO-2181</v>
      </c>
      <c r="H218" s="1" t="s">
        <v>1058</v>
      </c>
      <c r="I218" s="1" t="s">
        <v>1071</v>
      </c>
      <c r="J218" s="1" t="s">
        <v>26</v>
      </c>
      <c r="K218" s="1" t="s">
        <v>1116</v>
      </c>
      <c r="L218" s="1" t="s">
        <v>26</v>
      </c>
      <c r="M218" s="1" t="s">
        <v>27</v>
      </c>
      <c r="N218" s="1" t="s">
        <v>26</v>
      </c>
      <c r="O218" s="1" t="s">
        <v>26</v>
      </c>
      <c r="P218" s="4">
        <v>45680.39759259259</v>
      </c>
    </row>
    <row r="219" hidden="1">
      <c r="A219" s="1" t="s">
        <v>21</v>
      </c>
      <c r="B219" s="3" t="str">
        <f>HYPERLINK("https://hawk-eye.atlassian.net/browse/HWKREPORT-3202?atlOrigin=eyJpIjoiYzgwYTQ0ZjEyNzQzNGJhN2JmNjEyZTM0NmRhZWZhNjIiLCJwIjoic2hlZXRzLWppcmEifQ","HWKREPORT-3202")</f>
        <v>HWKREPORT-3202</v>
      </c>
      <c r="C219" s="1" t="s">
        <v>1346</v>
      </c>
      <c r="D219" s="1" t="s">
        <v>40</v>
      </c>
      <c r="E219" s="1" t="s">
        <v>1057</v>
      </c>
      <c r="F219" s="4">
        <v>45678.767858796295</v>
      </c>
      <c r="G219" s="3" t="str">
        <f t="shared" ref="G219:G220" si="23">HYPERLINK("https://hawk-eye.atlassian.net/browse/?atlOrigin=eyJpIjoiYzgwYTQ0ZjEyNzQzNGJhN2JmNjEyZTM0NmRhZWZhNjIiLCJwIjoic2hlZXRzLWppcmEifQ","")</f>
        <v/>
      </c>
      <c r="H219" s="1" t="s">
        <v>1058</v>
      </c>
      <c r="I219" s="1" t="s">
        <v>1126</v>
      </c>
      <c r="J219" s="1" t="s">
        <v>26</v>
      </c>
      <c r="K219" s="1" t="s">
        <v>1211</v>
      </c>
      <c r="L219" s="1" t="s">
        <v>26</v>
      </c>
      <c r="M219" s="1" t="s">
        <v>27</v>
      </c>
      <c r="N219" s="1" t="s">
        <v>26</v>
      </c>
      <c r="O219" s="1" t="s">
        <v>26</v>
      </c>
      <c r="P219" s="4">
        <v>45678.76787037037</v>
      </c>
    </row>
    <row r="220" hidden="1">
      <c r="A220" s="1" t="s">
        <v>21</v>
      </c>
      <c r="B220" s="3" t="str">
        <f>HYPERLINK("https://hawk-eye.atlassian.net/browse/HWKREPORT-3203?atlOrigin=eyJpIjoiYzgwYTQ0ZjEyNzQzNGJhN2JmNjEyZTM0NmRhZWZhNjIiLCJwIjoic2hlZXRzLWppcmEifQ","HWKREPORT-3203")</f>
        <v>HWKREPORT-3203</v>
      </c>
      <c r="C220" s="1" t="s">
        <v>1347</v>
      </c>
      <c r="D220" s="1" t="s">
        <v>23</v>
      </c>
      <c r="E220" s="1" t="s">
        <v>35</v>
      </c>
      <c r="F220" s="4">
        <v>45678.823796296296</v>
      </c>
      <c r="G220" s="3" t="str">
        <f t="shared" si="23"/>
        <v/>
      </c>
      <c r="H220" s="1" t="s">
        <v>1058</v>
      </c>
      <c r="I220" s="1" t="s">
        <v>1151</v>
      </c>
      <c r="J220" s="1" t="s">
        <v>26</v>
      </c>
      <c r="K220" s="1" t="s">
        <v>1348</v>
      </c>
      <c r="L220" s="1" t="s">
        <v>26</v>
      </c>
      <c r="M220" s="1" t="s">
        <v>27</v>
      </c>
      <c r="N220" s="1" t="s">
        <v>26</v>
      </c>
      <c r="O220" s="1" t="s">
        <v>26</v>
      </c>
      <c r="P220" s="4">
        <v>45680.579513888886</v>
      </c>
    </row>
    <row r="221">
      <c r="A221" s="1" t="s">
        <v>21</v>
      </c>
      <c r="B221" s="3" t="str">
        <f>HYPERLINK("https://hawk-eye.atlassian.net/browse/HWKREPORT-3204?atlOrigin=eyJpIjoiYzgwYTQ0ZjEyNzQzNGJhN2JmNjEyZTM0NmRhZWZhNjIiLCJwIjoic2hlZXRzLWppcmEifQ","HWKREPORT-3204")</f>
        <v>HWKREPORT-3204</v>
      </c>
      <c r="C221" s="1" t="s">
        <v>1349</v>
      </c>
      <c r="D221" s="1" t="s">
        <v>83</v>
      </c>
      <c r="E221" s="1" t="s">
        <v>1057</v>
      </c>
      <c r="F221" s="4">
        <v>45678.828680555554</v>
      </c>
      <c r="G221" s="3" t="str">
        <f>HYPERLINK("https://hawk-eye.atlassian.net/browse/RTT-9870?atlOrigin=eyJpIjoiYzgwYTQ0ZjEyNzQzNGJhN2JmNjEyZTM0NmRhZWZhNjIiLCJwIjoic2hlZXRzLWppcmEifQ","RTT-9870")</f>
        <v>RTT-9870</v>
      </c>
      <c r="H221" s="1" t="s">
        <v>1058</v>
      </c>
      <c r="I221" s="1" t="s">
        <v>28</v>
      </c>
      <c r="J221" s="1" t="s">
        <v>26</v>
      </c>
      <c r="K221" s="1" t="s">
        <v>1072</v>
      </c>
      <c r="L221" s="1" t="s">
        <v>26</v>
      </c>
      <c r="M221" s="1" t="s">
        <v>27</v>
      </c>
      <c r="N221" s="1" t="s">
        <v>26</v>
      </c>
      <c r="O221" s="1" t="s">
        <v>26</v>
      </c>
      <c r="P221" s="4">
        <v>45678.82869212963</v>
      </c>
    </row>
    <row r="222" hidden="1">
      <c r="A222" s="1" t="s">
        <v>21</v>
      </c>
      <c r="B222" s="3" t="str">
        <f>HYPERLINK("https://hawk-eye.atlassian.net/browse/HWKREPORT-3205?atlOrigin=eyJpIjoiYzgwYTQ0ZjEyNzQzNGJhN2JmNjEyZTM0NmRhZWZhNjIiLCJwIjoic2hlZXRzLWppcmEifQ","HWKREPORT-3205")</f>
        <v>HWKREPORT-3205</v>
      </c>
      <c r="C222" s="1" t="s">
        <v>1350</v>
      </c>
      <c r="D222" s="1" t="s">
        <v>40</v>
      </c>
      <c r="E222" s="1" t="s">
        <v>1057</v>
      </c>
      <c r="F222" s="4">
        <v>45678.849328703705</v>
      </c>
      <c r="G222" s="3" t="str">
        <f t="shared" ref="G222:G223" si="24">HYPERLINK("https://hawk-eye.atlassian.net/browse/?atlOrigin=eyJpIjoiYzgwYTQ0ZjEyNzQzNGJhN2JmNjEyZTM0NmRhZWZhNjIiLCJwIjoic2hlZXRzLWppcmEifQ","")</f>
        <v/>
      </c>
      <c r="H222" s="1" t="s">
        <v>1058</v>
      </c>
      <c r="I222" s="1" t="s">
        <v>1126</v>
      </c>
      <c r="J222" s="1" t="s">
        <v>26</v>
      </c>
      <c r="K222" s="1" t="s">
        <v>1211</v>
      </c>
      <c r="L222" s="1" t="s">
        <v>26</v>
      </c>
      <c r="M222" s="1" t="s">
        <v>27</v>
      </c>
      <c r="N222" s="1" t="s">
        <v>26</v>
      </c>
      <c r="O222" s="1" t="s">
        <v>26</v>
      </c>
      <c r="P222" s="4">
        <v>45678.849340277775</v>
      </c>
    </row>
    <row r="223" hidden="1">
      <c r="A223" s="1" t="s">
        <v>1055</v>
      </c>
      <c r="B223" s="3" t="str">
        <f>HYPERLINK("https://hawk-eye.atlassian.net/browse/HWKREPORT-3206?atlOrigin=eyJpIjoiYzgwYTQ0ZjEyNzQzNGJhN2JmNjEyZTM0NmRhZWZhNjIiLCJwIjoic2hlZXRzLWppcmEifQ","HWKREPORT-3206")</f>
        <v>HWKREPORT-3206</v>
      </c>
      <c r="C223" s="1" t="s">
        <v>1351</v>
      </c>
      <c r="D223" s="1" t="s">
        <v>34</v>
      </c>
      <c r="E223" s="1" t="s">
        <v>1057</v>
      </c>
      <c r="F223" s="4">
        <v>45679.597662037035</v>
      </c>
      <c r="G223" s="3" t="str">
        <f t="shared" si="24"/>
        <v/>
      </c>
      <c r="H223" s="1" t="s">
        <v>1058</v>
      </c>
      <c r="I223" s="1" t="s">
        <v>1071</v>
      </c>
      <c r="J223" s="1" t="s">
        <v>26</v>
      </c>
      <c r="K223" s="1" t="s">
        <v>1352</v>
      </c>
      <c r="L223" s="1" t="s">
        <v>26</v>
      </c>
      <c r="M223" s="1" t="s">
        <v>27</v>
      </c>
      <c r="N223" s="1" t="s">
        <v>26</v>
      </c>
      <c r="O223" s="1" t="s">
        <v>26</v>
      </c>
      <c r="P223" s="4">
        <v>45679.597662037035</v>
      </c>
    </row>
    <row r="224" hidden="1">
      <c r="A224" s="1" t="s">
        <v>21</v>
      </c>
      <c r="B224" s="3" t="str">
        <f>HYPERLINK("https://hawk-eye.atlassian.net/browse/HWKREPORT-3207?atlOrigin=eyJpIjoiYzgwYTQ0ZjEyNzQzNGJhN2JmNjEyZTM0NmRhZWZhNjIiLCJwIjoic2hlZXRzLWppcmEifQ","HWKREPORT-3207")</f>
        <v>HWKREPORT-3207</v>
      </c>
      <c r="C224" s="1" t="s">
        <v>1353</v>
      </c>
      <c r="D224" s="1" t="s">
        <v>40</v>
      </c>
      <c r="E224" s="1" t="s">
        <v>35</v>
      </c>
      <c r="F224" s="4">
        <v>45679.873136574075</v>
      </c>
      <c r="G224" s="3" t="str">
        <f>HYPERLINK("https://hawk-eye.atlassian.net/browse/RTT-9877?atlOrigin=eyJpIjoiYzgwYTQ0ZjEyNzQzNGJhN2JmNjEyZTM0NmRhZWZhNjIiLCJwIjoic2hlZXRzLWppcmEifQ","RTT-9877")</f>
        <v>RTT-9877</v>
      </c>
      <c r="H224" s="1" t="s">
        <v>1058</v>
      </c>
      <c r="I224" s="1" t="s">
        <v>1071</v>
      </c>
      <c r="J224" s="1" t="s">
        <v>26</v>
      </c>
      <c r="K224" s="1" t="s">
        <v>1099</v>
      </c>
      <c r="L224" s="1" t="s">
        <v>26</v>
      </c>
      <c r="M224" s="1" t="s">
        <v>27</v>
      </c>
      <c r="N224" s="1" t="s">
        <v>26</v>
      </c>
      <c r="O224" s="1" t="s">
        <v>26</v>
      </c>
      <c r="P224" s="4">
        <v>45695.46071759259</v>
      </c>
    </row>
    <row r="225" hidden="1">
      <c r="A225" s="1" t="s">
        <v>21</v>
      </c>
      <c r="B225" s="3" t="str">
        <f>HYPERLINK("https://hawk-eye.atlassian.net/browse/HWKREPORT-3208?atlOrigin=eyJpIjoiYzgwYTQ0ZjEyNzQzNGJhN2JmNjEyZTM0NmRhZWZhNjIiLCJwIjoic2hlZXRzLWppcmEifQ","HWKREPORT-3208")</f>
        <v>HWKREPORT-3208</v>
      </c>
      <c r="C225" s="1" t="s">
        <v>1354</v>
      </c>
      <c r="D225" s="1" t="s">
        <v>23</v>
      </c>
      <c r="E225" s="1" t="s">
        <v>35</v>
      </c>
      <c r="F225" s="4">
        <v>45679.922789351855</v>
      </c>
      <c r="G225" s="3" t="str">
        <f>HYPERLINK("https://hawk-eye.atlassian.net/browse/TOOL-220?atlOrigin=eyJpIjoiYzgwYTQ0ZjEyNzQzNGJhN2JmNjEyZTM0NmRhZWZhNjIiLCJwIjoic2hlZXRzLWppcmEifQ","TOOL-220")</f>
        <v>TOOL-220</v>
      </c>
      <c r="H225" s="1" t="s">
        <v>1058</v>
      </c>
      <c r="I225" s="1" t="s">
        <v>1151</v>
      </c>
      <c r="J225" s="1" t="s">
        <v>26</v>
      </c>
      <c r="K225" s="1" t="s">
        <v>1355</v>
      </c>
      <c r="L225" s="1" t="s">
        <v>26</v>
      </c>
      <c r="M225" s="1" t="s">
        <v>27</v>
      </c>
      <c r="N225" s="1" t="s">
        <v>26</v>
      </c>
      <c r="O225" s="1" t="s">
        <v>26</v>
      </c>
      <c r="P225" s="4">
        <v>45687.56896990741</v>
      </c>
    </row>
    <row r="226" hidden="1">
      <c r="A226" s="1" t="s">
        <v>21</v>
      </c>
      <c r="B226" s="3" t="str">
        <f>HYPERLINK("https://hawk-eye.atlassian.net/browse/HWKREPORT-3209?atlOrigin=eyJpIjoiYzgwYTQ0ZjEyNzQzNGJhN2JmNjEyZTM0NmRhZWZhNjIiLCJwIjoic2hlZXRzLWppcmEifQ","HWKREPORT-3209")</f>
        <v>HWKREPORT-3209</v>
      </c>
      <c r="C226" s="1" t="s">
        <v>1356</v>
      </c>
      <c r="D226" s="1" t="s">
        <v>40</v>
      </c>
      <c r="E226" s="1" t="s">
        <v>35</v>
      </c>
      <c r="F226" s="4">
        <v>45682.752337962964</v>
      </c>
      <c r="G226" s="3" t="str">
        <f>HYPERLINK("https://hawk-eye.atlassian.net/browse/?atlOrigin=eyJpIjoiYzgwYTQ0ZjEyNzQzNGJhN2JmNjEyZTM0NmRhZWZhNjIiLCJwIjoic2hlZXRzLWppcmEifQ","")</f>
        <v/>
      </c>
      <c r="H226" s="1" t="s">
        <v>1058</v>
      </c>
      <c r="I226" s="1" t="s">
        <v>1126</v>
      </c>
      <c r="J226" s="1" t="s">
        <v>26</v>
      </c>
      <c r="K226" s="1" t="s">
        <v>1211</v>
      </c>
      <c r="L226" s="1" t="s">
        <v>26</v>
      </c>
      <c r="M226" s="1" t="s">
        <v>27</v>
      </c>
      <c r="N226" s="1" t="s">
        <v>26</v>
      </c>
      <c r="O226" s="1" t="s">
        <v>26</v>
      </c>
      <c r="P226" s="4">
        <v>45714.49752314815</v>
      </c>
    </row>
    <row r="227" hidden="1">
      <c r="A227" s="1" t="s">
        <v>1055</v>
      </c>
      <c r="B227" s="3" t="str">
        <f>HYPERLINK("https://hawk-eye.atlassian.net/browse/HWKREPORT-3210?atlOrigin=eyJpIjoiYzgwYTQ0ZjEyNzQzNGJhN2JmNjEyZTM0NmRhZWZhNjIiLCJwIjoic2hlZXRzLWppcmEifQ","HWKREPORT-3210")</f>
        <v>HWKREPORT-3210</v>
      </c>
      <c r="C227" s="1" t="s">
        <v>1357</v>
      </c>
      <c r="D227" s="1" t="s">
        <v>48</v>
      </c>
      <c r="E227" s="1" t="s">
        <v>1074</v>
      </c>
      <c r="F227" s="4">
        <v>45684.4297337963</v>
      </c>
      <c r="G227" s="3" t="str">
        <f>HYPERLINK("https://hawk-eye.atlassian.net/browse/RTT-9911?atlOrigin=eyJpIjoiYzgwYTQ0ZjEyNzQzNGJhN2JmNjEyZTM0NmRhZWZhNjIiLCJwIjoic2hlZXRzLWppcmEifQ","RTT-9911")</f>
        <v>RTT-9911</v>
      </c>
      <c r="H227" s="1" t="s">
        <v>1058</v>
      </c>
      <c r="I227" s="1" t="s">
        <v>1085</v>
      </c>
      <c r="J227" s="1" t="s">
        <v>26</v>
      </c>
      <c r="K227" s="1" t="s">
        <v>1072</v>
      </c>
      <c r="L227" s="1" t="s">
        <v>26</v>
      </c>
      <c r="M227" s="1" t="s">
        <v>27</v>
      </c>
      <c r="N227" s="1" t="s">
        <v>26</v>
      </c>
      <c r="O227" s="1" t="s">
        <v>26</v>
      </c>
      <c r="P227" s="4">
        <v>45765.773935185185</v>
      </c>
    </row>
    <row r="228" hidden="1">
      <c r="A228" s="1" t="s">
        <v>1055</v>
      </c>
      <c r="B228" s="3" t="str">
        <f>HYPERLINK("https://hawk-eye.atlassian.net/browse/HWKREPORT-3211?atlOrigin=eyJpIjoiYzgwYTQ0ZjEyNzQzNGJhN2JmNjEyZTM0NmRhZWZhNjIiLCJwIjoic2hlZXRzLWppcmEifQ","HWKREPORT-3211")</f>
        <v>HWKREPORT-3211</v>
      </c>
      <c r="C228" s="1" t="s">
        <v>1358</v>
      </c>
      <c r="D228" s="1" t="s">
        <v>48</v>
      </c>
      <c r="E228" s="1" t="s">
        <v>1057</v>
      </c>
      <c r="F228" s="4">
        <v>45684.45439814815</v>
      </c>
      <c r="G228" s="3" t="str">
        <f>HYPERLINK("https://hawk-eye.atlassian.net/browse/RTT-9910?atlOrigin=eyJpIjoiYzgwYTQ0ZjEyNzQzNGJhN2JmNjEyZTM0NmRhZWZhNjIiLCJwIjoic2hlZXRzLWppcmEifQ","RTT-9910")</f>
        <v>RTT-9910</v>
      </c>
      <c r="H228" s="1" t="s">
        <v>1058</v>
      </c>
      <c r="I228" s="1" t="s">
        <v>1085</v>
      </c>
      <c r="J228" s="1" t="s">
        <v>26</v>
      </c>
      <c r="K228" s="1" t="s">
        <v>1072</v>
      </c>
      <c r="L228" s="1" t="s">
        <v>26</v>
      </c>
      <c r="M228" s="1" t="s">
        <v>27</v>
      </c>
      <c r="N228" s="1" t="s">
        <v>26</v>
      </c>
      <c r="O228" s="1" t="s">
        <v>26</v>
      </c>
      <c r="P228" s="4">
        <v>45684.45439814815</v>
      </c>
    </row>
    <row r="229" hidden="1">
      <c r="A229" s="1" t="s">
        <v>1055</v>
      </c>
      <c r="B229" s="3" t="str">
        <f>HYPERLINK("https://hawk-eye.atlassian.net/browse/HWKREPORT-3212?atlOrigin=eyJpIjoiYzgwYTQ0ZjEyNzQzNGJhN2JmNjEyZTM0NmRhZWZhNjIiLCJwIjoic2hlZXRzLWppcmEifQ","HWKREPORT-3212")</f>
        <v>HWKREPORT-3212</v>
      </c>
      <c r="C229" s="1" t="s">
        <v>1359</v>
      </c>
      <c r="D229" s="1" t="s">
        <v>48</v>
      </c>
      <c r="E229" s="1" t="s">
        <v>1057</v>
      </c>
      <c r="F229" s="4">
        <v>45684.458715277775</v>
      </c>
      <c r="G229" s="3" t="str">
        <f>HYPERLINK("https://hawk-eye.atlassian.net/browse/RTT-9909?atlOrigin=eyJpIjoiYzgwYTQ0ZjEyNzQzNGJhN2JmNjEyZTM0NmRhZWZhNjIiLCJwIjoic2hlZXRzLWppcmEifQ","RTT-9909")</f>
        <v>RTT-9909</v>
      </c>
      <c r="H229" s="1" t="s">
        <v>1058</v>
      </c>
      <c r="I229" s="1" t="s">
        <v>1085</v>
      </c>
      <c r="J229" s="1" t="s">
        <v>26</v>
      </c>
      <c r="K229" s="1" t="s">
        <v>1072</v>
      </c>
      <c r="L229" s="1" t="s">
        <v>26</v>
      </c>
      <c r="M229" s="1" t="s">
        <v>27</v>
      </c>
      <c r="N229" s="1" t="s">
        <v>26</v>
      </c>
      <c r="O229" s="1" t="s">
        <v>26</v>
      </c>
      <c r="P229" s="4">
        <v>45684.45872685185</v>
      </c>
    </row>
    <row r="230" hidden="1">
      <c r="A230" s="1" t="s">
        <v>1055</v>
      </c>
      <c r="B230" s="3" t="str">
        <f>HYPERLINK("https://hawk-eye.atlassian.net/browse/HWKREPORT-3213?atlOrigin=eyJpIjoiYzgwYTQ0ZjEyNzQzNGJhN2JmNjEyZTM0NmRhZWZhNjIiLCJwIjoic2hlZXRzLWppcmEifQ","HWKREPORT-3213")</f>
        <v>HWKREPORT-3213</v>
      </c>
      <c r="C230" s="1" t="s">
        <v>1360</v>
      </c>
      <c r="D230" s="1" t="s">
        <v>48</v>
      </c>
      <c r="E230" s="1" t="s">
        <v>1057</v>
      </c>
      <c r="F230" s="4">
        <v>45684.46163194445</v>
      </c>
      <c r="G230" s="3" t="str">
        <f>HYPERLINK("https://hawk-eye.atlassian.net/browse/?atlOrigin=eyJpIjoiYzgwYTQ0ZjEyNzQzNGJhN2JmNjEyZTM0NmRhZWZhNjIiLCJwIjoic2hlZXRzLWppcmEifQ","")</f>
        <v/>
      </c>
      <c r="H230" s="1" t="s">
        <v>1058</v>
      </c>
      <c r="I230" s="1" t="s">
        <v>1085</v>
      </c>
      <c r="J230" s="1" t="s">
        <v>26</v>
      </c>
      <c r="K230" s="1" t="s">
        <v>1134</v>
      </c>
      <c r="L230" s="1" t="s">
        <v>26</v>
      </c>
      <c r="M230" s="1" t="s">
        <v>27</v>
      </c>
      <c r="N230" s="1" t="s">
        <v>26</v>
      </c>
      <c r="O230" s="1" t="s">
        <v>26</v>
      </c>
      <c r="P230" s="4">
        <v>45684.461643518516</v>
      </c>
    </row>
    <row r="231" hidden="1">
      <c r="A231" s="1" t="s">
        <v>1055</v>
      </c>
      <c r="B231" s="3" t="str">
        <f>HYPERLINK("https://hawk-eye.atlassian.net/browse/HWKREPORT-3214?atlOrigin=eyJpIjoiYzgwYTQ0ZjEyNzQzNGJhN2JmNjEyZTM0NmRhZWZhNjIiLCJwIjoic2hlZXRzLWppcmEifQ","HWKREPORT-3214")</f>
        <v>HWKREPORT-3214</v>
      </c>
      <c r="C231" s="1" t="s">
        <v>1361</v>
      </c>
      <c r="D231" s="1" t="s">
        <v>48</v>
      </c>
      <c r="E231" s="1" t="s">
        <v>1057</v>
      </c>
      <c r="F231" s="4">
        <v>45684.609085648146</v>
      </c>
      <c r="G231" s="3" t="str">
        <f>HYPERLINK("https://hawk-eye.atlassian.net/browse/RTT-9920?atlOrigin=eyJpIjoiYzgwYTQ0ZjEyNzQzNGJhN2JmNjEyZTM0NmRhZWZhNjIiLCJwIjoic2hlZXRzLWppcmEifQ","RTT-9920")</f>
        <v>RTT-9920</v>
      </c>
      <c r="H231" s="1" t="s">
        <v>1058</v>
      </c>
      <c r="I231" s="1" t="s">
        <v>1085</v>
      </c>
      <c r="J231" s="1" t="s">
        <v>26</v>
      </c>
      <c r="K231" s="1" t="s">
        <v>1362</v>
      </c>
      <c r="L231" s="1" t="s">
        <v>26</v>
      </c>
      <c r="M231" s="1" t="s">
        <v>27</v>
      </c>
      <c r="N231" s="1" t="s">
        <v>26</v>
      </c>
      <c r="O231" s="1" t="s">
        <v>26</v>
      </c>
      <c r="P231" s="4">
        <v>45684.60909722222</v>
      </c>
    </row>
    <row r="232" hidden="1">
      <c r="A232" s="1" t="s">
        <v>1055</v>
      </c>
      <c r="B232" s="3" t="str">
        <f>HYPERLINK("https://hawk-eye.atlassian.net/browse/HWKREPORT-3215?atlOrigin=eyJpIjoiYzgwYTQ0ZjEyNzQzNGJhN2JmNjEyZTM0NmRhZWZhNjIiLCJwIjoic2hlZXRzLWppcmEifQ","HWKREPORT-3215")</f>
        <v>HWKREPORT-3215</v>
      </c>
      <c r="C232" s="1" t="s">
        <v>1363</v>
      </c>
      <c r="D232" s="1" t="s">
        <v>48</v>
      </c>
      <c r="E232" s="1" t="s">
        <v>1057</v>
      </c>
      <c r="F232" s="4">
        <v>45684.60958333333</v>
      </c>
      <c r="G232" s="3" t="str">
        <f>HYPERLINK("https://hawk-eye.atlassian.net/browse/RTT-10053?atlOrigin=eyJpIjoiYzgwYTQ0ZjEyNzQzNGJhN2JmNjEyZTM0NmRhZWZhNjIiLCJwIjoic2hlZXRzLWppcmEifQ","RTT-10053")</f>
        <v>RTT-10053</v>
      </c>
      <c r="H232" s="1" t="s">
        <v>1058</v>
      </c>
      <c r="I232" s="1" t="s">
        <v>1085</v>
      </c>
      <c r="J232" s="1" t="s">
        <v>26</v>
      </c>
      <c r="K232" s="1" t="s">
        <v>1072</v>
      </c>
      <c r="L232" s="1" t="s">
        <v>26</v>
      </c>
      <c r="M232" s="1" t="s">
        <v>27</v>
      </c>
      <c r="N232" s="1" t="s">
        <v>26</v>
      </c>
      <c r="O232" s="1" t="s">
        <v>26</v>
      </c>
      <c r="P232" s="4">
        <v>45684.60959490741</v>
      </c>
    </row>
    <row r="233" hidden="1">
      <c r="A233" s="1" t="s">
        <v>1055</v>
      </c>
      <c r="B233" s="3" t="str">
        <f>HYPERLINK("https://hawk-eye.atlassian.net/browse/HWKREPORT-3216?atlOrigin=eyJpIjoiYzgwYTQ0ZjEyNzQzNGJhN2JmNjEyZTM0NmRhZWZhNjIiLCJwIjoic2hlZXRzLWppcmEifQ","HWKREPORT-3216")</f>
        <v>HWKREPORT-3216</v>
      </c>
      <c r="C233" s="1" t="s">
        <v>1364</v>
      </c>
      <c r="D233" s="1" t="s">
        <v>48</v>
      </c>
      <c r="E233" s="1" t="s">
        <v>1057</v>
      </c>
      <c r="F233" s="4">
        <v>45684.611909722225</v>
      </c>
      <c r="G233" s="3" t="str">
        <f>HYPERLINK("https://hawk-eye.atlassian.net/browse/?atlOrigin=eyJpIjoiYzgwYTQ0ZjEyNzQzNGJhN2JmNjEyZTM0NmRhZWZhNjIiLCJwIjoic2hlZXRzLWppcmEifQ","")</f>
        <v/>
      </c>
      <c r="H233" s="1" t="s">
        <v>1058</v>
      </c>
      <c r="I233" s="1" t="s">
        <v>1085</v>
      </c>
      <c r="J233" s="1" t="s">
        <v>26</v>
      </c>
      <c r="K233" s="1" t="s">
        <v>1072</v>
      </c>
      <c r="L233" s="1" t="s">
        <v>26</v>
      </c>
      <c r="M233" s="1" t="s">
        <v>27</v>
      </c>
      <c r="N233" s="1" t="s">
        <v>26</v>
      </c>
      <c r="O233" s="1" t="s">
        <v>26</v>
      </c>
      <c r="P233" s="4">
        <v>45684.611921296295</v>
      </c>
    </row>
    <row r="234" hidden="1">
      <c r="A234" s="1" t="s">
        <v>1055</v>
      </c>
      <c r="B234" s="3" t="str">
        <f>HYPERLINK("https://hawk-eye.atlassian.net/browse/HWKREPORT-3217?atlOrigin=eyJpIjoiYzgwYTQ0ZjEyNzQzNGJhN2JmNjEyZTM0NmRhZWZhNjIiLCJwIjoic2hlZXRzLWppcmEifQ","HWKREPORT-3217")</f>
        <v>HWKREPORT-3217</v>
      </c>
      <c r="C234" s="1" t="s">
        <v>1365</v>
      </c>
      <c r="D234" s="1" t="s">
        <v>48</v>
      </c>
      <c r="E234" s="1" t="s">
        <v>1057</v>
      </c>
      <c r="F234" s="4">
        <v>45684.62260416667</v>
      </c>
      <c r="G234" s="3" t="str">
        <f>HYPERLINK("https://hawk-eye.atlassian.net/browse/RTT-9924?atlOrigin=eyJpIjoiYzgwYTQ0ZjEyNzQzNGJhN2JmNjEyZTM0NmRhZWZhNjIiLCJwIjoic2hlZXRzLWppcmEifQ","RTT-9924")</f>
        <v>RTT-9924</v>
      </c>
      <c r="H234" s="1" t="s">
        <v>1058</v>
      </c>
      <c r="I234" s="1" t="s">
        <v>1085</v>
      </c>
      <c r="J234" s="1" t="s">
        <v>26</v>
      </c>
      <c r="K234" s="1" t="s">
        <v>1072</v>
      </c>
      <c r="L234" s="1" t="s">
        <v>26</v>
      </c>
      <c r="M234" s="1" t="s">
        <v>27</v>
      </c>
      <c r="N234" s="1" t="s">
        <v>26</v>
      </c>
      <c r="O234" s="1" t="s">
        <v>26</v>
      </c>
      <c r="P234" s="4">
        <v>45684.622615740744</v>
      </c>
    </row>
    <row r="235" hidden="1">
      <c r="A235" s="1" t="s">
        <v>21</v>
      </c>
      <c r="B235" s="3" t="str">
        <f>HYPERLINK("https://hawk-eye.atlassian.net/browse/HWKREPORT-3218?atlOrigin=eyJpIjoiYzgwYTQ0ZjEyNzQzNGJhN2JmNjEyZTM0NmRhZWZhNjIiLCJwIjoic2hlZXRzLWppcmEifQ","HWKREPORT-3218")</f>
        <v>HWKREPORT-3218</v>
      </c>
      <c r="C235" s="1" t="s">
        <v>1366</v>
      </c>
      <c r="D235" s="1" t="s">
        <v>34</v>
      </c>
      <c r="E235" s="1" t="s">
        <v>35</v>
      </c>
      <c r="F235" s="4">
        <v>45684.65591435185</v>
      </c>
      <c r="G235" s="3" t="str">
        <f>HYPERLINK("https://hawk-eye.atlassian.net/browse/RTT-9922?atlOrigin=eyJpIjoiYzgwYTQ0ZjEyNzQzNGJhN2JmNjEyZTM0NmRhZWZhNjIiLCJwIjoic2hlZXRzLWppcmEifQ","RTT-9922")</f>
        <v>RTT-9922</v>
      </c>
      <c r="H235" s="1" t="s">
        <v>1058</v>
      </c>
      <c r="I235" s="1" t="s">
        <v>1085</v>
      </c>
      <c r="J235" s="1" t="s">
        <v>26</v>
      </c>
      <c r="K235" s="1" t="s">
        <v>1362</v>
      </c>
      <c r="L235" s="1" t="s">
        <v>26</v>
      </c>
      <c r="M235" s="1" t="s">
        <v>27</v>
      </c>
      <c r="N235" s="1" t="s">
        <v>26</v>
      </c>
      <c r="O235" s="1" t="s">
        <v>26</v>
      </c>
      <c r="P235" s="4">
        <v>45721.390381944446</v>
      </c>
    </row>
    <row r="236" hidden="1">
      <c r="A236" s="1" t="s">
        <v>1055</v>
      </c>
      <c r="B236" s="3" t="str">
        <f>HYPERLINK("https://hawk-eye.atlassian.net/browse/HWKREPORT-3219?atlOrigin=eyJpIjoiYzgwYTQ0ZjEyNzQzNGJhN2JmNjEyZTM0NmRhZWZhNjIiLCJwIjoic2hlZXRzLWppcmEifQ","HWKREPORT-3219")</f>
        <v>HWKREPORT-3219</v>
      </c>
      <c r="C236" s="1" t="s">
        <v>1367</v>
      </c>
      <c r="D236" s="1" t="s">
        <v>48</v>
      </c>
      <c r="E236" s="1" t="s">
        <v>1057</v>
      </c>
      <c r="F236" s="4">
        <v>45684.66291666667</v>
      </c>
      <c r="G236" s="3" t="str">
        <f t="shared" ref="G236:G238" si="25">HYPERLINK("https://hawk-eye.atlassian.net/browse/?atlOrigin=eyJpIjoiYzgwYTQ0ZjEyNzQzNGJhN2JmNjEyZTM0NmRhZWZhNjIiLCJwIjoic2hlZXRzLWppcmEifQ","")</f>
        <v/>
      </c>
      <c r="H236" s="1" t="s">
        <v>1058</v>
      </c>
      <c r="I236" s="1" t="s">
        <v>1085</v>
      </c>
      <c r="J236" s="1" t="s">
        <v>26</v>
      </c>
      <c r="K236" s="1" t="s">
        <v>1157</v>
      </c>
      <c r="L236" s="1" t="s">
        <v>26</v>
      </c>
      <c r="M236" s="1" t="s">
        <v>27</v>
      </c>
      <c r="N236" s="1" t="s">
        <v>26</v>
      </c>
      <c r="O236" s="1" t="s">
        <v>26</v>
      </c>
      <c r="P236" s="4">
        <v>45684.66291666667</v>
      </c>
    </row>
    <row r="237" hidden="1">
      <c r="A237" s="1" t="s">
        <v>21</v>
      </c>
      <c r="B237" s="3" t="str">
        <f>HYPERLINK("https://hawk-eye.atlassian.net/browse/HWKREPORT-3220?atlOrigin=eyJpIjoiYzgwYTQ0ZjEyNzQzNGJhN2JmNjEyZTM0NmRhZWZhNjIiLCJwIjoic2hlZXRzLWppcmEifQ","HWKREPORT-3220")</f>
        <v>HWKREPORT-3220</v>
      </c>
      <c r="C237" s="1" t="s">
        <v>1368</v>
      </c>
      <c r="D237" s="1" t="s">
        <v>34</v>
      </c>
      <c r="E237" s="1" t="s">
        <v>1057</v>
      </c>
      <c r="F237" s="4">
        <v>45684.74903935185</v>
      </c>
      <c r="G237" s="3" t="str">
        <f t="shared" si="25"/>
        <v/>
      </c>
      <c r="H237" s="1" t="s">
        <v>1058</v>
      </c>
      <c r="I237" s="1" t="s">
        <v>1059</v>
      </c>
      <c r="J237" s="1" t="s">
        <v>26</v>
      </c>
      <c r="K237" s="1" t="s">
        <v>1369</v>
      </c>
      <c r="L237" s="1" t="s">
        <v>26</v>
      </c>
      <c r="M237" s="1" t="s">
        <v>27</v>
      </c>
      <c r="N237" s="1" t="s">
        <v>26</v>
      </c>
      <c r="O237" s="1" t="s">
        <v>26</v>
      </c>
      <c r="P237" s="4">
        <v>45684.74905092592</v>
      </c>
    </row>
    <row r="238" hidden="1">
      <c r="A238" s="1" t="s">
        <v>21</v>
      </c>
      <c r="B238" s="3" t="str">
        <f>HYPERLINK("https://hawk-eye.atlassian.net/browse/HWKREPORT-3221?atlOrigin=eyJpIjoiYzgwYTQ0ZjEyNzQzNGJhN2JmNjEyZTM0NmRhZWZhNjIiLCJwIjoic2hlZXRzLWppcmEifQ","HWKREPORT-3221")</f>
        <v>HWKREPORT-3221</v>
      </c>
      <c r="C238" s="1" t="s">
        <v>1370</v>
      </c>
      <c r="D238" s="1" t="s">
        <v>23</v>
      </c>
      <c r="E238" s="1" t="s">
        <v>1057</v>
      </c>
      <c r="F238" s="4">
        <v>45684.837175925924</v>
      </c>
      <c r="G238" s="3" t="str">
        <f t="shared" si="25"/>
        <v/>
      </c>
      <c r="H238" s="1" t="s">
        <v>1058</v>
      </c>
      <c r="I238" s="1" t="s">
        <v>1371</v>
      </c>
      <c r="J238" s="1" t="s">
        <v>26</v>
      </c>
      <c r="K238" s="1" t="s">
        <v>1372</v>
      </c>
      <c r="L238" s="1" t="s">
        <v>26</v>
      </c>
      <c r="M238" s="1" t="s">
        <v>27</v>
      </c>
      <c r="N238" s="1" t="s">
        <v>26</v>
      </c>
      <c r="O238" s="1" t="s">
        <v>26</v>
      </c>
      <c r="P238" s="4">
        <v>45684.8371875</v>
      </c>
    </row>
    <row r="239" hidden="1">
      <c r="A239" s="1" t="s">
        <v>1055</v>
      </c>
      <c r="B239" s="3" t="str">
        <f>HYPERLINK("https://hawk-eye.atlassian.net/browse/HWKREPORT-3222?atlOrigin=eyJpIjoiYzgwYTQ0ZjEyNzQzNGJhN2JmNjEyZTM0NmRhZWZhNjIiLCJwIjoic2hlZXRzLWppcmEifQ","HWKREPORT-3222")</f>
        <v>HWKREPORT-3222</v>
      </c>
      <c r="C239" s="1" t="s">
        <v>1373</v>
      </c>
      <c r="D239" s="1" t="s">
        <v>48</v>
      </c>
      <c r="E239" s="1" t="s">
        <v>1057</v>
      </c>
      <c r="F239" s="4">
        <v>45685.85380787037</v>
      </c>
      <c r="G239" s="3" t="str">
        <f>HYPERLINK("https://hawk-eye.atlassian.net/browse/RTT-10241?atlOrigin=eyJpIjoiYzgwYTQ0ZjEyNzQzNGJhN2JmNjEyZTM0NmRhZWZhNjIiLCJwIjoic2hlZXRzLWppcmEifQ","RTT-10241")</f>
        <v>RTT-10241</v>
      </c>
      <c r="H239" s="1" t="s">
        <v>1058</v>
      </c>
      <c r="I239" s="1" t="s">
        <v>1151</v>
      </c>
      <c r="J239" s="1" t="s">
        <v>26</v>
      </c>
      <c r="K239" s="1" t="s">
        <v>1309</v>
      </c>
      <c r="L239" s="1" t="s">
        <v>26</v>
      </c>
      <c r="M239" s="1" t="s">
        <v>27</v>
      </c>
      <c r="N239" s="1" t="s">
        <v>26</v>
      </c>
      <c r="O239" s="1" t="s">
        <v>26</v>
      </c>
      <c r="P239" s="4">
        <v>45685.85381944444</v>
      </c>
    </row>
    <row r="240" hidden="1">
      <c r="A240" s="1" t="s">
        <v>21</v>
      </c>
      <c r="B240" s="3" t="str">
        <f>HYPERLINK("https://hawk-eye.atlassian.net/browse/HWKREPORT-3223?atlOrigin=eyJpIjoiYzgwYTQ0ZjEyNzQzNGJhN2JmNjEyZTM0NmRhZWZhNjIiLCJwIjoic2hlZXRzLWppcmEifQ","HWKREPORT-3223")</f>
        <v>HWKREPORT-3223</v>
      </c>
      <c r="C240" s="1" t="s">
        <v>1374</v>
      </c>
      <c r="D240" s="1" t="s">
        <v>34</v>
      </c>
      <c r="E240" s="1" t="s">
        <v>35</v>
      </c>
      <c r="F240" s="4">
        <v>45685.88611111111</v>
      </c>
      <c r="G240" s="3" t="str">
        <f>HYPERLINK("https://hawk-eye.atlassian.net/browse/SO-2197?atlOrigin=eyJpIjoiYzgwYTQ0ZjEyNzQzNGJhN2JmNjEyZTM0NmRhZWZhNjIiLCJwIjoic2hlZXRzLWppcmEifQ","SO-2197")</f>
        <v>SO-2197</v>
      </c>
      <c r="H240" s="1" t="s">
        <v>1058</v>
      </c>
      <c r="I240" s="1" t="s">
        <v>1071</v>
      </c>
      <c r="J240" s="1" t="s">
        <v>26</v>
      </c>
      <c r="K240" s="1" t="s">
        <v>1116</v>
      </c>
      <c r="L240" s="1" t="s">
        <v>26</v>
      </c>
      <c r="M240" s="1" t="s">
        <v>27</v>
      </c>
      <c r="N240" s="1" t="s">
        <v>26</v>
      </c>
      <c r="O240" s="1" t="s">
        <v>26</v>
      </c>
      <c r="P240" s="4">
        <v>45686.4531712963</v>
      </c>
    </row>
    <row r="241" hidden="1">
      <c r="A241" s="1" t="s">
        <v>1055</v>
      </c>
      <c r="B241" s="3" t="str">
        <f>HYPERLINK("https://hawk-eye.atlassian.net/browse/HWKREPORT-3224?atlOrigin=eyJpIjoiYzgwYTQ0ZjEyNzQzNGJhN2JmNjEyZTM0NmRhZWZhNjIiLCJwIjoic2hlZXRzLWppcmEifQ","HWKREPORT-3224")</f>
        <v>HWKREPORT-3224</v>
      </c>
      <c r="C241" s="1" t="s">
        <v>1375</v>
      </c>
      <c r="D241" s="1" t="s">
        <v>48</v>
      </c>
      <c r="E241" s="1" t="s">
        <v>35</v>
      </c>
      <c r="F241" s="4">
        <v>45685.90590277778</v>
      </c>
      <c r="G241" s="3" t="str">
        <f>HYPERLINK("https://hawk-eye.atlassian.net/browse/BR-1950?atlOrigin=eyJpIjoiYzgwYTQ0ZjEyNzQzNGJhN2JmNjEyZTM0NmRhZWZhNjIiLCJwIjoic2hlZXRzLWppcmEifQ","BR-1950")</f>
        <v>BR-1950</v>
      </c>
      <c r="H241" s="1" t="s">
        <v>1058</v>
      </c>
      <c r="I241" s="1" t="s">
        <v>1087</v>
      </c>
      <c r="J241" s="1" t="s">
        <v>26</v>
      </c>
      <c r="K241" s="1" t="s">
        <v>1108</v>
      </c>
      <c r="L241" s="1" t="s">
        <v>26</v>
      </c>
      <c r="M241" s="1" t="s">
        <v>27</v>
      </c>
      <c r="N241" s="1" t="s">
        <v>26</v>
      </c>
      <c r="O241" s="1" t="s">
        <v>26</v>
      </c>
      <c r="P241" s="4">
        <v>45748.44962962963</v>
      </c>
    </row>
    <row r="242" hidden="1">
      <c r="A242" s="1" t="s">
        <v>21</v>
      </c>
      <c r="B242" s="3" t="str">
        <f>HYPERLINK("https://hawk-eye.atlassian.net/browse/HWKREPORT-3225?atlOrigin=eyJpIjoiYzgwYTQ0ZjEyNzQzNGJhN2JmNjEyZTM0NmRhZWZhNjIiLCJwIjoic2hlZXRzLWppcmEifQ","HWKREPORT-3225")</f>
        <v>HWKREPORT-3225</v>
      </c>
      <c r="C242" s="1" t="s">
        <v>1376</v>
      </c>
      <c r="D242" s="1" t="s">
        <v>40</v>
      </c>
      <c r="E242" s="1" t="s">
        <v>1057</v>
      </c>
      <c r="F242" s="4">
        <v>45686.44650462963</v>
      </c>
      <c r="G242" s="3" t="str">
        <f>HYPERLINK("https://hawk-eye.atlassian.net/browse/RTT-9958?atlOrigin=eyJpIjoiYzgwYTQ0ZjEyNzQzNGJhN2JmNjEyZTM0NmRhZWZhNjIiLCJwIjoic2hlZXRzLWppcmEifQ","RTT-9958")</f>
        <v>RTT-9958</v>
      </c>
      <c r="H242" s="1" t="s">
        <v>1058</v>
      </c>
      <c r="I242" s="1" t="s">
        <v>1377</v>
      </c>
      <c r="J242" s="1" t="s">
        <v>26</v>
      </c>
      <c r="K242" s="1" t="s">
        <v>1194</v>
      </c>
      <c r="L242" s="1" t="s">
        <v>26</v>
      </c>
      <c r="M242" s="1" t="s">
        <v>27</v>
      </c>
      <c r="N242" s="1" t="s">
        <v>26</v>
      </c>
      <c r="O242" s="1" t="s">
        <v>26</v>
      </c>
      <c r="P242" s="4">
        <v>45686.4465162037</v>
      </c>
    </row>
    <row r="243" hidden="1">
      <c r="A243" s="1" t="s">
        <v>21</v>
      </c>
      <c r="B243" s="3" t="str">
        <f>HYPERLINK("https://hawk-eye.atlassian.net/browse/HWKREPORT-3226?atlOrigin=eyJpIjoiYzgwYTQ0ZjEyNzQzNGJhN2JmNjEyZTM0NmRhZWZhNjIiLCJwIjoic2hlZXRzLWppcmEifQ","HWKREPORT-3226")</f>
        <v>HWKREPORT-3226</v>
      </c>
      <c r="C243" s="1" t="s">
        <v>1378</v>
      </c>
      <c r="D243" s="1" t="s">
        <v>40</v>
      </c>
      <c r="E243" s="1" t="s">
        <v>35</v>
      </c>
      <c r="F243" s="4">
        <v>45686.713587962964</v>
      </c>
      <c r="G243" s="3" t="str">
        <f>HYPERLINK("https://hawk-eye.atlassian.net/browse/TDP-2297?atlOrigin=eyJpIjoiYzgwYTQ0ZjEyNzQzNGJhN2JmNjEyZTM0NmRhZWZhNjIiLCJwIjoic2hlZXRzLWppcmEifQ","TDP-2297")</f>
        <v>TDP-2297</v>
      </c>
      <c r="H243" s="1" t="s">
        <v>1058</v>
      </c>
      <c r="I243" s="1" t="s">
        <v>1126</v>
      </c>
      <c r="J243" s="1" t="s">
        <v>26</v>
      </c>
      <c r="K243" s="1" t="s">
        <v>1211</v>
      </c>
      <c r="L243" s="1" t="s">
        <v>26</v>
      </c>
      <c r="M243" s="1" t="s">
        <v>27</v>
      </c>
      <c r="N243" s="1" t="s">
        <v>26</v>
      </c>
      <c r="O243" s="1" t="s">
        <v>26</v>
      </c>
      <c r="P243" s="4">
        <v>45714.40378472222</v>
      </c>
    </row>
    <row r="244" hidden="1">
      <c r="A244" s="1" t="s">
        <v>21</v>
      </c>
      <c r="B244" s="3" t="str">
        <f>HYPERLINK("https://hawk-eye.atlassian.net/browse/HWKREPORT-3227?atlOrigin=eyJpIjoiYzgwYTQ0ZjEyNzQzNGJhN2JmNjEyZTM0NmRhZWZhNjIiLCJwIjoic2hlZXRzLWppcmEifQ","HWKREPORT-3227")</f>
        <v>HWKREPORT-3227</v>
      </c>
      <c r="C244" s="1" t="s">
        <v>1379</v>
      </c>
      <c r="D244" s="1" t="s">
        <v>23</v>
      </c>
      <c r="E244" s="1" t="s">
        <v>1057</v>
      </c>
      <c r="F244" s="4">
        <v>45686.7218287037</v>
      </c>
      <c r="G244" s="3" t="str">
        <f>HYPERLINK("https://hawk-eye.atlassian.net/browse/BR-1982?atlOrigin=eyJpIjoiYzgwYTQ0ZjEyNzQzNGJhN2JmNjEyZTM0NmRhZWZhNjIiLCJwIjoic2hlZXRzLWppcmEifQ","BR-1982")</f>
        <v>BR-1982</v>
      </c>
      <c r="H244" s="1" t="s">
        <v>1058</v>
      </c>
      <c r="I244" s="1" t="s">
        <v>1107</v>
      </c>
      <c r="J244" s="1" t="s">
        <v>26</v>
      </c>
      <c r="K244" s="1" t="s">
        <v>1108</v>
      </c>
      <c r="L244" s="1" t="s">
        <v>26</v>
      </c>
      <c r="M244" s="1" t="s">
        <v>27</v>
      </c>
      <c r="N244" s="1" t="s">
        <v>26</v>
      </c>
      <c r="O244" s="1" t="s">
        <v>26</v>
      </c>
      <c r="P244" s="4">
        <v>45686.72184027778</v>
      </c>
    </row>
    <row r="245" hidden="1">
      <c r="A245" s="1" t="s">
        <v>21</v>
      </c>
      <c r="B245" s="3" t="str">
        <f>HYPERLINK("https://hawk-eye.atlassian.net/browse/HWKREPORT-3228?atlOrigin=eyJpIjoiYzgwYTQ0ZjEyNzQzNGJhN2JmNjEyZTM0NmRhZWZhNjIiLCJwIjoic2hlZXRzLWppcmEifQ","HWKREPORT-3228")</f>
        <v>HWKREPORT-3228</v>
      </c>
      <c r="C245" s="1" t="s">
        <v>1380</v>
      </c>
      <c r="D245" s="1" t="s">
        <v>40</v>
      </c>
      <c r="E245" s="1" t="s">
        <v>35</v>
      </c>
      <c r="F245" s="4">
        <v>45686.72565972222</v>
      </c>
      <c r="G245" s="3" t="str">
        <f>HYPERLINK("https://hawk-eye.atlassian.net/browse/SO-2249?atlOrigin=eyJpIjoiYzgwYTQ0ZjEyNzQzNGJhN2JmNjEyZTM0NmRhZWZhNjIiLCJwIjoic2hlZXRzLWppcmEifQ","SO-2249")</f>
        <v>SO-2249</v>
      </c>
      <c r="H245" s="1" t="s">
        <v>1058</v>
      </c>
      <c r="I245" s="1" t="s">
        <v>1071</v>
      </c>
      <c r="J245" s="1" t="s">
        <v>26</v>
      </c>
      <c r="K245" s="1" t="s">
        <v>1134</v>
      </c>
      <c r="L245" s="1" t="s">
        <v>26</v>
      </c>
      <c r="M245" s="1" t="s">
        <v>27</v>
      </c>
      <c r="N245" s="1" t="s">
        <v>26</v>
      </c>
      <c r="O245" s="1" t="s">
        <v>26</v>
      </c>
      <c r="P245" s="4">
        <v>45707.512395833335</v>
      </c>
    </row>
    <row r="246" hidden="1">
      <c r="A246" s="1" t="s">
        <v>21</v>
      </c>
      <c r="B246" s="3" t="str">
        <f>HYPERLINK("https://hawk-eye.atlassian.net/browse/HWKREPORT-3229?atlOrigin=eyJpIjoiYzgwYTQ0ZjEyNzQzNGJhN2JmNjEyZTM0NmRhZWZhNjIiLCJwIjoic2hlZXRzLWppcmEifQ","HWKREPORT-3229")</f>
        <v>HWKREPORT-3229</v>
      </c>
      <c r="C246" s="1" t="s">
        <v>1381</v>
      </c>
      <c r="D246" s="1" t="s">
        <v>48</v>
      </c>
      <c r="E246" s="1" t="s">
        <v>35</v>
      </c>
      <c r="F246" s="4">
        <v>45686.72814814815</v>
      </c>
      <c r="G246" s="3" t="str">
        <f>HYPERLINK("https://hawk-eye.atlassian.net/browse/TDP-2298?atlOrigin=eyJpIjoiYzgwYTQ0ZjEyNzQzNGJhN2JmNjEyZTM0NmRhZWZhNjIiLCJwIjoic2hlZXRzLWppcmEifQ","TDP-2298")</f>
        <v>TDP-2298</v>
      </c>
      <c r="H246" s="1" t="s">
        <v>1058</v>
      </c>
      <c r="I246" s="1" t="s">
        <v>1126</v>
      </c>
      <c r="J246" s="1" t="s">
        <v>26</v>
      </c>
      <c r="K246" s="1" t="s">
        <v>1211</v>
      </c>
      <c r="L246" s="1" t="s">
        <v>26</v>
      </c>
      <c r="M246" s="1" t="s">
        <v>27</v>
      </c>
      <c r="N246" s="1" t="s">
        <v>26</v>
      </c>
      <c r="O246" s="1" t="s">
        <v>26</v>
      </c>
      <c r="P246" s="4">
        <v>45714.40375</v>
      </c>
    </row>
    <row r="247" hidden="1">
      <c r="A247" s="1" t="s">
        <v>1055</v>
      </c>
      <c r="B247" s="3" t="str">
        <f>HYPERLINK("https://hawk-eye.atlassian.net/browse/HWKREPORT-3230?atlOrigin=eyJpIjoiYzgwYTQ0ZjEyNzQzNGJhN2JmNjEyZTM0NmRhZWZhNjIiLCJwIjoic2hlZXRzLWppcmEifQ","HWKREPORT-3230")</f>
        <v>HWKREPORT-3230</v>
      </c>
      <c r="C247" s="1" t="s">
        <v>1382</v>
      </c>
      <c r="D247" s="1" t="s">
        <v>48</v>
      </c>
      <c r="E247" s="1" t="s">
        <v>1057</v>
      </c>
      <c r="F247" s="4">
        <v>45687.45144675926</v>
      </c>
      <c r="G247" s="3" t="str">
        <f>HYPERLINK("https://hawk-eye.atlassian.net/browse/?atlOrigin=eyJpIjoiYzgwYTQ0ZjEyNzQzNGJhN2JmNjEyZTM0NmRhZWZhNjIiLCJwIjoic2hlZXRzLWppcmEifQ","")</f>
        <v/>
      </c>
      <c r="H247" s="1" t="s">
        <v>1058</v>
      </c>
      <c r="I247" s="1" t="s">
        <v>1085</v>
      </c>
      <c r="J247" s="1" t="s">
        <v>26</v>
      </c>
      <c r="K247" s="1" t="s">
        <v>1383</v>
      </c>
      <c r="L247" s="1" t="s">
        <v>26</v>
      </c>
      <c r="M247" s="1" t="s">
        <v>27</v>
      </c>
      <c r="N247" s="1" t="s">
        <v>26</v>
      </c>
      <c r="O247" s="1" t="s">
        <v>26</v>
      </c>
      <c r="P247" s="4">
        <v>45687.45144675926</v>
      </c>
    </row>
    <row r="248" hidden="1">
      <c r="A248" s="1" t="s">
        <v>21</v>
      </c>
      <c r="B248" s="3" t="str">
        <f>HYPERLINK("https://hawk-eye.atlassian.net/browse/HWKREPORT-3231?atlOrigin=eyJpIjoiYzgwYTQ0ZjEyNzQzNGJhN2JmNjEyZTM0NmRhZWZhNjIiLCJwIjoic2hlZXRzLWppcmEifQ","HWKREPORT-3231")</f>
        <v>HWKREPORT-3231</v>
      </c>
      <c r="C248" s="1" t="s">
        <v>1384</v>
      </c>
      <c r="D248" s="1" t="s">
        <v>34</v>
      </c>
      <c r="E248" s="1" t="s">
        <v>35</v>
      </c>
      <c r="F248" s="4">
        <v>45687.469675925924</v>
      </c>
      <c r="G248" s="3" t="str">
        <f>HYPERLINK("https://hawk-eye.atlassian.net/browse/SO-2224?atlOrigin=eyJpIjoiYzgwYTQ0ZjEyNzQzNGJhN2JmNjEyZTM0NmRhZWZhNjIiLCJwIjoic2hlZXRzLWppcmEifQ","SO-2224")</f>
        <v>SO-2224</v>
      </c>
      <c r="H248" s="1" t="s">
        <v>1058</v>
      </c>
      <c r="I248" s="1" t="s">
        <v>1085</v>
      </c>
      <c r="J248" s="1" t="s">
        <v>26</v>
      </c>
      <c r="K248" s="1" t="s">
        <v>1385</v>
      </c>
      <c r="L248" s="1" t="s">
        <v>26</v>
      </c>
      <c r="M248" s="1" t="s">
        <v>27</v>
      </c>
      <c r="N248" s="1" t="s">
        <v>26</v>
      </c>
      <c r="O248" s="1" t="s">
        <v>26</v>
      </c>
      <c r="P248" s="4">
        <v>45714.46618055556</v>
      </c>
    </row>
    <row r="249" hidden="1">
      <c r="A249" s="1" t="s">
        <v>21</v>
      </c>
      <c r="B249" s="3" t="str">
        <f>HYPERLINK("https://hawk-eye.atlassian.net/browse/HWKREPORT-3232?atlOrigin=eyJpIjoiYzgwYTQ0ZjEyNzQzNGJhN2JmNjEyZTM0NmRhZWZhNjIiLCJwIjoic2hlZXRzLWppcmEifQ","HWKREPORT-3232")</f>
        <v>HWKREPORT-3232</v>
      </c>
      <c r="C249" s="1" t="s">
        <v>1386</v>
      </c>
      <c r="D249" s="1" t="s">
        <v>34</v>
      </c>
      <c r="E249" s="1" t="s">
        <v>1057</v>
      </c>
      <c r="F249" s="4">
        <v>45687.63857638889</v>
      </c>
      <c r="G249" s="3" t="str">
        <f>HYPERLINK("https://hawk-eye.atlassian.net/browse/?atlOrigin=eyJpIjoiYzgwYTQ0ZjEyNzQzNGJhN2JmNjEyZTM0NmRhZWZhNjIiLCJwIjoic2hlZXRzLWppcmEifQ","")</f>
        <v/>
      </c>
      <c r="H249" s="1" t="s">
        <v>1058</v>
      </c>
      <c r="I249" s="1" t="s">
        <v>1126</v>
      </c>
      <c r="J249" s="1" t="s">
        <v>26</v>
      </c>
      <c r="K249" s="1" t="s">
        <v>1105</v>
      </c>
      <c r="L249" s="1" t="s">
        <v>26</v>
      </c>
      <c r="M249" s="1" t="s">
        <v>27</v>
      </c>
      <c r="N249" s="1" t="s">
        <v>26</v>
      </c>
      <c r="O249" s="1" t="s">
        <v>26</v>
      </c>
      <c r="P249" s="4">
        <v>45687.63857638889</v>
      </c>
    </row>
    <row r="250" hidden="1">
      <c r="A250" s="1" t="s">
        <v>1055</v>
      </c>
      <c r="B250" s="3" t="str">
        <f>HYPERLINK("https://hawk-eye.atlassian.net/browse/HWKREPORT-3233?atlOrigin=eyJpIjoiYzgwYTQ0ZjEyNzQzNGJhN2JmNjEyZTM0NmRhZWZhNjIiLCJwIjoic2hlZXRzLWppcmEifQ","HWKREPORT-3233")</f>
        <v>HWKREPORT-3233</v>
      </c>
      <c r="C250" s="1" t="s">
        <v>1387</v>
      </c>
      <c r="D250" s="1" t="s">
        <v>48</v>
      </c>
      <c r="E250" s="1" t="s">
        <v>35</v>
      </c>
      <c r="F250" s="4">
        <v>45687.69488425926</v>
      </c>
      <c r="G250" s="3" t="str">
        <f>HYPERLINK("https://hawk-eye.atlassian.net/issues/?atlOrigin=eyJpIjoiYzgwYTQ0ZjEyNzQzNGJhN2JmNjEyZTM0NmRhZWZhNjIiLCJwIjoic2hlZXRzLWppcmEifQ&amp;jql=key+in+%28SO-2296%2CSO-2240%29","SO-2296;SO-2240")</f>
        <v>SO-2296;SO-2240</v>
      </c>
      <c r="H250" s="1" t="s">
        <v>1058</v>
      </c>
      <c r="I250" s="1" t="s">
        <v>1388</v>
      </c>
      <c r="J250" s="1" t="s">
        <v>26</v>
      </c>
      <c r="K250" s="1" t="s">
        <v>1116</v>
      </c>
      <c r="L250" s="1" t="s">
        <v>26</v>
      </c>
      <c r="M250" s="1" t="s">
        <v>27</v>
      </c>
      <c r="N250" s="1" t="s">
        <v>26</v>
      </c>
      <c r="O250" s="1" t="s">
        <v>26</v>
      </c>
      <c r="P250" s="4">
        <v>45719.760613425926</v>
      </c>
    </row>
    <row r="251" hidden="1">
      <c r="A251" s="1" t="s">
        <v>1055</v>
      </c>
      <c r="B251" s="3" t="str">
        <f>HYPERLINK("https://hawk-eye.atlassian.net/browse/HWKREPORT-3234?atlOrigin=eyJpIjoiYzgwYTQ0ZjEyNzQzNGJhN2JmNjEyZTM0NmRhZWZhNjIiLCJwIjoic2hlZXRzLWppcmEifQ","HWKREPORT-3234")</f>
        <v>HWKREPORT-3234</v>
      </c>
      <c r="C251" s="1" t="s">
        <v>1389</v>
      </c>
      <c r="D251" s="1" t="s">
        <v>48</v>
      </c>
      <c r="E251" s="1" t="s">
        <v>1057</v>
      </c>
      <c r="F251" s="4">
        <v>45687.73457175926</v>
      </c>
      <c r="G251" s="3" t="str">
        <f>HYPERLINK("https://hawk-eye.atlassian.net/browse/RTT-9964?atlOrigin=eyJpIjoiYzgwYTQ0ZjEyNzQzNGJhN2JmNjEyZTM0NmRhZWZhNjIiLCJwIjoic2hlZXRzLWppcmEifQ","RTT-9964")</f>
        <v>RTT-9964</v>
      </c>
      <c r="H251" s="1" t="s">
        <v>1058</v>
      </c>
      <c r="I251" s="1" t="s">
        <v>28</v>
      </c>
      <c r="J251" s="1" t="s">
        <v>26</v>
      </c>
      <c r="K251" s="1" t="s">
        <v>1072</v>
      </c>
      <c r="L251" s="1" t="s">
        <v>26</v>
      </c>
      <c r="M251" s="1" t="s">
        <v>27</v>
      </c>
      <c r="N251" s="1" t="s">
        <v>26</v>
      </c>
      <c r="O251" s="1" t="s">
        <v>26</v>
      </c>
      <c r="P251" s="4">
        <v>45687.73458333333</v>
      </c>
    </row>
    <row r="252" hidden="1">
      <c r="A252" s="1" t="s">
        <v>21</v>
      </c>
      <c r="B252" s="3" t="str">
        <f>HYPERLINK("https://hawk-eye.atlassian.net/browse/HWKREPORT-3235?atlOrigin=eyJpIjoiYzgwYTQ0ZjEyNzQzNGJhN2JmNjEyZTM0NmRhZWZhNjIiLCJwIjoic2hlZXRzLWppcmEifQ","HWKREPORT-3235")</f>
        <v>HWKREPORT-3235</v>
      </c>
      <c r="C252" s="1" t="s">
        <v>1390</v>
      </c>
      <c r="D252" s="1" t="s">
        <v>40</v>
      </c>
      <c r="E252" s="1" t="s">
        <v>35</v>
      </c>
      <c r="F252" s="4">
        <v>45687.8783912037</v>
      </c>
      <c r="G252" s="3" t="str">
        <f>HYPERLINK("https://hawk-eye.atlassian.net/browse/BR-1898?atlOrigin=eyJpIjoiYzgwYTQ0ZjEyNzQzNGJhN2JmNjEyZTM0NmRhZWZhNjIiLCJwIjoic2hlZXRzLWppcmEifQ","BR-1898")</f>
        <v>BR-1898</v>
      </c>
      <c r="H252" s="1" t="s">
        <v>1058</v>
      </c>
      <c r="I252" s="1" t="s">
        <v>1107</v>
      </c>
      <c r="J252" s="1" t="s">
        <v>26</v>
      </c>
      <c r="K252" s="1" t="s">
        <v>1108</v>
      </c>
      <c r="L252" s="1" t="s">
        <v>26</v>
      </c>
      <c r="M252" s="1" t="s">
        <v>27</v>
      </c>
      <c r="N252" s="1" t="s">
        <v>26</v>
      </c>
      <c r="O252" s="1" t="s">
        <v>26</v>
      </c>
      <c r="P252" s="4">
        <v>45694.462858796294</v>
      </c>
    </row>
    <row r="253" hidden="1">
      <c r="A253" s="1" t="s">
        <v>21</v>
      </c>
      <c r="B253" s="3" t="str">
        <f>HYPERLINK("https://hawk-eye.atlassian.net/browse/HWKREPORT-3236?atlOrigin=eyJpIjoiYzgwYTQ0ZjEyNzQzNGJhN2JmNjEyZTM0NmRhZWZhNjIiLCJwIjoic2hlZXRzLWppcmEifQ","HWKREPORT-3236")</f>
        <v>HWKREPORT-3236</v>
      </c>
      <c r="C253" s="1" t="s">
        <v>1391</v>
      </c>
      <c r="D253" s="1" t="s">
        <v>23</v>
      </c>
      <c r="E253" s="1" t="s">
        <v>1057</v>
      </c>
      <c r="F253" s="4">
        <v>45688.59607638889</v>
      </c>
      <c r="G253" s="3" t="str">
        <f>HYPERLINK("https://hawk-eye.atlassian.net/browse/?atlOrigin=eyJpIjoiYzgwYTQ0ZjEyNzQzNGJhN2JmNjEyZTM0NmRhZWZhNjIiLCJwIjoic2hlZXRzLWppcmEifQ","")</f>
        <v/>
      </c>
      <c r="H253" s="1" t="s">
        <v>1058</v>
      </c>
      <c r="I253" s="1" t="s">
        <v>1085</v>
      </c>
      <c r="J253" s="1" t="s">
        <v>26</v>
      </c>
      <c r="K253" s="1" t="s">
        <v>1392</v>
      </c>
      <c r="L253" s="1" t="s">
        <v>26</v>
      </c>
      <c r="M253" s="1" t="s">
        <v>27</v>
      </c>
      <c r="N253" s="1" t="s">
        <v>26</v>
      </c>
      <c r="O253" s="1" t="s">
        <v>26</v>
      </c>
      <c r="P253" s="4">
        <v>45688.59607638889</v>
      </c>
    </row>
    <row r="254" hidden="1">
      <c r="A254" s="1" t="s">
        <v>1055</v>
      </c>
      <c r="B254" s="3" t="str">
        <f>HYPERLINK("https://hawk-eye.atlassian.net/browse/HWKREPORT-3237?atlOrigin=eyJpIjoiYzgwYTQ0ZjEyNzQzNGJhN2JmNjEyZTM0NmRhZWZhNjIiLCJwIjoic2hlZXRzLWppcmEifQ","HWKREPORT-3237")</f>
        <v>HWKREPORT-3237</v>
      </c>
      <c r="C254" s="1" t="s">
        <v>1393</v>
      </c>
      <c r="D254" s="1" t="s">
        <v>48</v>
      </c>
      <c r="E254" s="1" t="s">
        <v>1057</v>
      </c>
      <c r="F254" s="4">
        <v>45688.74482638889</v>
      </c>
      <c r="G254" s="3" t="str">
        <f>HYPERLINK("https://hawk-eye.atlassian.net/browse/RTT-9965?atlOrigin=eyJpIjoiYzgwYTQ0ZjEyNzQzNGJhN2JmNjEyZTM0NmRhZWZhNjIiLCJwIjoic2hlZXRzLWppcmEifQ","RTT-9965")</f>
        <v>RTT-9965</v>
      </c>
      <c r="H254" s="1" t="s">
        <v>1058</v>
      </c>
      <c r="I254" s="1" t="s">
        <v>1085</v>
      </c>
      <c r="J254" s="1" t="s">
        <v>26</v>
      </c>
      <c r="K254" s="1" t="s">
        <v>1072</v>
      </c>
      <c r="L254" s="1" t="s">
        <v>26</v>
      </c>
      <c r="M254" s="1" t="s">
        <v>27</v>
      </c>
      <c r="N254" s="1" t="s">
        <v>26</v>
      </c>
      <c r="O254" s="1" t="s">
        <v>26</v>
      </c>
      <c r="P254" s="4">
        <v>45688.744837962964</v>
      </c>
    </row>
    <row r="255" hidden="1">
      <c r="A255" s="1" t="s">
        <v>21</v>
      </c>
      <c r="B255" s="3" t="str">
        <f>HYPERLINK("https://hawk-eye.atlassian.net/browse/HWKREPORT-3238?atlOrigin=eyJpIjoiYzgwYTQ0ZjEyNzQzNGJhN2JmNjEyZTM0NmRhZWZhNjIiLCJwIjoic2hlZXRzLWppcmEifQ","HWKREPORT-3238")</f>
        <v>HWKREPORT-3238</v>
      </c>
      <c r="C255" s="1" t="s">
        <v>1394</v>
      </c>
      <c r="D255" s="1" t="s">
        <v>40</v>
      </c>
      <c r="E255" s="1" t="s">
        <v>1207</v>
      </c>
      <c r="F255" s="4">
        <v>45689.45866898148</v>
      </c>
      <c r="G255" s="3" t="str">
        <f>HYPERLINK("https://hawk-eye.atlassian.net/browse/TMP-186?atlOrigin=eyJpIjoiYzgwYTQ0ZjEyNzQzNGJhN2JmNjEyZTM0NmRhZWZhNjIiLCJwIjoic2hlZXRzLWppcmEifQ","TMP-186")</f>
        <v>TMP-186</v>
      </c>
      <c r="H255" s="1" t="s">
        <v>1058</v>
      </c>
      <c r="I255" s="1" t="s">
        <v>1126</v>
      </c>
      <c r="J255" s="1" t="s">
        <v>26</v>
      </c>
      <c r="K255" s="1" t="s">
        <v>1211</v>
      </c>
      <c r="L255" s="1" t="s">
        <v>26</v>
      </c>
      <c r="M255" s="1" t="s">
        <v>27</v>
      </c>
      <c r="N255" s="1" t="s">
        <v>26</v>
      </c>
      <c r="O255" s="1" t="s">
        <v>26</v>
      </c>
      <c r="P255" s="4">
        <v>45737.40466435185</v>
      </c>
    </row>
    <row r="256" hidden="1">
      <c r="A256" s="1" t="s">
        <v>21</v>
      </c>
      <c r="B256" s="3" t="str">
        <f>HYPERLINK("https://hawk-eye.atlassian.net/browse/HWKREPORT-3239?atlOrigin=eyJpIjoiYzgwYTQ0ZjEyNzQzNGJhN2JmNjEyZTM0NmRhZWZhNjIiLCJwIjoic2hlZXRzLWppcmEifQ","HWKREPORT-3239")</f>
        <v>HWKREPORT-3239</v>
      </c>
      <c r="C256" s="1" t="s">
        <v>1395</v>
      </c>
      <c r="D256" s="1" t="s">
        <v>83</v>
      </c>
      <c r="E256" s="1" t="s">
        <v>35</v>
      </c>
      <c r="F256" s="4">
        <v>45689.6975</v>
      </c>
      <c r="G256" s="3" t="str">
        <f>HYPERLINK("https://hawk-eye.atlassian.net/browse/BR-1909?atlOrigin=eyJpIjoiYzgwYTQ0ZjEyNzQzNGJhN2JmNjEyZTM0NmRhZWZhNjIiLCJwIjoic2hlZXRzLWppcmEifQ","BR-1909")</f>
        <v>BR-1909</v>
      </c>
      <c r="H256" s="1" t="s">
        <v>1058</v>
      </c>
      <c r="I256" s="1" t="s">
        <v>1107</v>
      </c>
      <c r="J256" s="1" t="s">
        <v>26</v>
      </c>
      <c r="K256" s="1" t="s">
        <v>1108</v>
      </c>
      <c r="L256" s="1" t="s">
        <v>26</v>
      </c>
      <c r="M256" s="1" t="s">
        <v>27</v>
      </c>
      <c r="N256" s="1" t="s">
        <v>26</v>
      </c>
      <c r="O256" s="1" t="s">
        <v>26</v>
      </c>
      <c r="P256" s="4">
        <v>45721.65215277778</v>
      </c>
    </row>
    <row r="257" hidden="1">
      <c r="A257" s="1" t="s">
        <v>21</v>
      </c>
      <c r="B257" s="3" t="str">
        <f>HYPERLINK("https://hawk-eye.atlassian.net/browse/HWKREPORT-3240?atlOrigin=eyJpIjoiYzgwYTQ0ZjEyNzQzNGJhN2JmNjEyZTM0NmRhZWZhNjIiLCJwIjoic2hlZXRzLWppcmEifQ","HWKREPORT-3240")</f>
        <v>HWKREPORT-3240</v>
      </c>
      <c r="C257" s="1" t="s">
        <v>1396</v>
      </c>
      <c r="D257" s="1" t="s">
        <v>40</v>
      </c>
      <c r="E257" s="1" t="s">
        <v>35</v>
      </c>
      <c r="F257" s="4">
        <v>45689.756203703706</v>
      </c>
      <c r="G257" s="3" t="str">
        <f>HYPERLINK("https://hawk-eye.atlassian.net/browse/RTT-9966?atlOrigin=eyJpIjoiYzgwYTQ0ZjEyNzQzNGJhN2JmNjEyZTM0NmRhZWZhNjIiLCJwIjoic2hlZXRzLWppcmEifQ","RTT-9966")</f>
        <v>RTT-9966</v>
      </c>
      <c r="H257" s="1" t="s">
        <v>1058</v>
      </c>
      <c r="I257" s="1" t="s">
        <v>1071</v>
      </c>
      <c r="J257" s="1" t="s">
        <v>26</v>
      </c>
      <c r="K257" s="1" t="s">
        <v>1397</v>
      </c>
      <c r="L257" s="1" t="s">
        <v>26</v>
      </c>
      <c r="M257" s="1" t="s">
        <v>27</v>
      </c>
      <c r="N257" s="1" t="s">
        <v>26</v>
      </c>
      <c r="O257" s="1" t="s">
        <v>26</v>
      </c>
      <c r="P257" s="4">
        <v>45713.631898148145</v>
      </c>
    </row>
    <row r="258" hidden="1">
      <c r="A258" s="1" t="s">
        <v>21</v>
      </c>
      <c r="B258" s="3" t="str">
        <f>HYPERLINK("https://hawk-eye.atlassian.net/browse/HWKREPORT-3241?atlOrigin=eyJpIjoiYzgwYTQ0ZjEyNzQzNGJhN2JmNjEyZTM0NmRhZWZhNjIiLCJwIjoic2hlZXRzLWppcmEifQ","HWKREPORT-3241")</f>
        <v>HWKREPORT-3241</v>
      </c>
      <c r="C258" s="1" t="s">
        <v>1398</v>
      </c>
      <c r="D258" s="1" t="s">
        <v>40</v>
      </c>
      <c r="E258" s="1" t="s">
        <v>35</v>
      </c>
      <c r="F258" s="4">
        <v>45689.801458333335</v>
      </c>
      <c r="G258" s="3" t="str">
        <f>HYPERLINK("https://hawk-eye.atlassian.net/browse/CTF-1262?atlOrigin=eyJpIjoiYzgwYTQ0ZjEyNzQzNGJhN2JmNjEyZTM0NmRhZWZhNjIiLCJwIjoic2hlZXRzLWppcmEifQ","CTF-1262")</f>
        <v>CTF-1262</v>
      </c>
      <c r="H258" s="1" t="s">
        <v>1058</v>
      </c>
      <c r="I258" s="1" t="s">
        <v>1059</v>
      </c>
      <c r="J258" s="1" t="s">
        <v>26</v>
      </c>
      <c r="K258" s="1" t="s">
        <v>1369</v>
      </c>
      <c r="L258" s="1" t="s">
        <v>26</v>
      </c>
      <c r="M258" s="1" t="s">
        <v>27</v>
      </c>
      <c r="N258" s="1" t="s">
        <v>26</v>
      </c>
      <c r="O258" s="1" t="s">
        <v>26</v>
      </c>
      <c r="P258" s="4">
        <v>45763.681284722225</v>
      </c>
    </row>
    <row r="259" hidden="1">
      <c r="A259" s="1" t="s">
        <v>21</v>
      </c>
      <c r="B259" s="3" t="str">
        <f>HYPERLINK("https://hawk-eye.atlassian.net/browse/HWKREPORT-3242?atlOrigin=eyJpIjoiYzgwYTQ0ZjEyNzQzNGJhN2JmNjEyZTM0NmRhZWZhNjIiLCJwIjoic2hlZXRzLWppcmEifQ","HWKREPORT-3242")</f>
        <v>HWKREPORT-3242</v>
      </c>
      <c r="C259" s="1" t="s">
        <v>1399</v>
      </c>
      <c r="D259" s="1" t="s">
        <v>40</v>
      </c>
      <c r="E259" s="1" t="s">
        <v>35</v>
      </c>
      <c r="F259" s="4">
        <v>45689.82399305556</v>
      </c>
      <c r="G259" s="3" t="str">
        <f>HYPERLINK("https://hawk-eye.atlassian.net/browse/?atlOrigin=eyJpIjoiYzgwYTQ0ZjEyNzQzNGJhN2JmNjEyZTM0NmRhZWZhNjIiLCJwIjoic2hlZXRzLWppcmEifQ","")</f>
        <v/>
      </c>
      <c r="H259" s="1" t="s">
        <v>1058</v>
      </c>
      <c r="I259" s="1" t="s">
        <v>1059</v>
      </c>
      <c r="J259" s="1" t="s">
        <v>26</v>
      </c>
      <c r="K259" s="1" t="s">
        <v>1369</v>
      </c>
      <c r="L259" s="1" t="s">
        <v>26</v>
      </c>
      <c r="M259" s="1" t="s">
        <v>27</v>
      </c>
      <c r="N259" s="1" t="s">
        <v>26</v>
      </c>
      <c r="O259" s="1" t="s">
        <v>26</v>
      </c>
      <c r="P259" s="4">
        <v>45721.7984375</v>
      </c>
    </row>
    <row r="260" hidden="1">
      <c r="A260" s="1" t="s">
        <v>21</v>
      </c>
      <c r="B260" s="3" t="str">
        <f>HYPERLINK("https://hawk-eye.atlassian.net/browse/HWKREPORT-3243?atlOrigin=eyJpIjoiYzgwYTQ0ZjEyNzQzNGJhN2JmNjEyZTM0NmRhZWZhNjIiLCJwIjoic2hlZXRzLWppcmEifQ","HWKREPORT-3243")</f>
        <v>HWKREPORT-3243</v>
      </c>
      <c r="C260" s="1" t="s">
        <v>1400</v>
      </c>
      <c r="D260" s="1" t="s">
        <v>34</v>
      </c>
      <c r="E260" s="1" t="s">
        <v>1074</v>
      </c>
      <c r="F260" s="4">
        <v>45689.832708333335</v>
      </c>
      <c r="G260" s="3" t="str">
        <f>HYPERLINK("https://hawk-eye.atlassian.net/browse/RTT-10034?atlOrigin=eyJpIjoiYzgwYTQ0ZjEyNzQzNGJhN2JmNjEyZTM0NmRhZWZhNjIiLCJwIjoic2hlZXRzLWppcmEifQ","RTT-10034")</f>
        <v>RTT-10034</v>
      </c>
      <c r="H260" s="1" t="s">
        <v>1058</v>
      </c>
      <c r="I260" s="1" t="s">
        <v>1059</v>
      </c>
      <c r="J260" s="1" t="s">
        <v>26</v>
      </c>
      <c r="K260" s="1" t="s">
        <v>1369</v>
      </c>
      <c r="L260" s="1" t="s">
        <v>26</v>
      </c>
      <c r="M260" s="1" t="s">
        <v>27</v>
      </c>
      <c r="N260" s="1" t="s">
        <v>26</v>
      </c>
      <c r="O260" s="1" t="s">
        <v>26</v>
      </c>
      <c r="P260" s="4">
        <v>45721.799097222225</v>
      </c>
    </row>
    <row r="261" hidden="1">
      <c r="A261" s="1" t="s">
        <v>21</v>
      </c>
      <c r="B261" s="3" t="str">
        <f>HYPERLINK("https://hawk-eye.atlassian.net/browse/HWKREPORT-3244?atlOrigin=eyJpIjoiYzgwYTQ0ZjEyNzQzNGJhN2JmNjEyZTM0NmRhZWZhNjIiLCJwIjoic2hlZXRzLWppcmEifQ","HWKREPORT-3244")</f>
        <v>HWKREPORT-3244</v>
      </c>
      <c r="C261" s="1" t="s">
        <v>1401</v>
      </c>
      <c r="D261" s="1" t="s">
        <v>34</v>
      </c>
      <c r="E261" s="1" t="s">
        <v>1074</v>
      </c>
      <c r="F261" s="4">
        <v>45689.8428587963</v>
      </c>
      <c r="G261" s="3" t="str">
        <f>HYPERLINK("https://hawk-eye.atlassian.net/browse/RTT-9466?atlOrigin=eyJpIjoiYzgwYTQ0ZjEyNzQzNGJhN2JmNjEyZTM0NmRhZWZhNjIiLCJwIjoic2hlZXRzLWppcmEifQ","RTT-9466")</f>
        <v>RTT-9466</v>
      </c>
      <c r="H261" s="1" t="s">
        <v>1058</v>
      </c>
      <c r="I261" s="1" t="s">
        <v>1059</v>
      </c>
      <c r="J261" s="1" t="s">
        <v>26</v>
      </c>
      <c r="K261" s="1" t="s">
        <v>1369</v>
      </c>
      <c r="L261" s="1" t="s">
        <v>26</v>
      </c>
      <c r="M261" s="1" t="s">
        <v>27</v>
      </c>
      <c r="N261" s="1" t="s">
        <v>26</v>
      </c>
      <c r="O261" s="1" t="s">
        <v>26</v>
      </c>
      <c r="P261" s="4">
        <v>45694.972662037035</v>
      </c>
    </row>
    <row r="262" hidden="1">
      <c r="A262" s="1" t="s">
        <v>21</v>
      </c>
      <c r="B262" s="3" t="str">
        <f>HYPERLINK("https://hawk-eye.atlassian.net/browse/HWKREPORT-3245?atlOrigin=eyJpIjoiYzgwYTQ0ZjEyNzQzNGJhN2JmNjEyZTM0NmRhZWZhNjIiLCJwIjoic2hlZXRzLWppcmEifQ","HWKREPORT-3245")</f>
        <v>HWKREPORT-3245</v>
      </c>
      <c r="C262" s="1" t="s">
        <v>1402</v>
      </c>
      <c r="D262" s="1" t="s">
        <v>48</v>
      </c>
      <c r="E262" s="1" t="s">
        <v>35</v>
      </c>
      <c r="F262" s="4">
        <v>45690.04015046296</v>
      </c>
      <c r="G262" s="3" t="str">
        <f>HYPERLINK("https://hawk-eye.atlassian.net/browse/RTT-9967?atlOrigin=eyJpIjoiYzgwYTQ0ZjEyNzQzNGJhN2JmNjEyZTM0NmRhZWZhNjIiLCJwIjoic2hlZXRzLWppcmEifQ","RTT-9967")</f>
        <v>RTT-9967</v>
      </c>
      <c r="H262" s="1" t="s">
        <v>1058</v>
      </c>
      <c r="I262" s="1" t="s">
        <v>1071</v>
      </c>
      <c r="J262" s="1" t="s">
        <v>26</v>
      </c>
      <c r="K262" s="1" t="s">
        <v>1072</v>
      </c>
      <c r="L262" s="1" t="s">
        <v>26</v>
      </c>
      <c r="M262" s="1" t="s">
        <v>27</v>
      </c>
      <c r="N262" s="1" t="s">
        <v>26</v>
      </c>
      <c r="O262" s="1" t="s">
        <v>26</v>
      </c>
      <c r="P262" s="4">
        <v>45768.60842592592</v>
      </c>
    </row>
    <row r="263">
      <c r="A263" s="1" t="s">
        <v>21</v>
      </c>
      <c r="B263" s="3" t="str">
        <f>HYPERLINK("https://hawk-eye.atlassian.net/browse/HWKREPORT-3246?atlOrigin=eyJpIjoiYzgwYTQ0ZjEyNzQzNGJhN2JmNjEyZTM0NmRhZWZhNjIiLCJwIjoic2hlZXRzLWppcmEifQ","HWKREPORT-3246")</f>
        <v>HWKREPORT-3246</v>
      </c>
      <c r="C263" s="1" t="s">
        <v>1403</v>
      </c>
      <c r="D263" s="1" t="s">
        <v>23</v>
      </c>
      <c r="E263" s="1" t="s">
        <v>1057</v>
      </c>
      <c r="F263" s="4">
        <v>45691.69170138889</v>
      </c>
      <c r="G263" s="3" t="str">
        <f>HYPERLINK("https://hawk-eye.atlassian.net/browse/RTT-9974?atlOrigin=eyJpIjoiYzgwYTQ0ZjEyNzQzNGJhN2JmNjEyZTM0NmRhZWZhNjIiLCJwIjoic2hlZXRzLWppcmEifQ","RTT-9974")</f>
        <v>RTT-9974</v>
      </c>
      <c r="H263" s="1" t="s">
        <v>1058</v>
      </c>
      <c r="I263" s="1" t="s">
        <v>28</v>
      </c>
      <c r="J263" s="1" t="s">
        <v>26</v>
      </c>
      <c r="K263" s="1" t="s">
        <v>1072</v>
      </c>
      <c r="L263" s="1" t="s">
        <v>26</v>
      </c>
      <c r="M263" s="1" t="s">
        <v>27</v>
      </c>
      <c r="N263" s="1" t="s">
        <v>26</v>
      </c>
      <c r="O263" s="1" t="s">
        <v>26</v>
      </c>
      <c r="P263" s="4">
        <v>45691.691712962966</v>
      </c>
    </row>
    <row r="264" hidden="1">
      <c r="A264" s="1" t="s">
        <v>21</v>
      </c>
      <c r="B264" s="3" t="str">
        <f>HYPERLINK("https://hawk-eye.atlassian.net/browse/HWKREPORT-3247?atlOrigin=eyJpIjoiYzgwYTQ0ZjEyNzQzNGJhN2JmNjEyZTM0NmRhZWZhNjIiLCJwIjoic2hlZXRzLWppcmEifQ","HWKREPORT-3247")</f>
        <v>HWKREPORT-3247</v>
      </c>
      <c r="C264" s="1" t="s">
        <v>1404</v>
      </c>
      <c r="D264" s="1" t="s">
        <v>34</v>
      </c>
      <c r="E264" s="1" t="s">
        <v>1057</v>
      </c>
      <c r="F264" s="4">
        <v>45691.77459490741</v>
      </c>
      <c r="G264" s="3" t="str">
        <f>HYPERLINK("https://hawk-eye.atlassian.net/browse/?atlOrigin=eyJpIjoiYzgwYTQ0ZjEyNzQzNGJhN2JmNjEyZTM0NmRhZWZhNjIiLCJwIjoic2hlZXRzLWppcmEifQ","")</f>
        <v/>
      </c>
      <c r="H264" s="1" t="s">
        <v>1058</v>
      </c>
      <c r="I264" s="1" t="s">
        <v>1126</v>
      </c>
      <c r="J264" s="1" t="s">
        <v>26</v>
      </c>
      <c r="K264" s="1" t="s">
        <v>1211</v>
      </c>
      <c r="L264" s="1" t="s">
        <v>26</v>
      </c>
      <c r="M264" s="1" t="s">
        <v>27</v>
      </c>
      <c r="N264" s="1" t="s">
        <v>26</v>
      </c>
      <c r="O264" s="1" t="s">
        <v>26</v>
      </c>
      <c r="P264" s="4">
        <v>45691.77460648148</v>
      </c>
    </row>
    <row r="265" hidden="1">
      <c r="A265" s="1" t="s">
        <v>21</v>
      </c>
      <c r="B265" s="3" t="str">
        <f>HYPERLINK("https://hawk-eye.atlassian.net/browse/HWKREPORT-3248?atlOrigin=eyJpIjoiYzgwYTQ0ZjEyNzQzNGJhN2JmNjEyZTM0NmRhZWZhNjIiLCJwIjoic2hlZXRzLWppcmEifQ","HWKREPORT-3248")</f>
        <v>HWKREPORT-3248</v>
      </c>
      <c r="C265" s="1" t="s">
        <v>1405</v>
      </c>
      <c r="D265" s="1" t="s">
        <v>23</v>
      </c>
      <c r="E265" s="1" t="s">
        <v>35</v>
      </c>
      <c r="F265" s="4">
        <v>45691.899143518516</v>
      </c>
      <c r="G265" s="3" t="str">
        <f>HYPERLINK("https://hawk-eye.atlassian.net/browse/RTT-9981?atlOrigin=eyJpIjoiYzgwYTQ0ZjEyNzQzNGJhN2JmNjEyZTM0NmRhZWZhNjIiLCJwIjoic2hlZXRzLWppcmEifQ","RTT-9981")</f>
        <v>RTT-9981</v>
      </c>
      <c r="H265" s="1" t="s">
        <v>1058</v>
      </c>
      <c r="I265" s="1" t="s">
        <v>1071</v>
      </c>
      <c r="J265" s="1" t="s">
        <v>26</v>
      </c>
      <c r="K265" s="1" t="s">
        <v>1072</v>
      </c>
      <c r="L265" s="1" t="s">
        <v>26</v>
      </c>
      <c r="M265" s="1" t="s">
        <v>27</v>
      </c>
      <c r="N265" s="1" t="s">
        <v>26</v>
      </c>
      <c r="O265" s="1" t="s">
        <v>26</v>
      </c>
      <c r="P265" s="4">
        <v>45709.65586805555</v>
      </c>
    </row>
    <row r="266" hidden="1">
      <c r="A266" s="1" t="s">
        <v>21</v>
      </c>
      <c r="B266" s="3" t="str">
        <f>HYPERLINK("https://hawk-eye.atlassian.net/browse/HWKREPORT-3249?atlOrigin=eyJpIjoiYzgwYTQ0ZjEyNzQzNGJhN2JmNjEyZTM0NmRhZWZhNjIiLCJwIjoic2hlZXRzLWppcmEifQ","HWKREPORT-3249")</f>
        <v>HWKREPORT-3249</v>
      </c>
      <c r="C266" s="1" t="s">
        <v>1406</v>
      </c>
      <c r="D266" s="1" t="s">
        <v>23</v>
      </c>
      <c r="E266" s="1" t="s">
        <v>1057</v>
      </c>
      <c r="F266" s="4">
        <v>45692.39761574074</v>
      </c>
      <c r="G266" s="3" t="str">
        <f>HYPERLINK("https://hawk-eye.atlassian.net/browse/?atlOrigin=eyJpIjoiYzgwYTQ0ZjEyNzQzNGJhN2JmNjEyZTM0NmRhZWZhNjIiLCJwIjoic2hlZXRzLWppcmEifQ","")</f>
        <v/>
      </c>
      <c r="H266" s="1" t="s">
        <v>1058</v>
      </c>
      <c r="I266" s="1" t="s">
        <v>1126</v>
      </c>
      <c r="J266" s="1" t="s">
        <v>26</v>
      </c>
      <c r="K266" s="1" t="s">
        <v>1105</v>
      </c>
      <c r="L266" s="1" t="s">
        <v>26</v>
      </c>
      <c r="M266" s="1" t="s">
        <v>27</v>
      </c>
      <c r="N266" s="1" t="s">
        <v>26</v>
      </c>
      <c r="O266" s="1" t="s">
        <v>26</v>
      </c>
      <c r="P266" s="4">
        <v>45692.397627314815</v>
      </c>
    </row>
    <row r="267" hidden="1">
      <c r="A267" s="1" t="s">
        <v>21</v>
      </c>
      <c r="B267" s="3" t="str">
        <f>HYPERLINK("https://hawk-eye.atlassian.net/browse/HWKREPORT-3250?atlOrigin=eyJpIjoiYzgwYTQ0ZjEyNzQzNGJhN2JmNjEyZTM0NmRhZWZhNjIiLCJwIjoic2hlZXRzLWppcmEifQ","HWKREPORT-3250")</f>
        <v>HWKREPORT-3250</v>
      </c>
      <c r="C267" s="1" t="s">
        <v>1407</v>
      </c>
      <c r="D267" s="1" t="s">
        <v>40</v>
      </c>
      <c r="E267" s="1" t="s">
        <v>35</v>
      </c>
      <c r="F267" s="4">
        <v>45692.50309027778</v>
      </c>
      <c r="G267" s="3" t="str">
        <f>HYPERLINK("https://hawk-eye.atlassian.net/browse/TDP-2303?atlOrigin=eyJpIjoiYzgwYTQ0ZjEyNzQzNGJhN2JmNjEyZTM0NmRhZWZhNjIiLCJwIjoic2hlZXRzLWppcmEifQ","TDP-2303")</f>
        <v>TDP-2303</v>
      </c>
      <c r="H267" s="1" t="s">
        <v>1058</v>
      </c>
      <c r="I267" s="1" t="s">
        <v>1126</v>
      </c>
      <c r="J267" s="1" t="s">
        <v>26</v>
      </c>
      <c r="K267" s="1" t="s">
        <v>1211</v>
      </c>
      <c r="L267" s="1" t="s">
        <v>26</v>
      </c>
      <c r="M267" s="1" t="s">
        <v>27</v>
      </c>
      <c r="N267" s="1" t="s">
        <v>26</v>
      </c>
      <c r="O267" s="1" t="s">
        <v>26</v>
      </c>
      <c r="P267" s="4">
        <v>45714.39659722222</v>
      </c>
    </row>
    <row r="268" hidden="1">
      <c r="A268" s="1" t="s">
        <v>1055</v>
      </c>
      <c r="B268" s="3" t="str">
        <f>HYPERLINK("https://hawk-eye.atlassian.net/browse/HWKREPORT-3251?atlOrigin=eyJpIjoiYzgwYTQ0ZjEyNzQzNGJhN2JmNjEyZTM0NmRhZWZhNjIiLCJwIjoic2hlZXRzLWppcmEifQ","HWKREPORT-3251")</f>
        <v>HWKREPORT-3251</v>
      </c>
      <c r="C268" s="1" t="s">
        <v>1408</v>
      </c>
      <c r="D268" s="1" t="s">
        <v>48</v>
      </c>
      <c r="E268" s="1" t="s">
        <v>1057</v>
      </c>
      <c r="F268" s="4">
        <v>45692.60820601852</v>
      </c>
      <c r="G268" s="3" t="str">
        <f>HYPERLINK("https://hawk-eye.atlassian.net/browse/?atlOrigin=eyJpIjoiYzgwYTQ0ZjEyNzQzNGJhN2JmNjEyZTM0NmRhZWZhNjIiLCJwIjoic2hlZXRzLWppcmEifQ","")</f>
        <v/>
      </c>
      <c r="H268" s="1" t="s">
        <v>1058</v>
      </c>
      <c r="I268" s="1" t="s">
        <v>1107</v>
      </c>
      <c r="J268" s="1" t="s">
        <v>26</v>
      </c>
      <c r="K268" s="1" t="s">
        <v>1108</v>
      </c>
      <c r="L268" s="1" t="s">
        <v>26</v>
      </c>
      <c r="M268" s="1" t="s">
        <v>27</v>
      </c>
      <c r="N268" s="1" t="s">
        <v>26</v>
      </c>
      <c r="O268" s="1" t="s">
        <v>26</v>
      </c>
      <c r="P268" s="4">
        <v>45692.60820601852</v>
      </c>
    </row>
    <row r="269" hidden="1">
      <c r="A269" s="1" t="s">
        <v>21</v>
      </c>
      <c r="B269" s="3" t="str">
        <f>HYPERLINK("https://hawk-eye.atlassian.net/browse/HWKREPORT-3252?atlOrigin=eyJpIjoiYzgwYTQ0ZjEyNzQzNGJhN2JmNjEyZTM0NmRhZWZhNjIiLCJwIjoic2hlZXRzLWppcmEifQ","HWKREPORT-3252")</f>
        <v>HWKREPORT-3252</v>
      </c>
      <c r="C269" s="1" t="s">
        <v>1409</v>
      </c>
      <c r="D269" s="1" t="s">
        <v>48</v>
      </c>
      <c r="E269" s="1" t="s">
        <v>1057</v>
      </c>
      <c r="F269" s="4">
        <v>45692.68614583334</v>
      </c>
      <c r="G269" s="3" t="str">
        <f>HYPERLINK("https://hawk-eye.atlassian.net/browse/SO-2268?atlOrigin=eyJpIjoiYzgwYTQ0ZjEyNzQzNGJhN2JmNjEyZTM0NmRhZWZhNjIiLCJwIjoic2hlZXRzLWppcmEifQ","SO-2268")</f>
        <v>SO-2268</v>
      </c>
      <c r="H269" s="1" t="s">
        <v>1058</v>
      </c>
      <c r="I269" s="1" t="s">
        <v>1085</v>
      </c>
      <c r="J269" s="1" t="s">
        <v>26</v>
      </c>
      <c r="K269" s="1" t="s">
        <v>1247</v>
      </c>
      <c r="L269" s="1" t="s">
        <v>26</v>
      </c>
      <c r="M269" s="1" t="s">
        <v>27</v>
      </c>
      <c r="N269" s="1" t="s">
        <v>26</v>
      </c>
      <c r="O269" s="1" t="s">
        <v>26</v>
      </c>
      <c r="P269" s="4">
        <v>45692.68614583334</v>
      </c>
    </row>
    <row r="270" hidden="1">
      <c r="A270" s="1" t="s">
        <v>1055</v>
      </c>
      <c r="B270" s="3" t="str">
        <f>HYPERLINK("https://hawk-eye.atlassian.net/browse/HWKREPORT-3253?atlOrigin=eyJpIjoiYzgwYTQ0ZjEyNzQzNGJhN2JmNjEyZTM0NmRhZWZhNjIiLCJwIjoic2hlZXRzLWppcmEifQ","HWKREPORT-3253")</f>
        <v>HWKREPORT-3253</v>
      </c>
      <c r="C270" s="1" t="s">
        <v>1410</v>
      </c>
      <c r="D270" s="1" t="s">
        <v>48</v>
      </c>
      <c r="E270" s="1" t="s">
        <v>35</v>
      </c>
      <c r="F270" s="4">
        <v>45692.91465277778</v>
      </c>
      <c r="G270" s="3" t="str">
        <f>HYPERLINK("https://hawk-eye.atlassian.net/browse/RTT-9987?atlOrigin=eyJpIjoiYzgwYTQ0ZjEyNzQzNGJhN2JmNjEyZTM0NmRhZWZhNjIiLCJwIjoic2hlZXRzLWppcmEifQ","RTT-9987")</f>
        <v>RTT-9987</v>
      </c>
      <c r="H270" s="1" t="s">
        <v>1058</v>
      </c>
      <c r="I270" s="1" t="s">
        <v>28</v>
      </c>
      <c r="J270" s="1" t="s">
        <v>26</v>
      </c>
      <c r="K270" s="1" t="s">
        <v>1072</v>
      </c>
      <c r="L270" s="1" t="s">
        <v>26</v>
      </c>
      <c r="M270" s="1" t="s">
        <v>27</v>
      </c>
      <c r="N270" s="1" t="s">
        <v>26</v>
      </c>
      <c r="O270" s="1" t="s">
        <v>26</v>
      </c>
      <c r="P270" s="4">
        <v>45699.68605324074</v>
      </c>
    </row>
    <row r="271" hidden="1">
      <c r="A271" s="1" t="s">
        <v>1055</v>
      </c>
      <c r="B271" s="3" t="str">
        <f>HYPERLINK("https://hawk-eye.atlassian.net/browse/HWKREPORT-3254?atlOrigin=eyJpIjoiYzgwYTQ0ZjEyNzQzNGJhN2JmNjEyZTM0NmRhZWZhNjIiLCJwIjoic2hlZXRzLWppcmEifQ","HWKREPORT-3254")</f>
        <v>HWKREPORT-3254</v>
      </c>
      <c r="C271" s="1" t="s">
        <v>1411</v>
      </c>
      <c r="D271" s="1" t="s">
        <v>48</v>
      </c>
      <c r="E271" s="1" t="s">
        <v>1057</v>
      </c>
      <c r="F271" s="4">
        <v>45693.55070601852</v>
      </c>
      <c r="G271" s="3" t="str">
        <f>HYPERLINK("https://hawk-eye.atlassian.net/browse/TTS-13?atlOrigin=eyJpIjoiYzgwYTQ0ZjEyNzQzNGJhN2JmNjEyZTM0NmRhZWZhNjIiLCJwIjoic2hlZXRzLWppcmEifQ","TTS-13")</f>
        <v>TTS-13</v>
      </c>
      <c r="H271" s="1" t="s">
        <v>1058</v>
      </c>
      <c r="I271" s="1" t="s">
        <v>1085</v>
      </c>
      <c r="J271" s="1" t="s">
        <v>26</v>
      </c>
      <c r="K271" s="1" t="s">
        <v>1219</v>
      </c>
      <c r="L271" s="1" t="s">
        <v>26</v>
      </c>
      <c r="M271" s="1" t="s">
        <v>27</v>
      </c>
      <c r="N271" s="1" t="s">
        <v>26</v>
      </c>
      <c r="O271" s="1" t="s">
        <v>26</v>
      </c>
      <c r="P271" s="4">
        <v>45693.550717592596</v>
      </c>
    </row>
    <row r="272" hidden="1">
      <c r="A272" s="1" t="s">
        <v>1055</v>
      </c>
      <c r="B272" s="3" t="str">
        <f>HYPERLINK("https://hawk-eye.atlassian.net/browse/HWKREPORT-3255?atlOrigin=eyJpIjoiYzgwYTQ0ZjEyNzQzNGJhN2JmNjEyZTM0NmRhZWZhNjIiLCJwIjoic2hlZXRzLWppcmEifQ","HWKREPORT-3255")</f>
        <v>HWKREPORT-3255</v>
      </c>
      <c r="C272" s="1" t="s">
        <v>1412</v>
      </c>
      <c r="D272" s="1" t="s">
        <v>48</v>
      </c>
      <c r="E272" s="1" t="s">
        <v>1057</v>
      </c>
      <c r="F272" s="4">
        <v>45693.55287037037</v>
      </c>
      <c r="G272" s="3" t="str">
        <f>HYPERLINK("https://hawk-eye.atlassian.net/browse/TTS-14?atlOrigin=eyJpIjoiYzgwYTQ0ZjEyNzQzNGJhN2JmNjEyZTM0NmRhZWZhNjIiLCJwIjoic2hlZXRzLWppcmEifQ","TTS-14")</f>
        <v>TTS-14</v>
      </c>
      <c r="H272" s="1" t="s">
        <v>1058</v>
      </c>
      <c r="I272" s="1" t="s">
        <v>1085</v>
      </c>
      <c r="J272" s="1" t="s">
        <v>26</v>
      </c>
      <c r="K272" s="1" t="s">
        <v>1219</v>
      </c>
      <c r="L272" s="1" t="s">
        <v>26</v>
      </c>
      <c r="M272" s="1" t="s">
        <v>27</v>
      </c>
      <c r="N272" s="1" t="s">
        <v>26</v>
      </c>
      <c r="O272" s="1" t="s">
        <v>26</v>
      </c>
      <c r="P272" s="4">
        <v>45693.55287037037</v>
      </c>
    </row>
    <row r="273" hidden="1">
      <c r="A273" s="1" t="s">
        <v>1055</v>
      </c>
      <c r="B273" s="3" t="str">
        <f>HYPERLINK("https://hawk-eye.atlassian.net/browse/HWKREPORT-3256?atlOrigin=eyJpIjoiYzgwYTQ0ZjEyNzQzNGJhN2JmNjEyZTM0NmRhZWZhNjIiLCJwIjoic2hlZXRzLWppcmEifQ","HWKREPORT-3256")</f>
        <v>HWKREPORT-3256</v>
      </c>
      <c r="C273" s="1" t="s">
        <v>1413</v>
      </c>
      <c r="D273" s="1" t="s">
        <v>48</v>
      </c>
      <c r="E273" s="1" t="s">
        <v>1057</v>
      </c>
      <c r="F273" s="4">
        <v>45693.55688657407</v>
      </c>
      <c r="G273" s="3" t="str">
        <f t="shared" ref="G273:G276" si="26">HYPERLINK("https://hawk-eye.atlassian.net/browse/?atlOrigin=eyJpIjoiYzgwYTQ0ZjEyNzQzNGJhN2JmNjEyZTM0NmRhZWZhNjIiLCJwIjoic2hlZXRzLWppcmEifQ","")</f>
        <v/>
      </c>
      <c r="H273" s="1" t="s">
        <v>1058</v>
      </c>
      <c r="I273" s="1" t="s">
        <v>1085</v>
      </c>
      <c r="J273" s="1" t="s">
        <v>26</v>
      </c>
      <c r="K273" s="1" t="s">
        <v>1219</v>
      </c>
      <c r="L273" s="1" t="s">
        <v>26</v>
      </c>
      <c r="M273" s="1" t="s">
        <v>27</v>
      </c>
      <c r="N273" s="1" t="s">
        <v>26</v>
      </c>
      <c r="O273" s="1" t="s">
        <v>26</v>
      </c>
      <c r="P273" s="4">
        <v>45693.55688657407</v>
      </c>
    </row>
    <row r="274" hidden="1">
      <c r="A274" s="1" t="s">
        <v>21</v>
      </c>
      <c r="B274" s="3" t="str">
        <f>HYPERLINK("https://hawk-eye.atlassian.net/browse/HWKREPORT-3257?atlOrigin=eyJpIjoiYzgwYTQ0ZjEyNzQzNGJhN2JmNjEyZTM0NmRhZWZhNjIiLCJwIjoic2hlZXRzLWppcmEifQ","HWKREPORT-3257")</f>
        <v>HWKREPORT-3257</v>
      </c>
      <c r="C274" s="1" t="s">
        <v>1414</v>
      </c>
      <c r="D274" s="1" t="s">
        <v>48</v>
      </c>
      <c r="E274" s="1" t="s">
        <v>1057</v>
      </c>
      <c r="F274" s="4">
        <v>45693.80731481482</v>
      </c>
      <c r="G274" s="3" t="str">
        <f t="shared" si="26"/>
        <v/>
      </c>
      <c r="H274" s="1" t="s">
        <v>1058</v>
      </c>
      <c r="I274" s="1" t="s">
        <v>1071</v>
      </c>
      <c r="J274" s="1" t="s">
        <v>26</v>
      </c>
      <c r="K274" s="1" t="s">
        <v>1095</v>
      </c>
      <c r="L274" s="1" t="s">
        <v>26</v>
      </c>
      <c r="M274" s="1" t="s">
        <v>27</v>
      </c>
      <c r="N274" s="1" t="s">
        <v>26</v>
      </c>
      <c r="O274" s="1" t="s">
        <v>26</v>
      </c>
      <c r="P274" s="4">
        <v>45693.80732638889</v>
      </c>
    </row>
    <row r="275" hidden="1">
      <c r="A275" s="1" t="s">
        <v>21</v>
      </c>
      <c r="B275" s="3" t="str">
        <f>HYPERLINK("https://hawk-eye.atlassian.net/browse/HWKREPORT-3258?atlOrigin=eyJpIjoiYzgwYTQ0ZjEyNzQzNGJhN2JmNjEyZTM0NmRhZWZhNjIiLCJwIjoic2hlZXRzLWppcmEifQ","HWKREPORT-3258")</f>
        <v>HWKREPORT-3258</v>
      </c>
      <c r="C275" s="1" t="s">
        <v>1415</v>
      </c>
      <c r="D275" s="1" t="s">
        <v>48</v>
      </c>
      <c r="E275" s="1" t="s">
        <v>1057</v>
      </c>
      <c r="F275" s="4">
        <v>45693.80876157407</v>
      </c>
      <c r="G275" s="3" t="str">
        <f t="shared" si="26"/>
        <v/>
      </c>
      <c r="H275" s="1" t="s">
        <v>1058</v>
      </c>
      <c r="I275" s="1" t="s">
        <v>1071</v>
      </c>
      <c r="J275" s="1" t="s">
        <v>26</v>
      </c>
      <c r="K275" s="1" t="s">
        <v>1095</v>
      </c>
      <c r="L275" s="1" t="s">
        <v>26</v>
      </c>
      <c r="M275" s="1" t="s">
        <v>27</v>
      </c>
      <c r="N275" s="1" t="s">
        <v>26</v>
      </c>
      <c r="O275" s="1" t="s">
        <v>26</v>
      </c>
      <c r="P275" s="4">
        <v>45693.80876157407</v>
      </c>
    </row>
    <row r="276" hidden="1">
      <c r="A276" s="1" t="s">
        <v>21</v>
      </c>
      <c r="B276" s="3" t="str">
        <f>HYPERLINK("https://hawk-eye.atlassian.net/browse/HWKREPORT-3259?atlOrigin=eyJpIjoiYzgwYTQ0ZjEyNzQzNGJhN2JmNjEyZTM0NmRhZWZhNjIiLCJwIjoic2hlZXRzLWppcmEifQ","HWKREPORT-3259")</f>
        <v>HWKREPORT-3259</v>
      </c>
      <c r="C276" s="1" t="s">
        <v>1416</v>
      </c>
      <c r="D276" s="1" t="s">
        <v>40</v>
      </c>
      <c r="E276" s="1" t="s">
        <v>35</v>
      </c>
      <c r="F276" s="4">
        <v>45694.32373842593</v>
      </c>
      <c r="G276" s="3" t="str">
        <f t="shared" si="26"/>
        <v/>
      </c>
      <c r="H276" s="1" t="s">
        <v>1058</v>
      </c>
      <c r="I276" s="1" t="s">
        <v>1085</v>
      </c>
      <c r="J276" s="1" t="s">
        <v>26</v>
      </c>
      <c r="K276" s="1" t="s">
        <v>1072</v>
      </c>
      <c r="L276" s="1" t="s">
        <v>26</v>
      </c>
      <c r="M276" s="1" t="s">
        <v>27</v>
      </c>
      <c r="N276" s="1" t="s">
        <v>26</v>
      </c>
      <c r="O276" s="1" t="s">
        <v>26</v>
      </c>
      <c r="P276" s="4">
        <v>45721.38983796296</v>
      </c>
    </row>
    <row r="277" hidden="1">
      <c r="A277" s="1" t="s">
        <v>1055</v>
      </c>
      <c r="B277" s="3" t="str">
        <f>HYPERLINK("https://hawk-eye.atlassian.net/browse/HWKREPORT-3260?atlOrigin=eyJpIjoiYzgwYTQ0ZjEyNzQzNGJhN2JmNjEyZTM0NmRhZWZhNjIiLCJwIjoic2hlZXRzLWppcmEifQ","HWKREPORT-3260")</f>
        <v>HWKREPORT-3260</v>
      </c>
      <c r="C277" s="1" t="s">
        <v>1417</v>
      </c>
      <c r="D277" s="1" t="s">
        <v>34</v>
      </c>
      <c r="E277" s="1" t="s">
        <v>35</v>
      </c>
      <c r="F277" s="4">
        <v>45694.5200462963</v>
      </c>
      <c r="G277" s="3" t="str">
        <f>HYPERLINK("https://hawk-eye.atlassian.net/browse/AT-1688?atlOrigin=eyJpIjoiYzgwYTQ0ZjEyNzQzNGJhN2JmNjEyZTM0NmRhZWZhNjIiLCJwIjoic2hlZXRzLWppcmEifQ","AT-1688")</f>
        <v>AT-1688</v>
      </c>
      <c r="H277" s="1" t="s">
        <v>1058</v>
      </c>
      <c r="I277" s="1" t="s">
        <v>1082</v>
      </c>
      <c r="J277" s="1" t="s">
        <v>26</v>
      </c>
      <c r="K277" s="1" t="s">
        <v>26</v>
      </c>
      <c r="L277" s="1" t="s">
        <v>26</v>
      </c>
      <c r="M277" s="1" t="s">
        <v>27</v>
      </c>
      <c r="N277" s="1" t="s">
        <v>26</v>
      </c>
      <c r="O277" s="1" t="s">
        <v>26</v>
      </c>
      <c r="P277" s="4">
        <v>45705.64240740741</v>
      </c>
    </row>
    <row r="278" hidden="1">
      <c r="A278" s="1" t="s">
        <v>1055</v>
      </c>
      <c r="B278" s="3" t="str">
        <f>HYPERLINK("https://hawk-eye.atlassian.net/browse/HWKREPORT-3261?atlOrigin=eyJpIjoiYzgwYTQ0ZjEyNzQzNGJhN2JmNjEyZTM0NmRhZWZhNjIiLCJwIjoic2hlZXRzLWppcmEifQ","HWKREPORT-3261")</f>
        <v>HWKREPORT-3261</v>
      </c>
      <c r="C278" s="1" t="s">
        <v>1418</v>
      </c>
      <c r="D278" s="1" t="s">
        <v>48</v>
      </c>
      <c r="E278" s="1" t="s">
        <v>1057</v>
      </c>
      <c r="F278" s="4">
        <v>45694.64438657407</v>
      </c>
      <c r="G278" s="3" t="str">
        <f>HYPERLINK("https://hawk-eye.atlassian.net/browse/HWKREPORT-2302?atlOrigin=eyJpIjoiYzgwYTQ0ZjEyNzQzNGJhN2JmNjEyZTM0NmRhZWZhNjIiLCJwIjoic2hlZXRzLWppcmEifQ","HWKREPORT-2302")</f>
        <v>HWKREPORT-2302</v>
      </c>
      <c r="H278" s="1" t="s">
        <v>1058</v>
      </c>
      <c r="I278" s="1" t="s">
        <v>28</v>
      </c>
      <c r="J278" s="1" t="s">
        <v>26</v>
      </c>
      <c r="K278" s="1" t="s">
        <v>1072</v>
      </c>
      <c r="L278" s="1" t="s">
        <v>26</v>
      </c>
      <c r="M278" s="1" t="s">
        <v>27</v>
      </c>
      <c r="N278" s="1" t="s">
        <v>26</v>
      </c>
      <c r="O278" s="1" t="s">
        <v>26</v>
      </c>
      <c r="P278" s="4">
        <v>45694.64438657407</v>
      </c>
    </row>
    <row r="279" hidden="1">
      <c r="A279" s="1" t="s">
        <v>21</v>
      </c>
      <c r="B279" s="3" t="str">
        <f>HYPERLINK("https://hawk-eye.atlassian.net/browse/HWKREPORT-3262?atlOrigin=eyJpIjoiYzgwYTQ0ZjEyNzQzNGJhN2JmNjEyZTM0NmRhZWZhNjIiLCJwIjoic2hlZXRzLWppcmEifQ","HWKREPORT-3262")</f>
        <v>HWKREPORT-3262</v>
      </c>
      <c r="C279" s="1" t="s">
        <v>1419</v>
      </c>
      <c r="D279" s="1" t="s">
        <v>23</v>
      </c>
      <c r="E279" s="1" t="s">
        <v>35</v>
      </c>
      <c r="F279" s="4">
        <v>45694.65460648148</v>
      </c>
      <c r="G279" s="3" t="str">
        <f>HYPERLINK("https://hawk-eye.atlassian.net/browse/RTT-9989?atlOrigin=eyJpIjoiYzgwYTQ0ZjEyNzQzNGJhN2JmNjEyZTM0NmRhZWZhNjIiLCJwIjoic2hlZXRzLWppcmEifQ","RTT-9989")</f>
        <v>RTT-9989</v>
      </c>
      <c r="H279" s="1" t="s">
        <v>1058</v>
      </c>
      <c r="I279" s="1" t="s">
        <v>1071</v>
      </c>
      <c r="J279" s="1" t="s">
        <v>26</v>
      </c>
      <c r="K279" s="1" t="s">
        <v>1420</v>
      </c>
      <c r="L279" s="1" t="s">
        <v>26</v>
      </c>
      <c r="M279" s="1" t="s">
        <v>27</v>
      </c>
      <c r="N279" s="1" t="s">
        <v>26</v>
      </c>
      <c r="O279" s="1" t="s">
        <v>26</v>
      </c>
      <c r="P279" s="4">
        <v>45728.438125</v>
      </c>
    </row>
    <row r="280" hidden="1">
      <c r="A280" s="1" t="s">
        <v>21</v>
      </c>
      <c r="B280" s="3" t="str">
        <f>HYPERLINK("https://hawk-eye.atlassian.net/browse/HWKREPORT-3263?atlOrigin=eyJpIjoiYzgwYTQ0ZjEyNzQzNGJhN2JmNjEyZTM0NmRhZWZhNjIiLCJwIjoic2hlZXRzLWppcmEifQ","HWKREPORT-3263")</f>
        <v>HWKREPORT-3263</v>
      </c>
      <c r="C280" s="1" t="s">
        <v>1421</v>
      </c>
      <c r="D280" s="1" t="s">
        <v>23</v>
      </c>
      <c r="E280" s="1" t="s">
        <v>35</v>
      </c>
      <c r="F280" s="4">
        <v>45694.835497685184</v>
      </c>
      <c r="G280" s="3" t="str">
        <f>HYPERLINK("https://hawk-eye.atlassian.net/issues/?atlOrigin=eyJpIjoiYzgwYTQ0ZjEyNzQzNGJhN2JmNjEyZTM0NmRhZWZhNjIiLCJwIjoic2hlZXRzLWppcmEifQ&amp;jql=key+in+%28TOOL-227%2CTOOL-225%2CTOOL-226%29","TOOL-227;TOOL-225;TOOL-226")</f>
        <v>TOOL-227;TOOL-225;TOOL-226</v>
      </c>
      <c r="H280" s="1" t="s">
        <v>1058</v>
      </c>
      <c r="I280" s="1" t="s">
        <v>1151</v>
      </c>
      <c r="J280" s="1" t="s">
        <v>26</v>
      </c>
      <c r="K280" s="1" t="s">
        <v>1355</v>
      </c>
      <c r="L280" s="1" t="s">
        <v>26</v>
      </c>
      <c r="M280" s="1" t="s">
        <v>27</v>
      </c>
      <c r="N280" s="1" t="s">
        <v>26</v>
      </c>
      <c r="O280" s="1" t="s">
        <v>26</v>
      </c>
      <c r="P280" s="4">
        <v>45742.42597222222</v>
      </c>
    </row>
    <row r="281" hidden="1">
      <c r="A281" s="1" t="s">
        <v>21</v>
      </c>
      <c r="B281" s="3" t="str">
        <f>HYPERLINK("https://hawk-eye.atlassian.net/browse/HWKREPORT-3264?atlOrigin=eyJpIjoiYzgwYTQ0ZjEyNzQzNGJhN2JmNjEyZTM0NmRhZWZhNjIiLCJwIjoic2hlZXRzLWppcmEifQ","HWKREPORT-3264")</f>
        <v>HWKREPORT-3264</v>
      </c>
      <c r="C281" s="1" t="s">
        <v>1422</v>
      </c>
      <c r="D281" s="1" t="s">
        <v>83</v>
      </c>
      <c r="E281" s="1" t="s">
        <v>1074</v>
      </c>
      <c r="F281" s="4">
        <v>45694.93209490741</v>
      </c>
      <c r="G281" s="3" t="str">
        <f>HYPERLINK("https://hawk-eye.atlassian.net/browse/RTT-9995?atlOrigin=eyJpIjoiYzgwYTQ0ZjEyNzQzNGJhN2JmNjEyZTM0NmRhZWZhNjIiLCJwIjoic2hlZXRzLWppcmEifQ","RTT-9995")</f>
        <v>RTT-9995</v>
      </c>
      <c r="H281" s="1" t="s">
        <v>1058</v>
      </c>
      <c r="I281" s="1" t="s">
        <v>1071</v>
      </c>
      <c r="J281" s="1" t="s">
        <v>26</v>
      </c>
      <c r="K281" s="1" t="s">
        <v>1072</v>
      </c>
      <c r="L281" s="1" t="s">
        <v>26</v>
      </c>
      <c r="M281" s="1" t="s">
        <v>27</v>
      </c>
      <c r="N281" s="1" t="s">
        <v>26</v>
      </c>
      <c r="O281" s="1" t="s">
        <v>26</v>
      </c>
      <c r="P281" s="4">
        <v>45730.40149305556</v>
      </c>
    </row>
    <row r="282" hidden="1">
      <c r="A282" s="1" t="s">
        <v>1055</v>
      </c>
      <c r="B282" s="3" t="str">
        <f>HYPERLINK("https://hawk-eye.atlassian.net/browse/HWKREPORT-3265?atlOrigin=eyJpIjoiYzgwYTQ0ZjEyNzQzNGJhN2JmNjEyZTM0NmRhZWZhNjIiLCJwIjoic2hlZXRzLWppcmEifQ","HWKREPORT-3265")</f>
        <v>HWKREPORT-3265</v>
      </c>
      <c r="C282" s="1" t="s">
        <v>1423</v>
      </c>
      <c r="D282" s="1" t="s">
        <v>48</v>
      </c>
      <c r="E282" s="1" t="s">
        <v>1057</v>
      </c>
      <c r="F282" s="4">
        <v>45694.996712962966</v>
      </c>
      <c r="G282" s="3" t="str">
        <f t="shared" ref="G282:G283" si="27">HYPERLINK("https://hawk-eye.atlassian.net/browse/?atlOrigin=eyJpIjoiYzgwYTQ0ZjEyNzQzNGJhN2JmNjEyZTM0NmRhZWZhNjIiLCJwIjoic2hlZXRzLWppcmEifQ","")</f>
        <v/>
      </c>
      <c r="H282" s="1" t="s">
        <v>1058</v>
      </c>
      <c r="I282" s="1" t="s">
        <v>1107</v>
      </c>
      <c r="J282" s="1" t="s">
        <v>26</v>
      </c>
      <c r="K282" s="1" t="s">
        <v>1108</v>
      </c>
      <c r="L282" s="1" t="s">
        <v>26</v>
      </c>
      <c r="M282" s="1" t="s">
        <v>27</v>
      </c>
      <c r="N282" s="1" t="s">
        <v>26</v>
      </c>
      <c r="O282" s="1" t="s">
        <v>26</v>
      </c>
      <c r="P282" s="4">
        <v>45694.996712962966</v>
      </c>
    </row>
    <row r="283" hidden="1">
      <c r="A283" s="1" t="s">
        <v>1055</v>
      </c>
      <c r="B283" s="3" t="str">
        <f>HYPERLINK("https://hawk-eye.atlassian.net/browse/HWKREPORT-3266?atlOrigin=eyJpIjoiYzgwYTQ0ZjEyNzQzNGJhN2JmNjEyZTM0NmRhZWZhNjIiLCJwIjoic2hlZXRzLWppcmEifQ","HWKREPORT-3266")</f>
        <v>HWKREPORT-3266</v>
      </c>
      <c r="C283" s="1" t="s">
        <v>1424</v>
      </c>
      <c r="D283" s="1" t="s">
        <v>48</v>
      </c>
      <c r="E283" s="1" t="s">
        <v>1057</v>
      </c>
      <c r="F283" s="4">
        <v>45695.47930555556</v>
      </c>
      <c r="G283" s="3" t="str">
        <f t="shared" si="27"/>
        <v/>
      </c>
      <c r="H283" s="1" t="s">
        <v>1058</v>
      </c>
      <c r="I283" s="1" t="s">
        <v>1126</v>
      </c>
      <c r="J283" s="1" t="s">
        <v>26</v>
      </c>
      <c r="K283" s="1" t="s">
        <v>1211</v>
      </c>
      <c r="L283" s="1" t="s">
        <v>26</v>
      </c>
      <c r="M283" s="1" t="s">
        <v>27</v>
      </c>
      <c r="N283" s="1" t="s">
        <v>26</v>
      </c>
      <c r="O283" s="1" t="s">
        <v>26</v>
      </c>
      <c r="P283" s="4">
        <v>45695.47930555556</v>
      </c>
    </row>
    <row r="284" hidden="1">
      <c r="A284" s="1" t="s">
        <v>1055</v>
      </c>
      <c r="B284" s="3" t="str">
        <f>HYPERLINK("https://hawk-eye.atlassian.net/browse/HWKREPORT-3267?atlOrigin=eyJpIjoiYzgwYTQ0ZjEyNzQzNGJhN2JmNjEyZTM0NmRhZWZhNjIiLCJwIjoic2hlZXRzLWppcmEifQ","HWKREPORT-3267")</f>
        <v>HWKREPORT-3267</v>
      </c>
      <c r="C284" s="1" t="s">
        <v>1425</v>
      </c>
      <c r="D284" s="1" t="s">
        <v>34</v>
      </c>
      <c r="E284" s="1" t="s">
        <v>35</v>
      </c>
      <c r="F284" s="4">
        <v>45695.732407407406</v>
      </c>
      <c r="G284" s="3" t="str">
        <f>HYPERLINK("https://hawk-eye.atlassian.net/browse/RTT-10002?atlOrigin=eyJpIjoiYzgwYTQ0ZjEyNzQzNGJhN2JmNjEyZTM0NmRhZWZhNjIiLCJwIjoic2hlZXRzLWppcmEifQ","RTT-10002")</f>
        <v>RTT-10002</v>
      </c>
      <c r="H284" s="1" t="s">
        <v>1058</v>
      </c>
      <c r="I284" s="1" t="s">
        <v>28</v>
      </c>
      <c r="J284" s="1" t="s">
        <v>26</v>
      </c>
      <c r="K284" s="1" t="s">
        <v>1072</v>
      </c>
      <c r="L284" s="1" t="s">
        <v>26</v>
      </c>
      <c r="M284" s="1" t="s">
        <v>27</v>
      </c>
      <c r="N284" s="1" t="s">
        <v>26</v>
      </c>
      <c r="O284" s="1" t="s">
        <v>26</v>
      </c>
      <c r="P284" s="4">
        <v>45741.82083333333</v>
      </c>
    </row>
    <row r="285" hidden="1">
      <c r="A285" s="1" t="s">
        <v>21</v>
      </c>
      <c r="B285" s="3" t="str">
        <f>HYPERLINK("https://hawk-eye.atlassian.net/browse/HWKREPORT-3268?atlOrigin=eyJpIjoiYzgwYTQ0ZjEyNzQzNGJhN2JmNjEyZTM0NmRhZWZhNjIiLCJwIjoic2hlZXRzLWppcmEifQ","HWKREPORT-3268")</f>
        <v>HWKREPORT-3268</v>
      </c>
      <c r="C285" s="1" t="s">
        <v>1426</v>
      </c>
      <c r="D285" s="1" t="s">
        <v>48</v>
      </c>
      <c r="E285" s="1" t="s">
        <v>1057</v>
      </c>
      <c r="F285" s="4">
        <v>45695.75922453704</v>
      </c>
      <c r="G285" s="3" t="str">
        <f>HYPERLINK("https://hawk-eye.atlassian.net/browse/?atlOrigin=eyJpIjoiYzgwYTQ0ZjEyNzQzNGJhN2JmNjEyZTM0NmRhZWZhNjIiLCJwIjoic2hlZXRzLWppcmEifQ","")</f>
        <v/>
      </c>
      <c r="H285" s="1" t="s">
        <v>1058</v>
      </c>
      <c r="I285" s="1" t="s">
        <v>1071</v>
      </c>
      <c r="J285" s="1" t="s">
        <v>26</v>
      </c>
      <c r="K285" s="1" t="s">
        <v>1427</v>
      </c>
      <c r="L285" s="1" t="s">
        <v>26</v>
      </c>
      <c r="M285" s="1" t="s">
        <v>27</v>
      </c>
      <c r="N285" s="1" t="s">
        <v>26</v>
      </c>
      <c r="O285" s="1" t="s">
        <v>26</v>
      </c>
      <c r="P285" s="4">
        <v>45695.75923611111</v>
      </c>
    </row>
    <row r="286" hidden="1">
      <c r="A286" s="1" t="s">
        <v>21</v>
      </c>
      <c r="B286" s="3" t="str">
        <f>HYPERLINK("https://hawk-eye.atlassian.net/browse/HWKREPORT-3269?atlOrigin=eyJpIjoiYzgwYTQ0ZjEyNzQzNGJhN2JmNjEyZTM0NmRhZWZhNjIiLCJwIjoic2hlZXRzLWppcmEifQ","HWKREPORT-3269")</f>
        <v>HWKREPORT-3269</v>
      </c>
      <c r="C286" s="1" t="s">
        <v>1428</v>
      </c>
      <c r="D286" s="1" t="s">
        <v>23</v>
      </c>
      <c r="E286" s="1" t="s">
        <v>35</v>
      </c>
      <c r="F286" s="4">
        <v>45695.77974537037</v>
      </c>
      <c r="G286" s="3" t="str">
        <f>HYPERLINK("https://hawk-eye.atlassian.net/browse/SO-2251?atlOrigin=eyJpIjoiYzgwYTQ0ZjEyNzQzNGJhN2JmNjEyZTM0NmRhZWZhNjIiLCJwIjoic2hlZXRzLWppcmEifQ","SO-2251")</f>
        <v>SO-2251</v>
      </c>
      <c r="H286" s="1" t="s">
        <v>1058</v>
      </c>
      <c r="I286" s="1" t="s">
        <v>1429</v>
      </c>
      <c r="J286" s="1" t="s">
        <v>26</v>
      </c>
      <c r="K286" s="1" t="s">
        <v>1116</v>
      </c>
      <c r="L286" s="1" t="s">
        <v>26</v>
      </c>
      <c r="M286" s="1" t="s">
        <v>27</v>
      </c>
      <c r="N286" s="1" t="s">
        <v>26</v>
      </c>
      <c r="O286" s="1" t="s">
        <v>26</v>
      </c>
      <c r="P286" s="4">
        <v>45715.667337962965</v>
      </c>
    </row>
    <row r="287" hidden="1">
      <c r="A287" s="1" t="s">
        <v>1055</v>
      </c>
      <c r="B287" s="3" t="str">
        <f>HYPERLINK("https://hawk-eye.atlassian.net/browse/HWKREPORT-3270?atlOrigin=eyJpIjoiYzgwYTQ0ZjEyNzQzNGJhN2JmNjEyZTM0NmRhZWZhNjIiLCJwIjoic2hlZXRzLWppcmEifQ","HWKREPORT-3270")</f>
        <v>HWKREPORT-3270</v>
      </c>
      <c r="C287" s="1" t="s">
        <v>1430</v>
      </c>
      <c r="D287" s="1" t="s">
        <v>48</v>
      </c>
      <c r="E287" s="1" t="s">
        <v>1057</v>
      </c>
      <c r="F287" s="4">
        <v>45698.43759259259</v>
      </c>
      <c r="G287" s="3" t="str">
        <f>HYPERLINK("https://hawk-eye.atlassian.net/browse/?atlOrigin=eyJpIjoiYzgwYTQ0ZjEyNzQzNGJhN2JmNjEyZTM0NmRhZWZhNjIiLCJwIjoic2hlZXRzLWppcmEifQ","")</f>
        <v/>
      </c>
      <c r="H287" s="1" t="s">
        <v>1058</v>
      </c>
      <c r="I287" s="1" t="s">
        <v>1280</v>
      </c>
      <c r="J287" s="1" t="s">
        <v>26</v>
      </c>
      <c r="K287" s="1" t="s">
        <v>1116</v>
      </c>
      <c r="L287" s="1" t="s">
        <v>26</v>
      </c>
      <c r="M287" s="1" t="s">
        <v>27</v>
      </c>
      <c r="N287" s="1" t="s">
        <v>26</v>
      </c>
      <c r="O287" s="1" t="s">
        <v>26</v>
      </c>
      <c r="P287" s="4">
        <v>45698.43761574074</v>
      </c>
    </row>
    <row r="288" hidden="1">
      <c r="A288" s="1" t="s">
        <v>1055</v>
      </c>
      <c r="B288" s="3" t="str">
        <f>HYPERLINK("https://hawk-eye.atlassian.net/browse/HWKREPORT-3271?atlOrigin=eyJpIjoiYzgwYTQ0ZjEyNzQzNGJhN2JmNjEyZTM0NmRhZWZhNjIiLCJwIjoic2hlZXRzLWppcmEifQ","HWKREPORT-3271")</f>
        <v>HWKREPORT-3271</v>
      </c>
      <c r="C288" s="1" t="s">
        <v>1431</v>
      </c>
      <c r="D288" s="1" t="s">
        <v>34</v>
      </c>
      <c r="E288" s="1" t="s">
        <v>35</v>
      </c>
      <c r="F288" s="4">
        <v>45698.73615740741</v>
      </c>
      <c r="G288" s="3" t="str">
        <f>HYPERLINK("https://hawk-eye.atlassian.net/browse/TTS-3?atlOrigin=eyJpIjoiYzgwYTQ0ZjEyNzQzNGJhN2JmNjEyZTM0NmRhZWZhNjIiLCJwIjoic2hlZXRzLWppcmEifQ","TTS-3")</f>
        <v>TTS-3</v>
      </c>
      <c r="H288" s="1" t="s">
        <v>1058</v>
      </c>
      <c r="I288" s="1" t="s">
        <v>1071</v>
      </c>
      <c r="J288" s="1" t="s">
        <v>26</v>
      </c>
      <c r="K288" s="1" t="s">
        <v>1143</v>
      </c>
      <c r="L288" s="1" t="s">
        <v>26</v>
      </c>
      <c r="M288" s="1" t="s">
        <v>27</v>
      </c>
      <c r="N288" s="1" t="s">
        <v>26</v>
      </c>
      <c r="O288" s="1" t="s">
        <v>26</v>
      </c>
      <c r="P288" s="4">
        <v>45734.723344907405</v>
      </c>
    </row>
    <row r="289" hidden="1">
      <c r="A289" s="1" t="s">
        <v>21</v>
      </c>
      <c r="B289" s="3" t="str">
        <f>HYPERLINK("https://hawk-eye.atlassian.net/browse/HWKREPORT-3272?atlOrigin=eyJpIjoiYzgwYTQ0ZjEyNzQzNGJhN2JmNjEyZTM0NmRhZWZhNjIiLCJwIjoic2hlZXRzLWppcmEifQ","HWKREPORT-3272")</f>
        <v>HWKREPORT-3272</v>
      </c>
      <c r="C289" s="1" t="s">
        <v>1432</v>
      </c>
      <c r="D289" s="1" t="s">
        <v>23</v>
      </c>
      <c r="E289" s="1" t="s">
        <v>35</v>
      </c>
      <c r="F289" s="4">
        <v>45698.74288194445</v>
      </c>
      <c r="G289" s="3" t="str">
        <f>HYPERLINK("https://hawk-eye.atlassian.net/browse/?atlOrigin=eyJpIjoiYzgwYTQ0ZjEyNzQzNGJhN2JmNjEyZTM0NmRhZWZhNjIiLCJwIjoic2hlZXRzLWppcmEifQ","")</f>
        <v/>
      </c>
      <c r="H289" s="1" t="s">
        <v>1058</v>
      </c>
      <c r="I289" s="1" t="s">
        <v>1126</v>
      </c>
      <c r="J289" s="1" t="s">
        <v>26</v>
      </c>
      <c r="K289" s="1" t="s">
        <v>1105</v>
      </c>
      <c r="L289" s="1" t="s">
        <v>26</v>
      </c>
      <c r="M289" s="1" t="s">
        <v>27</v>
      </c>
      <c r="N289" s="1" t="s">
        <v>26</v>
      </c>
      <c r="O289" s="1" t="s">
        <v>26</v>
      </c>
      <c r="P289" s="4">
        <v>45729.69756944444</v>
      </c>
    </row>
    <row r="290" hidden="1">
      <c r="A290" s="1" t="s">
        <v>1055</v>
      </c>
      <c r="B290" s="3" t="str">
        <f>HYPERLINK("https://hawk-eye.atlassian.net/browse/HWKREPORT-3273?atlOrigin=eyJpIjoiYzgwYTQ0ZjEyNzQzNGJhN2JmNjEyZTM0NmRhZWZhNjIiLCJwIjoic2hlZXRzLWppcmEifQ","HWKREPORT-3273")</f>
        <v>HWKREPORT-3273</v>
      </c>
      <c r="C290" s="1" t="s">
        <v>1433</v>
      </c>
      <c r="D290" s="1" t="s">
        <v>48</v>
      </c>
      <c r="E290" s="1" t="s">
        <v>35</v>
      </c>
      <c r="F290" s="4">
        <v>45699.453368055554</v>
      </c>
      <c r="G290" s="3" t="str">
        <f>HYPERLINK("https://hawk-eye.atlassian.net/browse/SO-2253?atlOrigin=eyJpIjoiYzgwYTQ0ZjEyNzQzNGJhN2JmNjEyZTM0NmRhZWZhNjIiLCJwIjoic2hlZXRzLWppcmEifQ","SO-2253")</f>
        <v>SO-2253</v>
      </c>
      <c r="H290" s="1" t="s">
        <v>1058</v>
      </c>
      <c r="I290" s="1" t="s">
        <v>1280</v>
      </c>
      <c r="J290" s="1" t="s">
        <v>26</v>
      </c>
      <c r="K290" s="1" t="s">
        <v>1237</v>
      </c>
      <c r="L290" s="1" t="s">
        <v>26</v>
      </c>
      <c r="M290" s="1" t="s">
        <v>27</v>
      </c>
      <c r="N290" s="1" t="s">
        <v>26</v>
      </c>
      <c r="O290" s="1" t="s">
        <v>26</v>
      </c>
      <c r="P290" s="4">
        <v>45721.63333333333</v>
      </c>
    </row>
    <row r="291" hidden="1">
      <c r="A291" s="1" t="s">
        <v>21</v>
      </c>
      <c r="B291" s="3" t="str">
        <f>HYPERLINK("https://hawk-eye.atlassian.net/browse/HWKREPORT-3274?atlOrigin=eyJpIjoiYzgwYTQ0ZjEyNzQzNGJhN2JmNjEyZTM0NmRhZWZhNjIiLCJwIjoic2hlZXRzLWppcmEifQ","HWKREPORT-3274")</f>
        <v>HWKREPORT-3274</v>
      </c>
      <c r="C291" s="1" t="s">
        <v>1434</v>
      </c>
      <c r="D291" s="1" t="s">
        <v>23</v>
      </c>
      <c r="E291" s="1" t="s">
        <v>35</v>
      </c>
      <c r="F291" s="4">
        <v>45699.61766203704</v>
      </c>
      <c r="G291" s="3" t="str">
        <f>HYPERLINK("https://hawk-eye.atlassian.net/browse/RTT-10023?atlOrigin=eyJpIjoiYzgwYTQ0ZjEyNzQzNGJhN2JmNjEyZTM0NmRhZWZhNjIiLCJwIjoic2hlZXRzLWppcmEifQ","RTT-10023")</f>
        <v>RTT-10023</v>
      </c>
      <c r="H291" s="1" t="s">
        <v>1058</v>
      </c>
      <c r="I291" s="1" t="s">
        <v>1071</v>
      </c>
      <c r="J291" s="1" t="s">
        <v>26</v>
      </c>
      <c r="K291" s="1" t="s">
        <v>1095</v>
      </c>
      <c r="L291" s="1" t="s">
        <v>26</v>
      </c>
      <c r="M291" s="1" t="s">
        <v>27</v>
      </c>
      <c r="N291" s="1" t="s">
        <v>26</v>
      </c>
      <c r="O291" s="1" t="s">
        <v>26</v>
      </c>
      <c r="P291" s="4">
        <v>45735.70479166666</v>
      </c>
    </row>
    <row r="292" hidden="1">
      <c r="A292" s="1" t="s">
        <v>21</v>
      </c>
      <c r="B292" s="3" t="str">
        <f>HYPERLINK("https://hawk-eye.atlassian.net/browse/HWKREPORT-3275?atlOrigin=eyJpIjoiYzgwYTQ0ZjEyNzQzNGJhN2JmNjEyZTM0NmRhZWZhNjIiLCJwIjoic2hlZXRzLWppcmEifQ","HWKREPORT-3275")</f>
        <v>HWKREPORT-3275</v>
      </c>
      <c r="C292" s="1" t="s">
        <v>1435</v>
      </c>
      <c r="D292" s="1" t="s">
        <v>23</v>
      </c>
      <c r="E292" s="1" t="s">
        <v>35</v>
      </c>
      <c r="F292" s="4">
        <v>45699.68256944444</v>
      </c>
      <c r="G292" s="3" t="str">
        <f>HYPERLINK("https://hawk-eye.atlassian.net/browse/RTT-10033?atlOrigin=eyJpIjoiYzgwYTQ0ZjEyNzQzNGJhN2JmNjEyZTM0NmRhZWZhNjIiLCJwIjoic2hlZXRzLWppcmEifQ","RTT-10033")</f>
        <v>RTT-10033</v>
      </c>
      <c r="H292" s="1" t="s">
        <v>1058</v>
      </c>
      <c r="I292" s="1" t="s">
        <v>1071</v>
      </c>
      <c r="J292" s="1" t="s">
        <v>26</v>
      </c>
      <c r="K292" s="1" t="s">
        <v>1099</v>
      </c>
      <c r="L292" s="1" t="s">
        <v>26</v>
      </c>
      <c r="M292" s="1" t="s">
        <v>27</v>
      </c>
      <c r="N292" s="1" t="s">
        <v>26</v>
      </c>
      <c r="O292" s="1" t="s">
        <v>26</v>
      </c>
      <c r="P292" s="4">
        <v>45714.56584490741</v>
      </c>
    </row>
    <row r="293" hidden="1">
      <c r="A293" s="1" t="s">
        <v>21</v>
      </c>
      <c r="B293" s="3" t="str">
        <f>HYPERLINK("https://hawk-eye.atlassian.net/browse/HWKREPORT-3276?atlOrigin=eyJpIjoiYzgwYTQ0ZjEyNzQzNGJhN2JmNjEyZTM0NmRhZWZhNjIiLCJwIjoic2hlZXRzLWppcmEifQ","HWKREPORT-3276")</f>
        <v>HWKREPORT-3276</v>
      </c>
      <c r="C293" s="1" t="s">
        <v>1436</v>
      </c>
      <c r="D293" s="1" t="s">
        <v>34</v>
      </c>
      <c r="E293" s="1" t="s">
        <v>35</v>
      </c>
      <c r="F293" s="4">
        <v>45700.601956018516</v>
      </c>
      <c r="G293" s="3" t="str">
        <f t="shared" ref="G293:G294" si="28">HYPERLINK("https://hawk-eye.atlassian.net/browse/?atlOrigin=eyJpIjoiYzgwYTQ0ZjEyNzQzNGJhN2JmNjEyZTM0NmRhZWZhNjIiLCJwIjoic2hlZXRzLWppcmEifQ","")</f>
        <v/>
      </c>
      <c r="H293" s="1" t="s">
        <v>1058</v>
      </c>
      <c r="I293" s="1" t="s">
        <v>1059</v>
      </c>
      <c r="J293" s="1" t="s">
        <v>26</v>
      </c>
      <c r="K293" s="1" t="s">
        <v>1369</v>
      </c>
      <c r="L293" s="1" t="s">
        <v>26</v>
      </c>
      <c r="M293" s="1" t="s">
        <v>27</v>
      </c>
      <c r="N293" s="1" t="s">
        <v>26</v>
      </c>
      <c r="O293" s="1" t="s">
        <v>26</v>
      </c>
      <c r="P293" s="4">
        <v>45721.7978125</v>
      </c>
    </row>
    <row r="294" hidden="1">
      <c r="A294" s="1" t="s">
        <v>1055</v>
      </c>
      <c r="B294" s="3" t="str">
        <f>HYPERLINK("https://hawk-eye.atlassian.net/browse/HWKREPORT-3277?atlOrigin=eyJpIjoiYzgwYTQ0ZjEyNzQzNGJhN2JmNjEyZTM0NmRhZWZhNjIiLCJwIjoic2hlZXRzLWppcmEifQ","HWKREPORT-3277")</f>
        <v>HWKREPORT-3277</v>
      </c>
      <c r="C294" s="1" t="s">
        <v>1437</v>
      </c>
      <c r="D294" s="1" t="s">
        <v>34</v>
      </c>
      <c r="E294" s="1" t="s">
        <v>1057</v>
      </c>
      <c r="F294" s="4">
        <v>45700.60880787037</v>
      </c>
      <c r="G294" s="3" t="str">
        <f t="shared" si="28"/>
        <v/>
      </c>
      <c r="H294" s="1" t="s">
        <v>1058</v>
      </c>
      <c r="I294" s="1" t="s">
        <v>1059</v>
      </c>
      <c r="J294" s="1" t="s">
        <v>26</v>
      </c>
      <c r="K294" s="1" t="s">
        <v>1060</v>
      </c>
      <c r="L294" s="1" t="s">
        <v>26</v>
      </c>
      <c r="M294" s="1" t="s">
        <v>27</v>
      </c>
      <c r="N294" s="1" t="s">
        <v>26</v>
      </c>
      <c r="O294" s="1" t="s">
        <v>26</v>
      </c>
      <c r="P294" s="4">
        <v>45700.60880787037</v>
      </c>
    </row>
    <row r="295" hidden="1">
      <c r="A295" s="1" t="s">
        <v>21</v>
      </c>
      <c r="B295" s="3" t="str">
        <f>HYPERLINK("https://hawk-eye.atlassian.net/browse/HWKREPORT-3278?atlOrigin=eyJpIjoiYzgwYTQ0ZjEyNzQzNGJhN2JmNjEyZTM0NmRhZWZhNjIiLCJwIjoic2hlZXRzLWppcmEifQ","HWKREPORT-3278")</f>
        <v>HWKREPORT-3278</v>
      </c>
      <c r="C295" s="1" t="s">
        <v>1438</v>
      </c>
      <c r="D295" s="1" t="s">
        <v>34</v>
      </c>
      <c r="E295" s="1" t="s">
        <v>35</v>
      </c>
      <c r="F295" s="4">
        <v>45700.609305555554</v>
      </c>
      <c r="G295" s="3" t="str">
        <f>HYPERLINK("https://hawk-eye.atlassian.net/browse/SO-2262?atlOrigin=eyJpIjoiYzgwYTQ0ZjEyNzQzNGJhN2JmNjEyZTM0NmRhZWZhNjIiLCJwIjoic2hlZXRzLWppcmEifQ","SO-2262")</f>
        <v>SO-2262</v>
      </c>
      <c r="H295" s="1" t="s">
        <v>1058</v>
      </c>
      <c r="I295" s="1" t="s">
        <v>1429</v>
      </c>
      <c r="J295" s="1" t="s">
        <v>26</v>
      </c>
      <c r="K295" s="1" t="s">
        <v>1439</v>
      </c>
      <c r="L295" s="1" t="s">
        <v>26</v>
      </c>
      <c r="M295" s="1" t="s">
        <v>27</v>
      </c>
      <c r="N295" s="1" t="s">
        <v>26</v>
      </c>
      <c r="O295" s="1" t="s">
        <v>26</v>
      </c>
      <c r="P295" s="4">
        <v>45714.63648148148</v>
      </c>
    </row>
    <row r="296" hidden="1">
      <c r="A296" s="1" t="s">
        <v>1055</v>
      </c>
      <c r="B296" s="3" t="str">
        <f>HYPERLINK("https://hawk-eye.atlassian.net/browse/HWKREPORT-3279?atlOrigin=eyJpIjoiYzgwYTQ0ZjEyNzQzNGJhN2JmNjEyZTM0NmRhZWZhNjIiLCJwIjoic2hlZXRzLWppcmEifQ","HWKREPORT-3279")</f>
        <v>HWKREPORT-3279</v>
      </c>
      <c r="C296" s="1" t="s">
        <v>1440</v>
      </c>
      <c r="D296" s="1" t="s">
        <v>23</v>
      </c>
      <c r="E296" s="1" t="s">
        <v>1074</v>
      </c>
      <c r="F296" s="4">
        <v>45700.61890046296</v>
      </c>
      <c r="G296" s="3" t="str">
        <f>HYPERLINK("https://hawk-eye.atlassian.net/browse/CTF-1237?atlOrigin=eyJpIjoiYzgwYTQ0ZjEyNzQzNGJhN2JmNjEyZTM0NmRhZWZhNjIiLCJwIjoic2hlZXRzLWppcmEifQ","CTF-1237")</f>
        <v>CTF-1237</v>
      </c>
      <c r="H296" s="1" t="s">
        <v>1058</v>
      </c>
      <c r="I296" s="1" t="s">
        <v>1059</v>
      </c>
      <c r="J296" s="1" t="s">
        <v>26</v>
      </c>
      <c r="K296" s="1" t="s">
        <v>1060</v>
      </c>
      <c r="L296" s="1" t="s">
        <v>26</v>
      </c>
      <c r="M296" s="1" t="s">
        <v>27</v>
      </c>
      <c r="N296" s="1" t="s">
        <v>26</v>
      </c>
      <c r="O296" s="1" t="s">
        <v>26</v>
      </c>
      <c r="P296" s="4">
        <v>45783.72424768518</v>
      </c>
    </row>
    <row r="297" hidden="1">
      <c r="A297" s="1" t="s">
        <v>21</v>
      </c>
      <c r="B297" s="3" t="str">
        <f>HYPERLINK("https://hawk-eye.atlassian.net/browse/HWKREPORT-3280?atlOrigin=eyJpIjoiYzgwYTQ0ZjEyNzQzNGJhN2JmNjEyZTM0NmRhZWZhNjIiLCJwIjoic2hlZXRzLWppcmEifQ","HWKREPORT-3280")</f>
        <v>HWKREPORT-3280</v>
      </c>
      <c r="C297" s="1" t="s">
        <v>1441</v>
      </c>
      <c r="D297" s="1" t="s">
        <v>23</v>
      </c>
      <c r="E297" s="1" t="s">
        <v>1057</v>
      </c>
      <c r="F297" s="4">
        <v>45700.698483796295</v>
      </c>
      <c r="G297" s="3" t="str">
        <f>HYPERLINK("https://hawk-eye.atlassian.net/browse/?atlOrigin=eyJpIjoiYzgwYTQ0ZjEyNzQzNGJhN2JmNjEyZTM0NmRhZWZhNjIiLCJwIjoic2hlZXRzLWppcmEifQ","")</f>
        <v/>
      </c>
      <c r="H297" s="1" t="s">
        <v>1058</v>
      </c>
      <c r="I297" s="1" t="s">
        <v>1126</v>
      </c>
      <c r="J297" s="1" t="s">
        <v>26</v>
      </c>
      <c r="K297" s="1" t="s">
        <v>1211</v>
      </c>
      <c r="L297" s="1" t="s">
        <v>26</v>
      </c>
      <c r="M297" s="1" t="s">
        <v>27</v>
      </c>
      <c r="N297" s="1" t="s">
        <v>26</v>
      </c>
      <c r="O297" s="1" t="s">
        <v>26</v>
      </c>
      <c r="P297" s="4">
        <v>45700.69849537037</v>
      </c>
    </row>
    <row r="298" hidden="1">
      <c r="A298" s="1" t="s">
        <v>1055</v>
      </c>
      <c r="B298" s="3" t="str">
        <f>HYPERLINK("https://hawk-eye.atlassian.net/browse/HWKREPORT-3281?atlOrigin=eyJpIjoiYzgwYTQ0ZjEyNzQzNGJhN2JmNjEyZTM0NmRhZWZhNjIiLCJwIjoic2hlZXRzLWppcmEifQ","HWKREPORT-3281")</f>
        <v>HWKREPORT-3281</v>
      </c>
      <c r="C298" s="1" t="s">
        <v>1442</v>
      </c>
      <c r="D298" s="1" t="s">
        <v>23</v>
      </c>
      <c r="E298" s="1" t="s">
        <v>1207</v>
      </c>
      <c r="F298" s="4">
        <v>45700.91174768518</v>
      </c>
      <c r="G298" s="3" t="str">
        <f>HYPERLINK("https://hawk-eye.atlassian.net/browse/RTT-10246?atlOrigin=eyJpIjoiYzgwYTQ0ZjEyNzQzNGJhN2JmNjEyZTM0NmRhZWZhNjIiLCJwIjoic2hlZXRzLWppcmEifQ","RTT-10246")</f>
        <v>RTT-10246</v>
      </c>
      <c r="H298" s="1" t="s">
        <v>1058</v>
      </c>
      <c r="I298" s="1" t="s">
        <v>28</v>
      </c>
      <c r="J298" s="1" t="s">
        <v>26</v>
      </c>
      <c r="K298" s="1" t="s">
        <v>1072</v>
      </c>
      <c r="L298" s="1" t="s">
        <v>26</v>
      </c>
      <c r="M298" s="1" t="s">
        <v>27</v>
      </c>
      <c r="N298" s="1" t="s">
        <v>26</v>
      </c>
      <c r="O298" s="1" t="s">
        <v>26</v>
      </c>
      <c r="P298" s="4">
        <v>45700.91175925926</v>
      </c>
    </row>
    <row r="299" hidden="1">
      <c r="A299" s="1" t="s">
        <v>1055</v>
      </c>
      <c r="B299" s="3" t="str">
        <f>HYPERLINK("https://hawk-eye.atlassian.net/browse/HWKREPORT-3282?atlOrigin=eyJpIjoiYzgwYTQ0ZjEyNzQzNGJhN2JmNjEyZTM0NmRhZWZhNjIiLCJwIjoic2hlZXRzLWppcmEifQ","HWKREPORT-3282")</f>
        <v>HWKREPORT-3282</v>
      </c>
      <c r="C299" s="1" t="s">
        <v>1443</v>
      </c>
      <c r="D299" s="1" t="s">
        <v>23</v>
      </c>
      <c r="E299" s="1" t="s">
        <v>1207</v>
      </c>
      <c r="F299" s="4">
        <v>45700.91427083333</v>
      </c>
      <c r="G299" s="3" t="str">
        <f>HYPERLINK("https://hawk-eye.atlassian.net/browse/RTT-10065?atlOrigin=eyJpIjoiYzgwYTQ0ZjEyNzQzNGJhN2JmNjEyZTM0NmRhZWZhNjIiLCJwIjoic2hlZXRzLWppcmEifQ","RTT-10065")</f>
        <v>RTT-10065</v>
      </c>
      <c r="H299" s="1" t="s">
        <v>1058</v>
      </c>
      <c r="I299" s="1" t="s">
        <v>28</v>
      </c>
      <c r="J299" s="1" t="s">
        <v>26</v>
      </c>
      <c r="K299" s="1" t="s">
        <v>1072</v>
      </c>
      <c r="L299" s="1" t="s">
        <v>26</v>
      </c>
      <c r="M299" s="1" t="s">
        <v>27</v>
      </c>
      <c r="N299" s="1" t="s">
        <v>26</v>
      </c>
      <c r="O299" s="1" t="s">
        <v>26</v>
      </c>
      <c r="P299" s="4">
        <v>45754.78802083333</v>
      </c>
    </row>
    <row r="300" hidden="1">
      <c r="A300" s="1" t="s">
        <v>21</v>
      </c>
      <c r="B300" s="3" t="str">
        <f>HYPERLINK("https://hawk-eye.atlassian.net/browse/HWKREPORT-3283?atlOrigin=eyJpIjoiYzgwYTQ0ZjEyNzQzNGJhN2JmNjEyZTM0NmRhZWZhNjIiLCJwIjoic2hlZXRzLWppcmEifQ","HWKREPORT-3283")</f>
        <v>HWKREPORT-3283</v>
      </c>
      <c r="C300" s="1" t="s">
        <v>1444</v>
      </c>
      <c r="D300" s="1" t="s">
        <v>83</v>
      </c>
      <c r="E300" s="1" t="s">
        <v>1057</v>
      </c>
      <c r="F300" s="4">
        <v>45705.114328703705</v>
      </c>
      <c r="G300" s="3" t="str">
        <f>HYPERLINK("https://hawk-eye.atlassian.net/browse/RTT-10071?atlOrigin=eyJpIjoiYzgwYTQ0ZjEyNzQzNGJhN2JmNjEyZTM0NmRhZWZhNjIiLCJwIjoic2hlZXRzLWppcmEifQ","RTT-10071")</f>
        <v>RTT-10071</v>
      </c>
      <c r="H300" s="1" t="s">
        <v>1058</v>
      </c>
      <c r="I300" s="1" t="s">
        <v>1071</v>
      </c>
      <c r="J300" s="1" t="s">
        <v>26</v>
      </c>
      <c r="K300" s="1" t="s">
        <v>1072</v>
      </c>
      <c r="L300" s="1" t="s">
        <v>26</v>
      </c>
      <c r="M300" s="1" t="s">
        <v>27</v>
      </c>
      <c r="N300" s="1" t="s">
        <v>26</v>
      </c>
      <c r="O300" s="1" t="s">
        <v>26</v>
      </c>
      <c r="P300" s="4">
        <v>45705.114340277774</v>
      </c>
    </row>
    <row r="301" hidden="1">
      <c r="A301" s="1" t="s">
        <v>21</v>
      </c>
      <c r="B301" s="3" t="str">
        <f>HYPERLINK("https://hawk-eye.atlassian.net/browse/HWKREPORT-3284?atlOrigin=eyJpIjoiYzgwYTQ0ZjEyNzQzNGJhN2JmNjEyZTM0NmRhZWZhNjIiLCJwIjoic2hlZXRzLWppcmEifQ","HWKREPORT-3284")</f>
        <v>HWKREPORT-3284</v>
      </c>
      <c r="C301" s="1" t="s">
        <v>1445</v>
      </c>
      <c r="D301" s="1" t="s">
        <v>23</v>
      </c>
      <c r="E301" s="1" t="s">
        <v>35</v>
      </c>
      <c r="F301" s="4">
        <v>45705.13318287037</v>
      </c>
      <c r="G301" s="3" t="str">
        <f>HYPERLINK("https://hawk-eye.atlassian.net/browse/RTT-10070?atlOrigin=eyJpIjoiYzgwYTQ0ZjEyNzQzNGJhN2JmNjEyZTM0NmRhZWZhNjIiLCJwIjoic2hlZXRzLWppcmEifQ","RTT-10070")</f>
        <v>RTT-10070</v>
      </c>
      <c r="H301" s="1" t="s">
        <v>1058</v>
      </c>
      <c r="I301" s="1" t="s">
        <v>1071</v>
      </c>
      <c r="J301" s="1" t="s">
        <v>26</v>
      </c>
      <c r="K301" s="1" t="s">
        <v>1099</v>
      </c>
      <c r="L301" s="1" t="s">
        <v>26</v>
      </c>
      <c r="M301" s="1" t="s">
        <v>27</v>
      </c>
      <c r="N301" s="1" t="s">
        <v>26</v>
      </c>
      <c r="O301" s="1" t="s">
        <v>26</v>
      </c>
      <c r="P301" s="4">
        <v>45768.60265046296</v>
      </c>
    </row>
    <row r="302" hidden="1">
      <c r="A302" s="1" t="s">
        <v>1055</v>
      </c>
      <c r="B302" s="3" t="str">
        <f>HYPERLINK("https://hawk-eye.atlassian.net/browse/HWKREPORT-3176?atlOrigin=eyJpIjoiYzgwYTQ0ZjEyNzQzNGJhN2JmNjEyZTM0NmRhZWZhNjIiLCJwIjoic2hlZXRzLWppcmEifQ","HWKREPORT-3176")</f>
        <v>HWKREPORT-3176</v>
      </c>
      <c r="C302" s="1" t="s">
        <v>1446</v>
      </c>
      <c r="D302" s="1" t="s">
        <v>23</v>
      </c>
      <c r="E302" s="1" t="s">
        <v>35</v>
      </c>
      <c r="F302" s="4">
        <v>45670.54236111111</v>
      </c>
      <c r="G302" s="3" t="str">
        <f>HYPERLINK("https://hawk-eye.atlassian.net/browse/AT-1663?atlOrigin=eyJpIjoiYzgwYTQ0ZjEyNzQzNGJhN2JmNjEyZTM0NmRhZWZhNjIiLCJwIjoic2hlZXRzLWppcmEifQ","AT-1663")</f>
        <v>AT-1663</v>
      </c>
      <c r="H302" s="1" t="s">
        <v>1058</v>
      </c>
      <c r="I302" s="1" t="s">
        <v>1085</v>
      </c>
      <c r="J302" s="1" t="s">
        <v>26</v>
      </c>
      <c r="K302" s="1" t="s">
        <v>26</v>
      </c>
      <c r="L302" s="1" t="s">
        <v>26</v>
      </c>
      <c r="M302" s="1" t="s">
        <v>27</v>
      </c>
      <c r="N302" s="1" t="s">
        <v>26</v>
      </c>
      <c r="O302" s="1" t="s">
        <v>26</v>
      </c>
      <c r="P302" s="4">
        <v>45678.6349537037</v>
      </c>
    </row>
    <row r="303" hidden="1">
      <c r="A303" s="1" t="s">
        <v>1055</v>
      </c>
      <c r="B303" s="3" t="str">
        <f>HYPERLINK("https://hawk-eye.atlassian.net/browse/HWKREPORT-3177?atlOrigin=eyJpIjoiYzgwYTQ0ZjEyNzQzNGJhN2JmNjEyZTM0NmRhZWZhNjIiLCJwIjoic2hlZXRzLWppcmEifQ","HWKREPORT-3177")</f>
        <v>HWKREPORT-3177</v>
      </c>
      <c r="C303" s="1" t="s">
        <v>1447</v>
      </c>
      <c r="D303" s="1" t="s">
        <v>48</v>
      </c>
      <c r="E303" s="1" t="s">
        <v>35</v>
      </c>
      <c r="F303" s="4">
        <v>45670.62978009259</v>
      </c>
      <c r="G303" s="3" t="str">
        <f>HYPERLINK("https://hawk-eye.atlassian.net/browse/RTT-9835?atlOrigin=eyJpIjoiYzgwYTQ0ZjEyNzQzNGJhN2JmNjEyZTM0NmRhZWZhNjIiLCJwIjoic2hlZXRzLWppcmEifQ","RTT-9835")</f>
        <v>RTT-9835</v>
      </c>
      <c r="H303" s="1" t="s">
        <v>1058</v>
      </c>
      <c r="I303" s="1" t="s">
        <v>28</v>
      </c>
      <c r="J303" s="1" t="s">
        <v>26</v>
      </c>
      <c r="K303" s="1" t="s">
        <v>1072</v>
      </c>
      <c r="L303" s="1" t="s">
        <v>26</v>
      </c>
      <c r="M303" s="1" t="s">
        <v>27</v>
      </c>
      <c r="N303" s="1" t="s">
        <v>26</v>
      </c>
      <c r="O303" s="1" t="s">
        <v>26</v>
      </c>
      <c r="P303" s="4">
        <v>45686.4002662037</v>
      </c>
    </row>
    <row r="304" hidden="1">
      <c r="A304" s="1" t="s">
        <v>1055</v>
      </c>
      <c r="B304" s="3" t="str">
        <f>HYPERLINK("https://hawk-eye.atlassian.net/browse/HWKREPORT-3178?atlOrigin=eyJpIjoiYzgwYTQ0ZjEyNzQzNGJhN2JmNjEyZTM0NmRhZWZhNjIiLCJwIjoic2hlZXRzLWppcmEifQ","HWKREPORT-3178")</f>
        <v>HWKREPORT-3178</v>
      </c>
      <c r="C304" s="1" t="s">
        <v>1448</v>
      </c>
      <c r="D304" s="1" t="s">
        <v>48</v>
      </c>
      <c r="E304" s="1" t="s">
        <v>1057</v>
      </c>
      <c r="F304" s="4">
        <v>45670.67422453704</v>
      </c>
      <c r="G304" s="3" t="str">
        <f>HYPERLINK("https://hawk-eye.atlassian.net/browse/FP-452?atlOrigin=eyJpIjoiYzgwYTQ0ZjEyNzQzNGJhN2JmNjEyZTM0NmRhZWZhNjIiLCJwIjoic2hlZXRzLWppcmEifQ","FP-452")</f>
        <v>FP-452</v>
      </c>
      <c r="H304" s="1" t="s">
        <v>1058</v>
      </c>
      <c r="I304" s="1" t="s">
        <v>1085</v>
      </c>
      <c r="J304" s="1" t="s">
        <v>26</v>
      </c>
      <c r="K304" s="1" t="s">
        <v>1290</v>
      </c>
      <c r="L304" s="1" t="s">
        <v>26</v>
      </c>
      <c r="M304" s="1" t="s">
        <v>27</v>
      </c>
      <c r="N304" s="1" t="s">
        <v>26</v>
      </c>
      <c r="O304" s="1" t="s">
        <v>26</v>
      </c>
      <c r="P304" s="4">
        <v>45670.67422453704</v>
      </c>
    </row>
    <row r="305" hidden="1">
      <c r="A305" s="1" t="s">
        <v>1055</v>
      </c>
      <c r="B305" s="3" t="str">
        <f>HYPERLINK("https://hawk-eye.atlassian.net/browse/HWKREPORT-3179?atlOrigin=eyJpIjoiYzgwYTQ0ZjEyNzQzNGJhN2JmNjEyZTM0NmRhZWZhNjIiLCJwIjoic2hlZXRzLWppcmEifQ","HWKREPORT-3179")</f>
        <v>HWKREPORT-3179</v>
      </c>
      <c r="C305" s="1" t="s">
        <v>1449</v>
      </c>
      <c r="D305" s="1" t="s">
        <v>48</v>
      </c>
      <c r="E305" s="1" t="s">
        <v>1057</v>
      </c>
      <c r="F305" s="4">
        <v>45670.676412037035</v>
      </c>
      <c r="G305" s="3" t="str">
        <f>HYPERLINK("https://hawk-eye.atlassian.net/browse/FP-451?atlOrigin=eyJpIjoiYzgwYTQ0ZjEyNzQzNGJhN2JmNjEyZTM0NmRhZWZhNjIiLCJwIjoic2hlZXRzLWppcmEifQ","FP-451")</f>
        <v>FP-451</v>
      </c>
      <c r="H305" s="1" t="s">
        <v>1058</v>
      </c>
      <c r="I305" s="1" t="s">
        <v>1085</v>
      </c>
      <c r="J305" s="1" t="s">
        <v>26</v>
      </c>
      <c r="K305" s="1" t="s">
        <v>1290</v>
      </c>
      <c r="L305" s="1" t="s">
        <v>26</v>
      </c>
      <c r="M305" s="1" t="s">
        <v>27</v>
      </c>
      <c r="N305" s="1" t="s">
        <v>26</v>
      </c>
      <c r="O305" s="1" t="s">
        <v>26</v>
      </c>
      <c r="P305" s="4">
        <v>45670.67642361111</v>
      </c>
    </row>
    <row r="306" hidden="1">
      <c r="A306" s="1" t="s">
        <v>1055</v>
      </c>
      <c r="B306" s="3" t="str">
        <f>HYPERLINK("https://hawk-eye.atlassian.net/browse/HWKREPORT-3180?atlOrigin=eyJpIjoiYzgwYTQ0ZjEyNzQzNGJhN2JmNjEyZTM0NmRhZWZhNjIiLCJwIjoic2hlZXRzLWppcmEifQ","HWKREPORT-3180")</f>
        <v>HWKREPORT-3180</v>
      </c>
      <c r="C306" s="1" t="s">
        <v>1450</v>
      </c>
      <c r="D306" s="1" t="s">
        <v>48</v>
      </c>
      <c r="E306" s="1" t="s">
        <v>1057</v>
      </c>
      <c r="F306" s="4">
        <v>45670.678252314814</v>
      </c>
      <c r="G306" s="3" t="str">
        <f>HYPERLINK("https://hawk-eye.atlassian.net/browse/FP-449?atlOrigin=eyJpIjoiYzgwYTQ0ZjEyNzQzNGJhN2JmNjEyZTM0NmRhZWZhNjIiLCJwIjoic2hlZXRzLWppcmEifQ","FP-449")</f>
        <v>FP-449</v>
      </c>
      <c r="H306" s="1" t="s">
        <v>1058</v>
      </c>
      <c r="I306" s="1" t="s">
        <v>1085</v>
      </c>
      <c r="J306" s="1" t="s">
        <v>26</v>
      </c>
      <c r="K306" s="1" t="s">
        <v>1290</v>
      </c>
      <c r="L306" s="1" t="s">
        <v>26</v>
      </c>
      <c r="M306" s="1" t="s">
        <v>27</v>
      </c>
      <c r="N306" s="1" t="s">
        <v>26</v>
      </c>
      <c r="O306" s="1" t="s">
        <v>26</v>
      </c>
      <c r="P306" s="4">
        <v>45670.67826388889</v>
      </c>
    </row>
    <row r="307" hidden="1">
      <c r="A307" s="1" t="s">
        <v>1055</v>
      </c>
      <c r="B307" s="3" t="str">
        <f>HYPERLINK("https://hawk-eye.atlassian.net/browse/HWKREPORT-3181?atlOrigin=eyJpIjoiYzgwYTQ0ZjEyNzQzNGJhN2JmNjEyZTM0NmRhZWZhNjIiLCJwIjoic2hlZXRzLWppcmEifQ","HWKREPORT-3181")</f>
        <v>HWKREPORT-3181</v>
      </c>
      <c r="C307" s="1" t="s">
        <v>1451</v>
      </c>
      <c r="D307" s="1" t="s">
        <v>48</v>
      </c>
      <c r="E307" s="1" t="s">
        <v>1057</v>
      </c>
      <c r="F307" s="4">
        <v>45670.68672453704</v>
      </c>
      <c r="G307" s="3" t="str">
        <f t="shared" ref="G307:G308" si="29">HYPERLINK("https://hawk-eye.atlassian.net/browse/?atlOrigin=eyJpIjoiYzgwYTQ0ZjEyNzQzNGJhN2JmNjEyZTM0NmRhZWZhNjIiLCJwIjoic2hlZXRzLWppcmEifQ","")</f>
        <v/>
      </c>
      <c r="H307" s="1" t="s">
        <v>1058</v>
      </c>
      <c r="I307" s="1" t="s">
        <v>1085</v>
      </c>
      <c r="J307" s="1" t="s">
        <v>26</v>
      </c>
      <c r="K307" s="1" t="s">
        <v>1290</v>
      </c>
      <c r="L307" s="1" t="s">
        <v>26</v>
      </c>
      <c r="M307" s="1" t="s">
        <v>27</v>
      </c>
      <c r="N307" s="1" t="s">
        <v>26</v>
      </c>
      <c r="O307" s="1" t="s">
        <v>26</v>
      </c>
      <c r="P307" s="4">
        <v>45670.686736111114</v>
      </c>
    </row>
    <row r="308" hidden="1">
      <c r="A308" s="1" t="s">
        <v>1055</v>
      </c>
      <c r="B308" s="3" t="str">
        <f>HYPERLINK("https://hawk-eye.atlassian.net/browse/HWKREPORT-3182?atlOrigin=eyJpIjoiYzgwYTQ0ZjEyNzQzNGJhN2JmNjEyZTM0NmRhZWZhNjIiLCJwIjoic2hlZXRzLWppcmEifQ","HWKREPORT-3182")</f>
        <v>HWKREPORT-3182</v>
      </c>
      <c r="C308" s="1" t="s">
        <v>1452</v>
      </c>
      <c r="D308" s="1" t="s">
        <v>48</v>
      </c>
      <c r="E308" s="1" t="s">
        <v>1057</v>
      </c>
      <c r="F308" s="4">
        <v>45670.83537037037</v>
      </c>
      <c r="G308" s="3" t="str">
        <f t="shared" si="29"/>
        <v/>
      </c>
      <c r="H308" s="1" t="s">
        <v>1058</v>
      </c>
      <c r="I308" s="1" t="s">
        <v>28</v>
      </c>
      <c r="J308" s="1" t="s">
        <v>26</v>
      </c>
      <c r="K308" s="1" t="s">
        <v>1072</v>
      </c>
      <c r="L308" s="1" t="s">
        <v>26</v>
      </c>
      <c r="M308" s="1" t="s">
        <v>27</v>
      </c>
      <c r="N308" s="1" t="s">
        <v>26</v>
      </c>
      <c r="O308" s="1" t="s">
        <v>26</v>
      </c>
      <c r="P308" s="4">
        <v>45670.83537037037</v>
      </c>
    </row>
    <row r="309" hidden="1">
      <c r="A309" s="1" t="s">
        <v>21</v>
      </c>
      <c r="B309" s="3" t="str">
        <f>HYPERLINK("https://hawk-eye.atlassian.net/browse/HWKREPORT-3183?atlOrigin=eyJpIjoiYzgwYTQ0ZjEyNzQzNGJhN2JmNjEyZTM0NmRhZWZhNjIiLCJwIjoic2hlZXRzLWppcmEifQ","HWKREPORT-3183")</f>
        <v>HWKREPORT-3183</v>
      </c>
      <c r="C309" s="1" t="s">
        <v>1453</v>
      </c>
      <c r="D309" s="1" t="s">
        <v>40</v>
      </c>
      <c r="E309" s="1" t="s">
        <v>35</v>
      </c>
      <c r="F309" s="4">
        <v>45671.3497337963</v>
      </c>
      <c r="G309" s="3" t="str">
        <f>HYPERLINK("https://hawk-eye.atlassian.net/browse/CTK-194?atlOrigin=eyJpIjoiYzgwYTQ0ZjEyNzQzNGJhN2JmNjEyZTM0NmRhZWZhNjIiLCJwIjoic2hlZXRzLWppcmEifQ","CTK-194")</f>
        <v>CTK-194</v>
      </c>
      <c r="H309" s="1" t="s">
        <v>1058</v>
      </c>
      <c r="I309" s="1" t="s">
        <v>1082</v>
      </c>
      <c r="J309" s="1" t="s">
        <v>26</v>
      </c>
      <c r="K309" s="1" t="s">
        <v>1083</v>
      </c>
      <c r="L309" s="1" t="s">
        <v>26</v>
      </c>
      <c r="M309" s="1" t="s">
        <v>27</v>
      </c>
      <c r="N309" s="1" t="s">
        <v>26</v>
      </c>
      <c r="O309" s="1" t="s">
        <v>26</v>
      </c>
      <c r="P309" s="4">
        <v>45714.39534722222</v>
      </c>
    </row>
    <row r="310" hidden="1">
      <c r="A310" s="1" t="s">
        <v>21</v>
      </c>
      <c r="B310" s="3" t="str">
        <f>HYPERLINK("https://hawk-eye.atlassian.net/browse/HWKREPORT-3184?atlOrigin=eyJpIjoiYzgwYTQ0ZjEyNzQzNGJhN2JmNjEyZTM0NmRhZWZhNjIiLCJwIjoic2hlZXRzLWppcmEifQ","HWKREPORT-3184")</f>
        <v>HWKREPORT-3184</v>
      </c>
      <c r="C310" s="1" t="s">
        <v>1454</v>
      </c>
      <c r="D310" s="1" t="s">
        <v>40</v>
      </c>
      <c r="E310" s="1" t="s">
        <v>35</v>
      </c>
      <c r="F310" s="4">
        <v>45671.40157407407</v>
      </c>
      <c r="G310" s="3" t="str">
        <f>HYPERLINK("https://hawk-eye.atlassian.net/browse/?atlOrigin=eyJpIjoiYzgwYTQ0ZjEyNzQzNGJhN2JmNjEyZTM0NmRhZWZhNjIiLCJwIjoic2hlZXRzLWppcmEifQ","")</f>
        <v/>
      </c>
      <c r="H310" s="1" t="s">
        <v>1058</v>
      </c>
      <c r="I310" s="1" t="s">
        <v>1126</v>
      </c>
      <c r="J310" s="1" t="s">
        <v>26</v>
      </c>
      <c r="K310" s="1" t="s">
        <v>1105</v>
      </c>
      <c r="L310" s="1" t="s">
        <v>26</v>
      </c>
      <c r="M310" s="1" t="s">
        <v>27</v>
      </c>
      <c r="N310" s="1" t="s">
        <v>26</v>
      </c>
      <c r="O310" s="1" t="s">
        <v>26</v>
      </c>
      <c r="P310" s="4">
        <v>45729.69793981482</v>
      </c>
    </row>
    <row r="311" hidden="1">
      <c r="A311" s="1" t="s">
        <v>21</v>
      </c>
      <c r="B311" s="3" t="str">
        <f>HYPERLINK("https://hawk-eye.atlassian.net/browse/HWKREPORT-3084?atlOrigin=eyJpIjoiYzgwYTQ0ZjEyNzQzNGJhN2JmNjEyZTM0NmRhZWZhNjIiLCJwIjoic2hlZXRzLWppcmEifQ","HWKREPORT-3084")</f>
        <v>HWKREPORT-3084</v>
      </c>
      <c r="C311" s="1" t="s">
        <v>1455</v>
      </c>
      <c r="D311" s="1" t="s">
        <v>40</v>
      </c>
      <c r="E311" s="1" t="s">
        <v>1207</v>
      </c>
      <c r="F311" s="4">
        <v>45622.48976851852</v>
      </c>
      <c r="G311" s="3" t="str">
        <f>HYPERLINK("https://hawk-eye.atlassian.net/browse/GT-1686?atlOrigin=eyJpIjoiYzgwYTQ0ZjEyNzQzNGJhN2JmNjEyZTM0NmRhZWZhNjIiLCJwIjoic2hlZXRzLWppcmEifQ","GT-1686")</f>
        <v>GT-1686</v>
      </c>
      <c r="H311" s="1" t="s">
        <v>1058</v>
      </c>
      <c r="I311" s="1" t="s">
        <v>1082</v>
      </c>
      <c r="J311" s="1" t="s">
        <v>26</v>
      </c>
      <c r="K311" s="1" t="s">
        <v>1148</v>
      </c>
      <c r="L311" s="1" t="s">
        <v>26</v>
      </c>
      <c r="M311" s="1" t="s">
        <v>27</v>
      </c>
      <c r="N311" s="1" t="s">
        <v>26</v>
      </c>
      <c r="O311" s="1" t="s">
        <v>26</v>
      </c>
      <c r="P311" s="4">
        <v>45706.61732638889</v>
      </c>
    </row>
    <row r="312" hidden="1">
      <c r="A312" s="1" t="s">
        <v>21</v>
      </c>
      <c r="B312" s="3" t="str">
        <f>HYPERLINK("https://hawk-eye.atlassian.net/browse/HWKREPORT-3085?atlOrigin=eyJpIjoiYzgwYTQ0ZjEyNzQzNGJhN2JmNjEyZTM0NmRhZWZhNjIiLCJwIjoic2hlZXRzLWppcmEifQ","HWKREPORT-3085")</f>
        <v>HWKREPORT-3085</v>
      </c>
      <c r="C312" s="1" t="s">
        <v>1456</v>
      </c>
      <c r="D312" s="1" t="s">
        <v>23</v>
      </c>
      <c r="E312" s="1" t="s">
        <v>1057</v>
      </c>
      <c r="F312" s="4">
        <v>45622.5887037037</v>
      </c>
      <c r="G312" s="3" t="str">
        <f>HYPERLINK("https://hawk-eye.atlassian.net/browse/?atlOrigin=eyJpIjoiYzgwYTQ0ZjEyNzQzNGJhN2JmNjEyZTM0NmRhZWZhNjIiLCJwIjoic2hlZXRzLWppcmEifQ","")</f>
        <v/>
      </c>
      <c r="H312" s="1" t="s">
        <v>1058</v>
      </c>
      <c r="I312" s="1" t="s">
        <v>1082</v>
      </c>
      <c r="J312" s="1" t="s">
        <v>26</v>
      </c>
      <c r="K312" s="1" t="s">
        <v>1148</v>
      </c>
      <c r="L312" s="1" t="s">
        <v>26</v>
      </c>
      <c r="M312" s="1" t="s">
        <v>27</v>
      </c>
      <c r="N312" s="1" t="s">
        <v>26</v>
      </c>
      <c r="O312" s="1" t="s">
        <v>26</v>
      </c>
      <c r="P312" s="4">
        <v>45622.58871527778</v>
      </c>
    </row>
    <row r="313" hidden="1">
      <c r="A313" s="1" t="s">
        <v>21</v>
      </c>
      <c r="B313" s="3" t="str">
        <f>HYPERLINK("https://hawk-eye.atlassian.net/browse/HWKREPORT-3086?atlOrigin=eyJpIjoiYzgwYTQ0ZjEyNzQzNGJhN2JmNjEyZTM0NmRhZWZhNjIiLCJwIjoic2hlZXRzLWppcmEifQ","HWKREPORT-3086")</f>
        <v>HWKREPORT-3086</v>
      </c>
      <c r="C313" s="1" t="s">
        <v>1457</v>
      </c>
      <c r="D313" s="1" t="s">
        <v>40</v>
      </c>
      <c r="E313" s="1" t="s">
        <v>35</v>
      </c>
      <c r="F313" s="4">
        <v>45622.6340625</v>
      </c>
      <c r="G313" s="3" t="str">
        <f>HYPERLINK("https://hawk-eye.atlassian.net/browse/SO-2052?atlOrigin=eyJpIjoiYzgwYTQ0ZjEyNzQzNGJhN2JmNjEyZTM0NmRhZWZhNjIiLCJwIjoic2hlZXRzLWppcmEifQ","SO-2052")</f>
        <v>SO-2052</v>
      </c>
      <c r="H313" s="1" t="s">
        <v>1058</v>
      </c>
      <c r="I313" s="1" t="s">
        <v>1085</v>
      </c>
      <c r="J313" s="1" t="s">
        <v>26</v>
      </c>
      <c r="K313" s="1" t="s">
        <v>1116</v>
      </c>
      <c r="L313" s="1" t="s">
        <v>26</v>
      </c>
      <c r="M313" s="1" t="s">
        <v>27</v>
      </c>
      <c r="N313" s="1" t="s">
        <v>26</v>
      </c>
      <c r="O313" s="1" t="s">
        <v>26</v>
      </c>
      <c r="P313" s="4">
        <v>45632.3871875</v>
      </c>
    </row>
    <row r="314" hidden="1">
      <c r="A314" s="1" t="s">
        <v>1055</v>
      </c>
      <c r="B314" s="3" t="str">
        <f>HYPERLINK("https://hawk-eye.atlassian.net/browse/HWKREPORT-3087?atlOrigin=eyJpIjoiYzgwYTQ0ZjEyNzQzNGJhN2JmNjEyZTM0NmRhZWZhNjIiLCJwIjoic2hlZXRzLWppcmEifQ","HWKREPORT-3087")</f>
        <v>HWKREPORT-3087</v>
      </c>
      <c r="C314" s="1" t="s">
        <v>1458</v>
      </c>
      <c r="D314" s="1" t="s">
        <v>48</v>
      </c>
      <c r="E314" s="1" t="s">
        <v>1057</v>
      </c>
      <c r="F314" s="4">
        <v>45622.71869212963</v>
      </c>
      <c r="G314" s="3" t="str">
        <f t="shared" ref="G314:G315" si="30">HYPERLINK("https://hawk-eye.atlassian.net/browse/?atlOrigin=eyJpIjoiYzgwYTQ0ZjEyNzQzNGJhN2JmNjEyZTM0NmRhZWZhNjIiLCJwIjoic2hlZXRzLWppcmEifQ","")</f>
        <v/>
      </c>
      <c r="H314" s="1" t="s">
        <v>1058</v>
      </c>
      <c r="I314" s="1" t="s">
        <v>28</v>
      </c>
      <c r="J314" s="1" t="s">
        <v>26</v>
      </c>
      <c r="K314" s="1" t="s">
        <v>1099</v>
      </c>
      <c r="L314" s="1" t="s">
        <v>26</v>
      </c>
      <c r="M314" s="1" t="s">
        <v>27</v>
      </c>
      <c r="N314" s="1" t="s">
        <v>26</v>
      </c>
      <c r="O314" s="1" t="s">
        <v>26</v>
      </c>
      <c r="P314" s="4">
        <v>45622.7187037037</v>
      </c>
    </row>
    <row r="315" hidden="1">
      <c r="A315" s="1" t="s">
        <v>1055</v>
      </c>
      <c r="B315" s="3" t="str">
        <f>HYPERLINK("https://hawk-eye.atlassian.net/browse/HWKREPORT-3088?atlOrigin=eyJpIjoiYzgwYTQ0ZjEyNzQzNGJhN2JmNjEyZTM0NmRhZWZhNjIiLCJwIjoic2hlZXRzLWppcmEifQ","HWKREPORT-3088")</f>
        <v>HWKREPORT-3088</v>
      </c>
      <c r="C315" s="1" t="s">
        <v>1459</v>
      </c>
      <c r="D315" s="1" t="s">
        <v>48</v>
      </c>
      <c r="E315" s="1" t="s">
        <v>1057</v>
      </c>
      <c r="F315" s="4">
        <v>45622.91950231481</v>
      </c>
      <c r="G315" s="3" t="str">
        <f t="shared" si="30"/>
        <v/>
      </c>
      <c r="H315" s="1" t="s">
        <v>1058</v>
      </c>
      <c r="I315" s="1" t="s">
        <v>28</v>
      </c>
      <c r="J315" s="1" t="s">
        <v>26</v>
      </c>
      <c r="K315" s="1" t="s">
        <v>1072</v>
      </c>
      <c r="L315" s="1" t="s">
        <v>26</v>
      </c>
      <c r="M315" s="1" t="s">
        <v>27</v>
      </c>
      <c r="N315" s="1" t="s">
        <v>26</v>
      </c>
      <c r="O315" s="1" t="s">
        <v>26</v>
      </c>
      <c r="P315" s="4">
        <v>45622.91951388889</v>
      </c>
    </row>
    <row r="316" hidden="1">
      <c r="A316" s="1" t="s">
        <v>21</v>
      </c>
      <c r="B316" s="3" t="str">
        <f>HYPERLINK("https://hawk-eye.atlassian.net/browse/HWKREPORT-3089?atlOrigin=eyJpIjoiYzgwYTQ0ZjEyNzQzNGJhN2JmNjEyZTM0NmRhZWZhNjIiLCJwIjoic2hlZXRzLWppcmEifQ","HWKREPORT-3089")</f>
        <v>HWKREPORT-3089</v>
      </c>
      <c r="C316" s="1" t="s">
        <v>1460</v>
      </c>
      <c r="D316" s="1" t="s">
        <v>23</v>
      </c>
      <c r="E316" s="1" t="s">
        <v>1057</v>
      </c>
      <c r="F316" s="4">
        <v>45624.38810185185</v>
      </c>
      <c r="G316" s="3" t="str">
        <f>HYPERLINK("https://hawk-eye.atlassian.net/browse/GT-1759?atlOrigin=eyJpIjoiYzgwYTQ0ZjEyNzQzNGJhN2JmNjEyZTM0NmRhZWZhNjIiLCJwIjoic2hlZXRzLWppcmEifQ","GT-1759")</f>
        <v>GT-1759</v>
      </c>
      <c r="H316" s="1" t="s">
        <v>1058</v>
      </c>
      <c r="I316" s="1" t="s">
        <v>1126</v>
      </c>
      <c r="J316" s="1" t="s">
        <v>26</v>
      </c>
      <c r="K316" s="1" t="s">
        <v>1461</v>
      </c>
      <c r="L316" s="1" t="s">
        <v>26</v>
      </c>
      <c r="M316" s="1" t="s">
        <v>27</v>
      </c>
      <c r="N316" s="1" t="s">
        <v>26</v>
      </c>
      <c r="O316" s="1" t="s">
        <v>26</v>
      </c>
      <c r="P316" s="4">
        <v>45624.38811342593</v>
      </c>
    </row>
    <row r="317" hidden="1">
      <c r="A317" s="1" t="s">
        <v>21</v>
      </c>
      <c r="B317" s="3" t="str">
        <f>HYPERLINK("https://hawk-eye.atlassian.net/browse/HWKREPORT-3090?atlOrigin=eyJpIjoiYzgwYTQ0ZjEyNzQzNGJhN2JmNjEyZTM0NmRhZWZhNjIiLCJwIjoic2hlZXRzLWppcmEifQ","HWKREPORT-3090")</f>
        <v>HWKREPORT-3090</v>
      </c>
      <c r="C317" s="1" t="s">
        <v>1462</v>
      </c>
      <c r="D317" s="1" t="s">
        <v>40</v>
      </c>
      <c r="E317" s="1" t="s">
        <v>1057</v>
      </c>
      <c r="F317" s="4">
        <v>45624.73380787037</v>
      </c>
      <c r="G317" s="3" t="str">
        <f>HYPERLINK("https://hawk-eye.atlassian.net/browse/CTK-189?atlOrigin=eyJpIjoiYzgwYTQ0ZjEyNzQzNGJhN2JmNjEyZTM0NmRhZWZhNjIiLCJwIjoic2hlZXRzLWppcmEifQ","CTK-189")</f>
        <v>CTK-189</v>
      </c>
      <c r="H317" s="1" t="s">
        <v>1058</v>
      </c>
      <c r="I317" s="1" t="s">
        <v>1082</v>
      </c>
      <c r="J317" s="1" t="s">
        <v>26</v>
      </c>
      <c r="K317" s="1" t="s">
        <v>1083</v>
      </c>
      <c r="L317" s="1" t="s">
        <v>26</v>
      </c>
      <c r="M317" s="1" t="s">
        <v>27</v>
      </c>
      <c r="N317" s="1" t="s">
        <v>26</v>
      </c>
      <c r="O317" s="1" t="s">
        <v>26</v>
      </c>
      <c r="P317" s="4">
        <v>45624.733819444446</v>
      </c>
    </row>
    <row r="318" hidden="1">
      <c r="A318" s="1" t="s">
        <v>21</v>
      </c>
      <c r="B318" s="3" t="str">
        <f>HYPERLINK("https://hawk-eye.atlassian.net/browse/HWKREPORT-3091?atlOrigin=eyJpIjoiYzgwYTQ0ZjEyNzQzNGJhN2JmNjEyZTM0NmRhZWZhNjIiLCJwIjoic2hlZXRzLWppcmEifQ","HWKREPORT-3091")</f>
        <v>HWKREPORT-3091</v>
      </c>
      <c r="C318" s="1" t="s">
        <v>1463</v>
      </c>
      <c r="D318" s="1" t="s">
        <v>83</v>
      </c>
      <c r="E318" s="1" t="s">
        <v>1057</v>
      </c>
      <c r="F318" s="4">
        <v>45625.56835648148</v>
      </c>
      <c r="G318" s="3" t="str">
        <f>HYPERLINK("https://hawk-eye.atlassian.net/browse/?atlOrigin=eyJpIjoiYzgwYTQ0ZjEyNzQzNGJhN2JmNjEyZTM0NmRhZWZhNjIiLCJwIjoic2hlZXRzLWppcmEifQ","")</f>
        <v/>
      </c>
      <c r="H318" s="1" t="s">
        <v>1058</v>
      </c>
      <c r="I318" s="1" t="s">
        <v>1082</v>
      </c>
      <c r="J318" s="1" t="s">
        <v>26</v>
      </c>
      <c r="K318" s="1" t="s">
        <v>1355</v>
      </c>
      <c r="L318" s="1" t="s">
        <v>26</v>
      </c>
      <c r="M318" s="1" t="s">
        <v>27</v>
      </c>
      <c r="N318" s="1" t="s">
        <v>26</v>
      </c>
      <c r="O318" s="1" t="s">
        <v>26</v>
      </c>
      <c r="P318" s="4">
        <v>45625.56835648148</v>
      </c>
    </row>
    <row r="319" hidden="1">
      <c r="A319" s="1" t="s">
        <v>21</v>
      </c>
      <c r="B319" s="3" t="str">
        <f>HYPERLINK("https://hawk-eye.atlassian.net/browse/HWKREPORT-3092?atlOrigin=eyJpIjoiYzgwYTQ0ZjEyNzQzNGJhN2JmNjEyZTM0NmRhZWZhNjIiLCJwIjoic2hlZXRzLWppcmEifQ","HWKREPORT-3092")</f>
        <v>HWKREPORT-3092</v>
      </c>
      <c r="C319" s="1" t="s">
        <v>1464</v>
      </c>
      <c r="D319" s="1" t="s">
        <v>83</v>
      </c>
      <c r="E319" s="1" t="s">
        <v>1057</v>
      </c>
      <c r="F319" s="4">
        <v>45627.95444444445</v>
      </c>
      <c r="G319" s="3" t="str">
        <f>HYPERLINK("https://hawk-eye.atlassian.net/browse/BR-1879?atlOrigin=eyJpIjoiYzgwYTQ0ZjEyNzQzNGJhN2JmNjEyZTM0NmRhZWZhNjIiLCJwIjoic2hlZXRzLWppcmEifQ","BR-1879")</f>
        <v>BR-1879</v>
      </c>
      <c r="H319" s="1" t="s">
        <v>1058</v>
      </c>
      <c r="I319" s="1" t="s">
        <v>1107</v>
      </c>
      <c r="J319" s="1" t="s">
        <v>26</v>
      </c>
      <c r="K319" s="1" t="s">
        <v>1108</v>
      </c>
      <c r="L319" s="1" t="s">
        <v>26</v>
      </c>
      <c r="M319" s="1" t="s">
        <v>27</v>
      </c>
      <c r="N319" s="1" t="s">
        <v>26</v>
      </c>
      <c r="O319" s="1" t="s">
        <v>26</v>
      </c>
      <c r="P319" s="4">
        <v>45627.95445601852</v>
      </c>
    </row>
    <row r="320" hidden="1">
      <c r="A320" s="1" t="s">
        <v>1055</v>
      </c>
      <c r="B320" s="3" t="str">
        <f>HYPERLINK("https://hawk-eye.atlassian.net/browse/HWKREPORT-3093?atlOrigin=eyJpIjoiYzgwYTQ0ZjEyNzQzNGJhN2JmNjEyZTM0NmRhZWZhNjIiLCJwIjoic2hlZXRzLWppcmEifQ","HWKREPORT-3093")</f>
        <v>HWKREPORT-3093</v>
      </c>
      <c r="C320" s="1" t="s">
        <v>1465</v>
      </c>
      <c r="D320" s="1" t="s">
        <v>48</v>
      </c>
      <c r="E320" s="1" t="s">
        <v>35</v>
      </c>
      <c r="F320" s="4">
        <v>45628.48238425926</v>
      </c>
      <c r="G320" s="3" t="str">
        <f>HYPERLINK("https://hawk-eye.atlassian.net/browse/RTT-9600?atlOrigin=eyJpIjoiYzgwYTQ0ZjEyNzQzNGJhN2JmNjEyZTM0NmRhZWZhNjIiLCJwIjoic2hlZXRzLWppcmEifQ","RTT-9600")</f>
        <v>RTT-9600</v>
      </c>
      <c r="H320" s="1" t="s">
        <v>1058</v>
      </c>
      <c r="I320" s="1" t="s">
        <v>1085</v>
      </c>
      <c r="J320" s="1" t="s">
        <v>26</v>
      </c>
      <c r="K320" s="1" t="s">
        <v>1072</v>
      </c>
      <c r="L320" s="1" t="s">
        <v>26</v>
      </c>
      <c r="M320" s="1" t="s">
        <v>27</v>
      </c>
      <c r="N320" s="1" t="s">
        <v>26</v>
      </c>
      <c r="O320" s="1" t="s">
        <v>26</v>
      </c>
      <c r="P320" s="4">
        <v>45737.62100694444</v>
      </c>
    </row>
    <row r="321" hidden="1">
      <c r="A321" s="1" t="s">
        <v>21</v>
      </c>
      <c r="B321" s="3" t="str">
        <f>HYPERLINK("https://hawk-eye.atlassian.net/browse/HWKREPORT-3094?atlOrigin=eyJpIjoiYzgwYTQ0ZjEyNzQzNGJhN2JmNjEyZTM0NmRhZWZhNjIiLCJwIjoic2hlZXRzLWppcmEifQ","HWKREPORT-3094")</f>
        <v>HWKREPORT-3094</v>
      </c>
      <c r="C321" s="1" t="s">
        <v>1466</v>
      </c>
      <c r="D321" s="1" t="s">
        <v>23</v>
      </c>
      <c r="E321" s="1" t="s">
        <v>1207</v>
      </c>
      <c r="F321" s="4">
        <v>45628.65114583333</v>
      </c>
      <c r="G321" s="3" t="str">
        <f>HYPERLINK("https://hawk-eye.atlassian.net/browse/RTT-9598?atlOrigin=eyJpIjoiYzgwYTQ0ZjEyNzQzNGJhN2JmNjEyZTM0NmRhZWZhNjIiLCJwIjoic2hlZXRzLWppcmEifQ","RTT-9598")</f>
        <v>RTT-9598</v>
      </c>
      <c r="H321" s="1" t="s">
        <v>1058</v>
      </c>
      <c r="I321" s="1" t="s">
        <v>1085</v>
      </c>
      <c r="J321" s="1" t="s">
        <v>26</v>
      </c>
      <c r="K321" s="1" t="s">
        <v>1072</v>
      </c>
      <c r="L321" s="1" t="s">
        <v>26</v>
      </c>
      <c r="M321" s="1" t="s">
        <v>27</v>
      </c>
      <c r="N321" s="1" t="s">
        <v>26</v>
      </c>
      <c r="O321" s="1" t="s">
        <v>26</v>
      </c>
      <c r="P321" s="4">
        <v>45671.36444444444</v>
      </c>
    </row>
    <row r="322" hidden="1">
      <c r="A322" s="1" t="s">
        <v>1055</v>
      </c>
      <c r="B322" s="3" t="str">
        <f>HYPERLINK("https://hawk-eye.atlassian.net/browse/HWKREPORT-3095?atlOrigin=eyJpIjoiYzgwYTQ0ZjEyNzQzNGJhN2JmNjEyZTM0NmRhZWZhNjIiLCJwIjoic2hlZXRzLWppcmEifQ","HWKREPORT-3095")</f>
        <v>HWKREPORT-3095</v>
      </c>
      <c r="C322" s="1" t="s">
        <v>1467</v>
      </c>
      <c r="D322" s="1" t="s">
        <v>48</v>
      </c>
      <c r="E322" s="1" t="s">
        <v>1057</v>
      </c>
      <c r="F322" s="4">
        <v>45628.67873842592</v>
      </c>
      <c r="G322" s="3" t="str">
        <f>HYPERLINK("https://hawk-eye.atlassian.net/browse/AL-1220?atlOrigin=eyJpIjoiYzgwYTQ0ZjEyNzQzNGJhN2JmNjEyZTM0NmRhZWZhNjIiLCJwIjoic2hlZXRzLWppcmEifQ","AL-1220")</f>
        <v>AL-1220</v>
      </c>
      <c r="H322" s="1" t="s">
        <v>1058</v>
      </c>
      <c r="I322" s="1" t="s">
        <v>1085</v>
      </c>
      <c r="J322" s="1" t="s">
        <v>26</v>
      </c>
      <c r="K322" s="1" t="s">
        <v>1219</v>
      </c>
      <c r="L322" s="1" t="s">
        <v>26</v>
      </c>
      <c r="M322" s="1" t="s">
        <v>27</v>
      </c>
      <c r="N322" s="1" t="s">
        <v>26</v>
      </c>
      <c r="O322" s="1" t="s">
        <v>26</v>
      </c>
      <c r="P322" s="4">
        <v>45628.67875</v>
      </c>
    </row>
    <row r="323" hidden="1">
      <c r="A323" s="1" t="s">
        <v>1055</v>
      </c>
      <c r="B323" s="3" t="str">
        <f>HYPERLINK("https://hawk-eye.atlassian.net/browse/HWKREPORT-3096?atlOrigin=eyJpIjoiYzgwYTQ0ZjEyNzQzNGJhN2JmNjEyZTM0NmRhZWZhNjIiLCJwIjoic2hlZXRzLWppcmEifQ","HWKREPORT-3096")</f>
        <v>HWKREPORT-3096</v>
      </c>
      <c r="C323" s="1" t="s">
        <v>1468</v>
      </c>
      <c r="D323" s="1" t="s">
        <v>48</v>
      </c>
      <c r="E323" s="1" t="s">
        <v>1057</v>
      </c>
      <c r="F323" s="4">
        <v>45628.68283564815</v>
      </c>
      <c r="G323" s="3" t="str">
        <f>HYPERLINK("https://hawk-eye.atlassian.net/browse/RTT-9599?atlOrigin=eyJpIjoiYzgwYTQ0ZjEyNzQzNGJhN2JmNjEyZTM0NmRhZWZhNjIiLCJwIjoic2hlZXRzLWppcmEifQ","RTT-9599")</f>
        <v>RTT-9599</v>
      </c>
      <c r="H323" s="1" t="s">
        <v>1058</v>
      </c>
      <c r="I323" s="1" t="s">
        <v>1085</v>
      </c>
      <c r="J323" s="1" t="s">
        <v>26</v>
      </c>
      <c r="K323" s="1" t="s">
        <v>1072</v>
      </c>
      <c r="L323" s="1" t="s">
        <v>26</v>
      </c>
      <c r="M323" s="1" t="s">
        <v>27</v>
      </c>
      <c r="N323" s="1" t="s">
        <v>26</v>
      </c>
      <c r="O323" s="1" t="s">
        <v>26</v>
      </c>
      <c r="P323" s="4">
        <v>45628.68284722222</v>
      </c>
    </row>
    <row r="324">
      <c r="A324" s="1" t="s">
        <v>21</v>
      </c>
      <c r="B324" s="3" t="str">
        <f>HYPERLINK("https://hawk-eye.atlassian.net/browse/HWKREPORT-3097?atlOrigin=eyJpIjoiYzgwYTQ0ZjEyNzQzNGJhN2JmNjEyZTM0NmRhZWZhNjIiLCJwIjoic2hlZXRzLWppcmEifQ","HWKREPORT-3097")</f>
        <v>HWKREPORT-3097</v>
      </c>
      <c r="C324" s="1" t="s">
        <v>1469</v>
      </c>
      <c r="D324" s="1" t="s">
        <v>34</v>
      </c>
      <c r="E324" s="1" t="s">
        <v>1057</v>
      </c>
      <c r="F324" s="4">
        <v>45628.694386574076</v>
      </c>
      <c r="G324" s="3" t="str">
        <f>HYPERLINK("https://hawk-eye.atlassian.net/browse/RTT-9610?atlOrigin=eyJpIjoiYzgwYTQ0ZjEyNzQzNGJhN2JmNjEyZTM0NmRhZWZhNjIiLCJwIjoic2hlZXRzLWppcmEifQ","RTT-9610")</f>
        <v>RTT-9610</v>
      </c>
      <c r="H324" s="1" t="s">
        <v>1058</v>
      </c>
      <c r="I324" s="1" t="s">
        <v>28</v>
      </c>
      <c r="J324" s="1" t="s">
        <v>26</v>
      </c>
      <c r="K324" s="1" t="s">
        <v>1072</v>
      </c>
      <c r="L324" s="1" t="s">
        <v>26</v>
      </c>
      <c r="M324" s="1" t="s">
        <v>27</v>
      </c>
      <c r="N324" s="1" t="s">
        <v>26</v>
      </c>
      <c r="O324" s="1" t="s">
        <v>26</v>
      </c>
      <c r="P324" s="4">
        <v>45628.694398148145</v>
      </c>
    </row>
    <row r="325">
      <c r="A325" s="1" t="s">
        <v>21</v>
      </c>
      <c r="B325" s="3" t="str">
        <f>HYPERLINK("https://hawk-eye.atlassian.net/browse/HWKREPORT-3098?atlOrigin=eyJpIjoiYzgwYTQ0ZjEyNzQzNGJhN2JmNjEyZTM0NmRhZWZhNjIiLCJwIjoic2hlZXRzLWppcmEifQ","HWKREPORT-3098")</f>
        <v>HWKREPORT-3098</v>
      </c>
      <c r="C325" s="1" t="s">
        <v>1470</v>
      </c>
      <c r="D325" s="1" t="s">
        <v>23</v>
      </c>
      <c r="E325" s="1" t="s">
        <v>1057</v>
      </c>
      <c r="F325" s="4">
        <v>45628.71357638889</v>
      </c>
      <c r="G325" s="3" t="str">
        <f>HYPERLINK("https://hawk-eye.atlassian.net/browse/RTT-9608?atlOrigin=eyJpIjoiYzgwYTQ0ZjEyNzQzNGJhN2JmNjEyZTM0NmRhZWZhNjIiLCJwIjoic2hlZXRzLWppcmEifQ","RTT-9608")</f>
        <v>RTT-9608</v>
      </c>
      <c r="H325" s="1" t="s">
        <v>1058</v>
      </c>
      <c r="I325" s="1" t="s">
        <v>28</v>
      </c>
      <c r="J325" s="1" t="s">
        <v>26</v>
      </c>
      <c r="K325" s="1" t="s">
        <v>1072</v>
      </c>
      <c r="L325" s="1" t="s">
        <v>26</v>
      </c>
      <c r="M325" s="1" t="s">
        <v>27</v>
      </c>
      <c r="N325" s="1" t="s">
        <v>26</v>
      </c>
      <c r="O325" s="1" t="s">
        <v>26</v>
      </c>
      <c r="P325" s="4">
        <v>45628.71357638889</v>
      </c>
    </row>
    <row r="326">
      <c r="A326" s="1" t="s">
        <v>21</v>
      </c>
      <c r="B326" s="3" t="str">
        <f>HYPERLINK("https://hawk-eye.atlassian.net/browse/HWKREPORT-3099?atlOrigin=eyJpIjoiYzgwYTQ0ZjEyNzQzNGJhN2JmNjEyZTM0NmRhZWZhNjIiLCJwIjoic2hlZXRzLWppcmEifQ","HWKREPORT-3099")</f>
        <v>HWKREPORT-3099</v>
      </c>
      <c r="C326" s="1" t="s">
        <v>1471</v>
      </c>
      <c r="D326" s="1" t="s">
        <v>23</v>
      </c>
      <c r="E326" s="1" t="s">
        <v>1057</v>
      </c>
      <c r="F326" s="4">
        <v>45628.894282407404</v>
      </c>
      <c r="G326" s="3" t="str">
        <f>HYPERLINK("https://hawk-eye.atlassian.net/browse/RTT-9612?atlOrigin=eyJpIjoiYzgwYTQ0ZjEyNzQzNGJhN2JmNjEyZTM0NmRhZWZhNjIiLCJwIjoic2hlZXRzLWppcmEifQ","RTT-9612")</f>
        <v>RTT-9612</v>
      </c>
      <c r="H326" s="1" t="s">
        <v>1058</v>
      </c>
      <c r="I326" s="1" t="s">
        <v>28</v>
      </c>
      <c r="J326" s="1" t="s">
        <v>26</v>
      </c>
      <c r="K326" s="1" t="s">
        <v>1072</v>
      </c>
      <c r="L326" s="1" t="s">
        <v>26</v>
      </c>
      <c r="M326" s="1" t="s">
        <v>27</v>
      </c>
      <c r="N326" s="1" t="s">
        <v>26</v>
      </c>
      <c r="O326" s="1" t="s">
        <v>26</v>
      </c>
      <c r="P326" s="4">
        <v>45628.894282407404</v>
      </c>
    </row>
    <row r="327" hidden="1">
      <c r="A327" s="1" t="s">
        <v>21</v>
      </c>
      <c r="B327" s="3" t="str">
        <f>HYPERLINK("https://hawk-eye.atlassian.net/browse/HWKREPORT-3100?atlOrigin=eyJpIjoiYzgwYTQ0ZjEyNzQzNGJhN2JmNjEyZTM0NmRhZWZhNjIiLCJwIjoic2hlZXRzLWppcmEifQ","HWKREPORT-3100")</f>
        <v>HWKREPORT-3100</v>
      </c>
      <c r="C327" s="1" t="s">
        <v>1472</v>
      </c>
      <c r="D327" s="1" t="s">
        <v>40</v>
      </c>
      <c r="E327" s="1" t="s">
        <v>1057</v>
      </c>
      <c r="F327" s="4">
        <v>45630.53209490741</v>
      </c>
      <c r="G327" s="3" t="str">
        <f>HYPERLINK("https://hawk-eye.atlassian.net/browse/?atlOrigin=eyJpIjoiYzgwYTQ0ZjEyNzQzNGJhN2JmNjEyZTM0NmRhZWZhNjIiLCJwIjoic2hlZXRzLWppcmEifQ","")</f>
        <v/>
      </c>
      <c r="H327" s="1" t="s">
        <v>1058</v>
      </c>
      <c r="I327" s="1" t="s">
        <v>1085</v>
      </c>
      <c r="J327" s="1" t="s">
        <v>26</v>
      </c>
      <c r="K327" s="1" t="s">
        <v>1219</v>
      </c>
      <c r="L327" s="1" t="s">
        <v>26</v>
      </c>
      <c r="M327" s="1" t="s">
        <v>27</v>
      </c>
      <c r="N327" s="1" t="s">
        <v>26</v>
      </c>
      <c r="O327" s="1" t="s">
        <v>26</v>
      </c>
      <c r="P327" s="4">
        <v>45630.53210648148</v>
      </c>
    </row>
    <row r="328" hidden="1">
      <c r="A328" s="1" t="s">
        <v>1055</v>
      </c>
      <c r="B328" s="3" t="str">
        <f>HYPERLINK("https://hawk-eye.atlassian.net/browse/HWKREPORT-3101?atlOrigin=eyJpIjoiYzgwYTQ0ZjEyNzQzNGJhN2JmNjEyZTM0NmRhZWZhNjIiLCJwIjoic2hlZXRzLWppcmEifQ","HWKREPORT-3101")</f>
        <v>HWKREPORT-3101</v>
      </c>
      <c r="C328" s="1" t="s">
        <v>1473</v>
      </c>
      <c r="D328" s="1" t="s">
        <v>48</v>
      </c>
      <c r="E328" s="1" t="s">
        <v>1057</v>
      </c>
      <c r="F328" s="4">
        <v>45630.539618055554</v>
      </c>
      <c r="G328" s="3" t="str">
        <f>HYPERLINK("https://hawk-eye.atlassian.net/browse/AL-1219?atlOrigin=eyJpIjoiYzgwYTQ0ZjEyNzQzNGJhN2JmNjEyZTM0NmRhZWZhNjIiLCJwIjoic2hlZXRzLWppcmEifQ","AL-1219")</f>
        <v>AL-1219</v>
      </c>
      <c r="H328" s="1" t="s">
        <v>1058</v>
      </c>
      <c r="I328" s="1" t="s">
        <v>1085</v>
      </c>
      <c r="J328" s="1" t="s">
        <v>26</v>
      </c>
      <c r="K328" s="1" t="s">
        <v>1219</v>
      </c>
      <c r="L328" s="1" t="s">
        <v>26</v>
      </c>
      <c r="M328" s="1" t="s">
        <v>27</v>
      </c>
      <c r="N328" s="1" t="s">
        <v>26</v>
      </c>
      <c r="O328" s="1" t="s">
        <v>26</v>
      </c>
      <c r="P328" s="4">
        <v>45630.53962962963</v>
      </c>
    </row>
    <row r="329" hidden="1">
      <c r="A329" s="1" t="s">
        <v>1055</v>
      </c>
      <c r="B329" s="3" t="str">
        <f>HYPERLINK("https://hawk-eye.atlassian.net/browse/HWKREPORT-3102?atlOrigin=eyJpIjoiYzgwYTQ0ZjEyNzQzNGJhN2JmNjEyZTM0NmRhZWZhNjIiLCJwIjoic2hlZXRzLWppcmEifQ","HWKREPORT-3102")</f>
        <v>HWKREPORT-3102</v>
      </c>
      <c r="C329" s="1" t="s">
        <v>1474</v>
      </c>
      <c r="D329" s="1" t="s">
        <v>48</v>
      </c>
      <c r="E329" s="1" t="s">
        <v>1057</v>
      </c>
      <c r="F329" s="4">
        <v>45630.64512731481</v>
      </c>
      <c r="G329" s="3" t="str">
        <f>HYPERLINK("https://hawk-eye.atlassian.net/browse/BR-1878?atlOrigin=eyJpIjoiYzgwYTQ0ZjEyNzQzNGJhN2JmNjEyZTM0NmRhZWZhNjIiLCJwIjoic2hlZXRzLWppcmEifQ","BR-1878")</f>
        <v>BR-1878</v>
      </c>
      <c r="H329" s="1" t="s">
        <v>1058</v>
      </c>
      <c r="I329" s="1" t="s">
        <v>1107</v>
      </c>
      <c r="J329" s="1" t="s">
        <v>26</v>
      </c>
      <c r="K329" s="1" t="s">
        <v>1108</v>
      </c>
      <c r="L329" s="1" t="s">
        <v>26</v>
      </c>
      <c r="M329" s="1" t="s">
        <v>27</v>
      </c>
      <c r="N329" s="1" t="s">
        <v>26</v>
      </c>
      <c r="O329" s="1" t="s">
        <v>26</v>
      </c>
      <c r="P329" s="4">
        <v>45630.64512731481</v>
      </c>
    </row>
    <row r="330" hidden="1">
      <c r="A330" s="1" t="s">
        <v>1055</v>
      </c>
      <c r="B330" s="3" t="str">
        <f>HYPERLINK("https://hawk-eye.atlassian.net/browse/HWKREPORT-3103?atlOrigin=eyJpIjoiYzgwYTQ0ZjEyNzQzNGJhN2JmNjEyZTM0NmRhZWZhNjIiLCJwIjoic2hlZXRzLWppcmEifQ","HWKREPORT-3103")</f>
        <v>HWKREPORT-3103</v>
      </c>
      <c r="C330" s="1" t="s">
        <v>1475</v>
      </c>
      <c r="D330" s="1" t="s">
        <v>34</v>
      </c>
      <c r="E330" s="1" t="s">
        <v>1057</v>
      </c>
      <c r="F330" s="4">
        <v>45631.6391087963</v>
      </c>
      <c r="G330" s="3" t="str">
        <f>HYPERLINK("https://hawk-eye.atlassian.net/browse/AT-1627?atlOrigin=eyJpIjoiYzgwYTQ0ZjEyNzQzNGJhN2JmNjEyZTM0NmRhZWZhNjIiLCJwIjoic2hlZXRzLWppcmEifQ","AT-1627")</f>
        <v>AT-1627</v>
      </c>
      <c r="H330" s="1" t="s">
        <v>1058</v>
      </c>
      <c r="I330" s="1" t="s">
        <v>1085</v>
      </c>
      <c r="J330" s="1" t="s">
        <v>26</v>
      </c>
      <c r="K330" s="1" t="s">
        <v>26</v>
      </c>
      <c r="L330" s="1" t="s">
        <v>26</v>
      </c>
      <c r="M330" s="1" t="s">
        <v>27</v>
      </c>
      <c r="N330" s="1" t="s">
        <v>26</v>
      </c>
      <c r="O330" s="1" t="s">
        <v>26</v>
      </c>
      <c r="P330" s="4">
        <v>45631.63912037037</v>
      </c>
    </row>
    <row r="331">
      <c r="A331" s="1" t="s">
        <v>21</v>
      </c>
      <c r="B331" s="3" t="str">
        <f>HYPERLINK("https://hawk-eye.atlassian.net/browse/HWKREPORT-3104?atlOrigin=eyJpIjoiYzgwYTQ0ZjEyNzQzNGJhN2JmNjEyZTM0NmRhZWZhNjIiLCJwIjoic2hlZXRzLWppcmEifQ","HWKREPORT-3104")</f>
        <v>HWKREPORT-3104</v>
      </c>
      <c r="C331" s="1" t="s">
        <v>1476</v>
      </c>
      <c r="D331" s="1" t="s">
        <v>23</v>
      </c>
      <c r="E331" s="1" t="s">
        <v>1057</v>
      </c>
      <c r="F331" s="4">
        <v>45631.90960648148</v>
      </c>
      <c r="G331" s="3" t="str">
        <f>HYPERLINK("https://hawk-eye.atlassian.net/browse/RTT-9661?atlOrigin=eyJpIjoiYzgwYTQ0ZjEyNzQzNGJhN2JmNjEyZTM0NmRhZWZhNjIiLCJwIjoic2hlZXRzLWppcmEifQ","RTT-9661")</f>
        <v>RTT-9661</v>
      </c>
      <c r="H331" s="1" t="s">
        <v>1058</v>
      </c>
      <c r="I331" s="1" t="s">
        <v>28</v>
      </c>
      <c r="J331" s="1" t="s">
        <v>26</v>
      </c>
      <c r="K331" s="1" t="s">
        <v>1099</v>
      </c>
      <c r="L331" s="1" t="s">
        <v>26</v>
      </c>
      <c r="M331" s="1" t="s">
        <v>27</v>
      </c>
      <c r="N331" s="1" t="s">
        <v>26</v>
      </c>
      <c r="O331" s="1" t="s">
        <v>26</v>
      </c>
      <c r="P331" s="4">
        <v>45631.90961805556</v>
      </c>
    </row>
    <row r="332" hidden="1">
      <c r="A332" s="1" t="s">
        <v>21</v>
      </c>
      <c r="B332" s="3" t="str">
        <f>HYPERLINK("https://hawk-eye.atlassian.net/browse/HWKREPORT-3106?atlOrigin=eyJpIjoiYzgwYTQ0ZjEyNzQzNGJhN2JmNjEyZTM0NmRhZWZhNjIiLCJwIjoic2hlZXRzLWppcmEifQ","HWKREPORT-3106")</f>
        <v>HWKREPORT-3106</v>
      </c>
      <c r="C332" s="1" t="s">
        <v>1477</v>
      </c>
      <c r="D332" s="1" t="s">
        <v>40</v>
      </c>
      <c r="E332" s="1" t="s">
        <v>1057</v>
      </c>
      <c r="F332" s="4">
        <v>45632.508310185185</v>
      </c>
      <c r="G332" s="3" t="str">
        <f t="shared" ref="G332:G333" si="31">HYPERLINK("https://hawk-eye.atlassian.net/browse/?atlOrigin=eyJpIjoiYzgwYTQ0ZjEyNzQzNGJhN2JmNjEyZTM0NmRhZWZhNjIiLCJwIjoic2hlZXRzLWppcmEifQ","")</f>
        <v/>
      </c>
      <c r="H332" s="1" t="s">
        <v>1058</v>
      </c>
      <c r="I332" s="1" t="s">
        <v>1085</v>
      </c>
      <c r="J332" s="1" t="s">
        <v>26</v>
      </c>
      <c r="K332" s="1" t="s">
        <v>1134</v>
      </c>
      <c r="L332" s="1" t="s">
        <v>26</v>
      </c>
      <c r="M332" s="1" t="s">
        <v>27</v>
      </c>
      <c r="N332" s="1" t="s">
        <v>26</v>
      </c>
      <c r="O332" s="1" t="s">
        <v>26</v>
      </c>
      <c r="P332" s="4">
        <v>45632.50832175926</v>
      </c>
    </row>
    <row r="333" hidden="1">
      <c r="A333" s="1" t="s">
        <v>21</v>
      </c>
      <c r="B333" s="3" t="str">
        <f>HYPERLINK("https://hawk-eye.atlassian.net/browse/HWKREPORT-3107?atlOrigin=eyJpIjoiYzgwYTQ0ZjEyNzQzNGJhN2JmNjEyZTM0NmRhZWZhNjIiLCJwIjoic2hlZXRzLWppcmEifQ","HWKREPORT-3107")</f>
        <v>HWKREPORT-3107</v>
      </c>
      <c r="C333" s="1" t="s">
        <v>1478</v>
      </c>
      <c r="D333" s="1" t="s">
        <v>40</v>
      </c>
      <c r="E333" s="1" t="s">
        <v>1057</v>
      </c>
      <c r="F333" s="4">
        <v>45634.55351851852</v>
      </c>
      <c r="G333" s="3" t="str">
        <f t="shared" si="31"/>
        <v/>
      </c>
      <c r="H333" s="1" t="s">
        <v>1058</v>
      </c>
      <c r="I333" s="1" t="s">
        <v>1085</v>
      </c>
      <c r="J333" s="1" t="s">
        <v>26</v>
      </c>
      <c r="K333" s="1" t="s">
        <v>1105</v>
      </c>
      <c r="L333" s="1" t="s">
        <v>26</v>
      </c>
      <c r="M333" s="1" t="s">
        <v>27</v>
      </c>
      <c r="N333" s="1" t="s">
        <v>26</v>
      </c>
      <c r="O333" s="1" t="s">
        <v>26</v>
      </c>
      <c r="P333" s="4">
        <v>45634.55353009259</v>
      </c>
    </row>
    <row r="334" hidden="1">
      <c r="A334" s="1" t="s">
        <v>21</v>
      </c>
      <c r="B334" s="3" t="str">
        <f>HYPERLINK("https://hawk-eye.atlassian.net/browse/HWKREPORT-3108?atlOrigin=eyJpIjoiYzgwYTQ0ZjEyNzQzNGJhN2JmNjEyZTM0NmRhZWZhNjIiLCJwIjoic2hlZXRzLWppcmEifQ","HWKREPORT-3108")</f>
        <v>HWKREPORT-3108</v>
      </c>
      <c r="C334" s="1" t="s">
        <v>1479</v>
      </c>
      <c r="D334" s="1" t="s">
        <v>40</v>
      </c>
      <c r="E334" s="1" t="s">
        <v>1207</v>
      </c>
      <c r="F334" s="4">
        <v>45635.42872685185</v>
      </c>
      <c r="G334" s="3" t="str">
        <f>HYPERLINK("https://hawk-eye.atlassian.net/browse/RTT-9674?atlOrigin=eyJpIjoiYzgwYTQ0ZjEyNzQzNGJhN2JmNjEyZTM0NmRhZWZhNjIiLCJwIjoic2hlZXRzLWppcmEifQ","RTT-9674")</f>
        <v>RTT-9674</v>
      </c>
      <c r="H334" s="1" t="s">
        <v>1058</v>
      </c>
      <c r="I334" s="1" t="s">
        <v>1085</v>
      </c>
      <c r="J334" s="1" t="s">
        <v>26</v>
      </c>
      <c r="K334" s="1" t="s">
        <v>1072</v>
      </c>
      <c r="L334" s="1" t="s">
        <v>26</v>
      </c>
      <c r="M334" s="1" t="s">
        <v>27</v>
      </c>
      <c r="N334" s="1" t="s">
        <v>26</v>
      </c>
      <c r="O334" s="1" t="s">
        <v>26</v>
      </c>
      <c r="P334" s="4">
        <v>45637.352800925924</v>
      </c>
    </row>
    <row r="335" hidden="1">
      <c r="A335" s="1" t="s">
        <v>21</v>
      </c>
      <c r="B335" s="3" t="str">
        <f>HYPERLINK("https://hawk-eye.atlassian.net/browse/HWKREPORT-3109?atlOrigin=eyJpIjoiYzgwYTQ0ZjEyNzQzNGJhN2JmNjEyZTM0NmRhZWZhNjIiLCJwIjoic2hlZXRzLWppcmEifQ","HWKREPORT-3109")</f>
        <v>HWKREPORT-3109</v>
      </c>
      <c r="C335" s="1" t="s">
        <v>1480</v>
      </c>
      <c r="D335" s="1" t="s">
        <v>40</v>
      </c>
      <c r="E335" s="1" t="s">
        <v>1057</v>
      </c>
      <c r="F335" s="4">
        <v>45635.438043981485</v>
      </c>
      <c r="G335" s="3" t="str">
        <f>HYPERLINK("https://hawk-eye.atlassian.net/browse/AL-1221?atlOrigin=eyJpIjoiYzgwYTQ0ZjEyNzQzNGJhN2JmNjEyZTM0NmRhZWZhNjIiLCJwIjoic2hlZXRzLWppcmEifQ","AL-1221")</f>
        <v>AL-1221</v>
      </c>
      <c r="H335" s="1" t="s">
        <v>1058</v>
      </c>
      <c r="I335" s="1" t="s">
        <v>1085</v>
      </c>
      <c r="J335" s="1" t="s">
        <v>26</v>
      </c>
      <c r="K335" s="1" t="s">
        <v>1219</v>
      </c>
      <c r="L335" s="1" t="s">
        <v>26</v>
      </c>
      <c r="M335" s="1" t="s">
        <v>27</v>
      </c>
      <c r="N335" s="1" t="s">
        <v>26</v>
      </c>
      <c r="O335" s="1" t="s">
        <v>26</v>
      </c>
      <c r="P335" s="4">
        <v>45635.438043981485</v>
      </c>
    </row>
    <row r="336" hidden="1">
      <c r="A336" s="1" t="s">
        <v>21</v>
      </c>
      <c r="B336" s="3" t="str">
        <f>HYPERLINK("https://hawk-eye.atlassian.net/browse/HWKREPORT-3110?atlOrigin=eyJpIjoiYzgwYTQ0ZjEyNzQzNGJhN2JmNjEyZTM0NmRhZWZhNjIiLCJwIjoic2hlZXRzLWppcmEifQ","HWKREPORT-3110")</f>
        <v>HWKREPORT-3110</v>
      </c>
      <c r="C336" s="1" t="s">
        <v>1481</v>
      </c>
      <c r="D336" s="1" t="s">
        <v>34</v>
      </c>
      <c r="E336" s="1" t="s">
        <v>1091</v>
      </c>
      <c r="F336" s="4">
        <v>45635.47769675926</v>
      </c>
      <c r="G336" s="3" t="str">
        <f>HYPERLINK("https://hawk-eye.atlassian.net/browse/RTT-9675?atlOrigin=eyJpIjoiYzgwYTQ0ZjEyNzQzNGJhN2JmNjEyZTM0NmRhZWZhNjIiLCJwIjoic2hlZXRzLWppcmEifQ","RTT-9675")</f>
        <v>RTT-9675</v>
      </c>
      <c r="H336" s="1" t="s">
        <v>1058</v>
      </c>
      <c r="I336" s="1" t="s">
        <v>1085</v>
      </c>
      <c r="J336" s="1" t="s">
        <v>26</v>
      </c>
      <c r="K336" s="1" t="s">
        <v>1072</v>
      </c>
      <c r="L336" s="1" t="s">
        <v>26</v>
      </c>
      <c r="M336" s="1" t="s">
        <v>27</v>
      </c>
      <c r="N336" s="1" t="s">
        <v>26</v>
      </c>
      <c r="O336" s="1" t="s">
        <v>26</v>
      </c>
      <c r="P336" s="4">
        <v>45727.40796296296</v>
      </c>
    </row>
    <row r="337" hidden="1">
      <c r="A337" s="1" t="s">
        <v>21</v>
      </c>
      <c r="B337" s="3" t="str">
        <f>HYPERLINK("https://hawk-eye.atlassian.net/browse/HWKREPORT-3111?atlOrigin=eyJpIjoiYzgwYTQ0ZjEyNzQzNGJhN2JmNjEyZTM0NmRhZWZhNjIiLCJwIjoic2hlZXRzLWppcmEifQ","HWKREPORT-3111")</f>
        <v>HWKREPORT-3111</v>
      </c>
      <c r="C337" s="1" t="s">
        <v>1482</v>
      </c>
      <c r="D337" s="1" t="s">
        <v>40</v>
      </c>
      <c r="E337" s="1" t="s">
        <v>1074</v>
      </c>
      <c r="F337" s="4">
        <v>45635.61452546297</v>
      </c>
      <c r="G337" s="3" t="str">
        <f>HYPERLINK("https://hawk-eye.atlassian.net/browse/RTT-9713?atlOrigin=eyJpIjoiYzgwYTQ0ZjEyNzQzNGJhN2JmNjEyZTM0NmRhZWZhNjIiLCJwIjoic2hlZXRzLWppcmEifQ","RTT-9713")</f>
        <v>RTT-9713</v>
      </c>
      <c r="H337" s="1" t="s">
        <v>1058</v>
      </c>
      <c r="I337" s="1" t="s">
        <v>1085</v>
      </c>
      <c r="J337" s="1" t="s">
        <v>26</v>
      </c>
      <c r="K337" s="1" t="s">
        <v>1072</v>
      </c>
      <c r="L337" s="1" t="s">
        <v>26</v>
      </c>
      <c r="M337" s="1" t="s">
        <v>27</v>
      </c>
      <c r="N337" s="1" t="s">
        <v>26</v>
      </c>
      <c r="O337" s="1" t="s">
        <v>26</v>
      </c>
      <c r="P337" s="4">
        <v>45713.40704861111</v>
      </c>
    </row>
    <row r="338" hidden="1">
      <c r="A338" s="1" t="s">
        <v>21</v>
      </c>
      <c r="B338" s="3" t="str">
        <f>HYPERLINK("https://hawk-eye.atlassian.net/browse/HWKREPORT-3112?atlOrigin=eyJpIjoiYzgwYTQ0ZjEyNzQzNGJhN2JmNjEyZTM0NmRhZWZhNjIiLCJwIjoic2hlZXRzLWppcmEifQ","HWKREPORT-3112")</f>
        <v>HWKREPORT-3112</v>
      </c>
      <c r="C338" s="1" t="s">
        <v>1483</v>
      </c>
      <c r="D338" s="1" t="s">
        <v>23</v>
      </c>
      <c r="E338" s="1" t="s">
        <v>35</v>
      </c>
      <c r="F338" s="4">
        <v>45635.62355324074</v>
      </c>
      <c r="G338" s="3" t="str">
        <f>HYPERLINK("https://hawk-eye.atlassian.net/browse/SO-2102?atlOrigin=eyJpIjoiYzgwYTQ0ZjEyNzQzNGJhN2JmNjEyZTM0NmRhZWZhNjIiLCJwIjoic2hlZXRzLWppcmEifQ","SO-2102")</f>
        <v>SO-2102</v>
      </c>
      <c r="H338" s="1" t="s">
        <v>1058</v>
      </c>
      <c r="I338" s="1" t="s">
        <v>1085</v>
      </c>
      <c r="J338" s="1" t="s">
        <v>26</v>
      </c>
      <c r="K338" s="1" t="s">
        <v>1116</v>
      </c>
      <c r="L338" s="1" t="s">
        <v>26</v>
      </c>
      <c r="M338" s="1" t="s">
        <v>27</v>
      </c>
      <c r="N338" s="1" t="s">
        <v>26</v>
      </c>
      <c r="O338" s="1" t="s">
        <v>26</v>
      </c>
      <c r="P338" s="4">
        <v>45695.69210648148</v>
      </c>
    </row>
    <row r="339">
      <c r="A339" s="1" t="s">
        <v>21</v>
      </c>
      <c r="B339" s="3" t="str">
        <f>HYPERLINK("https://hawk-eye.atlassian.net/browse/HWKREPORT-3113?atlOrigin=eyJpIjoiYzgwYTQ0ZjEyNzQzNGJhN2JmNjEyZTM0NmRhZWZhNjIiLCJwIjoic2hlZXRzLWppcmEifQ","HWKREPORT-3113")</f>
        <v>HWKREPORT-3113</v>
      </c>
      <c r="C339" s="1" t="s">
        <v>1484</v>
      </c>
      <c r="D339" s="1" t="s">
        <v>23</v>
      </c>
      <c r="E339" s="1" t="s">
        <v>1057</v>
      </c>
      <c r="F339" s="4">
        <v>45635.92630787037</v>
      </c>
      <c r="G339" s="3" t="str">
        <f>HYPERLINK("https://hawk-eye.atlassian.net/browse/RTT-9685?atlOrigin=eyJpIjoiYzgwYTQ0ZjEyNzQzNGJhN2JmNjEyZTM0NmRhZWZhNjIiLCJwIjoic2hlZXRzLWppcmEifQ","RTT-9685")</f>
        <v>RTT-9685</v>
      </c>
      <c r="H339" s="1" t="s">
        <v>1058</v>
      </c>
      <c r="I339" s="1" t="s">
        <v>28</v>
      </c>
      <c r="J339" s="1" t="s">
        <v>26</v>
      </c>
      <c r="K339" s="1" t="s">
        <v>1072</v>
      </c>
      <c r="L339" s="1" t="s">
        <v>26</v>
      </c>
      <c r="M339" s="1" t="s">
        <v>27</v>
      </c>
      <c r="N339" s="1" t="s">
        <v>26</v>
      </c>
      <c r="O339" s="1" t="s">
        <v>26</v>
      </c>
      <c r="P339" s="4">
        <v>45635.92630787037</v>
      </c>
    </row>
    <row r="340" hidden="1">
      <c r="A340" s="1" t="s">
        <v>21</v>
      </c>
      <c r="B340" s="3" t="str">
        <f>HYPERLINK("https://hawk-eye.atlassian.net/browse/HWKREPORT-3114?atlOrigin=eyJpIjoiYzgwYTQ0ZjEyNzQzNGJhN2JmNjEyZTM0NmRhZWZhNjIiLCJwIjoic2hlZXRzLWppcmEifQ","HWKREPORT-3114")</f>
        <v>HWKREPORT-3114</v>
      </c>
      <c r="C340" s="1" t="s">
        <v>1485</v>
      </c>
      <c r="D340" s="1" t="s">
        <v>34</v>
      </c>
      <c r="E340" s="1" t="s">
        <v>1057</v>
      </c>
      <c r="F340" s="4">
        <v>45637.4618287037</v>
      </c>
      <c r="G340" s="3" t="str">
        <f>HYPERLINK("https://hawk-eye.atlassian.net/browse/?atlOrigin=eyJpIjoiYzgwYTQ0ZjEyNzQzNGJhN2JmNjEyZTM0NmRhZWZhNjIiLCJwIjoic2hlZXRzLWppcmEifQ","")</f>
        <v/>
      </c>
      <c r="H340" s="1" t="s">
        <v>1058</v>
      </c>
      <c r="I340" s="1" t="s">
        <v>1085</v>
      </c>
      <c r="J340" s="1" t="s">
        <v>26</v>
      </c>
      <c r="K340" s="1" t="s">
        <v>1486</v>
      </c>
      <c r="L340" s="1" t="s">
        <v>26</v>
      </c>
      <c r="M340" s="1" t="s">
        <v>27</v>
      </c>
      <c r="N340" s="1" t="s">
        <v>26</v>
      </c>
      <c r="O340" s="1" t="s">
        <v>26</v>
      </c>
      <c r="P340" s="4">
        <v>45637.46184027778</v>
      </c>
    </row>
    <row r="341" hidden="1">
      <c r="A341" s="1" t="s">
        <v>1055</v>
      </c>
      <c r="B341" s="3" t="str">
        <f>HYPERLINK("https://hawk-eye.atlassian.net/browse/HWKREPORT-3115?atlOrigin=eyJpIjoiYzgwYTQ0ZjEyNzQzNGJhN2JmNjEyZTM0NmRhZWZhNjIiLCJwIjoic2hlZXRzLWppcmEifQ","HWKREPORT-3115")</f>
        <v>HWKREPORT-3115</v>
      </c>
      <c r="C341" s="1" t="s">
        <v>1487</v>
      </c>
      <c r="D341" s="1" t="s">
        <v>23</v>
      </c>
      <c r="E341" s="1" t="s">
        <v>1057</v>
      </c>
      <c r="F341" s="4">
        <v>45637.67491898148</v>
      </c>
      <c r="G341" s="3" t="str">
        <f>HYPERLINK("https://hawk-eye.atlassian.net/browse/AT-1640?atlOrigin=eyJpIjoiYzgwYTQ0ZjEyNzQzNGJhN2JmNjEyZTM0NmRhZWZhNjIiLCJwIjoic2hlZXRzLWppcmEifQ","AT-1640")</f>
        <v>AT-1640</v>
      </c>
      <c r="H341" s="1" t="s">
        <v>1058</v>
      </c>
      <c r="I341" s="1" t="s">
        <v>1085</v>
      </c>
      <c r="J341" s="1" t="s">
        <v>26</v>
      </c>
      <c r="K341" s="1" t="s">
        <v>26</v>
      </c>
      <c r="L341" s="1" t="s">
        <v>26</v>
      </c>
      <c r="M341" s="1" t="s">
        <v>27</v>
      </c>
      <c r="N341" s="1" t="s">
        <v>26</v>
      </c>
      <c r="O341" s="1" t="s">
        <v>26</v>
      </c>
      <c r="P341" s="4">
        <v>45637.67491898148</v>
      </c>
    </row>
    <row r="342" hidden="1">
      <c r="A342" s="1" t="s">
        <v>1055</v>
      </c>
      <c r="B342" s="3" t="str">
        <f>HYPERLINK("https://hawk-eye.atlassian.net/browse/HWKREPORT-3116?atlOrigin=eyJpIjoiYzgwYTQ0ZjEyNzQzNGJhN2JmNjEyZTM0NmRhZWZhNjIiLCJwIjoic2hlZXRzLWppcmEifQ","HWKREPORT-3116")</f>
        <v>HWKREPORT-3116</v>
      </c>
      <c r="C342" s="1" t="s">
        <v>1488</v>
      </c>
      <c r="D342" s="1" t="s">
        <v>48</v>
      </c>
      <c r="E342" s="1" t="s">
        <v>35</v>
      </c>
      <c r="F342" s="4">
        <v>45638.34888888889</v>
      </c>
      <c r="G342" s="3" t="str">
        <f>HYPERLINK("https://hawk-eye.atlassian.net/browse/?atlOrigin=eyJpIjoiYzgwYTQ0ZjEyNzQzNGJhN2JmNjEyZTM0NmRhZWZhNjIiLCJwIjoic2hlZXRzLWppcmEifQ","")</f>
        <v/>
      </c>
      <c r="H342" s="1" t="s">
        <v>1058</v>
      </c>
      <c r="I342" s="1" t="s">
        <v>1126</v>
      </c>
      <c r="J342" s="1" t="s">
        <v>26</v>
      </c>
      <c r="K342" s="1" t="s">
        <v>1247</v>
      </c>
      <c r="L342" s="1" t="s">
        <v>26</v>
      </c>
      <c r="M342" s="1" t="s">
        <v>27</v>
      </c>
      <c r="N342" s="1" t="s">
        <v>26</v>
      </c>
      <c r="O342" s="1" t="s">
        <v>26</v>
      </c>
      <c r="P342" s="4">
        <v>45701.44636574074</v>
      </c>
    </row>
    <row r="343" hidden="1">
      <c r="A343" s="1" t="s">
        <v>1055</v>
      </c>
      <c r="B343" s="3" t="str">
        <f>HYPERLINK("https://hawk-eye.atlassian.net/browse/HWKREPORT-3117?atlOrigin=eyJpIjoiYzgwYTQ0ZjEyNzQzNGJhN2JmNjEyZTM0NmRhZWZhNjIiLCJwIjoic2hlZXRzLWppcmEifQ","HWKREPORT-3117")</f>
        <v>HWKREPORT-3117</v>
      </c>
      <c r="C343" s="1" t="s">
        <v>1489</v>
      </c>
      <c r="D343" s="1" t="s">
        <v>48</v>
      </c>
      <c r="E343" s="1" t="s">
        <v>35</v>
      </c>
      <c r="F343" s="4">
        <v>45638.37091435185</v>
      </c>
      <c r="G343" s="3" t="str">
        <f>HYPERLINK("https://hawk-eye.atlassian.net/browse/SO-2194?atlOrigin=eyJpIjoiYzgwYTQ0ZjEyNzQzNGJhN2JmNjEyZTM0NmRhZWZhNjIiLCJwIjoic2hlZXRzLWppcmEifQ","SO-2194")</f>
        <v>SO-2194</v>
      </c>
      <c r="H343" s="1" t="s">
        <v>1058</v>
      </c>
      <c r="I343" s="1" t="s">
        <v>1126</v>
      </c>
      <c r="J343" s="1" t="s">
        <v>26</v>
      </c>
      <c r="K343" s="1" t="s">
        <v>1116</v>
      </c>
      <c r="L343" s="1" t="s">
        <v>26</v>
      </c>
      <c r="M343" s="1" t="s">
        <v>27</v>
      </c>
      <c r="N343" s="1" t="s">
        <v>26</v>
      </c>
      <c r="O343" s="1" t="s">
        <v>26</v>
      </c>
      <c r="P343" s="4">
        <v>45712.37369212963</v>
      </c>
    </row>
    <row r="344" hidden="1">
      <c r="A344" s="1" t="s">
        <v>21</v>
      </c>
      <c r="B344" s="3" t="str">
        <f>HYPERLINK("https://hawk-eye.atlassian.net/browse/HWKREPORT-3118?atlOrigin=eyJpIjoiYzgwYTQ0ZjEyNzQzNGJhN2JmNjEyZTM0NmRhZWZhNjIiLCJwIjoic2hlZXRzLWppcmEifQ","HWKREPORT-3118")</f>
        <v>HWKREPORT-3118</v>
      </c>
      <c r="C344" s="1" t="s">
        <v>1490</v>
      </c>
      <c r="D344" s="1" t="s">
        <v>48</v>
      </c>
      <c r="E344" s="1" t="s">
        <v>1057</v>
      </c>
      <c r="F344" s="4">
        <v>45638.44039351852</v>
      </c>
      <c r="G344" s="3" t="str">
        <f>HYPERLINK("https://hawk-eye.atlassian.net/browse/GT-1758?atlOrigin=eyJpIjoiYzgwYTQ0ZjEyNzQzNGJhN2JmNjEyZTM0NmRhZWZhNjIiLCJwIjoic2hlZXRzLWppcmEifQ","GT-1758")</f>
        <v>GT-1758</v>
      </c>
      <c r="H344" s="1" t="s">
        <v>1058</v>
      </c>
      <c r="I344" s="1" t="s">
        <v>1126</v>
      </c>
      <c r="J344" s="1" t="s">
        <v>26</v>
      </c>
      <c r="K344" s="1" t="s">
        <v>1461</v>
      </c>
      <c r="L344" s="1" t="s">
        <v>26</v>
      </c>
      <c r="M344" s="1" t="s">
        <v>27</v>
      </c>
      <c r="N344" s="1" t="s">
        <v>26</v>
      </c>
      <c r="O344" s="1" t="s">
        <v>26</v>
      </c>
      <c r="P344" s="4">
        <v>45638.440405092595</v>
      </c>
    </row>
    <row r="345" hidden="1">
      <c r="A345" s="1" t="s">
        <v>21</v>
      </c>
      <c r="B345" s="3" t="str">
        <f>HYPERLINK("https://hawk-eye.atlassian.net/browse/HWKREPORT-3119?atlOrigin=eyJpIjoiYzgwYTQ0ZjEyNzQzNGJhN2JmNjEyZTM0NmRhZWZhNjIiLCJwIjoic2hlZXRzLWppcmEifQ","HWKREPORT-3119")</f>
        <v>HWKREPORT-3119</v>
      </c>
      <c r="C345" s="1" t="s">
        <v>1491</v>
      </c>
      <c r="D345" s="1" t="s">
        <v>40</v>
      </c>
      <c r="E345" s="1" t="s">
        <v>1057</v>
      </c>
      <c r="F345" s="4">
        <v>45639.4240625</v>
      </c>
      <c r="G345" s="3" t="str">
        <f>HYPERLINK("https://hawk-eye.atlassian.net/browse/TDP-2274?atlOrigin=eyJpIjoiYzgwYTQ0ZjEyNzQzNGJhN2JmNjEyZTM0NmRhZWZhNjIiLCJwIjoic2hlZXRzLWppcmEifQ","TDP-2274")</f>
        <v>TDP-2274</v>
      </c>
      <c r="H345" s="1" t="s">
        <v>1058</v>
      </c>
      <c r="I345" s="1" t="s">
        <v>1126</v>
      </c>
      <c r="J345" s="1" t="s">
        <v>26</v>
      </c>
      <c r="K345" s="1" t="s">
        <v>1211</v>
      </c>
      <c r="L345" s="1" t="s">
        <v>26</v>
      </c>
      <c r="M345" s="1" t="s">
        <v>27</v>
      </c>
      <c r="N345" s="1" t="s">
        <v>26</v>
      </c>
      <c r="O345" s="1" t="s">
        <v>26</v>
      </c>
      <c r="P345" s="4">
        <v>45639.4240625</v>
      </c>
    </row>
    <row r="346">
      <c r="A346" s="1" t="s">
        <v>21</v>
      </c>
      <c r="B346" s="3" t="str">
        <f>HYPERLINK("https://hawk-eye.atlassian.net/browse/HWKREPORT-3120?atlOrigin=eyJpIjoiYzgwYTQ0ZjEyNzQzNGJhN2JmNjEyZTM0NmRhZWZhNjIiLCJwIjoic2hlZXRzLWppcmEifQ","HWKREPORT-3120")</f>
        <v>HWKREPORT-3120</v>
      </c>
      <c r="C346" s="1" t="s">
        <v>1492</v>
      </c>
      <c r="D346" s="1" t="s">
        <v>23</v>
      </c>
      <c r="E346" s="1" t="s">
        <v>35</v>
      </c>
      <c r="F346" s="4">
        <v>45642.768171296295</v>
      </c>
      <c r="G346" s="3" t="str">
        <f>HYPERLINK("https://hawk-eye.atlassian.net/browse/?atlOrigin=eyJpIjoiYzgwYTQ0ZjEyNzQzNGJhN2JmNjEyZTM0NmRhZWZhNjIiLCJwIjoic2hlZXRzLWppcmEifQ","")</f>
        <v/>
      </c>
      <c r="H346" s="1" t="s">
        <v>1058</v>
      </c>
      <c r="I346" s="1" t="s">
        <v>28</v>
      </c>
      <c r="J346" s="1" t="s">
        <v>26</v>
      </c>
      <c r="K346" s="1" t="s">
        <v>1072</v>
      </c>
      <c r="L346" s="1" t="s">
        <v>26</v>
      </c>
      <c r="M346" s="1" t="s">
        <v>27</v>
      </c>
      <c r="N346" s="1" t="s">
        <v>26</v>
      </c>
      <c r="O346" s="1" t="s">
        <v>26</v>
      </c>
      <c r="P346" s="4">
        <v>45699.69111111111</v>
      </c>
    </row>
    <row r="347" hidden="1">
      <c r="A347" s="1" t="s">
        <v>1055</v>
      </c>
      <c r="B347" s="3" t="str">
        <f>HYPERLINK("https://hawk-eye.atlassian.net/browse/HWKREPORT-3121?atlOrigin=eyJpIjoiYzgwYTQ0ZjEyNzQzNGJhN2JmNjEyZTM0NmRhZWZhNjIiLCJwIjoic2hlZXRzLWppcmEifQ","HWKREPORT-3121")</f>
        <v>HWKREPORT-3121</v>
      </c>
      <c r="C347" s="1" t="s">
        <v>1493</v>
      </c>
      <c r="D347" s="1" t="s">
        <v>48</v>
      </c>
      <c r="E347" s="1" t="s">
        <v>35</v>
      </c>
      <c r="F347" s="4">
        <v>45642.892858796295</v>
      </c>
      <c r="G347" s="3" t="str">
        <f>HYPERLINK("https://hawk-eye.atlassian.net/browse/RTT-9708?atlOrigin=eyJpIjoiYzgwYTQ0ZjEyNzQzNGJhN2JmNjEyZTM0NmRhZWZhNjIiLCJwIjoic2hlZXRzLWppcmEifQ","RTT-9708")</f>
        <v>RTT-9708</v>
      </c>
      <c r="H347" s="1" t="s">
        <v>1058</v>
      </c>
      <c r="I347" s="1" t="s">
        <v>28</v>
      </c>
      <c r="J347" s="1" t="s">
        <v>26</v>
      </c>
      <c r="K347" s="1" t="s">
        <v>1072</v>
      </c>
      <c r="L347" s="1" t="s">
        <v>26</v>
      </c>
      <c r="M347" s="1" t="s">
        <v>27</v>
      </c>
      <c r="N347" s="1" t="s">
        <v>26</v>
      </c>
      <c r="O347" s="1" t="s">
        <v>26</v>
      </c>
      <c r="P347" s="4">
        <v>45694.719930555555</v>
      </c>
    </row>
    <row r="348" hidden="1">
      <c r="A348" s="1" t="s">
        <v>1055</v>
      </c>
      <c r="B348" s="3" t="str">
        <f>HYPERLINK("https://hawk-eye.atlassian.net/browse/HWKREPORT-3122?atlOrigin=eyJpIjoiYzgwYTQ0ZjEyNzQzNGJhN2JmNjEyZTM0NmRhZWZhNjIiLCJwIjoic2hlZXRzLWppcmEifQ","HWKREPORT-3122")</f>
        <v>HWKREPORT-3122</v>
      </c>
      <c r="C348" s="1" t="s">
        <v>1494</v>
      </c>
      <c r="D348" s="1" t="s">
        <v>48</v>
      </c>
      <c r="E348" s="1" t="s">
        <v>1057</v>
      </c>
      <c r="F348" s="4">
        <v>45643.59025462963</v>
      </c>
      <c r="G348" s="3" t="str">
        <f>HYPERLINK("https://hawk-eye.atlassian.net/browse/?atlOrigin=eyJpIjoiYzgwYTQ0ZjEyNzQzNGJhN2JmNjEyZTM0NmRhZWZhNjIiLCJwIjoic2hlZXRzLWppcmEifQ","")</f>
        <v/>
      </c>
      <c r="H348" s="1" t="s">
        <v>1058</v>
      </c>
      <c r="I348" s="1" t="s">
        <v>1085</v>
      </c>
      <c r="J348" s="1" t="s">
        <v>26</v>
      </c>
      <c r="K348" s="1" t="s">
        <v>1495</v>
      </c>
      <c r="L348" s="1" t="s">
        <v>26</v>
      </c>
      <c r="M348" s="1" t="s">
        <v>27</v>
      </c>
      <c r="N348" s="1" t="s">
        <v>26</v>
      </c>
      <c r="O348" s="1" t="s">
        <v>26</v>
      </c>
      <c r="P348" s="4">
        <v>45643.590266203704</v>
      </c>
    </row>
    <row r="349" hidden="1">
      <c r="A349" s="1" t="s">
        <v>1055</v>
      </c>
      <c r="B349" s="3" t="str">
        <f>HYPERLINK("https://hawk-eye.atlassian.net/browse/HWKREPORT-3123?atlOrigin=eyJpIjoiYzgwYTQ0ZjEyNzQzNGJhN2JmNjEyZTM0NmRhZWZhNjIiLCJwIjoic2hlZXRzLWppcmEifQ","HWKREPORT-3123")</f>
        <v>HWKREPORT-3123</v>
      </c>
      <c r="C349" s="1" t="s">
        <v>1496</v>
      </c>
      <c r="D349" s="1" t="s">
        <v>48</v>
      </c>
      <c r="E349" s="1" t="s">
        <v>1207</v>
      </c>
      <c r="F349" s="4">
        <v>45643.86224537037</v>
      </c>
      <c r="G349" s="3" t="str">
        <f>HYPERLINK("https://hawk-eye.atlassian.net/browse/RTT-9733?atlOrigin=eyJpIjoiYzgwYTQ0ZjEyNzQzNGJhN2JmNjEyZTM0NmRhZWZhNjIiLCJwIjoic2hlZXRzLWppcmEifQ","RTT-9733")</f>
        <v>RTT-9733</v>
      </c>
      <c r="H349" s="1" t="s">
        <v>1058</v>
      </c>
      <c r="I349" s="1" t="s">
        <v>1085</v>
      </c>
      <c r="J349" s="1" t="s">
        <v>26</v>
      </c>
      <c r="K349" s="1" t="s">
        <v>1072</v>
      </c>
      <c r="L349" s="1" t="s">
        <v>26</v>
      </c>
      <c r="M349" s="1" t="s">
        <v>27</v>
      </c>
      <c r="N349" s="1" t="s">
        <v>26</v>
      </c>
      <c r="O349" s="1" t="s">
        <v>26</v>
      </c>
      <c r="P349" s="4">
        <v>45688.74587962963</v>
      </c>
    </row>
    <row r="350" hidden="1">
      <c r="A350" s="1" t="s">
        <v>1055</v>
      </c>
      <c r="B350" s="3" t="str">
        <f>HYPERLINK("https://hawk-eye.atlassian.net/browse/HWKREPORT-3124?atlOrigin=eyJpIjoiYzgwYTQ0ZjEyNzQzNGJhN2JmNjEyZTM0NmRhZWZhNjIiLCJwIjoic2hlZXRzLWppcmEifQ","HWKREPORT-3124")</f>
        <v>HWKREPORT-3124</v>
      </c>
      <c r="C350" s="1" t="s">
        <v>1497</v>
      </c>
      <c r="D350" s="1" t="s">
        <v>48</v>
      </c>
      <c r="E350" s="1" t="s">
        <v>1074</v>
      </c>
      <c r="F350" s="4">
        <v>45644.404641203706</v>
      </c>
      <c r="G350" s="3" t="str">
        <f>HYPERLINK("https://hawk-eye.atlassian.net/browse/SMARTGFX-545?atlOrigin=eyJpIjoiYzgwYTQ0ZjEyNzQzNGJhN2JmNjEyZTM0NmRhZWZhNjIiLCJwIjoic2hlZXRzLWppcmEifQ","SMARTGFX-545")</f>
        <v>SMARTGFX-545</v>
      </c>
      <c r="H350" s="1" t="s">
        <v>1058</v>
      </c>
      <c r="I350" s="1" t="s">
        <v>1085</v>
      </c>
      <c r="J350" s="1" t="s">
        <v>26</v>
      </c>
      <c r="K350" s="1" t="s">
        <v>1498</v>
      </c>
      <c r="L350" s="1" t="s">
        <v>26</v>
      </c>
      <c r="M350" s="1" t="s">
        <v>27</v>
      </c>
      <c r="N350" s="1" t="s">
        <v>26</v>
      </c>
      <c r="O350" s="1" t="s">
        <v>26</v>
      </c>
      <c r="P350" s="4">
        <v>45691.425833333335</v>
      </c>
    </row>
    <row r="351" hidden="1">
      <c r="A351" s="1" t="s">
        <v>21</v>
      </c>
      <c r="B351" s="3" t="str">
        <f>HYPERLINK("https://hawk-eye.atlassian.net/browse/HWKREPORT-3125?atlOrigin=eyJpIjoiYzgwYTQ0ZjEyNzQzNGJhN2JmNjEyZTM0NmRhZWZhNjIiLCJwIjoic2hlZXRzLWppcmEifQ","HWKREPORT-3125")</f>
        <v>HWKREPORT-3125</v>
      </c>
      <c r="C351" s="1" t="s">
        <v>1499</v>
      </c>
      <c r="D351" s="1" t="s">
        <v>34</v>
      </c>
      <c r="E351" s="1" t="s">
        <v>35</v>
      </c>
      <c r="F351" s="4">
        <v>45644.57486111111</v>
      </c>
      <c r="G351" s="3" t="str">
        <f>HYPERLINK("https://hawk-eye.atlassian.net/browse/RTT-9732?atlOrigin=eyJpIjoiYzgwYTQ0ZjEyNzQzNGJhN2JmNjEyZTM0NmRhZWZhNjIiLCJwIjoic2hlZXRzLWppcmEifQ","RTT-9732")</f>
        <v>RTT-9732</v>
      </c>
      <c r="H351" s="1" t="s">
        <v>1058</v>
      </c>
      <c r="I351" s="1" t="s">
        <v>1085</v>
      </c>
      <c r="J351" s="1" t="s">
        <v>26</v>
      </c>
      <c r="K351" s="1" t="s">
        <v>1312</v>
      </c>
      <c r="L351" s="1" t="s">
        <v>26</v>
      </c>
      <c r="M351" s="1" t="s">
        <v>27</v>
      </c>
      <c r="N351" s="1" t="s">
        <v>26</v>
      </c>
      <c r="O351" s="1" t="s">
        <v>26</v>
      </c>
      <c r="P351" s="4">
        <v>45775.62018518519</v>
      </c>
    </row>
    <row r="352" hidden="1">
      <c r="A352" s="1" t="s">
        <v>1055</v>
      </c>
      <c r="B352" s="3" t="str">
        <f>HYPERLINK("https://hawk-eye.atlassian.net/browse/HWKREPORT-3126?atlOrigin=eyJpIjoiYzgwYTQ0ZjEyNzQzNGJhN2JmNjEyZTM0NmRhZWZhNjIiLCJwIjoic2hlZXRzLWppcmEifQ","HWKREPORT-3126")</f>
        <v>HWKREPORT-3126</v>
      </c>
      <c r="C352" s="1" t="s">
        <v>1500</v>
      </c>
      <c r="D352" s="1" t="s">
        <v>23</v>
      </c>
      <c r="E352" s="1" t="s">
        <v>1057</v>
      </c>
      <c r="F352" s="4">
        <v>45644.712013888886</v>
      </c>
      <c r="G352" s="3" t="str">
        <f>HYPERLINK("https://hawk-eye.atlassian.net/browse/SO-2263?atlOrigin=eyJpIjoiYzgwYTQ0ZjEyNzQzNGJhN2JmNjEyZTM0NmRhZWZhNjIiLCJwIjoic2hlZXRzLWppcmEifQ","SO-2263")</f>
        <v>SO-2263</v>
      </c>
      <c r="H352" s="1" t="s">
        <v>1058</v>
      </c>
      <c r="I352" s="1" t="s">
        <v>1071</v>
      </c>
      <c r="J352" s="1" t="s">
        <v>26</v>
      </c>
      <c r="K352" s="1" t="s">
        <v>1134</v>
      </c>
      <c r="L352" s="1" t="s">
        <v>26</v>
      </c>
      <c r="M352" s="1" t="s">
        <v>27</v>
      </c>
      <c r="N352" s="1" t="s">
        <v>26</v>
      </c>
      <c r="O352" s="1" t="s">
        <v>26</v>
      </c>
      <c r="P352" s="4">
        <v>45644.71202546296</v>
      </c>
    </row>
    <row r="353" hidden="1">
      <c r="A353" s="1" t="s">
        <v>1055</v>
      </c>
      <c r="B353" s="3" t="str">
        <f>HYPERLINK("https://hawk-eye.atlassian.net/browse/HWKREPORT-3127?atlOrigin=eyJpIjoiYzgwYTQ0ZjEyNzQzNGJhN2JmNjEyZTM0NmRhZWZhNjIiLCJwIjoic2hlZXRzLWppcmEifQ","HWKREPORT-3127")</f>
        <v>HWKREPORT-3127</v>
      </c>
      <c r="C353" s="1" t="s">
        <v>1501</v>
      </c>
      <c r="D353" s="1" t="s">
        <v>40</v>
      </c>
      <c r="E353" s="1" t="s">
        <v>1057</v>
      </c>
      <c r="F353" s="4">
        <v>45644.77488425926</v>
      </c>
      <c r="G353" s="3" t="str">
        <f>HYPERLINK("https://hawk-eye.atlassian.net/browse/AT-1650?atlOrigin=eyJpIjoiYzgwYTQ0ZjEyNzQzNGJhN2JmNjEyZTM0NmRhZWZhNjIiLCJwIjoic2hlZXRzLWppcmEifQ","AT-1650")</f>
        <v>AT-1650</v>
      </c>
      <c r="H353" s="1" t="s">
        <v>1058</v>
      </c>
      <c r="I353" s="1" t="s">
        <v>1502</v>
      </c>
      <c r="J353" s="1" t="s">
        <v>26</v>
      </c>
      <c r="K353" s="1" t="s">
        <v>26</v>
      </c>
      <c r="L353" s="1" t="s">
        <v>26</v>
      </c>
      <c r="M353" s="1" t="s">
        <v>27</v>
      </c>
      <c r="N353" s="1" t="s">
        <v>26</v>
      </c>
      <c r="O353" s="1" t="s">
        <v>26</v>
      </c>
      <c r="P353" s="4">
        <v>45644.77489583333</v>
      </c>
    </row>
    <row r="354" hidden="1">
      <c r="A354" s="1" t="s">
        <v>21</v>
      </c>
      <c r="B354" s="3" t="str">
        <f>HYPERLINK("https://hawk-eye.atlassian.net/browse/HWKREPORT-3128?atlOrigin=eyJpIjoiYzgwYTQ0ZjEyNzQzNGJhN2JmNjEyZTM0NmRhZWZhNjIiLCJwIjoic2hlZXRzLWppcmEifQ","HWKREPORT-3128")</f>
        <v>HWKREPORT-3128</v>
      </c>
      <c r="C354" s="1" t="s">
        <v>1503</v>
      </c>
      <c r="D354" s="1" t="s">
        <v>34</v>
      </c>
      <c r="E354" s="1" t="s">
        <v>1057</v>
      </c>
      <c r="F354" s="4">
        <v>45644.80509259259</v>
      </c>
      <c r="G354" s="3" t="str">
        <f>HYPERLINK("https://hawk-eye.atlassian.net/browse/?atlOrigin=eyJpIjoiYzgwYTQ0ZjEyNzQzNGJhN2JmNjEyZTM0NmRhZWZhNjIiLCJwIjoic2hlZXRzLWppcmEifQ","")</f>
        <v/>
      </c>
      <c r="H354" s="1" t="s">
        <v>1058</v>
      </c>
      <c r="I354" s="1" t="s">
        <v>1151</v>
      </c>
      <c r="J354" s="1" t="s">
        <v>26</v>
      </c>
      <c r="K354" s="1" t="s">
        <v>1116</v>
      </c>
      <c r="L354" s="1" t="s">
        <v>26</v>
      </c>
      <c r="M354" s="1" t="s">
        <v>27</v>
      </c>
      <c r="N354" s="1" t="s">
        <v>26</v>
      </c>
      <c r="O354" s="1" t="s">
        <v>26</v>
      </c>
      <c r="P354" s="4">
        <v>45644.80510416667</v>
      </c>
    </row>
    <row r="355">
      <c r="A355" s="1" t="s">
        <v>21</v>
      </c>
      <c r="B355" s="3" t="str">
        <f>HYPERLINK("https://hawk-eye.atlassian.net/browse/HWKREPORT-3129?atlOrigin=eyJpIjoiYzgwYTQ0ZjEyNzQzNGJhN2JmNjEyZTM0NmRhZWZhNjIiLCJwIjoic2hlZXRzLWppcmEifQ","HWKREPORT-3129")</f>
        <v>HWKREPORT-3129</v>
      </c>
      <c r="C355" s="1" t="s">
        <v>1504</v>
      </c>
      <c r="D355" s="1" t="s">
        <v>48</v>
      </c>
      <c r="E355" s="1" t="s">
        <v>1057</v>
      </c>
      <c r="F355" s="4">
        <v>45645.74618055556</v>
      </c>
      <c r="G355" s="3" t="str">
        <f>HYPERLINK("https://hawk-eye.atlassian.net/browse/RTT-9755?atlOrigin=eyJpIjoiYzgwYTQ0ZjEyNzQzNGJhN2JmNjEyZTM0NmRhZWZhNjIiLCJwIjoic2hlZXRzLWppcmEifQ","RTT-9755")</f>
        <v>RTT-9755</v>
      </c>
      <c r="H355" s="1" t="s">
        <v>1058</v>
      </c>
      <c r="I355" s="1" t="s">
        <v>28</v>
      </c>
      <c r="J355" s="1" t="s">
        <v>26</v>
      </c>
      <c r="K355" s="1" t="s">
        <v>1099</v>
      </c>
      <c r="L355" s="1" t="s">
        <v>26</v>
      </c>
      <c r="M355" s="1" t="s">
        <v>27</v>
      </c>
      <c r="N355" s="1" t="s">
        <v>26</v>
      </c>
      <c r="O355" s="1" t="s">
        <v>26</v>
      </c>
      <c r="P355" s="4">
        <v>45645.74619212963</v>
      </c>
    </row>
    <row r="356" hidden="1">
      <c r="A356" s="1" t="s">
        <v>21</v>
      </c>
      <c r="B356" s="3" t="str">
        <f>HYPERLINK("https://hawk-eye.atlassian.net/browse/HWKREPORT-3130?atlOrigin=eyJpIjoiYzgwYTQ0ZjEyNzQzNGJhN2JmNjEyZTM0NmRhZWZhNjIiLCJwIjoic2hlZXRzLWppcmEifQ","HWKREPORT-3130")</f>
        <v>HWKREPORT-3130</v>
      </c>
      <c r="C356" s="1" t="s">
        <v>1505</v>
      </c>
      <c r="D356" s="1" t="s">
        <v>34</v>
      </c>
      <c r="E356" s="1" t="s">
        <v>35</v>
      </c>
      <c r="F356" s="4">
        <v>45645.78556712963</v>
      </c>
      <c r="G356" s="3" t="str">
        <f>HYPERLINK("https://hawk-eye.atlassian.net/browse/SO-2128?atlOrigin=eyJpIjoiYzgwYTQ0ZjEyNzQzNGJhN2JmNjEyZTM0NmRhZWZhNjIiLCJwIjoic2hlZXRzLWppcmEifQ","SO-2128")</f>
        <v>SO-2128</v>
      </c>
      <c r="H356" s="1" t="s">
        <v>1058</v>
      </c>
      <c r="I356" s="1" t="s">
        <v>1059</v>
      </c>
      <c r="J356" s="1" t="s">
        <v>26</v>
      </c>
      <c r="K356" s="1" t="s">
        <v>1116</v>
      </c>
      <c r="L356" s="1" t="s">
        <v>26</v>
      </c>
      <c r="M356" s="1" t="s">
        <v>27</v>
      </c>
      <c r="N356" s="1" t="s">
        <v>26</v>
      </c>
      <c r="O356" s="1" t="s">
        <v>26</v>
      </c>
      <c r="P356" s="4">
        <v>45665.50152777778</v>
      </c>
    </row>
    <row r="357" hidden="1">
      <c r="A357" s="1" t="s">
        <v>1055</v>
      </c>
      <c r="B357" s="3" t="str">
        <f>HYPERLINK("https://hawk-eye.atlassian.net/browse/HWKREPORT-3131?atlOrigin=eyJpIjoiYzgwYTQ0ZjEyNzQzNGJhN2JmNjEyZTM0NmRhZWZhNjIiLCJwIjoic2hlZXRzLWppcmEifQ","HWKREPORT-3131")</f>
        <v>HWKREPORT-3131</v>
      </c>
      <c r="C357" s="1" t="s">
        <v>1506</v>
      </c>
      <c r="D357" s="1" t="s">
        <v>48</v>
      </c>
      <c r="E357" s="1" t="s">
        <v>1057</v>
      </c>
      <c r="F357" s="4">
        <v>45646.40525462963</v>
      </c>
      <c r="G357" s="3" t="str">
        <f t="shared" ref="G357:G359" si="32">HYPERLINK("https://hawk-eye.atlassian.net/browse/?atlOrigin=eyJpIjoiYzgwYTQ0ZjEyNzQzNGJhN2JmNjEyZTM0NmRhZWZhNjIiLCJwIjoic2hlZXRzLWppcmEifQ","")</f>
        <v/>
      </c>
      <c r="H357" s="1" t="s">
        <v>1058</v>
      </c>
      <c r="I357" s="1" t="s">
        <v>1507</v>
      </c>
      <c r="J357" s="1" t="s">
        <v>26</v>
      </c>
      <c r="K357" s="1" t="s">
        <v>1508</v>
      </c>
      <c r="L357" s="1" t="s">
        <v>26</v>
      </c>
      <c r="M357" s="1" t="s">
        <v>27</v>
      </c>
      <c r="N357" s="1" t="s">
        <v>26</v>
      </c>
      <c r="O357" s="1" t="s">
        <v>26</v>
      </c>
      <c r="P357" s="4">
        <v>45646.40526620371</v>
      </c>
    </row>
    <row r="358" hidden="1">
      <c r="A358" s="1" t="s">
        <v>1055</v>
      </c>
      <c r="B358" s="3" t="str">
        <f>HYPERLINK("https://hawk-eye.atlassian.net/browse/HWKREPORT-3132?atlOrigin=eyJpIjoiYzgwYTQ0ZjEyNzQzNGJhN2JmNjEyZTM0NmRhZWZhNjIiLCJwIjoic2hlZXRzLWppcmEifQ","HWKREPORT-3132")</f>
        <v>HWKREPORT-3132</v>
      </c>
      <c r="C358" s="1" t="s">
        <v>1509</v>
      </c>
      <c r="D358" s="1" t="s">
        <v>48</v>
      </c>
      <c r="E358" s="1" t="s">
        <v>1057</v>
      </c>
      <c r="F358" s="4">
        <v>45650.4753587963</v>
      </c>
      <c r="G358" s="3" t="str">
        <f t="shared" si="32"/>
        <v/>
      </c>
      <c r="H358" s="1" t="s">
        <v>1058</v>
      </c>
      <c r="I358" s="1" t="s">
        <v>1126</v>
      </c>
      <c r="J358" s="1" t="s">
        <v>26</v>
      </c>
      <c r="K358" s="1" t="s">
        <v>1108</v>
      </c>
      <c r="L358" s="1" t="s">
        <v>26</v>
      </c>
      <c r="M358" s="1" t="s">
        <v>27</v>
      </c>
      <c r="N358" s="1" t="s">
        <v>26</v>
      </c>
      <c r="O358" s="1" t="s">
        <v>26</v>
      </c>
      <c r="P358" s="4">
        <v>45650.47537037037</v>
      </c>
    </row>
    <row r="359" hidden="1">
      <c r="A359" s="1" t="s">
        <v>21</v>
      </c>
      <c r="B359" s="3" t="str">
        <f>HYPERLINK("https://hawk-eye.atlassian.net/browse/HWKREPORT-3133?atlOrigin=eyJpIjoiYzgwYTQ0ZjEyNzQzNGJhN2JmNjEyZTM0NmRhZWZhNjIiLCJwIjoic2hlZXRzLWppcmEifQ","HWKREPORT-3133")</f>
        <v>HWKREPORT-3133</v>
      </c>
      <c r="C359" s="1" t="s">
        <v>1510</v>
      </c>
      <c r="D359" s="1" t="s">
        <v>34</v>
      </c>
      <c r="E359" s="1" t="s">
        <v>35</v>
      </c>
      <c r="F359" s="4">
        <v>45653.783472222225</v>
      </c>
      <c r="G359" s="3" t="str">
        <f t="shared" si="32"/>
        <v/>
      </c>
      <c r="H359" s="1" t="s">
        <v>1058</v>
      </c>
      <c r="I359" s="1" t="s">
        <v>1107</v>
      </c>
      <c r="J359" s="1" t="s">
        <v>26</v>
      </c>
      <c r="K359" s="1" t="s">
        <v>1108</v>
      </c>
      <c r="L359" s="1" t="s">
        <v>26</v>
      </c>
      <c r="M359" s="1" t="s">
        <v>27</v>
      </c>
      <c r="N359" s="1" t="s">
        <v>26</v>
      </c>
      <c r="O359" s="1" t="s">
        <v>26</v>
      </c>
      <c r="P359" s="4">
        <v>45674.42685185185</v>
      </c>
    </row>
    <row r="360">
      <c r="A360" s="1" t="s">
        <v>21</v>
      </c>
      <c r="B360" s="3" t="str">
        <f>HYPERLINK("https://hawk-eye.atlassian.net/browse/HWKREPORT-3134?atlOrigin=eyJpIjoiYzgwYTQ0ZjEyNzQzNGJhN2JmNjEyZTM0NmRhZWZhNjIiLCJwIjoic2hlZXRzLWppcmEifQ","HWKREPORT-3134")</f>
        <v>HWKREPORT-3134</v>
      </c>
      <c r="C360" s="1" t="s">
        <v>1511</v>
      </c>
      <c r="D360" s="1" t="s">
        <v>23</v>
      </c>
      <c r="E360" s="1" t="s">
        <v>35</v>
      </c>
      <c r="F360" s="4">
        <v>45659.38413194445</v>
      </c>
      <c r="G360" s="3" t="str">
        <f>HYPERLINK("https://hawk-eye.atlassian.net/browse/GOAT-138?atlOrigin=eyJpIjoiYzgwYTQ0ZjEyNzQzNGJhN2JmNjEyZTM0NmRhZWZhNjIiLCJwIjoic2hlZXRzLWppcmEifQ","GOAT-138")</f>
        <v>GOAT-138</v>
      </c>
      <c r="H360" s="1" t="s">
        <v>1058</v>
      </c>
      <c r="I360" s="1" t="s">
        <v>28</v>
      </c>
      <c r="J360" s="1" t="s">
        <v>26</v>
      </c>
      <c r="K360" s="1" t="s">
        <v>1105</v>
      </c>
      <c r="L360" s="1" t="s">
        <v>26</v>
      </c>
      <c r="M360" s="1" t="s">
        <v>27</v>
      </c>
      <c r="N360" s="1" t="s">
        <v>26</v>
      </c>
      <c r="O360" s="1" t="s">
        <v>26</v>
      </c>
      <c r="P360" s="4">
        <v>45663.444085648145</v>
      </c>
    </row>
    <row r="361" hidden="1">
      <c r="A361" s="1" t="s">
        <v>1055</v>
      </c>
      <c r="B361" s="3" t="str">
        <f>HYPERLINK("https://hawk-eye.atlassian.net/browse/HWKREPORT-3135?atlOrigin=eyJpIjoiYzgwYTQ0ZjEyNzQzNGJhN2JmNjEyZTM0NmRhZWZhNjIiLCJwIjoic2hlZXRzLWppcmEifQ","HWKREPORT-3135")</f>
        <v>HWKREPORT-3135</v>
      </c>
      <c r="C361" s="1" t="s">
        <v>1512</v>
      </c>
      <c r="D361" s="1" t="s">
        <v>48</v>
      </c>
      <c r="E361" s="1" t="s">
        <v>1057</v>
      </c>
      <c r="F361" s="4">
        <v>45659.405960648146</v>
      </c>
      <c r="G361" s="3" t="str">
        <f>HYPERLINK("https://hawk-eye.atlassian.net/browse/FP-443?atlOrigin=eyJpIjoiYzgwYTQ0ZjEyNzQzNGJhN2JmNjEyZTM0NmRhZWZhNjIiLCJwIjoic2hlZXRzLWppcmEifQ","FP-443")</f>
        <v>FP-443</v>
      </c>
      <c r="H361" s="1" t="s">
        <v>1058</v>
      </c>
      <c r="I361" s="1" t="s">
        <v>1085</v>
      </c>
      <c r="J361" s="1" t="s">
        <v>26</v>
      </c>
      <c r="K361" s="1" t="s">
        <v>1290</v>
      </c>
      <c r="L361" s="1" t="s">
        <v>26</v>
      </c>
      <c r="M361" s="1" t="s">
        <v>27</v>
      </c>
      <c r="N361" s="1" t="s">
        <v>26</v>
      </c>
      <c r="O361" s="1" t="s">
        <v>26</v>
      </c>
      <c r="P361" s="4">
        <v>45659.40597222222</v>
      </c>
    </row>
    <row r="362" hidden="1">
      <c r="A362" s="1" t="s">
        <v>21</v>
      </c>
      <c r="B362" s="3" t="str">
        <f>HYPERLINK("https://hawk-eye.atlassian.net/browse/HWKREPORT-3136?atlOrigin=eyJpIjoiYzgwYTQ0ZjEyNzQzNGJhN2JmNjEyZTM0NmRhZWZhNjIiLCJwIjoic2hlZXRzLWppcmEifQ","HWKREPORT-3136")</f>
        <v>HWKREPORT-3136</v>
      </c>
      <c r="C362" s="1" t="s">
        <v>1513</v>
      </c>
      <c r="D362" s="1" t="s">
        <v>34</v>
      </c>
      <c r="E362" s="1" t="s">
        <v>35</v>
      </c>
      <c r="F362" s="4">
        <v>45659.437685185185</v>
      </c>
      <c r="G362" s="3" t="str">
        <f>HYPERLINK("https://hawk-eye.atlassian.net/browse/SO-2131?atlOrigin=eyJpIjoiYzgwYTQ0ZjEyNzQzNGJhN2JmNjEyZTM0NmRhZWZhNjIiLCJwIjoic2hlZXRzLWppcmEifQ","SO-2131")</f>
        <v>SO-2131</v>
      </c>
      <c r="H362" s="1" t="s">
        <v>1058</v>
      </c>
      <c r="I362" s="1" t="s">
        <v>1514</v>
      </c>
      <c r="J362" s="1" t="s">
        <v>26</v>
      </c>
      <c r="K362" s="1" t="s">
        <v>1116</v>
      </c>
      <c r="L362" s="1" t="s">
        <v>26</v>
      </c>
      <c r="M362" s="1" t="s">
        <v>27</v>
      </c>
      <c r="N362" s="1" t="s">
        <v>26</v>
      </c>
      <c r="O362" s="1" t="s">
        <v>26</v>
      </c>
      <c r="P362" s="4">
        <v>45663.512719907405</v>
      </c>
    </row>
    <row r="363" hidden="1">
      <c r="A363" s="1" t="s">
        <v>21</v>
      </c>
      <c r="B363" s="3" t="str">
        <f>HYPERLINK("https://hawk-eye.atlassian.net/browse/HWKREPORT-3137?atlOrigin=eyJpIjoiYzgwYTQ0ZjEyNzQzNGJhN2JmNjEyZTM0NmRhZWZhNjIiLCJwIjoic2hlZXRzLWppcmEifQ","HWKREPORT-3137")</f>
        <v>HWKREPORT-3137</v>
      </c>
      <c r="C363" s="1" t="s">
        <v>1515</v>
      </c>
      <c r="D363" s="1" t="s">
        <v>23</v>
      </c>
      <c r="E363" s="1" t="s">
        <v>35</v>
      </c>
      <c r="F363" s="4">
        <v>45659.44579861111</v>
      </c>
      <c r="G363" s="3" t="str">
        <f>HYPERLINK("https://hawk-eye.atlassian.net/browse/SO-2130?atlOrigin=eyJpIjoiYzgwYTQ0ZjEyNzQzNGJhN2JmNjEyZTM0NmRhZWZhNjIiLCJwIjoic2hlZXRzLWppcmEifQ","SO-2130")</f>
        <v>SO-2130</v>
      </c>
      <c r="H363" s="1" t="s">
        <v>1058</v>
      </c>
      <c r="I363" s="1" t="s">
        <v>1514</v>
      </c>
      <c r="J363" s="1" t="s">
        <v>26</v>
      </c>
      <c r="K363" s="1" t="s">
        <v>1116</v>
      </c>
      <c r="L363" s="1" t="s">
        <v>26</v>
      </c>
      <c r="M363" s="1" t="s">
        <v>27</v>
      </c>
      <c r="N363" s="1" t="s">
        <v>26</v>
      </c>
      <c r="O363" s="1" t="s">
        <v>26</v>
      </c>
      <c r="P363" s="4">
        <v>45660.60011574074</v>
      </c>
    </row>
    <row r="364" hidden="1">
      <c r="A364" s="1" t="s">
        <v>1055</v>
      </c>
      <c r="B364" s="3" t="str">
        <f>HYPERLINK("https://hawk-eye.atlassian.net/browse/HWKREPORT-3138?atlOrigin=eyJpIjoiYzgwYTQ0ZjEyNzQzNGJhN2JmNjEyZTM0NmRhZWZhNjIiLCJwIjoic2hlZXRzLWppcmEifQ","HWKREPORT-3138")</f>
        <v>HWKREPORT-3138</v>
      </c>
      <c r="C364" s="1" t="s">
        <v>1516</v>
      </c>
      <c r="D364" s="1" t="s">
        <v>48</v>
      </c>
      <c r="E364" s="1" t="s">
        <v>1057</v>
      </c>
      <c r="F364" s="4">
        <v>45660.40997685185</v>
      </c>
      <c r="G364" s="3" t="str">
        <f t="shared" ref="G364:G365" si="33">HYPERLINK("https://hawk-eye.atlassian.net/browse/?atlOrigin=eyJpIjoiYzgwYTQ0ZjEyNzQzNGJhN2JmNjEyZTM0NmRhZWZhNjIiLCJwIjoic2hlZXRzLWppcmEifQ","")</f>
        <v/>
      </c>
      <c r="H364" s="1" t="s">
        <v>1058</v>
      </c>
      <c r="I364" s="1" t="s">
        <v>1082</v>
      </c>
      <c r="J364" s="1" t="s">
        <v>26</v>
      </c>
      <c r="K364" s="1" t="s">
        <v>1148</v>
      </c>
      <c r="L364" s="1" t="s">
        <v>26</v>
      </c>
      <c r="M364" s="1" t="s">
        <v>27</v>
      </c>
      <c r="N364" s="1" t="s">
        <v>26</v>
      </c>
      <c r="O364" s="1" t="s">
        <v>26</v>
      </c>
      <c r="P364" s="4">
        <v>45660.40998842593</v>
      </c>
    </row>
    <row r="365" hidden="1">
      <c r="A365" s="1" t="s">
        <v>1055</v>
      </c>
      <c r="B365" s="3" t="str">
        <f>HYPERLINK("https://hawk-eye.atlassian.net/browse/HWKREPORT-3139?atlOrigin=eyJpIjoiYzgwYTQ0ZjEyNzQzNGJhN2JmNjEyZTM0NmRhZWZhNjIiLCJwIjoic2hlZXRzLWppcmEifQ","HWKREPORT-3139")</f>
        <v>HWKREPORT-3139</v>
      </c>
      <c r="C365" s="1" t="s">
        <v>1517</v>
      </c>
      <c r="D365" s="1" t="s">
        <v>48</v>
      </c>
      <c r="E365" s="1" t="s">
        <v>1074</v>
      </c>
      <c r="F365" s="4">
        <v>45660.85197916667</v>
      </c>
      <c r="G365" s="3" t="str">
        <f t="shared" si="33"/>
        <v/>
      </c>
      <c r="H365" s="1" t="s">
        <v>1058</v>
      </c>
      <c r="I365" s="1" t="s">
        <v>1107</v>
      </c>
      <c r="J365" s="1" t="s">
        <v>26</v>
      </c>
      <c r="K365" s="1" t="s">
        <v>1108</v>
      </c>
      <c r="L365" s="1" t="s">
        <v>26</v>
      </c>
      <c r="M365" s="1" t="s">
        <v>27</v>
      </c>
      <c r="N365" s="1" t="s">
        <v>26</v>
      </c>
      <c r="O365" s="1" t="s">
        <v>26</v>
      </c>
      <c r="P365" s="4">
        <v>45674.42634259259</v>
      </c>
    </row>
    <row r="366" hidden="1">
      <c r="A366" s="1" t="s">
        <v>1055</v>
      </c>
      <c r="B366" s="3" t="str">
        <f>HYPERLINK("https://hawk-eye.atlassian.net/browse/HWKREPORT-3140?atlOrigin=eyJpIjoiYzgwYTQ0ZjEyNzQzNGJhN2JmNjEyZTM0NmRhZWZhNjIiLCJwIjoic2hlZXRzLWppcmEifQ","HWKREPORT-3140")</f>
        <v>HWKREPORT-3140</v>
      </c>
      <c r="C366" s="1" t="s">
        <v>1518</v>
      </c>
      <c r="D366" s="1" t="s">
        <v>48</v>
      </c>
      <c r="E366" s="1" t="s">
        <v>35</v>
      </c>
      <c r="F366" s="4">
        <v>45660.852175925924</v>
      </c>
      <c r="G366" s="3" t="str">
        <f>HYPERLINK("https://hawk-eye.atlassian.net/browse/BR-1877?atlOrigin=eyJpIjoiYzgwYTQ0ZjEyNzQzNGJhN2JmNjEyZTM0NmRhZWZhNjIiLCJwIjoic2hlZXRzLWppcmEifQ","BR-1877")</f>
        <v>BR-1877</v>
      </c>
      <c r="H366" s="1" t="s">
        <v>1058</v>
      </c>
      <c r="I366" s="1" t="s">
        <v>1107</v>
      </c>
      <c r="J366" s="1" t="s">
        <v>26</v>
      </c>
      <c r="K366" s="1" t="s">
        <v>1108</v>
      </c>
      <c r="L366" s="1" t="s">
        <v>26</v>
      </c>
      <c r="M366" s="1" t="s">
        <v>27</v>
      </c>
      <c r="N366" s="1" t="s">
        <v>26</v>
      </c>
      <c r="O366" s="1" t="s">
        <v>26</v>
      </c>
      <c r="P366" s="4">
        <v>45721.56570601852</v>
      </c>
    </row>
    <row r="367" hidden="1">
      <c r="A367" s="1" t="s">
        <v>21</v>
      </c>
      <c r="B367" s="3" t="str">
        <f>HYPERLINK("https://hawk-eye.atlassian.net/browse/HWKREPORT-3141?atlOrigin=eyJpIjoiYzgwYTQ0ZjEyNzQzNGJhN2JmNjEyZTM0NmRhZWZhNjIiLCJwIjoic2hlZXRzLWppcmEifQ","HWKREPORT-3141")</f>
        <v>HWKREPORT-3141</v>
      </c>
      <c r="C367" s="1" t="s">
        <v>1519</v>
      </c>
      <c r="D367" s="1" t="s">
        <v>34</v>
      </c>
      <c r="E367" s="1" t="s">
        <v>35</v>
      </c>
      <c r="F367" s="4">
        <v>45660.955104166664</v>
      </c>
      <c r="G367" s="3" t="str">
        <f>HYPERLINK("https://hawk-eye.atlassian.net/browse/BR-1831?atlOrigin=eyJpIjoiYzgwYTQ0ZjEyNzQzNGJhN2JmNjEyZTM0NmRhZWZhNjIiLCJwIjoic2hlZXRzLWppcmEifQ","BR-1831")</f>
        <v>BR-1831</v>
      </c>
      <c r="H367" s="1" t="s">
        <v>1058</v>
      </c>
      <c r="I367" s="1" t="s">
        <v>1107</v>
      </c>
      <c r="J367" s="1" t="s">
        <v>26</v>
      </c>
      <c r="K367" s="1" t="s">
        <v>1108</v>
      </c>
      <c r="L367" s="1" t="s">
        <v>26</v>
      </c>
      <c r="M367" s="1" t="s">
        <v>27</v>
      </c>
      <c r="N367" s="1" t="s">
        <v>26</v>
      </c>
      <c r="O367" s="1" t="s">
        <v>26</v>
      </c>
      <c r="P367" s="4">
        <v>45674.42480324074</v>
      </c>
    </row>
    <row r="368" hidden="1">
      <c r="A368" s="1" t="s">
        <v>1055</v>
      </c>
      <c r="B368" s="3" t="str">
        <f>HYPERLINK("https://hawk-eye.atlassian.net/browse/HWKREPORT-3142?atlOrigin=eyJpIjoiYzgwYTQ0ZjEyNzQzNGJhN2JmNjEyZTM0NmRhZWZhNjIiLCJwIjoic2hlZXRzLWppcmEifQ","HWKREPORT-3142")</f>
        <v>HWKREPORT-3142</v>
      </c>
      <c r="C368" s="1" t="s">
        <v>1520</v>
      </c>
      <c r="D368" s="1" t="s">
        <v>40</v>
      </c>
      <c r="E368" s="1" t="s">
        <v>1057</v>
      </c>
      <c r="F368" s="4">
        <v>45663.42891203704</v>
      </c>
      <c r="G368" s="3" t="str">
        <f>HYPERLINK("https://hawk-eye.atlassian.net/browse/AT-1653?atlOrigin=eyJpIjoiYzgwYTQ0ZjEyNzQzNGJhN2JmNjEyZTM0NmRhZWZhNjIiLCJwIjoic2hlZXRzLWppcmEifQ","AT-1653")</f>
        <v>AT-1653</v>
      </c>
      <c r="H368" s="1" t="s">
        <v>1058</v>
      </c>
      <c r="I368" s="1" t="s">
        <v>1085</v>
      </c>
      <c r="J368" s="1" t="s">
        <v>26</v>
      </c>
      <c r="K368" s="1" t="s">
        <v>26</v>
      </c>
      <c r="L368" s="1" t="s">
        <v>26</v>
      </c>
      <c r="M368" s="1" t="s">
        <v>27</v>
      </c>
      <c r="N368" s="1" t="s">
        <v>26</v>
      </c>
      <c r="O368" s="1" t="s">
        <v>26</v>
      </c>
      <c r="P368" s="4">
        <v>45663.428923611114</v>
      </c>
    </row>
    <row r="369" hidden="1">
      <c r="A369" s="1" t="s">
        <v>21</v>
      </c>
      <c r="B369" s="3" t="str">
        <f>HYPERLINK("https://hawk-eye.atlassian.net/browse/HWKREPORT-3143?atlOrigin=eyJpIjoiYzgwYTQ0ZjEyNzQzNGJhN2JmNjEyZTM0NmRhZWZhNjIiLCJwIjoic2hlZXRzLWppcmEifQ","HWKREPORT-3143")</f>
        <v>HWKREPORT-3143</v>
      </c>
      <c r="C369" s="1" t="s">
        <v>1521</v>
      </c>
      <c r="D369" s="1" t="s">
        <v>40</v>
      </c>
      <c r="E369" s="1" t="s">
        <v>35</v>
      </c>
      <c r="F369" s="4">
        <v>45663.49050925926</v>
      </c>
      <c r="G369" s="3" t="str">
        <f>HYPERLINK("https://hawk-eye.atlassian.net/browse/GT-1674?atlOrigin=eyJpIjoiYzgwYTQ0ZjEyNzQzNGJhN2JmNjEyZTM0NmRhZWZhNjIiLCJwIjoic2hlZXRzLWppcmEifQ","GT-1674")</f>
        <v>GT-1674</v>
      </c>
      <c r="H369" s="1" t="s">
        <v>1058</v>
      </c>
      <c r="I369" s="1" t="s">
        <v>1085</v>
      </c>
      <c r="J369" s="1" t="s">
        <v>26</v>
      </c>
      <c r="K369" s="1" t="s">
        <v>1105</v>
      </c>
      <c r="L369" s="1" t="s">
        <v>26</v>
      </c>
      <c r="M369" s="1" t="s">
        <v>27</v>
      </c>
      <c r="N369" s="1" t="s">
        <v>26</v>
      </c>
      <c r="O369" s="1" t="s">
        <v>26</v>
      </c>
      <c r="P369" s="4">
        <v>45688.640185185184</v>
      </c>
    </row>
    <row r="370" hidden="1">
      <c r="A370" s="1" t="s">
        <v>1055</v>
      </c>
      <c r="B370" s="3" t="str">
        <f>HYPERLINK("https://hawk-eye.atlassian.net/browse/HWKREPORT-3144?atlOrigin=eyJpIjoiYzgwYTQ0ZjEyNzQzNGJhN2JmNjEyZTM0NmRhZWZhNjIiLCJwIjoic2hlZXRzLWppcmEifQ","HWKREPORT-3144")</f>
        <v>HWKREPORT-3144</v>
      </c>
      <c r="C370" s="1" t="s">
        <v>1522</v>
      </c>
      <c r="D370" s="1" t="s">
        <v>23</v>
      </c>
      <c r="E370" s="1" t="s">
        <v>1057</v>
      </c>
      <c r="F370" s="4">
        <v>45663.71833333333</v>
      </c>
      <c r="G370" s="3" t="str">
        <f t="shared" ref="G370:G371" si="34">HYPERLINK("https://hawk-eye.atlassian.net/browse/?atlOrigin=eyJpIjoiYzgwYTQ0ZjEyNzQzNGJhN2JmNjEyZTM0NmRhZWZhNjIiLCJwIjoic2hlZXRzLWppcmEifQ","")</f>
        <v/>
      </c>
      <c r="H370" s="1" t="s">
        <v>1058</v>
      </c>
      <c r="I370" s="1" t="s">
        <v>1071</v>
      </c>
      <c r="J370" s="1" t="s">
        <v>26</v>
      </c>
      <c r="K370" s="1" t="s">
        <v>1523</v>
      </c>
      <c r="L370" s="1" t="s">
        <v>26</v>
      </c>
      <c r="M370" s="1" t="s">
        <v>27</v>
      </c>
      <c r="N370" s="1" t="s">
        <v>26</v>
      </c>
      <c r="O370" s="1" t="s">
        <v>26</v>
      </c>
      <c r="P370" s="4">
        <v>45663.71834490741</v>
      </c>
    </row>
    <row r="371" hidden="1">
      <c r="A371" s="1" t="s">
        <v>1055</v>
      </c>
      <c r="B371" s="3" t="str">
        <f>HYPERLINK("https://hawk-eye.atlassian.net/browse/HWKREPORT-3145?atlOrigin=eyJpIjoiYzgwYTQ0ZjEyNzQzNGJhN2JmNjEyZTM0NmRhZWZhNjIiLCJwIjoic2hlZXRzLWppcmEifQ","HWKREPORT-3145")</f>
        <v>HWKREPORT-3145</v>
      </c>
      <c r="C371" s="1" t="s">
        <v>1524</v>
      </c>
      <c r="D371" s="1" t="s">
        <v>48</v>
      </c>
      <c r="E371" s="1" t="s">
        <v>1057</v>
      </c>
      <c r="F371" s="4">
        <v>45664.48594907407</v>
      </c>
      <c r="G371" s="3" t="str">
        <f t="shared" si="34"/>
        <v/>
      </c>
      <c r="H371" s="1" t="s">
        <v>1058</v>
      </c>
      <c r="I371" s="1" t="s">
        <v>1082</v>
      </c>
      <c r="J371" s="1" t="s">
        <v>26</v>
      </c>
      <c r="K371" s="1" t="s">
        <v>1148</v>
      </c>
      <c r="L371" s="1" t="s">
        <v>26</v>
      </c>
      <c r="M371" s="1" t="s">
        <v>27</v>
      </c>
      <c r="N371" s="1" t="s">
        <v>26</v>
      </c>
      <c r="O371" s="1" t="s">
        <v>26</v>
      </c>
      <c r="P371" s="4">
        <v>45664.48594907407</v>
      </c>
    </row>
    <row r="372" hidden="1">
      <c r="A372" s="1" t="s">
        <v>21</v>
      </c>
      <c r="B372" s="3" t="str">
        <f>HYPERLINK("https://hawk-eye.atlassian.net/browse/HWKREPORT-3146?atlOrigin=eyJpIjoiYzgwYTQ0ZjEyNzQzNGJhN2JmNjEyZTM0NmRhZWZhNjIiLCJwIjoic2hlZXRzLWppcmEifQ","HWKREPORT-3146")</f>
        <v>HWKREPORT-3146</v>
      </c>
      <c r="C372" s="1" t="s">
        <v>1525</v>
      </c>
      <c r="D372" s="1" t="s">
        <v>83</v>
      </c>
      <c r="E372" s="1" t="s">
        <v>35</v>
      </c>
      <c r="F372" s="4">
        <v>45664.63266203704</v>
      </c>
      <c r="G372" s="3" t="str">
        <f>HYPERLINK("https://hawk-eye.atlassian.net/browse/SO-2292?atlOrigin=eyJpIjoiYzgwYTQ0ZjEyNzQzNGJhN2JmNjEyZTM0NmRhZWZhNjIiLCJwIjoic2hlZXRzLWppcmEifQ","SO-2292")</f>
        <v>SO-2292</v>
      </c>
      <c r="H372" s="1" t="s">
        <v>1058</v>
      </c>
      <c r="I372" s="1" t="s">
        <v>1085</v>
      </c>
      <c r="J372" s="1" t="s">
        <v>26</v>
      </c>
      <c r="K372" s="1" t="s">
        <v>1116</v>
      </c>
      <c r="L372" s="1" t="s">
        <v>26</v>
      </c>
      <c r="M372" s="1" t="s">
        <v>27</v>
      </c>
      <c r="N372" s="1" t="s">
        <v>26</v>
      </c>
      <c r="O372" s="1" t="s">
        <v>26</v>
      </c>
      <c r="P372" s="4">
        <v>45744.58631944445</v>
      </c>
    </row>
    <row r="373">
      <c r="A373" s="1" t="s">
        <v>21</v>
      </c>
      <c r="B373" s="3" t="str">
        <f>HYPERLINK("https://hawk-eye.atlassian.net/browse/HWKREPORT-3147?atlOrigin=eyJpIjoiYzgwYTQ0ZjEyNzQzNGJhN2JmNjEyZTM0NmRhZWZhNjIiLCJwIjoic2hlZXRzLWppcmEifQ","HWKREPORT-3147")</f>
        <v>HWKREPORT-3147</v>
      </c>
      <c r="C373" s="1" t="s">
        <v>1526</v>
      </c>
      <c r="D373" s="1" t="s">
        <v>23</v>
      </c>
      <c r="E373" s="1" t="s">
        <v>1207</v>
      </c>
      <c r="F373" s="4">
        <v>45664.63491898148</v>
      </c>
      <c r="G373" s="3" t="str">
        <f>HYPERLINK("https://hawk-eye.atlassian.net/browse/RTT-9751?atlOrigin=eyJpIjoiYzgwYTQ0ZjEyNzQzNGJhN2JmNjEyZTM0NmRhZWZhNjIiLCJwIjoic2hlZXRzLWppcmEifQ","RTT-9751")</f>
        <v>RTT-9751</v>
      </c>
      <c r="H373" s="1" t="s">
        <v>1058</v>
      </c>
      <c r="I373" s="1" t="s">
        <v>28</v>
      </c>
      <c r="J373" s="1" t="s">
        <v>26</v>
      </c>
      <c r="K373" s="1" t="s">
        <v>1072</v>
      </c>
      <c r="L373" s="1" t="s">
        <v>26</v>
      </c>
      <c r="M373" s="1" t="s">
        <v>27</v>
      </c>
      <c r="N373" s="1" t="s">
        <v>26</v>
      </c>
      <c r="O373" s="1" t="s">
        <v>26</v>
      </c>
      <c r="P373" s="4">
        <v>45692.45085648148</v>
      </c>
    </row>
    <row r="374" hidden="1">
      <c r="A374" s="1" t="s">
        <v>21</v>
      </c>
      <c r="B374" s="3" t="str">
        <f>HYPERLINK("https://hawk-eye.atlassian.net/browse/HWKREPORT-3148?atlOrigin=eyJpIjoiYzgwYTQ0ZjEyNzQzNGJhN2JmNjEyZTM0NmRhZWZhNjIiLCJwIjoic2hlZXRzLWppcmEifQ","HWKREPORT-3148")</f>
        <v>HWKREPORT-3148</v>
      </c>
      <c r="C374" s="1" t="s">
        <v>1527</v>
      </c>
      <c r="D374" s="1" t="s">
        <v>40</v>
      </c>
      <c r="E374" s="1" t="s">
        <v>1207</v>
      </c>
      <c r="F374" s="4">
        <v>45665.42951388889</v>
      </c>
      <c r="G374" s="3" t="str">
        <f>HYPERLINK("https://hawk-eye.atlassian.net/browse/RTT-9758?atlOrigin=eyJpIjoiYzgwYTQ0ZjEyNzQzNGJhN2JmNjEyZTM0NmRhZWZhNjIiLCJwIjoic2hlZXRzLWppcmEifQ","RTT-9758")</f>
        <v>RTT-9758</v>
      </c>
      <c r="H374" s="1" t="s">
        <v>1058</v>
      </c>
      <c r="I374" s="1" t="s">
        <v>1085</v>
      </c>
      <c r="J374" s="1" t="s">
        <v>26</v>
      </c>
      <c r="K374" s="1" t="s">
        <v>1072</v>
      </c>
      <c r="L374" s="1" t="s">
        <v>26</v>
      </c>
      <c r="M374" s="1" t="s">
        <v>27</v>
      </c>
      <c r="N374" s="1" t="s">
        <v>26</v>
      </c>
      <c r="O374" s="1" t="s">
        <v>26</v>
      </c>
      <c r="P374" s="4">
        <v>45691.54542824074</v>
      </c>
    </row>
    <row r="375" hidden="1">
      <c r="A375" s="1" t="s">
        <v>1055</v>
      </c>
      <c r="B375" s="3" t="str">
        <f>HYPERLINK("https://hawk-eye.atlassian.net/browse/HWKREPORT-3149?atlOrigin=eyJpIjoiYzgwYTQ0ZjEyNzQzNGJhN2JmNjEyZTM0NmRhZWZhNjIiLCJwIjoic2hlZXRzLWppcmEifQ","HWKREPORT-3149")</f>
        <v>HWKREPORT-3149</v>
      </c>
      <c r="C375" s="1" t="s">
        <v>1528</v>
      </c>
      <c r="D375" s="1" t="s">
        <v>48</v>
      </c>
      <c r="E375" s="1" t="s">
        <v>1207</v>
      </c>
      <c r="F375" s="4">
        <v>45665.62126157407</v>
      </c>
      <c r="G375" s="3" t="str">
        <f>HYPERLINK("https://hawk-eye.atlassian.net/browse/RTT-9918?atlOrigin=eyJpIjoiYzgwYTQ0ZjEyNzQzNGJhN2JmNjEyZTM0NmRhZWZhNjIiLCJwIjoic2hlZXRzLWppcmEifQ","RTT-9918")</f>
        <v>RTT-9918</v>
      </c>
      <c r="H375" s="1" t="s">
        <v>1058</v>
      </c>
      <c r="I375" s="1" t="s">
        <v>1085</v>
      </c>
      <c r="J375" s="1" t="s">
        <v>26</v>
      </c>
      <c r="K375" s="1" t="s">
        <v>1362</v>
      </c>
      <c r="L375" s="1" t="s">
        <v>26</v>
      </c>
      <c r="M375" s="1" t="s">
        <v>27</v>
      </c>
      <c r="N375" s="1" t="s">
        <v>26</v>
      </c>
      <c r="O375" s="1" t="s">
        <v>26</v>
      </c>
      <c r="P375" s="4">
        <v>45769.41884259259</v>
      </c>
    </row>
    <row r="376" hidden="1">
      <c r="A376" s="1" t="s">
        <v>21</v>
      </c>
      <c r="B376" s="3" t="str">
        <f>HYPERLINK("https://hawk-eye.atlassian.net/browse/HWKREPORT-3150?atlOrigin=eyJpIjoiYzgwYTQ0ZjEyNzQzNGJhN2JmNjEyZTM0NmRhZWZhNjIiLCJwIjoic2hlZXRzLWppcmEifQ","HWKREPORT-3150")</f>
        <v>HWKREPORT-3150</v>
      </c>
      <c r="C376" s="1" t="s">
        <v>1529</v>
      </c>
      <c r="D376" s="1" t="s">
        <v>23</v>
      </c>
      <c r="E376" s="1" t="s">
        <v>35</v>
      </c>
      <c r="F376" s="4">
        <v>45665.62721064815</v>
      </c>
      <c r="G376" s="3" t="str">
        <f>HYPERLINK("https://hawk-eye.atlassian.net/browse/SO-2168?atlOrigin=eyJpIjoiYzgwYTQ0ZjEyNzQzNGJhN2JmNjEyZTM0NmRhZWZhNjIiLCJwIjoic2hlZXRzLWppcmEifQ","SO-2168")</f>
        <v>SO-2168</v>
      </c>
      <c r="H376" s="1" t="s">
        <v>1058</v>
      </c>
      <c r="I376" s="1" t="s">
        <v>1085</v>
      </c>
      <c r="J376" s="1" t="s">
        <v>26</v>
      </c>
      <c r="K376" s="1" t="s">
        <v>1116</v>
      </c>
      <c r="L376" s="1" t="s">
        <v>26</v>
      </c>
      <c r="M376" s="1" t="s">
        <v>27</v>
      </c>
      <c r="N376" s="1" t="s">
        <v>26</v>
      </c>
      <c r="O376" s="1" t="s">
        <v>26</v>
      </c>
      <c r="P376" s="4">
        <v>45694.42097222222</v>
      </c>
    </row>
    <row r="377" hidden="1">
      <c r="A377" s="1" t="s">
        <v>1055</v>
      </c>
      <c r="B377" s="3" t="str">
        <f>HYPERLINK("https://hawk-eye.atlassian.net/browse/HWKREPORT-3151?atlOrigin=eyJpIjoiYzgwYTQ0ZjEyNzQzNGJhN2JmNjEyZTM0NmRhZWZhNjIiLCJwIjoic2hlZXRzLWppcmEifQ","HWKREPORT-3151")</f>
        <v>HWKREPORT-3151</v>
      </c>
      <c r="C377" s="1" t="s">
        <v>1530</v>
      </c>
      <c r="D377" s="1" t="s">
        <v>48</v>
      </c>
      <c r="E377" s="1" t="s">
        <v>1057</v>
      </c>
      <c r="F377" s="4">
        <v>45665.62892361111</v>
      </c>
      <c r="G377" s="3" t="str">
        <f>HYPERLINK("https://hawk-eye.atlassian.net/browse/SO-2169?atlOrigin=eyJpIjoiYzgwYTQ0ZjEyNzQzNGJhN2JmNjEyZTM0NmRhZWZhNjIiLCJwIjoic2hlZXRzLWppcmEifQ","SO-2169")</f>
        <v>SO-2169</v>
      </c>
      <c r="H377" s="1" t="s">
        <v>1058</v>
      </c>
      <c r="I377" s="1" t="s">
        <v>1085</v>
      </c>
      <c r="J377" s="1" t="s">
        <v>26</v>
      </c>
      <c r="K377" s="1" t="s">
        <v>1116</v>
      </c>
      <c r="L377" s="1" t="s">
        <v>26</v>
      </c>
      <c r="M377" s="1" t="s">
        <v>27</v>
      </c>
      <c r="N377" s="1" t="s">
        <v>26</v>
      </c>
      <c r="O377" s="1" t="s">
        <v>26</v>
      </c>
      <c r="P377" s="4">
        <v>45665.62893518519</v>
      </c>
    </row>
    <row r="378" hidden="1">
      <c r="A378" s="1" t="s">
        <v>21</v>
      </c>
      <c r="B378" s="3" t="str">
        <f>HYPERLINK("https://hawk-eye.atlassian.net/browse/HWKREPORT-3152?atlOrigin=eyJpIjoiYzgwYTQ0ZjEyNzQzNGJhN2JmNjEyZTM0NmRhZWZhNjIiLCJwIjoic2hlZXRzLWppcmEifQ","HWKREPORT-3152")</f>
        <v>HWKREPORT-3152</v>
      </c>
      <c r="C378" s="1" t="s">
        <v>1531</v>
      </c>
      <c r="D378" s="1" t="s">
        <v>23</v>
      </c>
      <c r="E378" s="1" t="s">
        <v>1057</v>
      </c>
      <c r="F378" s="4">
        <v>45665.62908564815</v>
      </c>
      <c r="G378" s="3" t="str">
        <f>HYPERLINK("https://hawk-eye.atlassian.net/browse/RTT-9917?atlOrigin=eyJpIjoiYzgwYTQ0ZjEyNzQzNGJhN2JmNjEyZTM0NmRhZWZhNjIiLCJwIjoic2hlZXRzLWppcmEifQ","RTT-9917")</f>
        <v>RTT-9917</v>
      </c>
      <c r="H378" s="1" t="s">
        <v>1058</v>
      </c>
      <c r="I378" s="1" t="s">
        <v>1085</v>
      </c>
      <c r="J378" s="1" t="s">
        <v>26</v>
      </c>
      <c r="K378" s="1" t="s">
        <v>1362</v>
      </c>
      <c r="L378" s="1" t="s">
        <v>26</v>
      </c>
      <c r="M378" s="1" t="s">
        <v>27</v>
      </c>
      <c r="N378" s="1" t="s">
        <v>26</v>
      </c>
      <c r="O378" s="1" t="s">
        <v>26</v>
      </c>
      <c r="P378" s="4">
        <v>45665.62909722222</v>
      </c>
    </row>
    <row r="379" hidden="1">
      <c r="A379" s="1" t="s">
        <v>1055</v>
      </c>
      <c r="B379" s="3" t="str">
        <f>HYPERLINK("https://hawk-eye.atlassian.net/browse/HWKREPORT-3153?atlOrigin=eyJpIjoiYzgwYTQ0ZjEyNzQzNGJhN2JmNjEyZTM0NmRhZWZhNjIiLCJwIjoic2hlZXRzLWppcmEifQ","HWKREPORT-3153")</f>
        <v>HWKREPORT-3153</v>
      </c>
      <c r="C379" s="1" t="s">
        <v>1532</v>
      </c>
      <c r="D379" s="1" t="s">
        <v>48</v>
      </c>
      <c r="E379" s="1" t="s">
        <v>35</v>
      </c>
      <c r="F379" s="4">
        <v>45665.63143518518</v>
      </c>
      <c r="G379" s="3" t="str">
        <f>HYPERLINK("https://hawk-eye.atlassian.net/browse/SO-2170?atlOrigin=eyJpIjoiYzgwYTQ0ZjEyNzQzNGJhN2JmNjEyZTM0NmRhZWZhNjIiLCJwIjoic2hlZXRzLWppcmEifQ","SO-2170")</f>
        <v>SO-2170</v>
      </c>
      <c r="H379" s="1" t="s">
        <v>1058</v>
      </c>
      <c r="I379" s="1" t="s">
        <v>1085</v>
      </c>
      <c r="J379" s="1" t="s">
        <v>26</v>
      </c>
      <c r="K379" s="1" t="s">
        <v>1116</v>
      </c>
      <c r="L379" s="1" t="s">
        <v>26</v>
      </c>
      <c r="M379" s="1" t="s">
        <v>27</v>
      </c>
      <c r="N379" s="1" t="s">
        <v>26</v>
      </c>
      <c r="O379" s="1" t="s">
        <v>26</v>
      </c>
      <c r="P379" s="4">
        <v>45714.47189814815</v>
      </c>
    </row>
    <row r="380" hidden="1">
      <c r="A380" s="1" t="s">
        <v>21</v>
      </c>
      <c r="B380" s="3" t="str">
        <f>HYPERLINK("https://hawk-eye.atlassian.net/browse/HWKREPORT-3154?atlOrigin=eyJpIjoiYzgwYTQ0ZjEyNzQzNGJhN2JmNjEyZTM0NmRhZWZhNjIiLCJwIjoic2hlZXRzLWppcmEifQ","HWKREPORT-3154")</f>
        <v>HWKREPORT-3154</v>
      </c>
      <c r="C380" s="1" t="s">
        <v>1533</v>
      </c>
      <c r="D380" s="1" t="s">
        <v>23</v>
      </c>
      <c r="E380" s="1" t="s">
        <v>1057</v>
      </c>
      <c r="F380" s="4">
        <v>45665.64800925926</v>
      </c>
      <c r="G380" s="3" t="str">
        <f>HYPERLINK("https://hawk-eye.atlassian.net/browse/RTT-9916?atlOrigin=eyJpIjoiYzgwYTQ0ZjEyNzQzNGJhN2JmNjEyZTM0NmRhZWZhNjIiLCJwIjoic2hlZXRzLWppcmEifQ","RTT-9916")</f>
        <v>RTT-9916</v>
      </c>
      <c r="H380" s="1" t="s">
        <v>1058</v>
      </c>
      <c r="I380" s="1" t="s">
        <v>1085</v>
      </c>
      <c r="J380" s="1" t="s">
        <v>26</v>
      </c>
      <c r="K380" s="1" t="s">
        <v>1362</v>
      </c>
      <c r="L380" s="1" t="s">
        <v>26</v>
      </c>
      <c r="M380" s="1" t="s">
        <v>27</v>
      </c>
      <c r="N380" s="1" t="s">
        <v>26</v>
      </c>
      <c r="O380" s="1" t="s">
        <v>26</v>
      </c>
      <c r="P380" s="4">
        <v>45665.64802083333</v>
      </c>
    </row>
    <row r="381" hidden="1">
      <c r="A381" s="1" t="s">
        <v>21</v>
      </c>
      <c r="B381" s="3" t="str">
        <f>HYPERLINK("https://hawk-eye.atlassian.net/browse/HWKREPORT-3155?atlOrigin=eyJpIjoiYzgwYTQ0ZjEyNzQzNGJhN2JmNjEyZTM0NmRhZWZhNjIiLCJwIjoic2hlZXRzLWppcmEifQ","HWKREPORT-3155")</f>
        <v>HWKREPORT-3155</v>
      </c>
      <c r="C381" s="1" t="s">
        <v>1534</v>
      </c>
      <c r="D381" s="1" t="s">
        <v>23</v>
      </c>
      <c r="E381" s="1" t="s">
        <v>1057</v>
      </c>
      <c r="F381" s="4">
        <v>45665.66587962963</v>
      </c>
      <c r="G381" s="3" t="str">
        <f>HYPERLINK("https://hawk-eye.atlassian.net/browse/RTT-9882?atlOrigin=eyJpIjoiYzgwYTQ0ZjEyNzQzNGJhN2JmNjEyZTM0NmRhZWZhNjIiLCJwIjoic2hlZXRzLWppcmEifQ","RTT-9882")</f>
        <v>RTT-9882</v>
      </c>
      <c r="H381" s="1" t="s">
        <v>1058</v>
      </c>
      <c r="I381" s="1" t="s">
        <v>1085</v>
      </c>
      <c r="J381" s="1" t="s">
        <v>26</v>
      </c>
      <c r="K381" s="1" t="s">
        <v>1116</v>
      </c>
      <c r="L381" s="1" t="s">
        <v>26</v>
      </c>
      <c r="M381" s="1" t="s">
        <v>27</v>
      </c>
      <c r="N381" s="1" t="s">
        <v>26</v>
      </c>
      <c r="O381" s="1" t="s">
        <v>26</v>
      </c>
      <c r="P381" s="4">
        <v>45665.6658912037</v>
      </c>
    </row>
    <row r="382" hidden="1">
      <c r="A382" s="1" t="s">
        <v>1055</v>
      </c>
      <c r="B382" s="3" t="str">
        <f>HYPERLINK("https://hawk-eye.atlassian.net/browse/HWKREPORT-3156?atlOrigin=eyJpIjoiYzgwYTQ0ZjEyNzQzNGJhN2JmNjEyZTM0NmRhZWZhNjIiLCJwIjoic2hlZXRzLWppcmEifQ","HWKREPORT-3156")</f>
        <v>HWKREPORT-3156</v>
      </c>
      <c r="C382" s="1" t="s">
        <v>1535</v>
      </c>
      <c r="D382" s="1" t="s">
        <v>48</v>
      </c>
      <c r="E382" s="1" t="s">
        <v>35</v>
      </c>
      <c r="F382" s="4">
        <v>45665.67144675926</v>
      </c>
      <c r="G382" s="3" t="str">
        <f>HYPERLINK("https://hawk-eye.atlassian.net/browse/SO-2171?atlOrigin=eyJpIjoiYzgwYTQ0ZjEyNzQzNGJhN2JmNjEyZTM0NmRhZWZhNjIiLCJwIjoic2hlZXRzLWppcmEifQ","SO-2171")</f>
        <v>SO-2171</v>
      </c>
      <c r="H382" s="1" t="s">
        <v>1058</v>
      </c>
      <c r="I382" s="1" t="s">
        <v>1085</v>
      </c>
      <c r="J382" s="1" t="s">
        <v>26</v>
      </c>
      <c r="K382" s="1" t="s">
        <v>1116</v>
      </c>
      <c r="L382" s="1" t="s">
        <v>26</v>
      </c>
      <c r="M382" s="1" t="s">
        <v>27</v>
      </c>
      <c r="N382" s="1" t="s">
        <v>26</v>
      </c>
      <c r="O382" s="1" t="s">
        <v>26</v>
      </c>
      <c r="P382" s="4">
        <v>45737.38847222222</v>
      </c>
    </row>
    <row r="383" hidden="1">
      <c r="A383" s="1" t="s">
        <v>21</v>
      </c>
      <c r="B383" s="3" t="str">
        <f>HYPERLINK("https://hawk-eye.atlassian.net/browse/HWKREPORT-3157?atlOrigin=eyJpIjoiYzgwYTQ0ZjEyNzQzNGJhN2JmNjEyZTM0NmRhZWZhNjIiLCJwIjoic2hlZXRzLWppcmEifQ","HWKREPORT-3157")</f>
        <v>HWKREPORT-3157</v>
      </c>
      <c r="C383" s="1" t="s">
        <v>1536</v>
      </c>
      <c r="D383" s="1" t="s">
        <v>34</v>
      </c>
      <c r="E383" s="1" t="s">
        <v>1207</v>
      </c>
      <c r="F383" s="4">
        <v>45665.68368055556</v>
      </c>
      <c r="G383" s="3" t="str">
        <f>HYPERLINK("https://hawk-eye.atlassian.net/browse/RTT-9915?atlOrigin=eyJpIjoiYzgwYTQ0ZjEyNzQzNGJhN2JmNjEyZTM0NmRhZWZhNjIiLCJwIjoic2hlZXRzLWppcmEifQ","RTT-9915")</f>
        <v>RTT-9915</v>
      </c>
      <c r="H383" s="1" t="s">
        <v>1058</v>
      </c>
      <c r="I383" s="1" t="s">
        <v>1085</v>
      </c>
      <c r="J383" s="1" t="s">
        <v>26</v>
      </c>
      <c r="K383" s="1" t="s">
        <v>1362</v>
      </c>
      <c r="L383" s="1" t="s">
        <v>26</v>
      </c>
      <c r="M383" s="1" t="s">
        <v>27</v>
      </c>
      <c r="N383" s="1" t="s">
        <v>26</v>
      </c>
      <c r="O383" s="1" t="s">
        <v>26</v>
      </c>
      <c r="P383" s="4">
        <v>45783.470243055555</v>
      </c>
    </row>
    <row r="384" hidden="1">
      <c r="A384" s="1" t="s">
        <v>21</v>
      </c>
      <c r="B384" s="3" t="str">
        <f>HYPERLINK("https://hawk-eye.atlassian.net/browse/HWKREPORT-3158?atlOrigin=eyJpIjoiYzgwYTQ0ZjEyNzQzNGJhN2JmNjEyZTM0NmRhZWZhNjIiLCJwIjoic2hlZXRzLWppcmEifQ","HWKREPORT-3158")</f>
        <v>HWKREPORT-3158</v>
      </c>
      <c r="C384" s="1" t="s">
        <v>1537</v>
      </c>
      <c r="D384" s="1" t="s">
        <v>23</v>
      </c>
      <c r="E384" s="1" t="s">
        <v>1057</v>
      </c>
      <c r="F384" s="4">
        <v>45665.73174768518</v>
      </c>
      <c r="G384" s="3" t="str">
        <f>HYPERLINK("https://hawk-eye.atlassian.net/browse/RTT-9914?atlOrigin=eyJpIjoiYzgwYTQ0ZjEyNzQzNGJhN2JmNjEyZTM0NmRhZWZhNjIiLCJwIjoic2hlZXRzLWppcmEifQ","RTT-9914")</f>
        <v>RTT-9914</v>
      </c>
      <c r="H384" s="1" t="s">
        <v>1058</v>
      </c>
      <c r="I384" s="1" t="s">
        <v>1085</v>
      </c>
      <c r="J384" s="1" t="s">
        <v>26</v>
      </c>
      <c r="K384" s="1" t="s">
        <v>1312</v>
      </c>
      <c r="L384" s="1" t="s">
        <v>26</v>
      </c>
      <c r="M384" s="1" t="s">
        <v>27</v>
      </c>
      <c r="N384" s="1" t="s">
        <v>26</v>
      </c>
      <c r="O384" s="1" t="s">
        <v>26</v>
      </c>
      <c r="P384" s="4">
        <v>45665.73175925926</v>
      </c>
    </row>
    <row r="385" hidden="1">
      <c r="A385" s="1" t="s">
        <v>21</v>
      </c>
      <c r="B385" s="3" t="str">
        <f>HYPERLINK("https://hawk-eye.atlassian.net/browse/HWKREPORT-3159?atlOrigin=eyJpIjoiYzgwYTQ0ZjEyNzQzNGJhN2JmNjEyZTM0NmRhZWZhNjIiLCJwIjoic2hlZXRzLWppcmEifQ","HWKREPORT-3159")</f>
        <v>HWKREPORT-3159</v>
      </c>
      <c r="C385" s="1" t="s">
        <v>1538</v>
      </c>
      <c r="D385" s="1" t="s">
        <v>23</v>
      </c>
      <c r="E385" s="1" t="s">
        <v>1057</v>
      </c>
      <c r="F385" s="4">
        <v>45665.76138888889</v>
      </c>
      <c r="G385" s="3" t="str">
        <f>HYPERLINK("https://hawk-eye.atlassian.net/browse/RTT-9913?atlOrigin=eyJpIjoiYzgwYTQ0ZjEyNzQzNGJhN2JmNjEyZTM0NmRhZWZhNjIiLCJwIjoic2hlZXRzLWppcmEifQ","RTT-9913")</f>
        <v>RTT-9913</v>
      </c>
      <c r="H385" s="1" t="s">
        <v>1058</v>
      </c>
      <c r="I385" s="1" t="s">
        <v>1085</v>
      </c>
      <c r="J385" s="1" t="s">
        <v>26</v>
      </c>
      <c r="K385" s="1" t="s">
        <v>1362</v>
      </c>
      <c r="L385" s="1" t="s">
        <v>26</v>
      </c>
      <c r="M385" s="1" t="s">
        <v>27</v>
      </c>
      <c r="N385" s="1" t="s">
        <v>26</v>
      </c>
      <c r="O385" s="1" t="s">
        <v>26</v>
      </c>
      <c r="P385" s="4">
        <v>45665.761400462965</v>
      </c>
    </row>
    <row r="386" hidden="1">
      <c r="A386" s="1" t="s">
        <v>21</v>
      </c>
      <c r="B386" s="3" t="str">
        <f>HYPERLINK("https://hawk-eye.atlassian.net/browse/HWKREPORT-3160?atlOrigin=eyJpIjoiYzgwYTQ0ZjEyNzQzNGJhN2JmNjEyZTM0NmRhZWZhNjIiLCJwIjoic2hlZXRzLWppcmEifQ","HWKREPORT-3160")</f>
        <v>HWKREPORT-3160</v>
      </c>
      <c r="C386" s="1" t="s">
        <v>1539</v>
      </c>
      <c r="D386" s="1" t="s">
        <v>23</v>
      </c>
      <c r="E386" s="1" t="s">
        <v>35</v>
      </c>
      <c r="F386" s="4">
        <v>45665.779270833336</v>
      </c>
      <c r="G386" s="3" t="str">
        <f>HYPERLINK("https://hawk-eye.atlassian.net/browse/MLT-2483?atlOrigin=eyJpIjoiYzgwYTQ0ZjEyNzQzNGJhN2JmNjEyZTM0NmRhZWZhNjIiLCJwIjoic2hlZXRzLWppcmEifQ","MLT-2483")</f>
        <v>MLT-2483</v>
      </c>
      <c r="H386" s="1" t="s">
        <v>1058</v>
      </c>
      <c r="I386" s="1" t="s">
        <v>1071</v>
      </c>
      <c r="J386" s="1" t="s">
        <v>26</v>
      </c>
      <c r="K386" s="1" t="s">
        <v>1093</v>
      </c>
      <c r="L386" s="1" t="s">
        <v>26</v>
      </c>
      <c r="M386" s="1" t="s">
        <v>27</v>
      </c>
      <c r="N386" s="1" t="s">
        <v>26</v>
      </c>
      <c r="O386" s="1" t="s">
        <v>26</v>
      </c>
      <c r="P386" s="4">
        <v>45695.46016203704</v>
      </c>
    </row>
    <row r="387" hidden="1">
      <c r="A387" s="1" t="s">
        <v>21</v>
      </c>
      <c r="B387" s="3" t="str">
        <f>HYPERLINK("https://hawk-eye.atlassian.net/browse/HWKREPORT-3161?atlOrigin=eyJpIjoiYzgwYTQ0ZjEyNzQzNGJhN2JmNjEyZTM0NmRhZWZhNjIiLCJwIjoic2hlZXRzLWppcmEifQ","HWKREPORT-3161")</f>
        <v>HWKREPORT-3161</v>
      </c>
      <c r="C387" s="1" t="s">
        <v>1540</v>
      </c>
      <c r="D387" s="1" t="s">
        <v>34</v>
      </c>
      <c r="E387" s="1" t="s">
        <v>1541</v>
      </c>
      <c r="F387" s="4">
        <v>45665.78233796296</v>
      </c>
      <c r="G387" s="3" t="str">
        <f>HYPERLINK("https://hawk-eye.atlassian.net/browse/MLT-2482?atlOrigin=eyJpIjoiYzgwYTQ0ZjEyNzQzNGJhN2JmNjEyZTM0NmRhZWZhNjIiLCJwIjoic2hlZXRzLWppcmEifQ","MLT-2482")</f>
        <v>MLT-2482</v>
      </c>
      <c r="H387" s="1" t="s">
        <v>1058</v>
      </c>
      <c r="I387" s="1" t="s">
        <v>1071</v>
      </c>
      <c r="J387" s="1" t="s">
        <v>26</v>
      </c>
      <c r="K387" s="1" t="s">
        <v>1072</v>
      </c>
      <c r="L387" s="1" t="s">
        <v>26</v>
      </c>
      <c r="M387" s="1" t="s">
        <v>27</v>
      </c>
      <c r="N387" s="1" t="s">
        <v>26</v>
      </c>
      <c r="O387" s="1" t="s">
        <v>26</v>
      </c>
      <c r="P387" s="4">
        <v>45727.66174768518</v>
      </c>
    </row>
    <row r="388" hidden="1">
      <c r="A388" s="1" t="s">
        <v>21</v>
      </c>
      <c r="B388" s="3" t="str">
        <f>HYPERLINK("https://hawk-eye.atlassian.net/browse/HWKREPORT-3162?atlOrigin=eyJpIjoiYzgwYTQ0ZjEyNzQzNGJhN2JmNjEyZTM0NmRhZWZhNjIiLCJwIjoic2hlZXRzLWppcmEifQ","HWKREPORT-3162")</f>
        <v>HWKREPORT-3162</v>
      </c>
      <c r="C388" s="1" t="s">
        <v>1542</v>
      </c>
      <c r="D388" s="1" t="s">
        <v>34</v>
      </c>
      <c r="E388" s="1" t="s">
        <v>1057</v>
      </c>
      <c r="F388" s="4">
        <v>45665.97329861111</v>
      </c>
      <c r="G388" s="3" t="str">
        <f>HYPERLINK("https://hawk-eye.atlassian.net/browse/RTT-10170?atlOrigin=eyJpIjoiYzgwYTQ0ZjEyNzQzNGJhN2JmNjEyZTM0NmRhZWZhNjIiLCJwIjoic2hlZXRzLWppcmEifQ","RTT-10170")</f>
        <v>RTT-10170</v>
      </c>
      <c r="H388" s="1" t="s">
        <v>1058</v>
      </c>
      <c r="I388" s="1" t="s">
        <v>1059</v>
      </c>
      <c r="J388" s="1" t="s">
        <v>26</v>
      </c>
      <c r="K388" s="1" t="s">
        <v>1543</v>
      </c>
      <c r="L388" s="1" t="s">
        <v>26</v>
      </c>
      <c r="M388" s="1" t="s">
        <v>27</v>
      </c>
      <c r="N388" s="1" t="s">
        <v>26</v>
      </c>
      <c r="O388" s="1" t="s">
        <v>26</v>
      </c>
      <c r="P388" s="4">
        <v>45665.97332175926</v>
      </c>
    </row>
    <row r="389" hidden="1">
      <c r="A389" s="1" t="s">
        <v>21</v>
      </c>
      <c r="B389" s="3" t="str">
        <f>HYPERLINK("https://hawk-eye.atlassian.net/browse/HWKREPORT-3163?atlOrigin=eyJpIjoiYzgwYTQ0ZjEyNzQzNGJhN2JmNjEyZTM0NmRhZWZhNjIiLCJwIjoic2hlZXRzLWppcmEifQ","HWKREPORT-3163")</f>
        <v>HWKREPORT-3163</v>
      </c>
      <c r="C389" s="1" t="s">
        <v>1544</v>
      </c>
      <c r="D389" s="1" t="s">
        <v>23</v>
      </c>
      <c r="E389" s="1" t="s">
        <v>1057</v>
      </c>
      <c r="F389" s="4">
        <v>45666.41730324074</v>
      </c>
      <c r="G389" s="3" t="str">
        <f>HYPERLINK("https://hawk-eye.atlassian.net/browse/RTT-9912?atlOrigin=eyJpIjoiYzgwYTQ0ZjEyNzQzNGJhN2JmNjEyZTM0NmRhZWZhNjIiLCJwIjoic2hlZXRzLWppcmEifQ","RTT-9912")</f>
        <v>RTT-9912</v>
      </c>
      <c r="H389" s="1" t="s">
        <v>1058</v>
      </c>
      <c r="I389" s="1" t="s">
        <v>1085</v>
      </c>
      <c r="J389" s="1" t="s">
        <v>26</v>
      </c>
      <c r="K389" s="1" t="s">
        <v>1545</v>
      </c>
      <c r="L389" s="1" t="s">
        <v>26</v>
      </c>
      <c r="M389" s="1" t="s">
        <v>27</v>
      </c>
      <c r="N389" s="1" t="s">
        <v>26</v>
      </c>
      <c r="O389" s="1" t="s">
        <v>26</v>
      </c>
      <c r="P389" s="4">
        <v>45666.41731481482</v>
      </c>
    </row>
    <row r="390">
      <c r="A390" s="1" t="s">
        <v>21</v>
      </c>
      <c r="B390" s="3" t="str">
        <f>HYPERLINK("https://hawk-eye.atlassian.net/browse/HWKREPORT-3164?atlOrigin=eyJpIjoiYzgwYTQ0ZjEyNzQzNGJhN2JmNjEyZTM0NmRhZWZhNjIiLCJwIjoic2hlZXRzLWppcmEifQ","HWKREPORT-3164")</f>
        <v>HWKREPORT-3164</v>
      </c>
      <c r="C390" s="1" t="s">
        <v>1546</v>
      </c>
      <c r="D390" s="1" t="s">
        <v>23</v>
      </c>
      <c r="E390" s="1" t="s">
        <v>1207</v>
      </c>
      <c r="F390" s="4">
        <v>45666.764965277776</v>
      </c>
      <c r="G390" s="3" t="str">
        <f>HYPERLINK("https://hawk-eye.atlassian.net/browse/RTT-9762?atlOrigin=eyJpIjoiYzgwYTQ0ZjEyNzQzNGJhN2JmNjEyZTM0NmRhZWZhNjIiLCJwIjoic2hlZXRzLWppcmEifQ","RTT-9762")</f>
        <v>RTT-9762</v>
      </c>
      <c r="H390" s="1" t="s">
        <v>1058</v>
      </c>
      <c r="I390" s="1" t="s">
        <v>28</v>
      </c>
      <c r="J390" s="1" t="s">
        <v>26</v>
      </c>
      <c r="K390" s="1" t="s">
        <v>1099</v>
      </c>
      <c r="L390" s="1" t="s">
        <v>26</v>
      </c>
      <c r="M390" s="1" t="s">
        <v>27</v>
      </c>
      <c r="N390" s="1" t="s">
        <v>26</v>
      </c>
      <c r="O390" s="1" t="s">
        <v>26</v>
      </c>
      <c r="P390" s="4">
        <v>45721.52744212963</v>
      </c>
    </row>
    <row r="391" hidden="1">
      <c r="A391" s="1" t="s">
        <v>21</v>
      </c>
      <c r="B391" s="3" t="str">
        <f>HYPERLINK("https://hawk-eye.atlassian.net/browse/HWKREPORT-3165?atlOrigin=eyJpIjoiYzgwYTQ0ZjEyNzQzNGJhN2JmNjEyZTM0NmRhZWZhNjIiLCJwIjoic2hlZXRzLWppcmEifQ","HWKREPORT-3165")</f>
        <v>HWKREPORT-3165</v>
      </c>
      <c r="C391" s="1" t="s">
        <v>1547</v>
      </c>
      <c r="D391" s="1" t="s">
        <v>48</v>
      </c>
      <c r="E391" s="1" t="s">
        <v>35</v>
      </c>
      <c r="F391" s="4">
        <v>45666.783113425925</v>
      </c>
      <c r="G391" s="3" t="str">
        <f>HYPERLINK("https://hawk-eye.atlassian.net/browse/?atlOrigin=eyJpIjoiYzgwYTQ0ZjEyNzQzNGJhN2JmNjEyZTM0NmRhZWZhNjIiLCJwIjoic2hlZXRzLWppcmEifQ","")</f>
        <v/>
      </c>
      <c r="H391" s="1" t="s">
        <v>1058</v>
      </c>
      <c r="I391" s="1" t="s">
        <v>1107</v>
      </c>
      <c r="J391" s="1" t="s">
        <v>26</v>
      </c>
      <c r="K391" s="1" t="s">
        <v>1108</v>
      </c>
      <c r="L391" s="1" t="s">
        <v>26</v>
      </c>
      <c r="M391" s="1" t="s">
        <v>27</v>
      </c>
      <c r="N391" s="1" t="s">
        <v>26</v>
      </c>
      <c r="O391" s="1" t="s">
        <v>26</v>
      </c>
      <c r="P391" s="4">
        <v>45674.42386574074</v>
      </c>
    </row>
    <row r="392" hidden="1">
      <c r="A392" s="1" t="s">
        <v>21</v>
      </c>
      <c r="B392" s="3" t="str">
        <f>HYPERLINK("https://hawk-eye.atlassian.net/browse/HWKREPORT-3166?atlOrigin=eyJpIjoiYzgwYTQ0ZjEyNzQzNGJhN2JmNjEyZTM0NmRhZWZhNjIiLCJwIjoic2hlZXRzLWppcmEifQ","HWKREPORT-3166")</f>
        <v>HWKREPORT-3166</v>
      </c>
      <c r="C392" s="1" t="s">
        <v>1548</v>
      </c>
      <c r="D392" s="1" t="s">
        <v>83</v>
      </c>
      <c r="E392" s="1" t="s">
        <v>1057</v>
      </c>
      <c r="F392" s="4">
        <v>45667.52701388889</v>
      </c>
      <c r="G392" s="3" t="str">
        <f>HYPERLINK("https://hawk-eye.atlassian.net/browse/RTT-9872?atlOrigin=eyJpIjoiYzgwYTQ0ZjEyNzQzNGJhN2JmNjEyZTM0NmRhZWZhNjIiLCJwIjoic2hlZXRzLWppcmEifQ","RTT-9872")</f>
        <v>RTT-9872</v>
      </c>
      <c r="H392" s="1" t="s">
        <v>1058</v>
      </c>
      <c r="I392" s="1" t="s">
        <v>1085</v>
      </c>
      <c r="J392" s="1" t="s">
        <v>26</v>
      </c>
      <c r="K392" s="1" t="s">
        <v>1312</v>
      </c>
      <c r="L392" s="1" t="s">
        <v>26</v>
      </c>
      <c r="M392" s="1" t="s">
        <v>27</v>
      </c>
      <c r="N392" s="1" t="s">
        <v>26</v>
      </c>
      <c r="O392" s="1" t="s">
        <v>26</v>
      </c>
      <c r="P392" s="4">
        <v>45667.527025462965</v>
      </c>
    </row>
    <row r="393" hidden="1">
      <c r="A393" s="1" t="s">
        <v>1055</v>
      </c>
      <c r="B393" s="3" t="str">
        <f>HYPERLINK("https://hawk-eye.atlassian.net/browse/HWKREPORT-3167?atlOrigin=eyJpIjoiYzgwYTQ0ZjEyNzQzNGJhN2JmNjEyZTM0NmRhZWZhNjIiLCJwIjoic2hlZXRzLWppcmEifQ","HWKREPORT-3167")</f>
        <v>HWKREPORT-3167</v>
      </c>
      <c r="C393" s="1" t="s">
        <v>1549</v>
      </c>
      <c r="D393" s="1" t="s">
        <v>48</v>
      </c>
      <c r="E393" s="1" t="s">
        <v>1074</v>
      </c>
      <c r="F393" s="4">
        <v>45667.58451388889</v>
      </c>
      <c r="G393" s="3" t="str">
        <f>HYPERLINK("https://hawk-eye.atlassian.net/browse/RTT-9871?atlOrigin=eyJpIjoiYzgwYTQ0ZjEyNzQzNGJhN2JmNjEyZTM0NmRhZWZhNjIiLCJwIjoic2hlZXRzLWppcmEifQ","RTT-9871")</f>
        <v>RTT-9871</v>
      </c>
      <c r="H393" s="1" t="s">
        <v>1058</v>
      </c>
      <c r="I393" s="1" t="s">
        <v>1085</v>
      </c>
      <c r="J393" s="1" t="s">
        <v>26</v>
      </c>
      <c r="K393" s="1" t="s">
        <v>1362</v>
      </c>
      <c r="L393" s="1" t="s">
        <v>26</v>
      </c>
      <c r="M393" s="1" t="s">
        <v>27</v>
      </c>
      <c r="N393" s="1" t="s">
        <v>26</v>
      </c>
      <c r="O393" s="1" t="s">
        <v>26</v>
      </c>
      <c r="P393" s="4">
        <v>45770.6990625</v>
      </c>
    </row>
    <row r="394" hidden="1">
      <c r="A394" s="1" t="s">
        <v>1055</v>
      </c>
      <c r="B394" s="3" t="str">
        <f>HYPERLINK("https://hawk-eye.atlassian.net/browse/HWKREPORT-3168?atlOrigin=eyJpIjoiYzgwYTQ0ZjEyNzQzNGJhN2JmNjEyZTM0NmRhZWZhNjIiLCJwIjoic2hlZXRzLWppcmEifQ","HWKREPORT-3168")</f>
        <v>HWKREPORT-3168</v>
      </c>
      <c r="C394" s="1" t="s">
        <v>1550</v>
      </c>
      <c r="D394" s="1" t="s">
        <v>48</v>
      </c>
      <c r="E394" s="1" t="s">
        <v>1057</v>
      </c>
      <c r="F394" s="4">
        <v>45667.62329861111</v>
      </c>
      <c r="G394" s="3" t="str">
        <f>HYPERLINK("https://hawk-eye.atlassian.net/browse/?atlOrigin=eyJpIjoiYzgwYTQ0ZjEyNzQzNGJhN2JmNjEyZTM0NmRhZWZhNjIiLCJwIjoic2hlZXRzLWppcmEifQ","")</f>
        <v/>
      </c>
      <c r="H394" s="1" t="s">
        <v>1058</v>
      </c>
      <c r="I394" s="1" t="s">
        <v>1085</v>
      </c>
      <c r="J394" s="1" t="s">
        <v>26</v>
      </c>
      <c r="K394" s="1" t="s">
        <v>1290</v>
      </c>
      <c r="L394" s="1" t="s">
        <v>26</v>
      </c>
      <c r="M394" s="1" t="s">
        <v>27</v>
      </c>
      <c r="N394" s="1" t="s">
        <v>26</v>
      </c>
      <c r="O394" s="1" t="s">
        <v>26</v>
      </c>
      <c r="P394" s="4">
        <v>45667.62329861111</v>
      </c>
    </row>
    <row r="395" hidden="1">
      <c r="A395" s="1" t="s">
        <v>21</v>
      </c>
      <c r="B395" s="3" t="str">
        <f>HYPERLINK("https://hawk-eye.atlassian.net/browse/HWKREPORT-3169?atlOrigin=eyJpIjoiYzgwYTQ0ZjEyNzQzNGJhN2JmNjEyZTM0NmRhZWZhNjIiLCJwIjoic2hlZXRzLWppcmEifQ","HWKREPORT-3169")</f>
        <v>HWKREPORT-3169</v>
      </c>
      <c r="C395" s="1" t="s">
        <v>1551</v>
      </c>
      <c r="D395" s="1" t="s">
        <v>23</v>
      </c>
      <c r="E395" s="1" t="s">
        <v>35</v>
      </c>
      <c r="F395" s="4">
        <v>45667.66096064815</v>
      </c>
      <c r="G395" s="3" t="str">
        <f>HYPERLINK("https://hawk-eye.atlassian.net/browse/SO-2172?atlOrigin=eyJpIjoiYzgwYTQ0ZjEyNzQzNGJhN2JmNjEyZTM0NmRhZWZhNjIiLCJwIjoic2hlZXRzLWppcmEifQ","SO-2172")</f>
        <v>SO-2172</v>
      </c>
      <c r="H395" s="1" t="s">
        <v>1058</v>
      </c>
      <c r="I395" s="1" t="s">
        <v>1085</v>
      </c>
      <c r="J395" s="1" t="s">
        <v>26</v>
      </c>
      <c r="K395" s="1" t="s">
        <v>1134</v>
      </c>
      <c r="L395" s="1" t="s">
        <v>26</v>
      </c>
      <c r="M395" s="1" t="s">
        <v>27</v>
      </c>
      <c r="N395" s="1" t="s">
        <v>26</v>
      </c>
      <c r="O395" s="1" t="s">
        <v>26</v>
      </c>
      <c r="P395" s="4">
        <v>45713.406226851854</v>
      </c>
    </row>
    <row r="396" hidden="1">
      <c r="A396" s="1" t="s">
        <v>21</v>
      </c>
      <c r="B396" s="3" t="str">
        <f>HYPERLINK("https://hawk-eye.atlassian.net/browse/HWKREPORT-3170?atlOrigin=eyJpIjoiYzgwYTQ0ZjEyNzQzNGJhN2JmNjEyZTM0NmRhZWZhNjIiLCJwIjoic2hlZXRzLWppcmEifQ","HWKREPORT-3170")</f>
        <v>HWKREPORT-3170</v>
      </c>
      <c r="C396" s="1" t="s">
        <v>1552</v>
      </c>
      <c r="D396" s="1" t="s">
        <v>40</v>
      </c>
      <c r="E396" s="1" t="s">
        <v>1057</v>
      </c>
      <c r="F396" s="4">
        <v>45667.767592592594</v>
      </c>
      <c r="G396" s="3" t="str">
        <f>HYPERLINK("https://hawk-eye.atlassian.net/browse/?atlOrigin=eyJpIjoiYzgwYTQ0ZjEyNzQzNGJhN2JmNjEyZTM0NmRhZWZhNjIiLCJwIjoic2hlZXRzLWppcmEifQ","")</f>
        <v/>
      </c>
      <c r="H396" s="1" t="s">
        <v>1058</v>
      </c>
      <c r="I396" s="1" t="s">
        <v>1085</v>
      </c>
      <c r="J396" s="1" t="s">
        <v>26</v>
      </c>
      <c r="K396" s="1" t="s">
        <v>1105</v>
      </c>
      <c r="L396" s="1" t="s">
        <v>26</v>
      </c>
      <c r="M396" s="1" t="s">
        <v>27</v>
      </c>
      <c r="N396" s="1" t="s">
        <v>26</v>
      </c>
      <c r="O396" s="1" t="s">
        <v>26</v>
      </c>
      <c r="P396" s="4">
        <v>45667.767604166664</v>
      </c>
    </row>
    <row r="397" hidden="1">
      <c r="A397" s="1" t="s">
        <v>1055</v>
      </c>
      <c r="B397" s="3" t="str">
        <f>HYPERLINK("https://hawk-eye.atlassian.net/browse/HWKREPORT-3171?atlOrigin=eyJpIjoiYzgwYTQ0ZjEyNzQzNGJhN2JmNjEyZTM0NmRhZWZhNjIiLCJwIjoic2hlZXRzLWppcmEifQ","HWKREPORT-3171")</f>
        <v>HWKREPORT-3171</v>
      </c>
      <c r="C397" s="1" t="s">
        <v>1553</v>
      </c>
      <c r="D397" s="1" t="s">
        <v>48</v>
      </c>
      <c r="E397" s="1" t="s">
        <v>1074</v>
      </c>
      <c r="F397" s="4">
        <v>45668.81182870371</v>
      </c>
      <c r="G397" s="3" t="str">
        <f>HYPERLINK("https://hawk-eye.atlassian.net/browse/BR-1854?atlOrigin=eyJpIjoiYzgwYTQ0ZjEyNzQzNGJhN2JmNjEyZTM0NmRhZWZhNjIiLCJwIjoic2hlZXRzLWppcmEifQ","BR-1854")</f>
        <v>BR-1854</v>
      </c>
      <c r="H397" s="1" t="s">
        <v>1058</v>
      </c>
      <c r="I397" s="1" t="s">
        <v>1107</v>
      </c>
      <c r="J397" s="1" t="s">
        <v>26</v>
      </c>
      <c r="K397" s="1" t="s">
        <v>1108</v>
      </c>
      <c r="L397" s="1" t="s">
        <v>26</v>
      </c>
      <c r="M397" s="1" t="s">
        <v>27</v>
      </c>
      <c r="N397" s="1" t="s">
        <v>26</v>
      </c>
      <c r="O397" s="1" t="s">
        <v>26</v>
      </c>
      <c r="P397" s="4">
        <v>45674.42335648148</v>
      </c>
    </row>
    <row r="398" hidden="1">
      <c r="A398" s="1" t="s">
        <v>21</v>
      </c>
      <c r="B398" s="3" t="str">
        <f>HYPERLINK("https://hawk-eye.atlassian.net/browse/HWKREPORT-3172?atlOrigin=eyJpIjoiYzgwYTQ0ZjEyNzQzNGJhN2JmNjEyZTM0NmRhZWZhNjIiLCJwIjoic2hlZXRzLWppcmEifQ","HWKREPORT-3172")</f>
        <v>HWKREPORT-3172</v>
      </c>
      <c r="C398" s="1" t="s">
        <v>1554</v>
      </c>
      <c r="D398" s="1" t="s">
        <v>83</v>
      </c>
      <c r="E398" s="1" t="s">
        <v>1057</v>
      </c>
      <c r="F398" s="4">
        <v>45668.99340277778</v>
      </c>
      <c r="G398" s="3" t="str">
        <f>HYPERLINK("https://hawk-eye.atlassian.net/browse/BR-1876?atlOrigin=eyJpIjoiYzgwYTQ0ZjEyNzQzNGJhN2JmNjEyZTM0NmRhZWZhNjIiLCJwIjoic2hlZXRzLWppcmEifQ","BR-1876")</f>
        <v>BR-1876</v>
      </c>
      <c r="H398" s="1" t="s">
        <v>1058</v>
      </c>
      <c r="I398" s="1" t="s">
        <v>1107</v>
      </c>
      <c r="J398" s="1" t="s">
        <v>26</v>
      </c>
      <c r="K398" s="1" t="s">
        <v>1108</v>
      </c>
      <c r="L398" s="1" t="s">
        <v>26</v>
      </c>
      <c r="M398" s="1" t="s">
        <v>27</v>
      </c>
      <c r="N398" s="1" t="s">
        <v>26</v>
      </c>
      <c r="O398" s="1" t="s">
        <v>26</v>
      </c>
      <c r="P398" s="4">
        <v>45668.993425925924</v>
      </c>
    </row>
    <row r="399" hidden="1">
      <c r="A399" s="1" t="s">
        <v>21</v>
      </c>
      <c r="B399" s="3" t="str">
        <f>HYPERLINK("https://hawk-eye.atlassian.net/browse/HWKREPORT-3173?atlOrigin=eyJpIjoiYzgwYTQ0ZjEyNzQzNGJhN2JmNjEyZTM0NmRhZWZhNjIiLCJwIjoic2hlZXRzLWppcmEifQ","HWKREPORT-3173")</f>
        <v>HWKREPORT-3173</v>
      </c>
      <c r="C399" s="1" t="s">
        <v>1555</v>
      </c>
      <c r="D399" s="1" t="s">
        <v>23</v>
      </c>
      <c r="E399" s="1" t="s">
        <v>1057</v>
      </c>
      <c r="F399" s="4">
        <v>45669.98815972222</v>
      </c>
      <c r="G399" s="3" t="str">
        <f>HYPERLINK("https://hawk-eye.atlassian.net/browse/BR-1984?atlOrigin=eyJpIjoiYzgwYTQ0ZjEyNzQzNGJhN2JmNjEyZTM0NmRhZWZhNjIiLCJwIjoic2hlZXRzLWppcmEifQ","BR-1984")</f>
        <v>BR-1984</v>
      </c>
      <c r="H399" s="1" t="s">
        <v>1058</v>
      </c>
      <c r="I399" s="1" t="s">
        <v>1107</v>
      </c>
      <c r="J399" s="1" t="s">
        <v>26</v>
      </c>
      <c r="K399" s="1" t="s">
        <v>1108</v>
      </c>
      <c r="L399" s="1" t="s">
        <v>26</v>
      </c>
      <c r="M399" s="1" t="s">
        <v>27</v>
      </c>
      <c r="N399" s="1" t="s">
        <v>26</v>
      </c>
      <c r="O399" s="1" t="s">
        <v>26</v>
      </c>
      <c r="P399" s="4">
        <v>45669.988171296296</v>
      </c>
    </row>
    <row r="400" hidden="1">
      <c r="A400" s="1" t="s">
        <v>21</v>
      </c>
      <c r="B400" s="3" t="str">
        <f>HYPERLINK("https://hawk-eye.atlassian.net/browse/HWKREPORT-3174?atlOrigin=eyJpIjoiYzgwYTQ0ZjEyNzQzNGJhN2JmNjEyZTM0NmRhZWZhNjIiLCJwIjoic2hlZXRzLWppcmEifQ","HWKREPORT-3174")</f>
        <v>HWKREPORT-3174</v>
      </c>
      <c r="C400" s="1" t="s">
        <v>1556</v>
      </c>
      <c r="D400" s="1" t="s">
        <v>23</v>
      </c>
      <c r="E400" s="1" t="s">
        <v>35</v>
      </c>
      <c r="F400" s="4">
        <v>45670.391909722224</v>
      </c>
      <c r="G400" s="3" t="str">
        <f>HYPERLINK("https://hawk-eye.atlassian.net/browse/SO-2166?atlOrigin=eyJpIjoiYzgwYTQ0ZjEyNzQzNGJhN2JmNjEyZTM0NmRhZWZhNjIiLCJwIjoic2hlZXRzLWppcmEifQ","SO-2166")</f>
        <v>SO-2166</v>
      </c>
      <c r="H400" s="1" t="s">
        <v>1058</v>
      </c>
      <c r="I400" s="1" t="s">
        <v>1085</v>
      </c>
      <c r="J400" s="1" t="s">
        <v>26</v>
      </c>
      <c r="K400" s="1" t="s">
        <v>1116</v>
      </c>
      <c r="L400" s="1" t="s">
        <v>26</v>
      </c>
      <c r="M400" s="1" t="s">
        <v>27</v>
      </c>
      <c r="N400" s="1" t="s">
        <v>26</v>
      </c>
      <c r="O400" s="1" t="s">
        <v>26</v>
      </c>
      <c r="P400" s="4">
        <v>45673.68792824074</v>
      </c>
    </row>
    <row r="401" hidden="1">
      <c r="A401" s="1" t="s">
        <v>1055</v>
      </c>
      <c r="B401" s="3" t="str">
        <f>HYPERLINK("https://hawk-eye.atlassian.net/browse/HWKREPORT-3175?atlOrigin=eyJpIjoiYzgwYTQ0ZjEyNzQzNGJhN2JmNjEyZTM0NmRhZWZhNjIiLCJwIjoic2hlZXRzLWppcmEifQ","HWKREPORT-3175")</f>
        <v>HWKREPORT-3175</v>
      </c>
      <c r="C401" s="1" t="s">
        <v>1557</v>
      </c>
      <c r="D401" s="1" t="s">
        <v>48</v>
      </c>
      <c r="E401" s="1" t="s">
        <v>1057</v>
      </c>
      <c r="F401" s="4">
        <v>45670.41054398148</v>
      </c>
      <c r="G401" s="3" t="str">
        <f>HYPERLINK("https://hawk-eye.atlassian.net/browse/?atlOrigin=eyJpIjoiYzgwYTQ0ZjEyNzQzNGJhN2JmNjEyZTM0NmRhZWZhNjIiLCJwIjoic2hlZXRzLWppcmEifQ","")</f>
        <v/>
      </c>
      <c r="H401" s="1" t="s">
        <v>1058</v>
      </c>
      <c r="I401" s="1" t="s">
        <v>1085</v>
      </c>
      <c r="J401" s="1" t="s">
        <v>26</v>
      </c>
      <c r="K401" s="1" t="s">
        <v>1309</v>
      </c>
      <c r="L401" s="1" t="s">
        <v>26</v>
      </c>
      <c r="M401" s="1" t="s">
        <v>27</v>
      </c>
      <c r="N401" s="1" t="s">
        <v>26</v>
      </c>
      <c r="O401" s="1" t="s">
        <v>26</v>
      </c>
      <c r="P401" s="4">
        <v>45670.41055555556</v>
      </c>
    </row>
    <row r="402">
      <c r="A402" s="1" t="s">
        <v>21</v>
      </c>
      <c r="B402" s="3" t="str">
        <f>HYPERLINK("https://hawk-eye.atlassian.net/browse/HWKREPORT-2982?atlOrigin=eyJpIjoiYzgwYTQ0ZjEyNzQzNGJhN2JmNjEyZTM0NmRhZWZhNjIiLCJwIjoic2hlZXRzLWppcmEifQ","HWKREPORT-2982")</f>
        <v>HWKREPORT-2982</v>
      </c>
      <c r="C402" s="1" t="s">
        <v>1558</v>
      </c>
      <c r="D402" s="1" t="s">
        <v>83</v>
      </c>
      <c r="E402" s="1" t="s">
        <v>1057</v>
      </c>
      <c r="F402" s="4">
        <v>45595.677719907406</v>
      </c>
      <c r="G402" s="3" t="str">
        <f>HYPERLINK("https://hawk-eye.atlassian.net/browse/SO-1953?atlOrigin=eyJpIjoiYzgwYTQ0ZjEyNzQzNGJhN2JmNjEyZTM0NmRhZWZhNjIiLCJwIjoic2hlZXRzLWppcmEifQ","SO-1953")</f>
        <v>SO-1953</v>
      </c>
      <c r="H402" s="1" t="s">
        <v>1058</v>
      </c>
      <c r="I402" s="1" t="s">
        <v>28</v>
      </c>
      <c r="J402" s="1" t="s">
        <v>26</v>
      </c>
      <c r="K402" s="1" t="s">
        <v>1116</v>
      </c>
      <c r="L402" s="1" t="s">
        <v>26</v>
      </c>
      <c r="M402" s="1" t="s">
        <v>27</v>
      </c>
      <c r="N402" s="1" t="s">
        <v>26</v>
      </c>
      <c r="O402" s="1" t="s">
        <v>26</v>
      </c>
      <c r="P402" s="4">
        <v>45595.67774305555</v>
      </c>
    </row>
    <row r="403" hidden="1">
      <c r="A403" s="1" t="s">
        <v>1055</v>
      </c>
      <c r="B403" s="3" t="str">
        <f>HYPERLINK("https://hawk-eye.atlassian.net/browse/HWKREPORT-2983?atlOrigin=eyJpIjoiYzgwYTQ0ZjEyNzQzNGJhN2JmNjEyZTM0NmRhZWZhNjIiLCJwIjoic2hlZXRzLWppcmEifQ","HWKREPORT-2983")</f>
        <v>HWKREPORT-2983</v>
      </c>
      <c r="C403" s="1" t="s">
        <v>1559</v>
      </c>
      <c r="D403" s="1" t="s">
        <v>48</v>
      </c>
      <c r="E403" s="1" t="s">
        <v>1057</v>
      </c>
      <c r="F403" s="4">
        <v>45595.67859953704</v>
      </c>
      <c r="G403" s="3" t="str">
        <f>HYPERLINK("https://hawk-eye.atlassian.net/browse/?atlOrigin=eyJpIjoiYzgwYTQ0ZjEyNzQzNGJhN2JmNjEyZTM0NmRhZWZhNjIiLCJwIjoic2hlZXRzLWppcmEifQ","")</f>
        <v/>
      </c>
      <c r="H403" s="1" t="s">
        <v>1058</v>
      </c>
      <c r="I403" s="1" t="s">
        <v>1085</v>
      </c>
      <c r="J403" s="1" t="s">
        <v>26</v>
      </c>
      <c r="K403" s="1" t="s">
        <v>1072</v>
      </c>
      <c r="L403" s="1" t="s">
        <v>26</v>
      </c>
      <c r="M403" s="1" t="s">
        <v>27</v>
      </c>
      <c r="N403" s="1" t="s">
        <v>26</v>
      </c>
      <c r="O403" s="1" t="s">
        <v>26</v>
      </c>
      <c r="P403" s="4">
        <v>45595.678611111114</v>
      </c>
    </row>
    <row r="404" hidden="1">
      <c r="A404" s="1" t="s">
        <v>21</v>
      </c>
      <c r="B404" s="3" t="str">
        <f>HYPERLINK("https://hawk-eye.atlassian.net/browse/HWKREPORT-2984?atlOrigin=eyJpIjoiYzgwYTQ0ZjEyNzQzNGJhN2JmNjEyZTM0NmRhZWZhNjIiLCJwIjoic2hlZXRzLWppcmEifQ","HWKREPORT-2984")</f>
        <v>HWKREPORT-2984</v>
      </c>
      <c r="C404" s="1" t="s">
        <v>1560</v>
      </c>
      <c r="D404" s="1" t="s">
        <v>40</v>
      </c>
      <c r="E404" s="1" t="s">
        <v>35</v>
      </c>
      <c r="F404" s="4">
        <v>45595.6853587963</v>
      </c>
      <c r="G404" s="3" t="str">
        <f>HYPERLINK("https://hawk-eye.atlassian.net/browse/CTK-187?atlOrigin=eyJpIjoiYzgwYTQ0ZjEyNzQzNGJhN2JmNjEyZTM0NmRhZWZhNjIiLCJwIjoic2hlZXRzLWppcmEifQ","CTK-187")</f>
        <v>CTK-187</v>
      </c>
      <c r="H404" s="1" t="s">
        <v>1058</v>
      </c>
      <c r="I404" s="1" t="s">
        <v>1082</v>
      </c>
      <c r="J404" s="1" t="s">
        <v>26</v>
      </c>
      <c r="K404" s="1" t="s">
        <v>1083</v>
      </c>
      <c r="L404" s="1" t="s">
        <v>26</v>
      </c>
      <c r="M404" s="1" t="s">
        <v>27</v>
      </c>
      <c r="N404" s="1" t="s">
        <v>26</v>
      </c>
      <c r="O404" s="1" t="s">
        <v>26</v>
      </c>
      <c r="P404" s="4">
        <v>45597.6662037037</v>
      </c>
    </row>
    <row r="405" hidden="1">
      <c r="A405" s="1" t="s">
        <v>1055</v>
      </c>
      <c r="B405" s="3" t="str">
        <f>HYPERLINK("https://hawk-eye.atlassian.net/browse/HWKREPORT-2985?atlOrigin=eyJpIjoiYzgwYTQ0ZjEyNzQzNGJhN2JmNjEyZTM0NmRhZWZhNjIiLCJwIjoic2hlZXRzLWppcmEifQ","HWKREPORT-2985")</f>
        <v>HWKREPORT-2985</v>
      </c>
      <c r="C405" s="1" t="s">
        <v>1561</v>
      </c>
      <c r="D405" s="1" t="s">
        <v>48</v>
      </c>
      <c r="E405" s="1" t="s">
        <v>1207</v>
      </c>
      <c r="F405" s="4">
        <v>45595.768125</v>
      </c>
      <c r="G405" s="3" t="str">
        <f>HYPERLINK("https://hawk-eye.atlassian.net/browse/RTT-9436?atlOrigin=eyJpIjoiYzgwYTQ0ZjEyNzQzNGJhN2JmNjEyZTM0NmRhZWZhNjIiLCJwIjoic2hlZXRzLWppcmEifQ","RTT-9436")</f>
        <v>RTT-9436</v>
      </c>
      <c r="H405" s="1" t="s">
        <v>1058</v>
      </c>
      <c r="I405" s="1" t="s">
        <v>28</v>
      </c>
      <c r="J405" s="1" t="s">
        <v>26</v>
      </c>
      <c r="K405" s="1" t="s">
        <v>1072</v>
      </c>
      <c r="L405" s="1" t="s">
        <v>26</v>
      </c>
      <c r="M405" s="1" t="s">
        <v>27</v>
      </c>
      <c r="N405" s="1" t="s">
        <v>26</v>
      </c>
      <c r="O405" s="1" t="s">
        <v>26</v>
      </c>
      <c r="P405" s="4">
        <v>45719.36368055556</v>
      </c>
    </row>
    <row r="406">
      <c r="A406" s="1" t="s">
        <v>21</v>
      </c>
      <c r="B406" s="3" t="str">
        <f>HYPERLINK("https://hawk-eye.atlassian.net/browse/HWKREPORT-2986?atlOrigin=eyJpIjoiYzgwYTQ0ZjEyNzQzNGJhN2JmNjEyZTM0NmRhZWZhNjIiLCJwIjoic2hlZXRzLWppcmEifQ","HWKREPORT-2986")</f>
        <v>HWKREPORT-2986</v>
      </c>
      <c r="C406" s="1" t="s">
        <v>1562</v>
      </c>
      <c r="D406" s="1" t="s">
        <v>83</v>
      </c>
      <c r="E406" s="1" t="s">
        <v>35</v>
      </c>
      <c r="F406" s="4">
        <v>45595.815613425926</v>
      </c>
      <c r="G406" s="3" t="str">
        <f>HYPERLINK("https://hawk-eye.atlassian.net/browse/RTT-9435?atlOrigin=eyJpIjoiYzgwYTQ0ZjEyNzQzNGJhN2JmNjEyZTM0NmRhZWZhNjIiLCJwIjoic2hlZXRzLWppcmEifQ","RTT-9435")</f>
        <v>RTT-9435</v>
      </c>
      <c r="H406" s="1" t="s">
        <v>1058</v>
      </c>
      <c r="I406" s="1" t="s">
        <v>28</v>
      </c>
      <c r="J406" s="1" t="s">
        <v>26</v>
      </c>
      <c r="K406" s="1" t="s">
        <v>1563</v>
      </c>
      <c r="L406" s="1" t="s">
        <v>26</v>
      </c>
      <c r="M406" s="1" t="s">
        <v>27</v>
      </c>
      <c r="N406" s="1" t="s">
        <v>26</v>
      </c>
      <c r="O406" s="1" t="s">
        <v>26</v>
      </c>
      <c r="P406" s="4">
        <v>45700.360625</v>
      </c>
    </row>
    <row r="407">
      <c r="A407" s="1" t="s">
        <v>21</v>
      </c>
      <c r="B407" s="3" t="str">
        <f>HYPERLINK("https://hawk-eye.atlassian.net/browse/HWKREPORT-2987?atlOrigin=eyJpIjoiYzgwYTQ0ZjEyNzQzNGJhN2JmNjEyZTM0NmRhZWZhNjIiLCJwIjoic2hlZXRzLWppcmEifQ","HWKREPORT-2987")</f>
        <v>HWKREPORT-2987</v>
      </c>
      <c r="C407" s="1" t="s">
        <v>1564</v>
      </c>
      <c r="D407" s="1" t="s">
        <v>34</v>
      </c>
      <c r="E407" s="1" t="s">
        <v>35</v>
      </c>
      <c r="F407" s="4">
        <v>45595.819375</v>
      </c>
      <c r="G407" s="3" t="str">
        <f>HYPERLINK("https://hawk-eye.atlassian.net/browse/SO-1971?atlOrigin=eyJpIjoiYzgwYTQ0ZjEyNzQzNGJhN2JmNjEyZTM0NmRhZWZhNjIiLCJwIjoic2hlZXRzLWppcmEifQ","SO-1971")</f>
        <v>SO-1971</v>
      </c>
      <c r="H407" s="1" t="s">
        <v>1058</v>
      </c>
      <c r="I407" s="1" t="s">
        <v>28</v>
      </c>
      <c r="J407" s="1" t="s">
        <v>26</v>
      </c>
      <c r="K407" s="1" t="s">
        <v>1134</v>
      </c>
      <c r="L407" s="1" t="s">
        <v>26</v>
      </c>
      <c r="M407" s="1" t="s">
        <v>27</v>
      </c>
      <c r="N407" s="1" t="s">
        <v>26</v>
      </c>
      <c r="O407" s="1" t="s">
        <v>26</v>
      </c>
      <c r="P407" s="4">
        <v>45708.43414351852</v>
      </c>
    </row>
    <row r="408" hidden="1">
      <c r="A408" s="1" t="s">
        <v>1055</v>
      </c>
      <c r="B408" s="3" t="str">
        <f>HYPERLINK("https://hawk-eye.atlassian.net/browse/HWKREPORT-2988?atlOrigin=eyJpIjoiYzgwYTQ0ZjEyNzQzNGJhN2JmNjEyZTM0NmRhZWZhNjIiLCJwIjoic2hlZXRzLWppcmEifQ","HWKREPORT-2988")</f>
        <v>HWKREPORT-2988</v>
      </c>
      <c r="C408" s="1" t="s">
        <v>1565</v>
      </c>
      <c r="D408" s="1" t="s">
        <v>48</v>
      </c>
      <c r="E408" s="1" t="s">
        <v>35</v>
      </c>
      <c r="F408" s="4">
        <v>45595.85737268518</v>
      </c>
      <c r="G408" s="3" t="str">
        <f>HYPERLINK("https://hawk-eye.atlassian.net/browse/SO-1972?atlOrigin=eyJpIjoiYzgwYTQ0ZjEyNzQzNGJhN2JmNjEyZTM0NmRhZWZhNjIiLCJwIjoic2hlZXRzLWppcmEifQ","SO-1972")</f>
        <v>SO-1972</v>
      </c>
      <c r="H408" s="1" t="s">
        <v>1058</v>
      </c>
      <c r="I408" s="1" t="s">
        <v>28</v>
      </c>
      <c r="J408" s="1" t="s">
        <v>26</v>
      </c>
      <c r="K408" s="1" t="s">
        <v>1566</v>
      </c>
      <c r="L408" s="1" t="s">
        <v>26</v>
      </c>
      <c r="M408" s="1" t="s">
        <v>27</v>
      </c>
      <c r="N408" s="1" t="s">
        <v>26</v>
      </c>
      <c r="O408" s="1" t="s">
        <v>26</v>
      </c>
      <c r="P408" s="4">
        <v>45636.37961805556</v>
      </c>
    </row>
    <row r="409" hidden="1">
      <c r="A409" s="1" t="s">
        <v>21</v>
      </c>
      <c r="B409" s="3" t="str">
        <f>HYPERLINK("https://hawk-eye.atlassian.net/browse/HWKREPORT-2989?atlOrigin=eyJpIjoiYzgwYTQ0ZjEyNzQzNGJhN2JmNjEyZTM0NmRhZWZhNjIiLCJwIjoic2hlZXRzLWppcmEifQ","HWKREPORT-2989")</f>
        <v>HWKREPORT-2989</v>
      </c>
      <c r="C409" s="1" t="s">
        <v>1567</v>
      </c>
      <c r="D409" s="1" t="s">
        <v>40</v>
      </c>
      <c r="E409" s="1" t="s">
        <v>35</v>
      </c>
      <c r="F409" s="4">
        <v>45596.620833333334</v>
      </c>
      <c r="G409" s="3" t="str">
        <f>HYPERLINK("https://hawk-eye.atlassian.net/browse/TDP-2229?atlOrigin=eyJpIjoiYzgwYTQ0ZjEyNzQzNGJhN2JmNjEyZTM0NmRhZWZhNjIiLCJwIjoic2hlZXRzLWppcmEifQ","TDP-2229")</f>
        <v>TDP-2229</v>
      </c>
      <c r="H409" s="1" t="s">
        <v>1058</v>
      </c>
      <c r="I409" s="1" t="s">
        <v>1126</v>
      </c>
      <c r="J409" s="1" t="s">
        <v>26</v>
      </c>
      <c r="K409" s="1" t="s">
        <v>1211</v>
      </c>
      <c r="L409" s="1" t="s">
        <v>26</v>
      </c>
      <c r="M409" s="1" t="s">
        <v>27</v>
      </c>
      <c r="N409" s="1" t="s">
        <v>26</v>
      </c>
      <c r="O409" s="1" t="s">
        <v>26</v>
      </c>
      <c r="P409" s="4">
        <v>45601.68247685185</v>
      </c>
    </row>
    <row r="410" hidden="1">
      <c r="A410" s="1" t="s">
        <v>21</v>
      </c>
      <c r="B410" s="3" t="str">
        <f>HYPERLINK("https://hawk-eye.atlassian.net/browse/HWKREPORT-2990?atlOrigin=eyJpIjoiYzgwYTQ0ZjEyNzQzNGJhN2JmNjEyZTM0NmRhZWZhNjIiLCJwIjoic2hlZXRzLWppcmEifQ","HWKREPORT-2990")</f>
        <v>HWKREPORT-2990</v>
      </c>
      <c r="C410" s="1" t="s">
        <v>1568</v>
      </c>
      <c r="D410" s="1" t="s">
        <v>23</v>
      </c>
      <c r="E410" s="1" t="s">
        <v>1057</v>
      </c>
      <c r="F410" s="4">
        <v>45596.6216087963</v>
      </c>
      <c r="G410" s="3" t="str">
        <f t="shared" ref="G410:G411" si="35">HYPERLINK("https://hawk-eye.atlassian.net/browse/?atlOrigin=eyJpIjoiYzgwYTQ0ZjEyNzQzNGJhN2JmNjEyZTM0NmRhZWZhNjIiLCJwIjoic2hlZXRzLWppcmEifQ","")</f>
        <v/>
      </c>
      <c r="H410" s="1" t="s">
        <v>1058</v>
      </c>
      <c r="I410" s="1" t="s">
        <v>1193</v>
      </c>
      <c r="J410" s="1" t="s">
        <v>26</v>
      </c>
      <c r="K410" s="1" t="s">
        <v>1312</v>
      </c>
      <c r="L410" s="1" t="s">
        <v>26</v>
      </c>
      <c r="M410" s="1" t="s">
        <v>27</v>
      </c>
      <c r="N410" s="1" t="s">
        <v>26</v>
      </c>
      <c r="O410" s="1" t="s">
        <v>26</v>
      </c>
      <c r="P410" s="4">
        <v>45596.6216087963</v>
      </c>
    </row>
    <row r="411" hidden="1">
      <c r="A411" s="1" t="s">
        <v>1055</v>
      </c>
      <c r="B411" s="3" t="str">
        <f>HYPERLINK("https://hawk-eye.atlassian.net/browse/HWKREPORT-2991?atlOrigin=eyJpIjoiYzgwYTQ0ZjEyNzQzNGJhN2JmNjEyZTM0NmRhZWZhNjIiLCJwIjoic2hlZXRzLWppcmEifQ","HWKREPORT-2991")</f>
        <v>HWKREPORT-2991</v>
      </c>
      <c r="C411" s="1" t="s">
        <v>1569</v>
      </c>
      <c r="D411" s="1" t="s">
        <v>48</v>
      </c>
      <c r="E411" s="1" t="s">
        <v>1057</v>
      </c>
      <c r="F411" s="4">
        <v>45596.693703703706</v>
      </c>
      <c r="G411" s="3" t="str">
        <f t="shared" si="35"/>
        <v/>
      </c>
      <c r="H411" s="1" t="s">
        <v>1058</v>
      </c>
      <c r="I411" s="1" t="s">
        <v>1082</v>
      </c>
      <c r="J411" s="1" t="s">
        <v>26</v>
      </c>
      <c r="K411" s="1" t="s">
        <v>1148</v>
      </c>
      <c r="L411" s="1" t="s">
        <v>26</v>
      </c>
      <c r="M411" s="1" t="s">
        <v>27</v>
      </c>
      <c r="N411" s="1" t="s">
        <v>26</v>
      </c>
      <c r="O411" s="1" t="s">
        <v>26</v>
      </c>
      <c r="P411" s="4">
        <v>45596.693715277775</v>
      </c>
    </row>
    <row r="412">
      <c r="A412" s="1" t="s">
        <v>21</v>
      </c>
      <c r="B412" s="3" t="str">
        <f>HYPERLINK("https://hawk-eye.atlassian.net/browse/HWKREPORT-2992?atlOrigin=eyJpIjoiYzgwYTQ0ZjEyNzQzNGJhN2JmNjEyZTM0NmRhZWZhNjIiLCJwIjoic2hlZXRzLWppcmEifQ","HWKREPORT-2992")</f>
        <v>HWKREPORT-2992</v>
      </c>
      <c r="C412" s="1" t="s">
        <v>1570</v>
      </c>
      <c r="D412" s="1" t="s">
        <v>34</v>
      </c>
      <c r="E412" s="1" t="s">
        <v>35</v>
      </c>
      <c r="F412" s="4">
        <v>45596.7825</v>
      </c>
      <c r="G412" s="3" t="str">
        <f>HYPERLINK("https://hawk-eye.atlassian.net/issues/?atlOrigin=eyJpIjoiYzgwYTQ0ZjEyNzQzNGJhN2JmNjEyZTM0NmRhZWZhNjIiLCJwIjoic2hlZXRzLWppcmEifQ&amp;jql=key+in+%28HWKREPORT-3009%2CSO-1985%29","HWKREPORT-3009;SO-1985")</f>
        <v>HWKREPORT-3009;SO-1985</v>
      </c>
      <c r="H412" s="1" t="s">
        <v>1058</v>
      </c>
      <c r="I412" s="1" t="s">
        <v>28</v>
      </c>
      <c r="J412" s="1" t="s">
        <v>26</v>
      </c>
      <c r="K412" s="1" t="s">
        <v>1116</v>
      </c>
      <c r="L412" s="1" t="s">
        <v>26</v>
      </c>
      <c r="M412" s="1" t="s">
        <v>27</v>
      </c>
      <c r="N412" s="1" t="s">
        <v>26</v>
      </c>
      <c r="O412" s="1" t="s">
        <v>26</v>
      </c>
      <c r="P412" s="4">
        <v>45609.43472222222</v>
      </c>
    </row>
    <row r="413" hidden="1">
      <c r="A413" s="1" t="s">
        <v>1055</v>
      </c>
      <c r="B413" s="3" t="str">
        <f>HYPERLINK("https://hawk-eye.atlassian.net/browse/HWKREPORT-2993?atlOrigin=eyJpIjoiYzgwYTQ0ZjEyNzQzNGJhN2JmNjEyZTM0NmRhZWZhNjIiLCJwIjoic2hlZXRzLWppcmEifQ","HWKREPORT-2993")</f>
        <v>HWKREPORT-2993</v>
      </c>
      <c r="C413" s="1" t="s">
        <v>1571</v>
      </c>
      <c r="D413" s="1" t="s">
        <v>40</v>
      </c>
      <c r="E413" s="1" t="s">
        <v>35</v>
      </c>
      <c r="F413" s="4">
        <v>45597.572650462964</v>
      </c>
      <c r="G413" s="3" t="str">
        <f t="shared" ref="G413:G414" si="36">HYPERLINK("https://hawk-eye.atlassian.net/browse/?atlOrigin=eyJpIjoiYzgwYTQ0ZjEyNzQzNGJhN2JmNjEyZTM0NmRhZWZhNjIiLCJwIjoic2hlZXRzLWppcmEifQ","")</f>
        <v/>
      </c>
      <c r="H413" s="1" t="s">
        <v>1058</v>
      </c>
      <c r="I413" s="1" t="s">
        <v>1071</v>
      </c>
      <c r="J413" s="1" t="s">
        <v>26</v>
      </c>
      <c r="K413" s="1" t="s">
        <v>1276</v>
      </c>
      <c r="L413" s="1" t="s">
        <v>26</v>
      </c>
      <c r="M413" s="1" t="s">
        <v>27</v>
      </c>
      <c r="N413" s="1" t="s">
        <v>26</v>
      </c>
      <c r="O413" s="1" t="s">
        <v>26</v>
      </c>
      <c r="P413" s="4">
        <v>45734.72393518518</v>
      </c>
    </row>
    <row r="414" hidden="1">
      <c r="A414" s="1" t="s">
        <v>1055</v>
      </c>
      <c r="B414" s="3" t="str">
        <f>HYPERLINK("https://hawk-eye.atlassian.net/browse/HWKREPORT-2994?atlOrigin=eyJpIjoiYzgwYTQ0ZjEyNzQzNGJhN2JmNjEyZTM0NmRhZWZhNjIiLCJwIjoic2hlZXRzLWppcmEifQ","HWKREPORT-2994")</f>
        <v>HWKREPORT-2994</v>
      </c>
      <c r="C414" s="1" t="s">
        <v>1572</v>
      </c>
      <c r="D414" s="1" t="s">
        <v>48</v>
      </c>
      <c r="E414" s="1" t="s">
        <v>1057</v>
      </c>
      <c r="F414" s="4">
        <v>45597.62100694444</v>
      </c>
      <c r="G414" s="3" t="str">
        <f t="shared" si="36"/>
        <v/>
      </c>
      <c r="H414" s="1" t="s">
        <v>1058</v>
      </c>
      <c r="I414" s="1" t="s">
        <v>1126</v>
      </c>
      <c r="J414" s="1" t="s">
        <v>26</v>
      </c>
      <c r="K414" s="1" t="s">
        <v>1573</v>
      </c>
      <c r="L414" s="1" t="s">
        <v>26</v>
      </c>
      <c r="M414" s="1" t="s">
        <v>27</v>
      </c>
      <c r="N414" s="1" t="s">
        <v>26</v>
      </c>
      <c r="O414" s="1" t="s">
        <v>26</v>
      </c>
      <c r="P414" s="4">
        <v>45597.62100694444</v>
      </c>
    </row>
    <row r="415" hidden="1">
      <c r="A415" s="1" t="s">
        <v>21</v>
      </c>
      <c r="B415" s="3" t="str">
        <f>HYPERLINK("https://hawk-eye.atlassian.net/browse/HWKREPORT-2995?atlOrigin=eyJpIjoiYzgwYTQ0ZjEyNzQzNGJhN2JmNjEyZTM0NmRhZWZhNjIiLCJwIjoic2hlZXRzLWppcmEifQ","HWKREPORT-2995")</f>
        <v>HWKREPORT-2995</v>
      </c>
      <c r="C415" s="1" t="s">
        <v>1574</v>
      </c>
      <c r="D415" s="1" t="s">
        <v>23</v>
      </c>
      <c r="E415" s="1" t="s">
        <v>1057</v>
      </c>
      <c r="F415" s="4">
        <v>45597.62703703704</v>
      </c>
      <c r="G415" s="3" t="str">
        <f>HYPERLINK("https://hawk-eye.atlassian.net/browse/GT-1645?atlOrigin=eyJpIjoiYzgwYTQ0ZjEyNzQzNGJhN2JmNjEyZTM0NmRhZWZhNjIiLCJwIjoic2hlZXRzLWppcmEifQ","GT-1645")</f>
        <v>GT-1645</v>
      </c>
      <c r="H415" s="1" t="s">
        <v>1058</v>
      </c>
      <c r="I415" s="1" t="s">
        <v>1126</v>
      </c>
      <c r="J415" s="1" t="s">
        <v>26</v>
      </c>
      <c r="K415" s="1" t="s">
        <v>1573</v>
      </c>
      <c r="L415" s="1" t="s">
        <v>26</v>
      </c>
      <c r="M415" s="1" t="s">
        <v>27</v>
      </c>
      <c r="N415" s="1" t="s">
        <v>26</v>
      </c>
      <c r="O415" s="1" t="s">
        <v>26</v>
      </c>
      <c r="P415" s="4">
        <v>45597.62704861111</v>
      </c>
    </row>
    <row r="416" hidden="1">
      <c r="A416" s="1" t="s">
        <v>1055</v>
      </c>
      <c r="B416" s="3" t="str">
        <f>HYPERLINK("https://hawk-eye.atlassian.net/browse/HWKREPORT-2996?atlOrigin=eyJpIjoiYzgwYTQ0ZjEyNzQzNGJhN2JmNjEyZTM0NmRhZWZhNjIiLCJwIjoic2hlZXRzLWppcmEifQ","HWKREPORT-2996")</f>
        <v>HWKREPORT-2996</v>
      </c>
      <c r="C416" s="1" t="s">
        <v>1575</v>
      </c>
      <c r="D416" s="1" t="s">
        <v>48</v>
      </c>
      <c r="E416" s="1" t="s">
        <v>1057</v>
      </c>
      <c r="F416" s="4">
        <v>45597.630428240744</v>
      </c>
      <c r="G416" s="3" t="str">
        <f>HYPERLINK("https://hawk-eye.atlassian.net/browse/?atlOrigin=eyJpIjoiYzgwYTQ0ZjEyNzQzNGJhN2JmNjEyZTM0NmRhZWZhNjIiLCJwIjoic2hlZXRzLWppcmEifQ","")</f>
        <v/>
      </c>
      <c r="H416" s="1" t="s">
        <v>1058</v>
      </c>
      <c r="I416" s="1" t="s">
        <v>1126</v>
      </c>
      <c r="J416" s="1" t="s">
        <v>26</v>
      </c>
      <c r="K416" s="1" t="s">
        <v>1573</v>
      </c>
      <c r="L416" s="1" t="s">
        <v>26</v>
      </c>
      <c r="M416" s="1" t="s">
        <v>27</v>
      </c>
      <c r="N416" s="1" t="s">
        <v>26</v>
      </c>
      <c r="O416" s="1" t="s">
        <v>26</v>
      </c>
      <c r="P416" s="4">
        <v>45597.630428240744</v>
      </c>
    </row>
    <row r="417" hidden="1">
      <c r="A417" s="1" t="s">
        <v>1055</v>
      </c>
      <c r="B417" s="3" t="str">
        <f>HYPERLINK("https://hawk-eye.atlassian.net/browse/HWKREPORT-2997?atlOrigin=eyJpIjoiYzgwYTQ0ZjEyNzQzNGJhN2JmNjEyZTM0NmRhZWZhNjIiLCJwIjoic2hlZXRzLWppcmEifQ","HWKREPORT-2997")</f>
        <v>HWKREPORT-2997</v>
      </c>
      <c r="C417" s="1" t="s">
        <v>1576</v>
      </c>
      <c r="D417" s="1" t="s">
        <v>48</v>
      </c>
      <c r="E417" s="1" t="s">
        <v>1057</v>
      </c>
      <c r="F417" s="4">
        <v>45597.63245370371</v>
      </c>
      <c r="G417" s="3" t="str">
        <f>HYPERLINK("https://hawk-eye.atlassian.net/browse/GT-1646?atlOrigin=eyJpIjoiYzgwYTQ0ZjEyNzQzNGJhN2JmNjEyZTM0NmRhZWZhNjIiLCJwIjoic2hlZXRzLWppcmEifQ","GT-1646")</f>
        <v>GT-1646</v>
      </c>
      <c r="H417" s="1" t="s">
        <v>1058</v>
      </c>
      <c r="I417" s="1" t="s">
        <v>1126</v>
      </c>
      <c r="J417" s="1" t="s">
        <v>26</v>
      </c>
      <c r="K417" s="1" t="s">
        <v>1573</v>
      </c>
      <c r="L417" s="1" t="s">
        <v>26</v>
      </c>
      <c r="M417" s="1" t="s">
        <v>27</v>
      </c>
      <c r="N417" s="1" t="s">
        <v>26</v>
      </c>
      <c r="O417" s="1" t="s">
        <v>26</v>
      </c>
      <c r="P417" s="4">
        <v>45597.63246527778</v>
      </c>
    </row>
    <row r="418" hidden="1">
      <c r="A418" s="1" t="s">
        <v>1055</v>
      </c>
      <c r="B418" s="3" t="str">
        <f>HYPERLINK("https://hawk-eye.atlassian.net/browse/HWKREPORT-2998?atlOrigin=eyJpIjoiYzgwYTQ0ZjEyNzQzNGJhN2JmNjEyZTM0NmRhZWZhNjIiLCJwIjoic2hlZXRzLWppcmEifQ","HWKREPORT-2998")</f>
        <v>HWKREPORT-2998</v>
      </c>
      <c r="C418" s="1" t="s">
        <v>1577</v>
      </c>
      <c r="D418" s="1" t="s">
        <v>48</v>
      </c>
      <c r="E418" s="1" t="s">
        <v>1057</v>
      </c>
      <c r="F418" s="4">
        <v>45597.63582175926</v>
      </c>
      <c r="G418" s="3" t="str">
        <f>HYPERLINK("https://hawk-eye.atlassian.net/browse/?atlOrigin=eyJpIjoiYzgwYTQ0ZjEyNzQzNGJhN2JmNjEyZTM0NmRhZWZhNjIiLCJwIjoic2hlZXRzLWppcmEifQ","")</f>
        <v/>
      </c>
      <c r="H418" s="1" t="s">
        <v>1058</v>
      </c>
      <c r="I418" s="1" t="s">
        <v>1126</v>
      </c>
      <c r="J418" s="1" t="s">
        <v>26</v>
      </c>
      <c r="K418" s="1" t="s">
        <v>1573</v>
      </c>
      <c r="L418" s="1" t="s">
        <v>26</v>
      </c>
      <c r="M418" s="1" t="s">
        <v>27</v>
      </c>
      <c r="N418" s="1" t="s">
        <v>26</v>
      </c>
      <c r="O418" s="1" t="s">
        <v>26</v>
      </c>
      <c r="P418" s="4">
        <v>45597.63582175926</v>
      </c>
    </row>
    <row r="419" hidden="1">
      <c r="A419" s="1" t="s">
        <v>21</v>
      </c>
      <c r="B419" s="3" t="str">
        <f>HYPERLINK("https://hawk-eye.atlassian.net/browse/HWKREPORT-2999?atlOrigin=eyJpIjoiYzgwYTQ0ZjEyNzQzNGJhN2JmNjEyZTM0NmRhZWZhNjIiLCJwIjoic2hlZXRzLWppcmEifQ","HWKREPORT-2999")</f>
        <v>HWKREPORT-2999</v>
      </c>
      <c r="C419" s="1" t="s">
        <v>1578</v>
      </c>
      <c r="D419" s="1" t="s">
        <v>23</v>
      </c>
      <c r="E419" s="1" t="s">
        <v>1057</v>
      </c>
      <c r="F419" s="4">
        <v>45597.69320601852</v>
      </c>
      <c r="G419" s="3" t="str">
        <f>HYPERLINK("https://hawk-eye.atlassian.net/browse/GT-1647?atlOrigin=eyJpIjoiYzgwYTQ0ZjEyNzQzNGJhN2JmNjEyZTM0NmRhZWZhNjIiLCJwIjoic2hlZXRzLWppcmEifQ","GT-1647")</f>
        <v>GT-1647</v>
      </c>
      <c r="H419" s="1" t="s">
        <v>1058</v>
      </c>
      <c r="I419" s="1" t="s">
        <v>1126</v>
      </c>
      <c r="J419" s="1" t="s">
        <v>26</v>
      </c>
      <c r="K419" s="1" t="s">
        <v>1573</v>
      </c>
      <c r="L419" s="1" t="s">
        <v>26</v>
      </c>
      <c r="M419" s="1" t="s">
        <v>27</v>
      </c>
      <c r="N419" s="1" t="s">
        <v>26</v>
      </c>
      <c r="O419" s="1" t="s">
        <v>26</v>
      </c>
      <c r="P419" s="4">
        <v>45597.69320601852</v>
      </c>
    </row>
    <row r="420" hidden="1">
      <c r="A420" s="1" t="s">
        <v>21</v>
      </c>
      <c r="B420" s="3" t="str">
        <f>HYPERLINK("https://hawk-eye.atlassian.net/browse/HWKREPORT-3000?atlOrigin=eyJpIjoiYzgwYTQ0ZjEyNzQzNGJhN2JmNjEyZTM0NmRhZWZhNjIiLCJwIjoic2hlZXRzLWppcmEifQ","HWKREPORT-3000")</f>
        <v>HWKREPORT-3000</v>
      </c>
      <c r="C420" s="1" t="s">
        <v>1579</v>
      </c>
      <c r="D420" s="1" t="s">
        <v>83</v>
      </c>
      <c r="E420" s="1" t="s">
        <v>35</v>
      </c>
      <c r="F420" s="4">
        <v>45598.45924768518</v>
      </c>
      <c r="G420" s="3" t="str">
        <f>HYPERLINK("https://hawk-eye.atlassian.net/browse/SO-1981?atlOrigin=eyJpIjoiYzgwYTQ0ZjEyNzQzNGJhN2JmNjEyZTM0NmRhZWZhNjIiLCJwIjoic2hlZXRzLWppcmEifQ","SO-1981")</f>
        <v>SO-1981</v>
      </c>
      <c r="H420" s="1" t="s">
        <v>1058</v>
      </c>
      <c r="I420" s="1" t="s">
        <v>1151</v>
      </c>
      <c r="J420" s="1" t="s">
        <v>26</v>
      </c>
      <c r="K420" s="1" t="s">
        <v>1427</v>
      </c>
      <c r="L420" s="1" t="s">
        <v>26</v>
      </c>
      <c r="M420" s="1" t="s">
        <v>27</v>
      </c>
      <c r="N420" s="1" t="s">
        <v>26</v>
      </c>
      <c r="O420" s="1" t="s">
        <v>26</v>
      </c>
      <c r="P420" s="4">
        <v>45672.38767361111</v>
      </c>
    </row>
    <row r="421" hidden="1">
      <c r="A421" s="1" t="s">
        <v>21</v>
      </c>
      <c r="B421" s="3" t="str">
        <f>HYPERLINK("https://hawk-eye.atlassian.net/browse/HWKREPORT-3001?atlOrigin=eyJpIjoiYzgwYTQ0ZjEyNzQzNGJhN2JmNjEyZTM0NmRhZWZhNjIiLCJwIjoic2hlZXRzLWppcmEifQ","HWKREPORT-3001")</f>
        <v>HWKREPORT-3001</v>
      </c>
      <c r="C421" s="1" t="s">
        <v>1580</v>
      </c>
      <c r="D421" s="1" t="s">
        <v>23</v>
      </c>
      <c r="E421" s="1" t="s">
        <v>35</v>
      </c>
      <c r="F421" s="4">
        <v>45600.424849537034</v>
      </c>
      <c r="G421" s="3" t="str">
        <f>HYPERLINK("https://hawk-eye.atlassian.net/issues/?atlOrigin=eyJpIjoiYzgwYTQ0ZjEyNzQzNGJhN2JmNjEyZTM0NmRhZWZhNjIiLCJwIjoic2hlZXRzLWppcmEifQ&amp;jql=key+in+%28SO-1964%2CSO-1964%29","SO-1964;SO-1964")</f>
        <v>SO-1964;SO-1964</v>
      </c>
      <c r="H421" s="1" t="s">
        <v>1058</v>
      </c>
      <c r="I421" s="1" t="s">
        <v>1085</v>
      </c>
      <c r="J421" s="1" t="s">
        <v>26</v>
      </c>
      <c r="K421" s="1" t="s">
        <v>1116</v>
      </c>
      <c r="L421" s="1" t="s">
        <v>26</v>
      </c>
      <c r="M421" s="1" t="s">
        <v>27</v>
      </c>
      <c r="N421" s="1" t="s">
        <v>26</v>
      </c>
      <c r="O421" s="1" t="s">
        <v>26</v>
      </c>
      <c r="P421" s="4">
        <v>45695.692708333336</v>
      </c>
    </row>
    <row r="422" hidden="1">
      <c r="A422" s="1" t="s">
        <v>21</v>
      </c>
      <c r="B422" s="3" t="str">
        <f>HYPERLINK("https://hawk-eye.atlassian.net/browse/HWKREPORT-3002?atlOrigin=eyJpIjoiYzgwYTQ0ZjEyNzQzNGJhN2JmNjEyZTM0NmRhZWZhNjIiLCJwIjoic2hlZXRzLWppcmEifQ","HWKREPORT-3002")</f>
        <v>HWKREPORT-3002</v>
      </c>
      <c r="C422" s="1" t="s">
        <v>1581</v>
      </c>
      <c r="D422" s="1" t="s">
        <v>23</v>
      </c>
      <c r="E422" s="1" t="s">
        <v>35</v>
      </c>
      <c r="F422" s="4">
        <v>45600.91303240741</v>
      </c>
      <c r="G422" s="3" t="str">
        <f>HYPERLINK("https://hawk-eye.atlassian.net/browse/?atlOrigin=eyJpIjoiYzgwYTQ0ZjEyNzQzNGJhN2JmNjEyZTM0NmRhZWZhNjIiLCJwIjoic2hlZXRzLWppcmEifQ","")</f>
        <v/>
      </c>
      <c r="H422" s="1" t="s">
        <v>1058</v>
      </c>
      <c r="I422" s="1" t="s">
        <v>1071</v>
      </c>
      <c r="J422" s="1" t="s">
        <v>26</v>
      </c>
      <c r="K422" s="1" t="s">
        <v>1095</v>
      </c>
      <c r="L422" s="1" t="s">
        <v>26</v>
      </c>
      <c r="M422" s="1" t="s">
        <v>27</v>
      </c>
      <c r="N422" s="1" t="s">
        <v>26</v>
      </c>
      <c r="O422" s="1" t="s">
        <v>26</v>
      </c>
      <c r="P422" s="4">
        <v>45728.718819444446</v>
      </c>
    </row>
    <row r="423" hidden="1">
      <c r="A423" s="1" t="s">
        <v>1055</v>
      </c>
      <c r="B423" s="3" t="str">
        <f>HYPERLINK("https://hawk-eye.atlassian.net/browse/HWKREPORT-3003?atlOrigin=eyJpIjoiYzgwYTQ0ZjEyNzQzNGJhN2JmNjEyZTM0NmRhZWZhNjIiLCJwIjoic2hlZXRzLWppcmEifQ","HWKREPORT-3003")</f>
        <v>HWKREPORT-3003</v>
      </c>
      <c r="C423" s="1" t="s">
        <v>1582</v>
      </c>
      <c r="D423" s="1" t="s">
        <v>48</v>
      </c>
      <c r="E423" s="1" t="s">
        <v>35</v>
      </c>
      <c r="F423" s="4">
        <v>45601.61371527778</v>
      </c>
      <c r="G423" s="3" t="str">
        <f>HYPERLINK("https://hawk-eye.atlassian.net/browse/CTK-188?atlOrigin=eyJpIjoiYzgwYTQ0ZjEyNzQzNGJhN2JmNjEyZTM0NmRhZWZhNjIiLCJwIjoic2hlZXRzLWppcmEifQ","CTK-188")</f>
        <v>CTK-188</v>
      </c>
      <c r="H423" s="1" t="s">
        <v>1058</v>
      </c>
      <c r="I423" s="1" t="s">
        <v>1082</v>
      </c>
      <c r="J423" s="1" t="s">
        <v>26</v>
      </c>
      <c r="K423" s="1" t="s">
        <v>1083</v>
      </c>
      <c r="L423" s="1" t="s">
        <v>26</v>
      </c>
      <c r="M423" s="1" t="s">
        <v>27</v>
      </c>
      <c r="N423" s="1" t="s">
        <v>26</v>
      </c>
      <c r="O423" s="1" t="s">
        <v>26</v>
      </c>
      <c r="P423" s="4">
        <v>45714.40384259259</v>
      </c>
    </row>
    <row r="424" hidden="1">
      <c r="A424" s="1" t="s">
        <v>21</v>
      </c>
      <c r="B424" s="3" t="str">
        <f>HYPERLINK("https://hawk-eye.atlassian.net/browse/HWKREPORT-3004?atlOrigin=eyJpIjoiYzgwYTQ0ZjEyNzQzNGJhN2JmNjEyZTM0NmRhZWZhNjIiLCJwIjoic2hlZXRzLWppcmEifQ","HWKREPORT-3004")</f>
        <v>HWKREPORT-3004</v>
      </c>
      <c r="C424" s="1" t="s">
        <v>1583</v>
      </c>
      <c r="D424" s="1" t="s">
        <v>23</v>
      </c>
      <c r="E424" s="1" t="s">
        <v>35</v>
      </c>
      <c r="F424" s="4">
        <v>45601.68503472222</v>
      </c>
      <c r="G424" s="3" t="str">
        <f>HYPERLINK("https://hawk-eye.atlassian.net/issues/?atlOrigin=eyJpIjoiYzgwYTQ0ZjEyNzQzNGJhN2JmNjEyZTM0NmRhZWZhNjIiLCJwIjoic2hlZXRzLWppcmEifQ&amp;jql=key+in+%28SO-1964%2CSO-1964%29","SO-1964;SO-1964")</f>
        <v>SO-1964;SO-1964</v>
      </c>
      <c r="H424" s="1" t="s">
        <v>1058</v>
      </c>
      <c r="I424" s="1" t="s">
        <v>1082</v>
      </c>
      <c r="J424" s="1" t="s">
        <v>26</v>
      </c>
      <c r="K424" s="1" t="s">
        <v>1116</v>
      </c>
      <c r="L424" s="1" t="s">
        <v>26</v>
      </c>
      <c r="M424" s="1" t="s">
        <v>27</v>
      </c>
      <c r="N424" s="1" t="s">
        <v>26</v>
      </c>
      <c r="O424" s="1" t="s">
        <v>26</v>
      </c>
      <c r="P424" s="4">
        <v>45604.57672453704</v>
      </c>
    </row>
    <row r="425">
      <c r="A425" s="1" t="s">
        <v>21</v>
      </c>
      <c r="B425" s="3" t="str">
        <f>HYPERLINK("https://hawk-eye.atlassian.net/browse/HWKREPORT-3005?atlOrigin=eyJpIjoiYzgwYTQ0ZjEyNzQzNGJhN2JmNjEyZTM0NmRhZWZhNjIiLCJwIjoic2hlZXRzLWppcmEifQ","HWKREPORT-3005")</f>
        <v>HWKREPORT-3005</v>
      </c>
      <c r="C425" s="1" t="s">
        <v>1584</v>
      </c>
      <c r="D425" s="1" t="s">
        <v>34</v>
      </c>
      <c r="E425" s="1" t="s">
        <v>35</v>
      </c>
      <c r="F425" s="4">
        <v>45601.94483796296</v>
      </c>
      <c r="G425" s="3" t="str">
        <f>HYPERLINK("https://hawk-eye.atlassian.net/browse/RTT-9475?atlOrigin=eyJpIjoiYzgwYTQ0ZjEyNzQzNGJhN2JmNjEyZTM0NmRhZWZhNjIiLCJwIjoic2hlZXRzLWppcmEifQ","RTT-9475")</f>
        <v>RTT-9475</v>
      </c>
      <c r="H425" s="1" t="s">
        <v>1058</v>
      </c>
      <c r="I425" s="1" t="s">
        <v>28</v>
      </c>
      <c r="J425" s="1" t="s">
        <v>26</v>
      </c>
      <c r="K425" s="1" t="s">
        <v>1072</v>
      </c>
      <c r="L425" s="1" t="s">
        <v>26</v>
      </c>
      <c r="M425" s="1" t="s">
        <v>27</v>
      </c>
      <c r="N425" s="1" t="s">
        <v>26</v>
      </c>
      <c r="O425" s="1" t="s">
        <v>26</v>
      </c>
      <c r="P425" s="4">
        <v>45644.4608912037</v>
      </c>
    </row>
    <row r="426">
      <c r="A426" s="1" t="s">
        <v>21</v>
      </c>
      <c r="B426" s="3" t="str">
        <f>HYPERLINK("https://hawk-eye.atlassian.net/browse/HWKREPORT-3006?atlOrigin=eyJpIjoiYzgwYTQ0ZjEyNzQzNGJhN2JmNjEyZTM0NmRhZWZhNjIiLCJwIjoic2hlZXRzLWppcmEifQ","HWKREPORT-3006")</f>
        <v>HWKREPORT-3006</v>
      </c>
      <c r="C426" s="1" t="s">
        <v>1585</v>
      </c>
      <c r="D426" s="1" t="s">
        <v>34</v>
      </c>
      <c r="E426" s="1" t="s">
        <v>35</v>
      </c>
      <c r="F426" s="4">
        <v>45601.94658564815</v>
      </c>
      <c r="G426" s="3" t="str">
        <f>HYPERLINK("https://hawk-eye.atlassian.net/browse/RTT-9474?atlOrigin=eyJpIjoiYzgwYTQ0ZjEyNzQzNGJhN2JmNjEyZTM0NmRhZWZhNjIiLCJwIjoic2hlZXRzLWppcmEifQ","RTT-9474")</f>
        <v>RTT-9474</v>
      </c>
      <c r="H426" s="1" t="s">
        <v>1058</v>
      </c>
      <c r="I426" s="1" t="s">
        <v>28</v>
      </c>
      <c r="J426" s="1" t="s">
        <v>26</v>
      </c>
      <c r="K426" s="1" t="s">
        <v>1072</v>
      </c>
      <c r="L426" s="1" t="s">
        <v>26</v>
      </c>
      <c r="M426" s="1" t="s">
        <v>27</v>
      </c>
      <c r="N426" s="1" t="s">
        <v>26</v>
      </c>
      <c r="O426" s="1" t="s">
        <v>26</v>
      </c>
      <c r="P426" s="4">
        <v>45644.46177083333</v>
      </c>
    </row>
    <row r="427">
      <c r="A427" s="1" t="s">
        <v>21</v>
      </c>
      <c r="B427" s="3" t="str">
        <f>HYPERLINK("https://hawk-eye.atlassian.net/browse/HWKREPORT-3007?atlOrigin=eyJpIjoiYzgwYTQ0ZjEyNzQzNGJhN2JmNjEyZTM0NmRhZWZhNjIiLCJwIjoic2hlZXRzLWppcmEifQ","HWKREPORT-3007")</f>
        <v>HWKREPORT-3007</v>
      </c>
      <c r="C427" s="1" t="s">
        <v>1586</v>
      </c>
      <c r="D427" s="1" t="s">
        <v>34</v>
      </c>
      <c r="E427" s="1" t="s">
        <v>35</v>
      </c>
      <c r="F427" s="4">
        <v>45601.94988425926</v>
      </c>
      <c r="G427" s="3" t="str">
        <f>HYPERLINK("https://hawk-eye.atlassian.net/browse/SO-2007?atlOrigin=eyJpIjoiYzgwYTQ0ZjEyNzQzNGJhN2JmNjEyZTM0NmRhZWZhNjIiLCJwIjoic2hlZXRzLWppcmEifQ","SO-2007")</f>
        <v>SO-2007</v>
      </c>
      <c r="H427" s="1" t="s">
        <v>1058</v>
      </c>
      <c r="I427" s="1" t="s">
        <v>28</v>
      </c>
      <c r="J427" s="1" t="s">
        <v>26</v>
      </c>
      <c r="K427" s="1" t="s">
        <v>1116</v>
      </c>
      <c r="L427" s="1" t="s">
        <v>26</v>
      </c>
      <c r="M427" s="1" t="s">
        <v>27</v>
      </c>
      <c r="N427" s="1" t="s">
        <v>26</v>
      </c>
      <c r="O427" s="1" t="s">
        <v>26</v>
      </c>
      <c r="P427" s="4">
        <v>45629.61006944445</v>
      </c>
    </row>
    <row r="428">
      <c r="A428" s="1" t="s">
        <v>21</v>
      </c>
      <c r="B428" s="3" t="str">
        <f>HYPERLINK("https://hawk-eye.atlassian.net/browse/HWKREPORT-3008?atlOrigin=eyJpIjoiYzgwYTQ0ZjEyNzQzNGJhN2JmNjEyZTM0NmRhZWZhNjIiLCJwIjoic2hlZXRzLWppcmEifQ","HWKREPORT-3008")</f>
        <v>HWKREPORT-3008</v>
      </c>
      <c r="C428" s="1" t="s">
        <v>1587</v>
      </c>
      <c r="D428" s="1" t="s">
        <v>23</v>
      </c>
      <c r="E428" s="1" t="s">
        <v>35</v>
      </c>
      <c r="F428" s="4">
        <v>45601.95465277778</v>
      </c>
      <c r="G428" s="3" t="str">
        <f>HYPERLINK("https://hawk-eye.atlassian.net/browse/SO-1979?atlOrigin=eyJpIjoiYzgwYTQ0ZjEyNzQzNGJhN2JmNjEyZTM0NmRhZWZhNjIiLCJwIjoic2hlZXRzLWppcmEifQ","SO-1979")</f>
        <v>SO-1979</v>
      </c>
      <c r="H428" s="1" t="s">
        <v>1058</v>
      </c>
      <c r="I428" s="1" t="s">
        <v>28</v>
      </c>
      <c r="J428" s="1" t="s">
        <v>26</v>
      </c>
      <c r="K428" s="1" t="s">
        <v>1116</v>
      </c>
      <c r="L428" s="1" t="s">
        <v>26</v>
      </c>
      <c r="M428" s="1" t="s">
        <v>27</v>
      </c>
      <c r="N428" s="1" t="s">
        <v>26</v>
      </c>
      <c r="O428" s="1" t="s">
        <v>26</v>
      </c>
      <c r="P428" s="4">
        <v>45628.67113425926</v>
      </c>
    </row>
    <row r="429" hidden="1">
      <c r="A429" s="1" t="s">
        <v>1055</v>
      </c>
      <c r="B429" s="3" t="str">
        <f>HYPERLINK("https://hawk-eye.atlassian.net/browse/HWKREPORT-3009?atlOrigin=eyJpIjoiYzgwYTQ0ZjEyNzQzNGJhN2JmNjEyZTM0NmRhZWZhNjIiLCJwIjoic2hlZXRzLWppcmEifQ","HWKREPORT-3009")</f>
        <v>HWKREPORT-3009</v>
      </c>
      <c r="C429" s="1" t="s">
        <v>1588</v>
      </c>
      <c r="D429" s="1" t="s">
        <v>34</v>
      </c>
      <c r="E429" s="1" t="s">
        <v>35</v>
      </c>
      <c r="F429" s="4">
        <v>45602.55572916667</v>
      </c>
      <c r="G429" s="3" t="str">
        <f>HYPERLINK("https://hawk-eye.atlassian.net/issues/?atlOrigin=eyJpIjoiYzgwYTQ0ZjEyNzQzNGJhN2JmNjEyZTM0NmRhZWZhNjIiLCJwIjoic2hlZXRzLWppcmEifQ&amp;jql=key+in+%28HWKREPORT-2992%2CSO-1985%29","HWKREPORT-2992;SO-1985")</f>
        <v>HWKREPORT-2992;SO-1985</v>
      </c>
      <c r="H429" s="1" t="s">
        <v>1058</v>
      </c>
      <c r="I429" s="1" t="s">
        <v>28</v>
      </c>
      <c r="J429" s="1" t="s">
        <v>26</v>
      </c>
      <c r="K429" s="1" t="s">
        <v>1116</v>
      </c>
      <c r="L429" s="1" t="s">
        <v>26</v>
      </c>
      <c r="M429" s="1" t="s">
        <v>27</v>
      </c>
      <c r="N429" s="1" t="s">
        <v>26</v>
      </c>
      <c r="O429" s="1" t="s">
        <v>26</v>
      </c>
      <c r="P429" s="4">
        <v>45679.67434027778</v>
      </c>
    </row>
    <row r="430" hidden="1">
      <c r="A430" s="1" t="s">
        <v>1055</v>
      </c>
      <c r="B430" s="3" t="str">
        <f>HYPERLINK("https://hawk-eye.atlassian.net/browse/HWKREPORT-3010?atlOrigin=eyJpIjoiYzgwYTQ0ZjEyNzQzNGJhN2JmNjEyZTM0NmRhZWZhNjIiLCJwIjoic2hlZXRzLWppcmEifQ","HWKREPORT-3010")</f>
        <v>HWKREPORT-3010</v>
      </c>
      <c r="C430" s="1" t="s">
        <v>1589</v>
      </c>
      <c r="D430" s="1" t="s">
        <v>48</v>
      </c>
      <c r="E430" s="1" t="s">
        <v>1057</v>
      </c>
      <c r="F430" s="4">
        <v>45602.55755787037</v>
      </c>
      <c r="G430" s="3" t="str">
        <f>HYPERLINK("https://hawk-eye.atlassian.net/browse/?atlOrigin=eyJpIjoiYzgwYTQ0ZjEyNzQzNGJhN2JmNjEyZTM0NmRhZWZhNjIiLCJwIjoic2hlZXRzLWppcmEifQ","")</f>
        <v/>
      </c>
      <c r="H430" s="1" t="s">
        <v>1058</v>
      </c>
      <c r="I430" s="1" t="s">
        <v>1082</v>
      </c>
      <c r="J430" s="1" t="s">
        <v>26</v>
      </c>
      <c r="K430" s="1" t="s">
        <v>1251</v>
      </c>
      <c r="L430" s="1" t="s">
        <v>26</v>
      </c>
      <c r="M430" s="1" t="s">
        <v>27</v>
      </c>
      <c r="N430" s="1" t="s">
        <v>26</v>
      </c>
      <c r="O430" s="1" t="s">
        <v>26</v>
      </c>
      <c r="P430" s="4">
        <v>45602.55755787037</v>
      </c>
    </row>
    <row r="431" hidden="1">
      <c r="A431" s="1" t="s">
        <v>21</v>
      </c>
      <c r="B431" s="3" t="str">
        <f>HYPERLINK("https://hawk-eye.atlassian.net/browse/HWKREPORT-3011?atlOrigin=eyJpIjoiYzgwYTQ0ZjEyNzQzNGJhN2JmNjEyZTM0NmRhZWZhNjIiLCJwIjoic2hlZXRzLWppcmEifQ","HWKREPORT-3011")</f>
        <v>HWKREPORT-3011</v>
      </c>
      <c r="C431" s="1" t="s">
        <v>1590</v>
      </c>
      <c r="D431" s="1" t="s">
        <v>34</v>
      </c>
      <c r="E431" s="1" t="s">
        <v>35</v>
      </c>
      <c r="F431" s="4">
        <v>45603.02657407407</v>
      </c>
      <c r="G431" s="3" t="str">
        <f>HYPERLINK("https://hawk-eye.atlassian.net/issues/?atlOrigin=eyJpIjoiYzgwYTQ0ZjEyNzQzNGJhN2JmNjEyZTM0NmRhZWZhNjIiLCJwIjoic2hlZXRzLWppcmEifQ&amp;jql=key+in+%28SO-1970%2CTOOL-202%29","SO-1970;TOOL-202")</f>
        <v>SO-1970;TOOL-202</v>
      </c>
      <c r="H431" s="1" t="s">
        <v>1058</v>
      </c>
      <c r="I431" s="1" t="s">
        <v>1591</v>
      </c>
      <c r="J431" s="1" t="s">
        <v>26</v>
      </c>
      <c r="K431" s="1" t="s">
        <v>1355</v>
      </c>
      <c r="L431" s="1" t="s">
        <v>26</v>
      </c>
      <c r="M431" s="1" t="s">
        <v>27</v>
      </c>
      <c r="N431" s="1" t="s">
        <v>26</v>
      </c>
      <c r="O431" s="1" t="s">
        <v>26</v>
      </c>
      <c r="P431" s="4">
        <v>45740.71561342593</v>
      </c>
    </row>
    <row r="432" hidden="1">
      <c r="A432" s="1" t="s">
        <v>1055</v>
      </c>
      <c r="B432" s="3" t="str">
        <f>HYPERLINK("https://hawk-eye.atlassian.net/browse/HWKREPORT-3012?atlOrigin=eyJpIjoiYzgwYTQ0ZjEyNzQzNGJhN2JmNjEyZTM0NmRhZWZhNjIiLCJwIjoic2hlZXRzLWppcmEifQ","HWKREPORT-3012")</f>
        <v>HWKREPORT-3012</v>
      </c>
      <c r="C432" s="1" t="s">
        <v>1592</v>
      </c>
      <c r="D432" s="1" t="s">
        <v>48</v>
      </c>
      <c r="E432" s="1" t="s">
        <v>1057</v>
      </c>
      <c r="F432" s="4">
        <v>45603.90246527778</v>
      </c>
      <c r="G432" s="3" t="str">
        <f t="shared" ref="G432:G434" si="37">HYPERLINK("https://hawk-eye.atlassian.net/browse/?atlOrigin=eyJpIjoiYzgwYTQ0ZjEyNzQzNGJhN2JmNjEyZTM0NmRhZWZhNjIiLCJwIjoic2hlZXRzLWppcmEifQ","")</f>
        <v/>
      </c>
      <c r="H432" s="1" t="s">
        <v>1058</v>
      </c>
      <c r="I432" s="1" t="s">
        <v>1107</v>
      </c>
      <c r="J432" s="1" t="s">
        <v>26</v>
      </c>
      <c r="K432" s="1" t="s">
        <v>1108</v>
      </c>
      <c r="L432" s="1" t="s">
        <v>26</v>
      </c>
      <c r="M432" s="1" t="s">
        <v>27</v>
      </c>
      <c r="N432" s="1" t="s">
        <v>26</v>
      </c>
      <c r="O432" s="1" t="s">
        <v>26</v>
      </c>
      <c r="P432" s="4">
        <v>45603.90246527778</v>
      </c>
    </row>
    <row r="433" hidden="1">
      <c r="A433" s="1" t="s">
        <v>1055</v>
      </c>
      <c r="B433" s="3" t="str">
        <f>HYPERLINK("https://hawk-eye.atlassian.net/browse/HWKREPORT-3013?atlOrigin=eyJpIjoiYzgwYTQ0ZjEyNzQzNGJhN2JmNjEyZTM0NmRhZWZhNjIiLCJwIjoic2hlZXRzLWppcmEifQ","HWKREPORT-3013")</f>
        <v>HWKREPORT-3013</v>
      </c>
      <c r="C433" s="1" t="s">
        <v>1593</v>
      </c>
      <c r="D433" s="1" t="s">
        <v>48</v>
      </c>
      <c r="E433" s="1" t="s">
        <v>1057</v>
      </c>
      <c r="F433" s="4">
        <v>45603.905</v>
      </c>
      <c r="G433" s="3" t="str">
        <f t="shared" si="37"/>
        <v/>
      </c>
      <c r="H433" s="1" t="s">
        <v>1058</v>
      </c>
      <c r="I433" s="1" t="s">
        <v>1107</v>
      </c>
      <c r="J433" s="1" t="s">
        <v>26</v>
      </c>
      <c r="K433" s="1" t="s">
        <v>1108</v>
      </c>
      <c r="L433" s="1" t="s">
        <v>26</v>
      </c>
      <c r="M433" s="1" t="s">
        <v>27</v>
      </c>
      <c r="N433" s="1" t="s">
        <v>26</v>
      </c>
      <c r="O433" s="1" t="s">
        <v>26</v>
      </c>
      <c r="P433" s="4">
        <v>45603.905011574076</v>
      </c>
    </row>
    <row r="434" hidden="1">
      <c r="A434" s="1" t="s">
        <v>1055</v>
      </c>
      <c r="B434" s="3" t="str">
        <f>HYPERLINK("https://hawk-eye.atlassian.net/browse/HWKREPORT-3014?atlOrigin=eyJpIjoiYzgwYTQ0ZjEyNzQzNGJhN2JmNjEyZTM0NmRhZWZhNjIiLCJwIjoic2hlZXRzLWppcmEifQ","HWKREPORT-3014")</f>
        <v>HWKREPORT-3014</v>
      </c>
      <c r="C434" s="1" t="s">
        <v>1594</v>
      </c>
      <c r="D434" s="1" t="s">
        <v>48</v>
      </c>
      <c r="E434" s="1" t="s">
        <v>1057</v>
      </c>
      <c r="F434" s="4">
        <v>45603.907002314816</v>
      </c>
      <c r="G434" s="3" t="str">
        <f t="shared" si="37"/>
        <v/>
      </c>
      <c r="H434" s="1" t="s">
        <v>1058</v>
      </c>
      <c r="I434" s="1" t="s">
        <v>1107</v>
      </c>
      <c r="J434" s="1" t="s">
        <v>26</v>
      </c>
      <c r="K434" s="1" t="s">
        <v>1108</v>
      </c>
      <c r="L434" s="1" t="s">
        <v>26</v>
      </c>
      <c r="M434" s="1" t="s">
        <v>27</v>
      </c>
      <c r="N434" s="1" t="s">
        <v>26</v>
      </c>
      <c r="O434" s="1" t="s">
        <v>26</v>
      </c>
      <c r="P434" s="4">
        <v>45603.907002314816</v>
      </c>
    </row>
    <row r="435" hidden="1">
      <c r="A435" s="1" t="s">
        <v>1055</v>
      </c>
      <c r="B435" s="3" t="str">
        <f>HYPERLINK("https://hawk-eye.atlassian.net/browse/HWKREPORT-3015?atlOrigin=eyJpIjoiYzgwYTQ0ZjEyNzQzNGJhN2JmNjEyZTM0NmRhZWZhNjIiLCJwIjoic2hlZXRzLWppcmEifQ","HWKREPORT-3015")</f>
        <v>HWKREPORT-3015</v>
      </c>
      <c r="C435" s="1" t="s">
        <v>1595</v>
      </c>
      <c r="D435" s="1" t="s">
        <v>48</v>
      </c>
      <c r="E435" s="1" t="s">
        <v>1057</v>
      </c>
      <c r="F435" s="4">
        <v>45603.96040509259</v>
      </c>
      <c r="G435" s="3" t="str">
        <f>HYPERLINK("https://hawk-eye.atlassian.net/browse/BR-1732?atlOrigin=eyJpIjoiYzgwYTQ0ZjEyNzQzNGJhN2JmNjEyZTM0NmRhZWZhNjIiLCJwIjoic2hlZXRzLWppcmEifQ","BR-1732")</f>
        <v>BR-1732</v>
      </c>
      <c r="H435" s="1" t="s">
        <v>1058</v>
      </c>
      <c r="I435" s="1" t="s">
        <v>1107</v>
      </c>
      <c r="J435" s="1" t="s">
        <v>26</v>
      </c>
      <c r="K435" s="1" t="s">
        <v>1108</v>
      </c>
      <c r="L435" s="1" t="s">
        <v>26</v>
      </c>
      <c r="M435" s="1" t="s">
        <v>27</v>
      </c>
      <c r="N435" s="1" t="s">
        <v>26</v>
      </c>
      <c r="O435" s="1" t="s">
        <v>26</v>
      </c>
      <c r="P435" s="4">
        <v>45603.96040509259</v>
      </c>
    </row>
    <row r="436">
      <c r="A436" s="1" t="s">
        <v>21</v>
      </c>
      <c r="B436" s="3" t="str">
        <f>HYPERLINK("https://hawk-eye.atlassian.net/browse/HWKREPORT-3016?atlOrigin=eyJpIjoiYzgwYTQ0ZjEyNzQzNGJhN2JmNjEyZTM0NmRhZWZhNjIiLCJwIjoic2hlZXRzLWppcmEifQ","HWKREPORT-3016")</f>
        <v>HWKREPORT-3016</v>
      </c>
      <c r="C436" s="1" t="s">
        <v>1596</v>
      </c>
      <c r="D436" s="1" t="s">
        <v>83</v>
      </c>
      <c r="E436" s="1" t="s">
        <v>35</v>
      </c>
      <c r="F436" s="4">
        <v>45604.05158564815</v>
      </c>
      <c r="G436" s="3" t="str">
        <f>HYPERLINK("https://hawk-eye.atlassian.net/browse/SO-1997?atlOrigin=eyJpIjoiYzgwYTQ0ZjEyNzQzNGJhN2JmNjEyZTM0NmRhZWZhNjIiLCJwIjoic2hlZXRzLWppcmEifQ","SO-1997")</f>
        <v>SO-1997</v>
      </c>
      <c r="H436" s="1" t="s">
        <v>1058</v>
      </c>
      <c r="I436" s="1" t="s">
        <v>28</v>
      </c>
      <c r="J436" s="1" t="s">
        <v>26</v>
      </c>
      <c r="K436" s="1" t="s">
        <v>1116</v>
      </c>
      <c r="L436" s="1" t="s">
        <v>26</v>
      </c>
      <c r="M436" s="1" t="s">
        <v>27</v>
      </c>
      <c r="N436" s="1" t="s">
        <v>26</v>
      </c>
      <c r="O436" s="1" t="s">
        <v>26</v>
      </c>
      <c r="P436" s="4">
        <v>45615.407164351855</v>
      </c>
    </row>
    <row r="437" hidden="1">
      <c r="A437" s="1" t="s">
        <v>1055</v>
      </c>
      <c r="B437" s="3" t="str">
        <f>HYPERLINK("https://hawk-eye.atlassian.net/browse/HWKREPORT-3018?atlOrigin=eyJpIjoiYzgwYTQ0ZjEyNzQzNGJhN2JmNjEyZTM0NmRhZWZhNjIiLCJwIjoic2hlZXRzLWppcmEifQ","HWKREPORT-3018")</f>
        <v>HWKREPORT-3018</v>
      </c>
      <c r="C437" s="1" t="s">
        <v>1597</v>
      </c>
      <c r="D437" s="1" t="s">
        <v>48</v>
      </c>
      <c r="E437" s="1" t="s">
        <v>1057</v>
      </c>
      <c r="F437" s="4">
        <v>45604.659317129626</v>
      </c>
      <c r="G437" s="3" t="str">
        <f t="shared" ref="G437:G441" si="38">HYPERLINK("https://hawk-eye.atlassian.net/browse/?atlOrigin=eyJpIjoiYzgwYTQ0ZjEyNzQzNGJhN2JmNjEyZTM0NmRhZWZhNjIiLCJwIjoic2hlZXRzLWppcmEifQ","")</f>
        <v/>
      </c>
      <c r="H437" s="1" t="s">
        <v>1058</v>
      </c>
      <c r="I437" s="1" t="s">
        <v>28</v>
      </c>
      <c r="J437" s="1" t="s">
        <v>26</v>
      </c>
      <c r="K437" s="1" t="s">
        <v>1072</v>
      </c>
      <c r="L437" s="1" t="s">
        <v>26</v>
      </c>
      <c r="M437" s="1" t="s">
        <v>27</v>
      </c>
      <c r="N437" s="1" t="s">
        <v>26</v>
      </c>
      <c r="O437" s="1" t="s">
        <v>26</v>
      </c>
      <c r="P437" s="4">
        <v>45604.6593287037</v>
      </c>
    </row>
    <row r="438" hidden="1">
      <c r="A438" s="1" t="s">
        <v>1055</v>
      </c>
      <c r="B438" s="3" t="str">
        <f>HYPERLINK("https://hawk-eye.atlassian.net/browse/HWKREPORT-3019?atlOrigin=eyJpIjoiYzgwYTQ0ZjEyNzQzNGJhN2JmNjEyZTM0NmRhZWZhNjIiLCJwIjoic2hlZXRzLWppcmEifQ","HWKREPORT-3019")</f>
        <v>HWKREPORT-3019</v>
      </c>
      <c r="C438" s="1" t="s">
        <v>1598</v>
      </c>
      <c r="D438" s="1" t="s">
        <v>23</v>
      </c>
      <c r="E438" s="1" t="s">
        <v>1057</v>
      </c>
      <c r="F438" s="4">
        <v>45604.66663194444</v>
      </c>
      <c r="G438" s="3" t="str">
        <f t="shared" si="38"/>
        <v/>
      </c>
      <c r="H438" s="1" t="s">
        <v>1058</v>
      </c>
      <c r="I438" s="1" t="s">
        <v>1059</v>
      </c>
      <c r="J438" s="1" t="s">
        <v>26</v>
      </c>
      <c r="K438" s="1" t="s">
        <v>1060</v>
      </c>
      <c r="L438" s="1" t="s">
        <v>26</v>
      </c>
      <c r="M438" s="1" t="s">
        <v>27</v>
      </c>
      <c r="N438" s="1" t="s">
        <v>26</v>
      </c>
      <c r="O438" s="1" t="s">
        <v>26</v>
      </c>
      <c r="P438" s="4">
        <v>45604.66664351852</v>
      </c>
    </row>
    <row r="439" hidden="1">
      <c r="A439" s="1" t="s">
        <v>1055</v>
      </c>
      <c r="B439" s="3" t="str">
        <f>HYPERLINK("https://hawk-eye.atlassian.net/browse/HWKREPORT-3020?atlOrigin=eyJpIjoiYzgwYTQ0ZjEyNzQzNGJhN2JmNjEyZTM0NmRhZWZhNjIiLCJwIjoic2hlZXRzLWppcmEifQ","HWKREPORT-3020")</f>
        <v>HWKREPORT-3020</v>
      </c>
      <c r="C439" s="1" t="s">
        <v>1599</v>
      </c>
      <c r="D439" s="1" t="s">
        <v>83</v>
      </c>
      <c r="E439" s="1" t="s">
        <v>1057</v>
      </c>
      <c r="F439" s="4">
        <v>45604.668645833335</v>
      </c>
      <c r="G439" s="3" t="str">
        <f t="shared" si="38"/>
        <v/>
      </c>
      <c r="H439" s="1" t="s">
        <v>1058</v>
      </c>
      <c r="I439" s="1" t="s">
        <v>1059</v>
      </c>
      <c r="J439" s="1" t="s">
        <v>26</v>
      </c>
      <c r="K439" s="1" t="s">
        <v>1060</v>
      </c>
      <c r="L439" s="1" t="s">
        <v>26</v>
      </c>
      <c r="M439" s="1" t="s">
        <v>27</v>
      </c>
      <c r="N439" s="1" t="s">
        <v>26</v>
      </c>
      <c r="O439" s="1" t="s">
        <v>26</v>
      </c>
      <c r="P439" s="4">
        <v>45604.668657407405</v>
      </c>
    </row>
    <row r="440" hidden="1">
      <c r="A440" s="1" t="s">
        <v>1055</v>
      </c>
      <c r="B440" s="3" t="str">
        <f>HYPERLINK("https://hawk-eye.atlassian.net/browse/HWKREPORT-3021?atlOrigin=eyJpIjoiYzgwYTQ0ZjEyNzQzNGJhN2JmNjEyZTM0NmRhZWZhNjIiLCJwIjoic2hlZXRzLWppcmEifQ","HWKREPORT-3021")</f>
        <v>HWKREPORT-3021</v>
      </c>
      <c r="C440" s="1" t="s">
        <v>1600</v>
      </c>
      <c r="D440" s="1" t="s">
        <v>48</v>
      </c>
      <c r="E440" s="1" t="s">
        <v>1074</v>
      </c>
      <c r="F440" s="4">
        <v>45604.738125</v>
      </c>
      <c r="G440" s="3" t="str">
        <f t="shared" si="38"/>
        <v/>
      </c>
      <c r="H440" s="1" t="s">
        <v>1058</v>
      </c>
      <c r="I440" s="1" t="s">
        <v>1107</v>
      </c>
      <c r="J440" s="1" t="s">
        <v>26</v>
      </c>
      <c r="K440" s="1" t="s">
        <v>1601</v>
      </c>
      <c r="L440" s="1" t="s">
        <v>26</v>
      </c>
      <c r="M440" s="1" t="s">
        <v>27</v>
      </c>
      <c r="N440" s="1" t="s">
        <v>26</v>
      </c>
      <c r="O440" s="1" t="s">
        <v>26</v>
      </c>
      <c r="P440" s="4">
        <v>45674.437685185185</v>
      </c>
    </row>
    <row r="441" hidden="1">
      <c r="A441" s="1" t="s">
        <v>21</v>
      </c>
      <c r="B441" s="3" t="str">
        <f>HYPERLINK("https://hawk-eye.atlassian.net/browse/HWKREPORT-3022?atlOrigin=eyJpIjoiYzgwYTQ0ZjEyNzQzNGJhN2JmNjEyZTM0NmRhZWZhNjIiLCJwIjoic2hlZXRzLWppcmEifQ","HWKREPORT-3022")</f>
        <v>HWKREPORT-3022</v>
      </c>
      <c r="C441" s="1" t="s">
        <v>1602</v>
      </c>
      <c r="D441" s="1" t="s">
        <v>34</v>
      </c>
      <c r="E441" s="1" t="s">
        <v>35</v>
      </c>
      <c r="F441" s="4">
        <v>45605.15162037037</v>
      </c>
      <c r="G441" s="3" t="str">
        <f t="shared" si="38"/>
        <v/>
      </c>
      <c r="H441" s="1" t="s">
        <v>1058</v>
      </c>
      <c r="I441" s="1" t="s">
        <v>1107</v>
      </c>
      <c r="J441" s="1" t="s">
        <v>26</v>
      </c>
      <c r="K441" s="1" t="s">
        <v>1108</v>
      </c>
      <c r="L441" s="1" t="s">
        <v>26</v>
      </c>
      <c r="M441" s="1" t="s">
        <v>27</v>
      </c>
      <c r="N441" s="1" t="s">
        <v>26</v>
      </c>
      <c r="O441" s="1" t="s">
        <v>26</v>
      </c>
      <c r="P441" s="4">
        <v>45674.436898148146</v>
      </c>
    </row>
    <row r="442" hidden="1">
      <c r="A442" s="1" t="s">
        <v>21</v>
      </c>
      <c r="B442" s="3" t="str">
        <f>HYPERLINK("https://hawk-eye.atlassian.net/browse/HWKREPORT-3023?atlOrigin=eyJpIjoiYzgwYTQ0ZjEyNzQzNGJhN2JmNjEyZTM0NmRhZWZhNjIiLCJwIjoic2hlZXRzLWppcmEifQ","HWKREPORT-3023")</f>
        <v>HWKREPORT-3023</v>
      </c>
      <c r="C442" s="1" t="s">
        <v>1603</v>
      </c>
      <c r="D442" s="1" t="s">
        <v>83</v>
      </c>
      <c r="E442" s="1" t="s">
        <v>35</v>
      </c>
      <c r="F442" s="4">
        <v>45605.15373842593</v>
      </c>
      <c r="G442" s="3" t="str">
        <f>HYPERLINK("https://hawk-eye.atlassian.net/browse/BR-1753?atlOrigin=eyJpIjoiYzgwYTQ0ZjEyNzQzNGJhN2JmNjEyZTM0NmRhZWZhNjIiLCJwIjoic2hlZXRzLWppcmEifQ","BR-1753")</f>
        <v>BR-1753</v>
      </c>
      <c r="H442" s="1" t="s">
        <v>1058</v>
      </c>
      <c r="I442" s="1" t="s">
        <v>1107</v>
      </c>
      <c r="J442" s="1" t="s">
        <v>26</v>
      </c>
      <c r="K442" s="1" t="s">
        <v>1108</v>
      </c>
      <c r="L442" s="1" t="s">
        <v>26</v>
      </c>
      <c r="M442" s="1" t="s">
        <v>27</v>
      </c>
      <c r="N442" s="1" t="s">
        <v>26</v>
      </c>
      <c r="O442" s="1" t="s">
        <v>26</v>
      </c>
      <c r="P442" s="4">
        <v>45674.435844907406</v>
      </c>
    </row>
    <row r="443" hidden="1">
      <c r="A443" s="1" t="s">
        <v>1055</v>
      </c>
      <c r="B443" s="3" t="str">
        <f>HYPERLINK("https://hawk-eye.atlassian.net/browse/HWKREPORT-3024?atlOrigin=eyJpIjoiYzgwYTQ0ZjEyNzQzNGJhN2JmNjEyZTM0NmRhZWZhNjIiLCJwIjoic2hlZXRzLWppcmEifQ","HWKREPORT-3024")</f>
        <v>HWKREPORT-3024</v>
      </c>
      <c r="C443" s="1" t="s">
        <v>1604</v>
      </c>
      <c r="D443" s="1" t="s">
        <v>40</v>
      </c>
      <c r="E443" s="1" t="s">
        <v>1057</v>
      </c>
      <c r="F443" s="4">
        <v>45605.54283564815</v>
      </c>
      <c r="G443" s="3" t="str">
        <f>HYPERLINK("https://hawk-eye.atlassian.net/browse/AT-1582?atlOrigin=eyJpIjoiYzgwYTQ0ZjEyNzQzNGJhN2JmNjEyZTM0NmRhZWZhNjIiLCJwIjoic2hlZXRzLWppcmEifQ","AT-1582")</f>
        <v>AT-1582</v>
      </c>
      <c r="H443" s="1" t="s">
        <v>1058</v>
      </c>
      <c r="I443" s="1" t="s">
        <v>1085</v>
      </c>
      <c r="J443" s="1" t="s">
        <v>26</v>
      </c>
      <c r="K443" s="1" t="s">
        <v>26</v>
      </c>
      <c r="L443" s="1" t="s">
        <v>26</v>
      </c>
      <c r="M443" s="1" t="s">
        <v>27</v>
      </c>
      <c r="N443" s="1" t="s">
        <v>26</v>
      </c>
      <c r="O443" s="1" t="s">
        <v>26</v>
      </c>
      <c r="P443" s="4">
        <v>45605.54284722222</v>
      </c>
    </row>
    <row r="444">
      <c r="A444" s="1" t="s">
        <v>21</v>
      </c>
      <c r="B444" s="3" t="str">
        <f>HYPERLINK("https://hawk-eye.atlassian.net/browse/HWKREPORT-3025?atlOrigin=eyJpIjoiYzgwYTQ0ZjEyNzQzNGJhN2JmNjEyZTM0NmRhZWZhNjIiLCJwIjoic2hlZXRzLWppcmEifQ","HWKREPORT-3025")</f>
        <v>HWKREPORT-3025</v>
      </c>
      <c r="C444" s="1" t="s">
        <v>1605</v>
      </c>
      <c r="D444" s="1" t="s">
        <v>34</v>
      </c>
      <c r="E444" s="1" t="s">
        <v>35</v>
      </c>
      <c r="F444" s="4">
        <v>45605.58614583333</v>
      </c>
      <c r="G444" s="3" t="str">
        <f>HYPERLINK("https://hawk-eye.atlassian.net/browse/RTT-9490?atlOrigin=eyJpIjoiYzgwYTQ0ZjEyNzQzNGJhN2JmNjEyZTM0NmRhZWZhNjIiLCJwIjoic2hlZXRzLWppcmEifQ","RTT-9490")</f>
        <v>RTT-9490</v>
      </c>
      <c r="H444" s="1" t="s">
        <v>1058</v>
      </c>
      <c r="I444" s="1" t="s">
        <v>28</v>
      </c>
      <c r="J444" s="1" t="s">
        <v>26</v>
      </c>
      <c r="K444" s="1" t="s">
        <v>1072</v>
      </c>
      <c r="L444" s="1" t="s">
        <v>26</v>
      </c>
      <c r="M444" s="1" t="s">
        <v>27</v>
      </c>
      <c r="N444" s="1" t="s">
        <v>26</v>
      </c>
      <c r="O444" s="1" t="s">
        <v>26</v>
      </c>
      <c r="P444" s="4">
        <v>45615.48976851852</v>
      </c>
    </row>
    <row r="445" hidden="1">
      <c r="A445" s="1" t="s">
        <v>21</v>
      </c>
      <c r="B445" s="3" t="str">
        <f>HYPERLINK("https://hawk-eye.atlassian.net/browse/HWKREPORT-3026?atlOrigin=eyJpIjoiYzgwYTQ0ZjEyNzQzNGJhN2JmNjEyZTM0NmRhZWZhNjIiLCJwIjoic2hlZXRzLWppcmEifQ","HWKREPORT-3026")</f>
        <v>HWKREPORT-3026</v>
      </c>
      <c r="C445" s="1" t="s">
        <v>1606</v>
      </c>
      <c r="D445" s="1" t="s">
        <v>23</v>
      </c>
      <c r="E445" s="1" t="s">
        <v>35</v>
      </c>
      <c r="F445" s="4">
        <v>45607.67827546296</v>
      </c>
      <c r="G445" s="3" t="str">
        <f>HYPERLINK("https://hawk-eye.atlassian.net/browse/RTT-8777?atlOrigin=eyJpIjoiYzgwYTQ0ZjEyNzQzNGJhN2JmNjEyZTM0NmRhZWZhNjIiLCJwIjoic2hlZXRzLWppcmEifQ","RTT-8777")</f>
        <v>RTT-8777</v>
      </c>
      <c r="H445" s="1" t="s">
        <v>1058</v>
      </c>
      <c r="I445" s="1" t="s">
        <v>1071</v>
      </c>
      <c r="J445" s="1" t="s">
        <v>26</v>
      </c>
      <c r="K445" s="1" t="s">
        <v>1095</v>
      </c>
      <c r="L445" s="1" t="s">
        <v>26</v>
      </c>
      <c r="M445" s="1" t="s">
        <v>27</v>
      </c>
      <c r="N445" s="1" t="s">
        <v>26</v>
      </c>
      <c r="O445" s="1" t="s">
        <v>26</v>
      </c>
      <c r="P445" s="4">
        <v>45728.71915509259</v>
      </c>
    </row>
    <row r="446">
      <c r="A446" s="1" t="s">
        <v>21</v>
      </c>
      <c r="B446" s="3" t="str">
        <f>HYPERLINK("https://hawk-eye.atlassian.net/browse/HWKREPORT-3027?atlOrigin=eyJpIjoiYzgwYTQ0ZjEyNzQzNGJhN2JmNjEyZTM0NmRhZWZhNjIiLCJwIjoic2hlZXRzLWppcmEifQ","HWKREPORT-3027")</f>
        <v>HWKREPORT-3027</v>
      </c>
      <c r="C446" s="1" t="s">
        <v>1607</v>
      </c>
      <c r="D446" s="1" t="s">
        <v>23</v>
      </c>
      <c r="E446" s="1" t="s">
        <v>35</v>
      </c>
      <c r="F446" s="4">
        <v>45607.70400462963</v>
      </c>
      <c r="G446" s="3" t="str">
        <f>HYPERLINK("https://hawk-eye.atlassian.net/browse/RTT-9492?atlOrigin=eyJpIjoiYzgwYTQ0ZjEyNzQzNGJhN2JmNjEyZTM0NmRhZWZhNjIiLCJwIjoic2hlZXRzLWppcmEifQ","RTT-9492")</f>
        <v>RTT-9492</v>
      </c>
      <c r="H446" s="1" t="s">
        <v>1058</v>
      </c>
      <c r="I446" s="1" t="s">
        <v>28</v>
      </c>
      <c r="J446" s="1" t="s">
        <v>26</v>
      </c>
      <c r="K446" s="1" t="s">
        <v>1072</v>
      </c>
      <c r="L446" s="1" t="s">
        <v>26</v>
      </c>
      <c r="M446" s="1" t="s">
        <v>27</v>
      </c>
      <c r="N446" s="1" t="s">
        <v>26</v>
      </c>
      <c r="O446" s="1" t="s">
        <v>26</v>
      </c>
      <c r="P446" s="4">
        <v>45699.739270833335</v>
      </c>
    </row>
    <row r="447" hidden="1">
      <c r="A447" s="1" t="s">
        <v>1055</v>
      </c>
      <c r="B447" s="3" t="str">
        <f>HYPERLINK("https://hawk-eye.atlassian.net/browse/HWKREPORT-3028?atlOrigin=eyJpIjoiYzgwYTQ0ZjEyNzQzNGJhN2JmNjEyZTM0NmRhZWZhNjIiLCJwIjoic2hlZXRzLWppcmEifQ","HWKREPORT-3028")</f>
        <v>HWKREPORT-3028</v>
      </c>
      <c r="C447" s="1" t="s">
        <v>1608</v>
      </c>
      <c r="D447" s="1" t="s">
        <v>48</v>
      </c>
      <c r="E447" s="1" t="s">
        <v>1057</v>
      </c>
      <c r="F447" s="4">
        <v>45607.77465277778</v>
      </c>
      <c r="G447" s="3" t="str">
        <f t="shared" ref="G447:G448" si="39">HYPERLINK("https://hawk-eye.atlassian.net/browse/?atlOrigin=eyJpIjoiYzgwYTQ0ZjEyNzQzNGJhN2JmNjEyZTM0NmRhZWZhNjIiLCJwIjoic2hlZXRzLWppcmEifQ","")</f>
        <v/>
      </c>
      <c r="H447" s="1" t="s">
        <v>1058</v>
      </c>
      <c r="I447" s="1" t="s">
        <v>1085</v>
      </c>
      <c r="J447" s="1" t="s">
        <v>26</v>
      </c>
      <c r="K447" s="1" t="s">
        <v>1134</v>
      </c>
      <c r="L447" s="1" t="s">
        <v>26</v>
      </c>
      <c r="M447" s="1" t="s">
        <v>27</v>
      </c>
      <c r="N447" s="1" t="s">
        <v>26</v>
      </c>
      <c r="O447" s="1" t="s">
        <v>26</v>
      </c>
      <c r="P447" s="4">
        <v>45607.774664351855</v>
      </c>
    </row>
    <row r="448" hidden="1">
      <c r="A448" s="1" t="s">
        <v>21</v>
      </c>
      <c r="B448" s="3" t="str">
        <f>HYPERLINK("https://hawk-eye.atlassian.net/browse/HWKREPORT-3029?atlOrigin=eyJpIjoiYzgwYTQ0ZjEyNzQzNGJhN2JmNjEyZTM0NmRhZWZhNjIiLCJwIjoic2hlZXRzLWppcmEifQ","HWKREPORT-3029")</f>
        <v>HWKREPORT-3029</v>
      </c>
      <c r="C448" s="1" t="s">
        <v>1609</v>
      </c>
      <c r="D448" s="1" t="s">
        <v>23</v>
      </c>
      <c r="E448" s="1" t="s">
        <v>35</v>
      </c>
      <c r="F448" s="4">
        <v>45607.8741087963</v>
      </c>
      <c r="G448" s="3" t="str">
        <f t="shared" si="39"/>
        <v/>
      </c>
      <c r="H448" s="1" t="s">
        <v>1058</v>
      </c>
      <c r="I448" s="1" t="s">
        <v>1107</v>
      </c>
      <c r="J448" s="1" t="s">
        <v>26</v>
      </c>
      <c r="K448" s="1" t="s">
        <v>1247</v>
      </c>
      <c r="L448" s="1" t="s">
        <v>26</v>
      </c>
      <c r="M448" s="1" t="s">
        <v>27</v>
      </c>
      <c r="N448" s="1" t="s">
        <v>26</v>
      </c>
      <c r="O448" s="1" t="s">
        <v>26</v>
      </c>
      <c r="P448" s="4">
        <v>45674.435219907406</v>
      </c>
    </row>
    <row r="449" hidden="1">
      <c r="A449" s="1" t="s">
        <v>21</v>
      </c>
      <c r="B449" s="3" t="str">
        <f>HYPERLINK("https://hawk-eye.atlassian.net/browse/HWKREPORT-3030?atlOrigin=eyJpIjoiYzgwYTQ0ZjEyNzQzNGJhN2JmNjEyZTM0NmRhZWZhNjIiLCJwIjoic2hlZXRzLWppcmEifQ","HWKREPORT-3030")</f>
        <v>HWKREPORT-3030</v>
      </c>
      <c r="C449" s="1" t="s">
        <v>1610</v>
      </c>
      <c r="D449" s="1" t="s">
        <v>83</v>
      </c>
      <c r="E449" s="1" t="s">
        <v>1057</v>
      </c>
      <c r="F449" s="4">
        <v>45608.341215277775</v>
      </c>
      <c r="G449" s="3" t="str">
        <f>HYPERLINK("https://hawk-eye.atlassian.net/browse/GT-1757?atlOrigin=eyJpIjoiYzgwYTQ0ZjEyNzQzNGJhN2JmNjEyZTM0NmRhZWZhNjIiLCJwIjoic2hlZXRzLWppcmEifQ","GT-1757")</f>
        <v>GT-1757</v>
      </c>
      <c r="H449" s="1" t="s">
        <v>1058</v>
      </c>
      <c r="I449" s="1" t="s">
        <v>1126</v>
      </c>
      <c r="J449" s="1" t="s">
        <v>26</v>
      </c>
      <c r="K449" s="1" t="s">
        <v>1461</v>
      </c>
      <c r="L449" s="1" t="s">
        <v>26</v>
      </c>
      <c r="M449" s="1" t="s">
        <v>27</v>
      </c>
      <c r="N449" s="1" t="s">
        <v>26</v>
      </c>
      <c r="O449" s="1" t="s">
        <v>26</v>
      </c>
      <c r="P449" s="4">
        <v>45608.34122685185</v>
      </c>
    </row>
    <row r="450" hidden="1">
      <c r="A450" s="1" t="s">
        <v>1055</v>
      </c>
      <c r="B450" s="3" t="str">
        <f>HYPERLINK("https://hawk-eye.atlassian.net/browse/HWKREPORT-3031?atlOrigin=eyJpIjoiYzgwYTQ0ZjEyNzQzNGJhN2JmNjEyZTM0NmRhZWZhNjIiLCJwIjoic2hlZXRzLWppcmEifQ","HWKREPORT-3031")</f>
        <v>HWKREPORT-3031</v>
      </c>
      <c r="C450" s="1" t="s">
        <v>1611</v>
      </c>
      <c r="D450" s="1" t="s">
        <v>48</v>
      </c>
      <c r="E450" s="1" t="s">
        <v>1057</v>
      </c>
      <c r="F450" s="4">
        <v>45608.55857638889</v>
      </c>
      <c r="G450" s="3" t="str">
        <f t="shared" ref="G450:G451" si="40">HYPERLINK("https://hawk-eye.atlassian.net/browse/?atlOrigin=eyJpIjoiYzgwYTQ0ZjEyNzQzNGJhN2JmNjEyZTM0NmRhZWZhNjIiLCJwIjoic2hlZXRzLWppcmEifQ","")</f>
        <v/>
      </c>
      <c r="H450" s="1" t="s">
        <v>1058</v>
      </c>
      <c r="I450" s="1" t="s">
        <v>1126</v>
      </c>
      <c r="J450" s="1" t="s">
        <v>26</v>
      </c>
      <c r="K450" s="1" t="s">
        <v>1461</v>
      </c>
      <c r="L450" s="1" t="s">
        <v>26</v>
      </c>
      <c r="M450" s="1" t="s">
        <v>27</v>
      </c>
      <c r="N450" s="1" t="s">
        <v>26</v>
      </c>
      <c r="O450" s="1" t="s">
        <v>26</v>
      </c>
      <c r="P450" s="4">
        <v>45608.558587962965</v>
      </c>
    </row>
    <row r="451" hidden="1">
      <c r="A451" s="1" t="s">
        <v>21</v>
      </c>
      <c r="B451" s="3" t="str">
        <f>HYPERLINK("https://hawk-eye.atlassian.net/browse/HWKREPORT-3032?atlOrigin=eyJpIjoiYzgwYTQ0ZjEyNzQzNGJhN2JmNjEyZTM0NmRhZWZhNjIiLCJwIjoic2hlZXRzLWppcmEifQ","HWKREPORT-3032")</f>
        <v>HWKREPORT-3032</v>
      </c>
      <c r="C451" s="1" t="s">
        <v>1612</v>
      </c>
      <c r="D451" s="1" t="s">
        <v>34</v>
      </c>
      <c r="E451" s="1" t="s">
        <v>35</v>
      </c>
      <c r="F451" s="4">
        <v>45608.55913194444</v>
      </c>
      <c r="G451" s="3" t="str">
        <f t="shared" si="40"/>
        <v/>
      </c>
      <c r="H451" s="1" t="s">
        <v>1058</v>
      </c>
      <c r="I451" s="1" t="s">
        <v>1059</v>
      </c>
      <c r="J451" s="1" t="s">
        <v>26</v>
      </c>
      <c r="K451" s="1" t="s">
        <v>1116</v>
      </c>
      <c r="L451" s="1" t="s">
        <v>26</v>
      </c>
      <c r="M451" s="1" t="s">
        <v>27</v>
      </c>
      <c r="N451" s="1" t="s">
        <v>26</v>
      </c>
      <c r="O451" s="1" t="s">
        <v>26</v>
      </c>
      <c r="P451" s="4">
        <v>45763.623194444444</v>
      </c>
    </row>
    <row r="452" hidden="1">
      <c r="A452" s="1" t="s">
        <v>21</v>
      </c>
      <c r="B452" s="3" t="str">
        <f>HYPERLINK("https://hawk-eye.atlassian.net/browse/HWKREPORT-3033?atlOrigin=eyJpIjoiYzgwYTQ0ZjEyNzQzNGJhN2JmNjEyZTM0NmRhZWZhNjIiLCJwIjoic2hlZXRzLWppcmEifQ","HWKREPORT-3033")</f>
        <v>HWKREPORT-3033</v>
      </c>
      <c r="C452" s="1" t="s">
        <v>1613</v>
      </c>
      <c r="D452" s="1" t="s">
        <v>40</v>
      </c>
      <c r="E452" s="1" t="s">
        <v>35</v>
      </c>
      <c r="F452" s="4">
        <v>45608.57534722222</v>
      </c>
      <c r="G452" s="3" t="str">
        <f>HYPERLINK("https://hawk-eye.atlassian.net/browse/GT-1655?atlOrigin=eyJpIjoiYzgwYTQ0ZjEyNzQzNGJhN2JmNjEyZTM0NmRhZWZhNjIiLCJwIjoic2hlZXRzLWppcmEifQ","GT-1655")</f>
        <v>GT-1655</v>
      </c>
      <c r="H452" s="1" t="s">
        <v>1058</v>
      </c>
      <c r="I452" s="1" t="s">
        <v>1085</v>
      </c>
      <c r="J452" s="1" t="s">
        <v>26</v>
      </c>
      <c r="K452" s="1" t="s">
        <v>1105</v>
      </c>
      <c r="L452" s="1" t="s">
        <v>26</v>
      </c>
      <c r="M452" s="1" t="s">
        <v>27</v>
      </c>
      <c r="N452" s="1" t="s">
        <v>26</v>
      </c>
      <c r="O452" s="1" t="s">
        <v>26</v>
      </c>
      <c r="P452" s="4">
        <v>45615.74153935185</v>
      </c>
    </row>
    <row r="453" hidden="1">
      <c r="A453" s="1" t="s">
        <v>21</v>
      </c>
      <c r="B453" s="3" t="str">
        <f>HYPERLINK("https://hawk-eye.atlassian.net/browse/HWKREPORT-3034?atlOrigin=eyJpIjoiYzgwYTQ0ZjEyNzQzNGJhN2JmNjEyZTM0NmRhZWZhNjIiLCJwIjoic2hlZXRzLWppcmEifQ","HWKREPORT-3034")</f>
        <v>HWKREPORT-3034</v>
      </c>
      <c r="C453" s="1" t="s">
        <v>1614</v>
      </c>
      <c r="D453" s="1" t="s">
        <v>83</v>
      </c>
      <c r="E453" s="1" t="s">
        <v>35</v>
      </c>
      <c r="F453" s="4">
        <v>45608.6583912037</v>
      </c>
      <c r="G453" s="3" t="str">
        <f>HYPERLINK("https://hawk-eye.atlassian.net/browse/RTT-9503?atlOrigin=eyJpIjoiYzgwYTQ0ZjEyNzQzNGJhN2JmNjEyZTM0NmRhZWZhNjIiLCJwIjoic2hlZXRzLWppcmEifQ","RTT-9503")</f>
        <v>RTT-9503</v>
      </c>
      <c r="H453" s="1" t="s">
        <v>1058</v>
      </c>
      <c r="I453" s="1" t="s">
        <v>1071</v>
      </c>
      <c r="J453" s="1" t="s">
        <v>26</v>
      </c>
      <c r="K453" s="1" t="s">
        <v>1072</v>
      </c>
      <c r="L453" s="1" t="s">
        <v>26</v>
      </c>
      <c r="M453" s="1" t="s">
        <v>27</v>
      </c>
      <c r="N453" s="1" t="s">
        <v>26</v>
      </c>
      <c r="O453" s="1" t="s">
        <v>26</v>
      </c>
      <c r="P453" s="4">
        <v>45695.46109953704</v>
      </c>
    </row>
    <row r="454" hidden="1">
      <c r="A454" s="1" t="s">
        <v>1055</v>
      </c>
      <c r="B454" s="3" t="str">
        <f>HYPERLINK("https://hawk-eye.atlassian.net/browse/HWKREPORT-3035?atlOrigin=eyJpIjoiYzgwYTQ0ZjEyNzQzNGJhN2JmNjEyZTM0NmRhZWZhNjIiLCJwIjoic2hlZXRzLWppcmEifQ","HWKREPORT-3035")</f>
        <v>HWKREPORT-3035</v>
      </c>
      <c r="C454" s="1" t="s">
        <v>1615</v>
      </c>
      <c r="D454" s="1" t="s">
        <v>48</v>
      </c>
      <c r="E454" s="1" t="s">
        <v>1057</v>
      </c>
      <c r="F454" s="4">
        <v>45608.74015046296</v>
      </c>
      <c r="G454" s="3" t="str">
        <f t="shared" ref="G454:G458" si="41">HYPERLINK("https://hawk-eye.atlassian.net/browse/?atlOrigin=eyJpIjoiYzgwYTQ0ZjEyNzQzNGJhN2JmNjEyZTM0NmRhZWZhNjIiLCJwIjoic2hlZXRzLWppcmEifQ","")</f>
        <v/>
      </c>
      <c r="H454" s="1" t="s">
        <v>1058</v>
      </c>
      <c r="I454" s="1" t="s">
        <v>28</v>
      </c>
      <c r="J454" s="1" t="s">
        <v>26</v>
      </c>
      <c r="K454" s="1" t="s">
        <v>1219</v>
      </c>
      <c r="L454" s="1" t="s">
        <v>26</v>
      </c>
      <c r="M454" s="1" t="s">
        <v>27</v>
      </c>
      <c r="N454" s="1" t="s">
        <v>26</v>
      </c>
      <c r="O454" s="1" t="s">
        <v>26</v>
      </c>
      <c r="P454" s="4">
        <v>45608.74016203704</v>
      </c>
    </row>
    <row r="455" hidden="1">
      <c r="A455" s="1" t="s">
        <v>21</v>
      </c>
      <c r="B455" s="3" t="str">
        <f>HYPERLINK("https://hawk-eye.atlassian.net/browse/HWKREPORT-3036?atlOrigin=eyJpIjoiYzgwYTQ0ZjEyNzQzNGJhN2JmNjEyZTM0NmRhZWZhNjIiLCJwIjoic2hlZXRzLWppcmEifQ","HWKREPORT-3036")</f>
        <v>HWKREPORT-3036</v>
      </c>
      <c r="C455" s="1" t="s">
        <v>1616</v>
      </c>
      <c r="D455" s="1" t="s">
        <v>23</v>
      </c>
      <c r="E455" s="1" t="s">
        <v>1057</v>
      </c>
      <c r="F455" s="4">
        <v>45608.80056712963</v>
      </c>
      <c r="G455" s="3" t="str">
        <f t="shared" si="41"/>
        <v/>
      </c>
      <c r="H455" s="1" t="s">
        <v>1058</v>
      </c>
      <c r="I455" s="1" t="s">
        <v>1071</v>
      </c>
      <c r="J455" s="1" t="s">
        <v>26</v>
      </c>
      <c r="K455" s="1" t="s">
        <v>1095</v>
      </c>
      <c r="L455" s="1" t="s">
        <v>26</v>
      </c>
      <c r="M455" s="1" t="s">
        <v>27</v>
      </c>
      <c r="N455" s="1" t="s">
        <v>26</v>
      </c>
      <c r="O455" s="1" t="s">
        <v>26</v>
      </c>
      <c r="P455" s="4">
        <v>45608.80056712963</v>
      </c>
    </row>
    <row r="456" hidden="1">
      <c r="A456" s="1" t="s">
        <v>21</v>
      </c>
      <c r="B456" s="3" t="str">
        <f>HYPERLINK("https://hawk-eye.atlassian.net/browse/HWKREPORT-3037?atlOrigin=eyJpIjoiYzgwYTQ0ZjEyNzQzNGJhN2JmNjEyZTM0NmRhZWZhNjIiLCJwIjoic2hlZXRzLWppcmEifQ","HWKREPORT-3037")</f>
        <v>HWKREPORT-3037</v>
      </c>
      <c r="C456" s="1" t="s">
        <v>1617</v>
      </c>
      <c r="D456" s="1" t="s">
        <v>23</v>
      </c>
      <c r="E456" s="1" t="s">
        <v>35</v>
      </c>
      <c r="F456" s="4">
        <v>45608.861180555556</v>
      </c>
      <c r="G456" s="3" t="str">
        <f t="shared" si="41"/>
        <v/>
      </c>
      <c r="H456" s="1" t="s">
        <v>1058</v>
      </c>
      <c r="I456" s="1" t="s">
        <v>1107</v>
      </c>
      <c r="J456" s="1" t="s">
        <v>26</v>
      </c>
      <c r="K456" s="1" t="s">
        <v>1108</v>
      </c>
      <c r="L456" s="1" t="s">
        <v>26</v>
      </c>
      <c r="M456" s="1" t="s">
        <v>27</v>
      </c>
      <c r="N456" s="1" t="s">
        <v>26</v>
      </c>
      <c r="O456" s="1" t="s">
        <v>26</v>
      </c>
      <c r="P456" s="4">
        <v>45674.435011574074</v>
      </c>
    </row>
    <row r="457" hidden="1">
      <c r="A457" s="1" t="s">
        <v>1055</v>
      </c>
      <c r="B457" s="3" t="str">
        <f>HYPERLINK("https://hawk-eye.atlassian.net/browse/HWKREPORT-3038?atlOrigin=eyJpIjoiYzgwYTQ0ZjEyNzQzNGJhN2JmNjEyZTM0NmRhZWZhNjIiLCJwIjoic2hlZXRzLWppcmEifQ","HWKREPORT-3038")</f>
        <v>HWKREPORT-3038</v>
      </c>
      <c r="C457" s="1" t="s">
        <v>1618</v>
      </c>
      <c r="D457" s="1" t="s">
        <v>48</v>
      </c>
      <c r="E457" s="1" t="s">
        <v>1057</v>
      </c>
      <c r="F457" s="4">
        <v>45608.869733796295</v>
      </c>
      <c r="G457" s="3" t="str">
        <f t="shared" si="41"/>
        <v/>
      </c>
      <c r="H457" s="1" t="s">
        <v>1058</v>
      </c>
      <c r="I457" s="1" t="s">
        <v>1107</v>
      </c>
      <c r="J457" s="1" t="s">
        <v>26</v>
      </c>
      <c r="K457" s="1" t="s">
        <v>1619</v>
      </c>
      <c r="L457" s="1" t="s">
        <v>26</v>
      </c>
      <c r="M457" s="1" t="s">
        <v>27</v>
      </c>
      <c r="N457" s="1" t="s">
        <v>26</v>
      </c>
      <c r="O457" s="1" t="s">
        <v>26</v>
      </c>
      <c r="P457" s="4">
        <v>45608.869733796295</v>
      </c>
    </row>
    <row r="458" hidden="1">
      <c r="A458" s="1" t="s">
        <v>21</v>
      </c>
      <c r="B458" s="3" t="str">
        <f>HYPERLINK("https://hawk-eye.atlassian.net/browse/HWKREPORT-3039?atlOrigin=eyJpIjoiYzgwYTQ0ZjEyNzQzNGJhN2JmNjEyZTM0NmRhZWZhNjIiLCJwIjoic2hlZXRzLWppcmEifQ","HWKREPORT-3039")</f>
        <v>HWKREPORT-3039</v>
      </c>
      <c r="C458" s="1" t="s">
        <v>1620</v>
      </c>
      <c r="D458" s="1" t="s">
        <v>23</v>
      </c>
      <c r="E458" s="1" t="s">
        <v>1057</v>
      </c>
      <c r="F458" s="4">
        <v>45609.05024305556</v>
      </c>
      <c r="G458" s="3" t="str">
        <f t="shared" si="41"/>
        <v/>
      </c>
      <c r="H458" s="1" t="s">
        <v>1058</v>
      </c>
      <c r="I458" s="1" t="s">
        <v>1059</v>
      </c>
      <c r="J458" s="1" t="s">
        <v>26</v>
      </c>
      <c r="K458" s="1" t="s">
        <v>1060</v>
      </c>
      <c r="L458" s="1" t="s">
        <v>26</v>
      </c>
      <c r="M458" s="1" t="s">
        <v>27</v>
      </c>
      <c r="N458" s="1" t="s">
        <v>26</v>
      </c>
      <c r="O458" s="1" t="s">
        <v>26</v>
      </c>
      <c r="P458" s="4">
        <v>45609.05025462963</v>
      </c>
    </row>
    <row r="459" hidden="1">
      <c r="A459" s="1" t="s">
        <v>1055</v>
      </c>
      <c r="B459" s="3" t="str">
        <f>HYPERLINK("https://hawk-eye.atlassian.net/browse/HWKREPORT-3040?atlOrigin=eyJpIjoiYzgwYTQ0ZjEyNzQzNGJhN2JmNjEyZTM0NmRhZWZhNjIiLCJwIjoic2hlZXRzLWppcmEifQ","HWKREPORT-3040")</f>
        <v>HWKREPORT-3040</v>
      </c>
      <c r="C459" s="1" t="s">
        <v>1621</v>
      </c>
      <c r="D459" s="1" t="s">
        <v>40</v>
      </c>
      <c r="E459" s="1" t="s">
        <v>1057</v>
      </c>
      <c r="F459" s="4">
        <v>45609.418969907405</v>
      </c>
      <c r="G459" s="3" t="str">
        <f>HYPERLINK("https://hawk-eye.atlassian.net/browse/AT-1597?atlOrigin=eyJpIjoiYzgwYTQ0ZjEyNzQzNGJhN2JmNjEyZTM0NmRhZWZhNjIiLCJwIjoic2hlZXRzLWppcmEifQ","AT-1597")</f>
        <v>AT-1597</v>
      </c>
      <c r="H459" s="1" t="s">
        <v>1058</v>
      </c>
      <c r="I459" s="1" t="s">
        <v>1085</v>
      </c>
      <c r="J459" s="1" t="s">
        <v>26</v>
      </c>
      <c r="K459" s="1" t="s">
        <v>26</v>
      </c>
      <c r="L459" s="1" t="s">
        <v>26</v>
      </c>
      <c r="M459" s="1" t="s">
        <v>27</v>
      </c>
      <c r="N459" s="1" t="s">
        <v>26</v>
      </c>
      <c r="O459" s="1" t="s">
        <v>26</v>
      </c>
      <c r="P459" s="4">
        <v>45609.41898148148</v>
      </c>
    </row>
    <row r="460" hidden="1">
      <c r="A460" s="1" t="s">
        <v>1055</v>
      </c>
      <c r="B460" s="3" t="str">
        <f>HYPERLINK("https://hawk-eye.atlassian.net/browse/HWKREPORT-3041?atlOrigin=eyJpIjoiYzgwYTQ0ZjEyNzQzNGJhN2JmNjEyZTM0NmRhZWZhNjIiLCJwIjoic2hlZXRzLWppcmEifQ","HWKREPORT-3041")</f>
        <v>HWKREPORT-3041</v>
      </c>
      <c r="C460" s="1" t="s">
        <v>1622</v>
      </c>
      <c r="D460" s="1" t="s">
        <v>34</v>
      </c>
      <c r="E460" s="1" t="s">
        <v>1057</v>
      </c>
      <c r="F460" s="4">
        <v>45609.461122685185</v>
      </c>
      <c r="G460" s="3" t="str">
        <f>HYPERLINK("https://hawk-eye.atlassian.net/browse/AT-1605?atlOrigin=eyJpIjoiYzgwYTQ0ZjEyNzQzNGJhN2JmNjEyZTM0NmRhZWZhNjIiLCJwIjoic2hlZXRzLWppcmEifQ","AT-1605")</f>
        <v>AT-1605</v>
      </c>
      <c r="H460" s="1" t="s">
        <v>1058</v>
      </c>
      <c r="I460" s="1" t="s">
        <v>1085</v>
      </c>
      <c r="J460" s="1" t="s">
        <v>26</v>
      </c>
      <c r="K460" s="1" t="s">
        <v>26</v>
      </c>
      <c r="L460" s="1" t="s">
        <v>26</v>
      </c>
      <c r="M460" s="1" t="s">
        <v>27</v>
      </c>
      <c r="N460" s="1" t="s">
        <v>26</v>
      </c>
      <c r="O460" s="1" t="s">
        <v>26</v>
      </c>
      <c r="P460" s="4">
        <v>45609.46113425926</v>
      </c>
    </row>
    <row r="461" hidden="1">
      <c r="A461" s="1" t="s">
        <v>1055</v>
      </c>
      <c r="B461" s="3" t="str">
        <f>HYPERLINK("https://hawk-eye.atlassian.net/browse/HWKREPORT-3042?atlOrigin=eyJpIjoiYzgwYTQ0ZjEyNzQzNGJhN2JmNjEyZTM0NmRhZWZhNjIiLCJwIjoic2hlZXRzLWppcmEifQ","HWKREPORT-3042")</f>
        <v>HWKREPORT-3042</v>
      </c>
      <c r="C461" s="1" t="s">
        <v>1623</v>
      </c>
      <c r="D461" s="1" t="s">
        <v>48</v>
      </c>
      <c r="E461" s="1" t="s">
        <v>1057</v>
      </c>
      <c r="F461" s="4">
        <v>45609.66023148148</v>
      </c>
      <c r="G461" s="3" t="str">
        <f>HYPERLINK("https://hawk-eye.atlassian.net/browse/BR-1955?atlOrigin=eyJpIjoiYzgwYTQ0ZjEyNzQzNGJhN2JmNjEyZTM0NmRhZWZhNjIiLCJwIjoic2hlZXRzLWppcmEifQ","BR-1955")</f>
        <v>BR-1955</v>
      </c>
      <c r="H461" s="1" t="s">
        <v>1058</v>
      </c>
      <c r="I461" s="1" t="s">
        <v>1107</v>
      </c>
      <c r="J461" s="1" t="s">
        <v>26</v>
      </c>
      <c r="K461" s="1" t="s">
        <v>1108</v>
      </c>
      <c r="L461" s="1" t="s">
        <v>26</v>
      </c>
      <c r="M461" s="1" t="s">
        <v>27</v>
      </c>
      <c r="N461" s="1" t="s">
        <v>26</v>
      </c>
      <c r="O461" s="1" t="s">
        <v>26</v>
      </c>
      <c r="P461" s="4">
        <v>45609.66024305556</v>
      </c>
    </row>
    <row r="462">
      <c r="A462" s="1" t="s">
        <v>21</v>
      </c>
      <c r="B462" s="3" t="str">
        <f>HYPERLINK("https://hawk-eye.atlassian.net/browse/HWKREPORT-3043?atlOrigin=eyJpIjoiYzgwYTQ0ZjEyNzQzNGJhN2JmNjEyZTM0NmRhZWZhNjIiLCJwIjoic2hlZXRzLWppcmEifQ","HWKREPORT-3043")</f>
        <v>HWKREPORT-3043</v>
      </c>
      <c r="C462" s="1" t="s">
        <v>1624</v>
      </c>
      <c r="D462" s="1" t="s">
        <v>34</v>
      </c>
      <c r="E462" s="1" t="s">
        <v>35</v>
      </c>
      <c r="F462" s="4">
        <v>45609.88650462963</v>
      </c>
      <c r="G462" s="3" t="str">
        <f>HYPERLINK("https://hawk-eye.atlassian.net/browse/RTT-9504?atlOrigin=eyJpIjoiYzgwYTQ0ZjEyNzQzNGJhN2JmNjEyZTM0NmRhZWZhNjIiLCJwIjoic2hlZXRzLWppcmEifQ","RTT-9504")</f>
        <v>RTT-9504</v>
      </c>
      <c r="H462" s="1" t="s">
        <v>1058</v>
      </c>
      <c r="I462" s="1" t="s">
        <v>28</v>
      </c>
      <c r="J462" s="1" t="s">
        <v>26</v>
      </c>
      <c r="K462" s="1" t="s">
        <v>1072</v>
      </c>
      <c r="L462" s="1" t="s">
        <v>26</v>
      </c>
      <c r="M462" s="1" t="s">
        <v>27</v>
      </c>
      <c r="N462" s="1" t="s">
        <v>26</v>
      </c>
      <c r="O462" s="1" t="s">
        <v>26</v>
      </c>
      <c r="P462" s="4">
        <v>45699.70332175926</v>
      </c>
    </row>
    <row r="463" hidden="1">
      <c r="A463" s="1" t="s">
        <v>1055</v>
      </c>
      <c r="B463" s="3" t="str">
        <f>HYPERLINK("https://hawk-eye.atlassian.net/browse/HWKREPORT-3044?atlOrigin=eyJpIjoiYzgwYTQ0ZjEyNzQzNGJhN2JmNjEyZTM0NmRhZWZhNjIiLCJwIjoic2hlZXRzLWppcmEifQ","HWKREPORT-3044")</f>
        <v>HWKREPORT-3044</v>
      </c>
      <c r="C463" s="1" t="s">
        <v>1625</v>
      </c>
      <c r="D463" s="1" t="s">
        <v>48</v>
      </c>
      <c r="E463" s="1" t="s">
        <v>35</v>
      </c>
      <c r="F463" s="4">
        <v>45609.88738425926</v>
      </c>
      <c r="G463" s="3" t="str">
        <f>HYPERLINK("https://hawk-eye.atlassian.net/browse/?atlOrigin=eyJpIjoiYzgwYTQ0ZjEyNzQzNGJhN2JmNjEyZTM0NmRhZWZhNjIiLCJwIjoic2hlZXRzLWppcmEifQ","")</f>
        <v/>
      </c>
      <c r="H463" s="1" t="s">
        <v>1058</v>
      </c>
      <c r="I463" s="1" t="s">
        <v>1126</v>
      </c>
      <c r="J463" s="1" t="s">
        <v>26</v>
      </c>
      <c r="K463" s="1" t="s">
        <v>1211</v>
      </c>
      <c r="L463" s="1" t="s">
        <v>26</v>
      </c>
      <c r="M463" s="1" t="s">
        <v>27</v>
      </c>
      <c r="N463" s="1" t="s">
        <v>26</v>
      </c>
      <c r="O463" s="1" t="s">
        <v>26</v>
      </c>
      <c r="P463" s="4">
        <v>45677.492997685185</v>
      </c>
    </row>
    <row r="464" hidden="1">
      <c r="A464" s="1" t="s">
        <v>1055</v>
      </c>
      <c r="B464" s="3" t="str">
        <f>HYPERLINK("https://hawk-eye.atlassian.net/browse/HWKREPORT-3045?atlOrigin=eyJpIjoiYzgwYTQ0ZjEyNzQzNGJhN2JmNjEyZTM0NmRhZWZhNjIiLCJwIjoic2hlZXRzLWppcmEifQ","HWKREPORT-3045")</f>
        <v>HWKREPORT-3045</v>
      </c>
      <c r="C464" s="1" t="s">
        <v>1626</v>
      </c>
      <c r="D464" s="1" t="s">
        <v>48</v>
      </c>
      <c r="E464" s="1" t="s">
        <v>1057</v>
      </c>
      <c r="F464" s="4">
        <v>45609.99667824074</v>
      </c>
      <c r="G464" s="3" t="str">
        <f>HYPERLINK("https://hawk-eye.atlassian.net/browse/RTT-9505?atlOrigin=eyJpIjoiYzgwYTQ0ZjEyNzQzNGJhN2JmNjEyZTM0NmRhZWZhNjIiLCJwIjoic2hlZXRzLWppcmEifQ","RTT-9505")</f>
        <v>RTT-9505</v>
      </c>
      <c r="H464" s="1" t="s">
        <v>1058</v>
      </c>
      <c r="I464" s="1" t="s">
        <v>28</v>
      </c>
      <c r="J464" s="1" t="s">
        <v>26</v>
      </c>
      <c r="K464" s="1" t="s">
        <v>1072</v>
      </c>
      <c r="L464" s="1" t="s">
        <v>26</v>
      </c>
      <c r="M464" s="1" t="s">
        <v>27</v>
      </c>
      <c r="N464" s="1" t="s">
        <v>26</v>
      </c>
      <c r="O464" s="1" t="s">
        <v>26</v>
      </c>
      <c r="P464" s="4">
        <v>45609.99668981481</v>
      </c>
    </row>
    <row r="465" hidden="1">
      <c r="A465" s="1" t="s">
        <v>21</v>
      </c>
      <c r="B465" s="3" t="str">
        <f>HYPERLINK("https://hawk-eye.atlassian.net/browse/HWKREPORT-3046?atlOrigin=eyJpIjoiYzgwYTQ0ZjEyNzQzNGJhN2JmNjEyZTM0NmRhZWZhNjIiLCJwIjoic2hlZXRzLWppcmEifQ","HWKREPORT-3046")</f>
        <v>HWKREPORT-3046</v>
      </c>
      <c r="C465" s="1" t="s">
        <v>1627</v>
      </c>
      <c r="D465" s="1" t="s">
        <v>23</v>
      </c>
      <c r="E465" s="1" t="s">
        <v>1057</v>
      </c>
      <c r="F465" s="4">
        <v>45610.41326388889</v>
      </c>
      <c r="G465" s="3" t="str">
        <f>HYPERLINK("https://hawk-eye.atlassian.net/browse/?atlOrigin=eyJpIjoiYzgwYTQ0ZjEyNzQzNGJhN2JmNjEyZTM0NmRhZWZhNjIiLCJwIjoic2hlZXRzLWppcmEifQ","")</f>
        <v/>
      </c>
      <c r="H465" s="1" t="s">
        <v>1058</v>
      </c>
      <c r="I465" s="1" t="s">
        <v>1082</v>
      </c>
      <c r="J465" s="1" t="s">
        <v>26</v>
      </c>
      <c r="K465" s="1" t="s">
        <v>1083</v>
      </c>
      <c r="L465" s="1" t="s">
        <v>26</v>
      </c>
      <c r="M465" s="1" t="s">
        <v>27</v>
      </c>
      <c r="N465" s="1" t="s">
        <v>26</v>
      </c>
      <c r="O465" s="1" t="s">
        <v>26</v>
      </c>
      <c r="P465" s="4">
        <v>45610.41327546296</v>
      </c>
    </row>
    <row r="466" hidden="1">
      <c r="A466" s="1" t="s">
        <v>21</v>
      </c>
      <c r="B466" s="3" t="str">
        <f>HYPERLINK("https://hawk-eye.atlassian.net/browse/HWKREPORT-3047?atlOrigin=eyJpIjoiYzgwYTQ0ZjEyNzQzNGJhN2JmNjEyZTM0NmRhZWZhNjIiLCJwIjoic2hlZXRzLWppcmEifQ","HWKREPORT-3047")</f>
        <v>HWKREPORT-3047</v>
      </c>
      <c r="C466" s="1" t="s">
        <v>1628</v>
      </c>
      <c r="D466" s="1" t="s">
        <v>34</v>
      </c>
      <c r="E466" s="1" t="s">
        <v>1057</v>
      </c>
      <c r="F466" s="4">
        <v>45610.416909722226</v>
      </c>
      <c r="G466" s="3" t="str">
        <f>HYPERLINK("https://hawk-eye.atlassian.net/browse/CTK-190?atlOrigin=eyJpIjoiYzgwYTQ0ZjEyNzQzNGJhN2JmNjEyZTM0NmRhZWZhNjIiLCJwIjoic2hlZXRzLWppcmEifQ","CTK-190")</f>
        <v>CTK-190</v>
      </c>
      <c r="H466" s="1" t="s">
        <v>1058</v>
      </c>
      <c r="I466" s="1" t="s">
        <v>1082</v>
      </c>
      <c r="J466" s="1" t="s">
        <v>26</v>
      </c>
      <c r="K466" s="1" t="s">
        <v>1083</v>
      </c>
      <c r="L466" s="1" t="s">
        <v>26</v>
      </c>
      <c r="M466" s="1" t="s">
        <v>27</v>
      </c>
      <c r="N466" s="1" t="s">
        <v>26</v>
      </c>
      <c r="O466" s="1" t="s">
        <v>26</v>
      </c>
      <c r="P466" s="4">
        <v>45610.416921296295</v>
      </c>
    </row>
    <row r="467" hidden="1">
      <c r="A467" s="1" t="s">
        <v>21</v>
      </c>
      <c r="B467" s="3" t="str">
        <f>HYPERLINK("https://hawk-eye.atlassian.net/browse/HWKREPORT-3048?atlOrigin=eyJpIjoiYzgwYTQ0ZjEyNzQzNGJhN2JmNjEyZTM0NmRhZWZhNjIiLCJwIjoic2hlZXRzLWppcmEifQ","HWKREPORT-3048")</f>
        <v>HWKREPORT-3048</v>
      </c>
      <c r="C467" s="1" t="s">
        <v>1629</v>
      </c>
      <c r="D467" s="1" t="s">
        <v>34</v>
      </c>
      <c r="E467" s="1" t="s">
        <v>1057</v>
      </c>
      <c r="F467" s="4">
        <v>45610.4299537037</v>
      </c>
      <c r="G467" s="3" t="str">
        <f>HYPERLINK("https://hawk-eye.atlassian.net/browse/?atlOrigin=eyJpIjoiYzgwYTQ0ZjEyNzQzNGJhN2JmNjEyZTM0NmRhZWZhNjIiLCJwIjoic2hlZXRzLWppcmEifQ","")</f>
        <v/>
      </c>
      <c r="H467" s="1" t="s">
        <v>1058</v>
      </c>
      <c r="I467" s="1" t="s">
        <v>1082</v>
      </c>
      <c r="J467" s="1" t="s">
        <v>26</v>
      </c>
      <c r="K467" s="1" t="s">
        <v>1083</v>
      </c>
      <c r="L467" s="1" t="s">
        <v>26</v>
      </c>
      <c r="M467" s="1" t="s">
        <v>27</v>
      </c>
      <c r="N467" s="1" t="s">
        <v>26</v>
      </c>
      <c r="O467" s="1" t="s">
        <v>26</v>
      </c>
      <c r="P467" s="4">
        <v>45610.42996527778</v>
      </c>
    </row>
    <row r="468" hidden="1">
      <c r="A468" s="1" t="s">
        <v>21</v>
      </c>
      <c r="B468" s="3" t="str">
        <f>HYPERLINK("https://hawk-eye.atlassian.net/browse/HWKREPORT-3049?atlOrigin=eyJpIjoiYzgwYTQ0ZjEyNzQzNGJhN2JmNjEyZTM0NmRhZWZhNjIiLCJwIjoic2hlZXRzLWppcmEifQ","HWKREPORT-3049")</f>
        <v>HWKREPORT-3049</v>
      </c>
      <c r="C468" s="1" t="s">
        <v>1630</v>
      </c>
      <c r="D468" s="1" t="s">
        <v>40</v>
      </c>
      <c r="E468" s="1" t="s">
        <v>1057</v>
      </c>
      <c r="F468" s="4">
        <v>45610.43898148148</v>
      </c>
      <c r="G468" s="3" t="str">
        <f>HYPERLINK("https://hawk-eye.atlassian.net/browse/CTK-191?atlOrigin=eyJpIjoiYzgwYTQ0ZjEyNzQzNGJhN2JmNjEyZTM0NmRhZWZhNjIiLCJwIjoic2hlZXRzLWppcmEifQ","CTK-191")</f>
        <v>CTK-191</v>
      </c>
      <c r="H468" s="1" t="s">
        <v>1058</v>
      </c>
      <c r="I468" s="1" t="s">
        <v>1082</v>
      </c>
      <c r="J468" s="1" t="s">
        <v>26</v>
      </c>
      <c r="K468" s="1" t="s">
        <v>1083</v>
      </c>
      <c r="L468" s="1" t="s">
        <v>26</v>
      </c>
      <c r="M468" s="1" t="s">
        <v>27</v>
      </c>
      <c r="N468" s="1" t="s">
        <v>26</v>
      </c>
      <c r="O468" s="1" t="s">
        <v>26</v>
      </c>
      <c r="P468" s="4">
        <v>45610.43898148148</v>
      </c>
    </row>
    <row r="469" hidden="1">
      <c r="A469" s="1" t="s">
        <v>21</v>
      </c>
      <c r="B469" s="3" t="str">
        <f>HYPERLINK("https://hawk-eye.atlassian.net/browse/HWKREPORT-3050?atlOrigin=eyJpIjoiYzgwYTQ0ZjEyNzQzNGJhN2JmNjEyZTM0NmRhZWZhNjIiLCJwIjoic2hlZXRzLWppcmEifQ","HWKREPORT-3050")</f>
        <v>HWKREPORT-3050</v>
      </c>
      <c r="C469" s="1" t="s">
        <v>1631</v>
      </c>
      <c r="D469" s="1" t="s">
        <v>34</v>
      </c>
      <c r="E469" s="1" t="s">
        <v>1057</v>
      </c>
      <c r="F469" s="4">
        <v>45610.48988425926</v>
      </c>
      <c r="G469" s="3" t="str">
        <f>HYPERLINK("https://hawk-eye.atlassian.net/browse/?atlOrigin=eyJpIjoiYzgwYTQ0ZjEyNzQzNGJhN2JmNjEyZTM0NmRhZWZhNjIiLCJwIjoic2hlZXRzLWppcmEifQ","")</f>
        <v/>
      </c>
      <c r="H469" s="1" t="s">
        <v>1058</v>
      </c>
      <c r="I469" s="1" t="s">
        <v>1082</v>
      </c>
      <c r="J469" s="1" t="s">
        <v>26</v>
      </c>
      <c r="K469" s="1" t="s">
        <v>1083</v>
      </c>
      <c r="L469" s="1" t="s">
        <v>26</v>
      </c>
      <c r="M469" s="1" t="s">
        <v>27</v>
      </c>
      <c r="N469" s="1" t="s">
        <v>26</v>
      </c>
      <c r="O469" s="1" t="s">
        <v>26</v>
      </c>
      <c r="P469" s="4">
        <v>45610.489895833336</v>
      </c>
    </row>
    <row r="470" hidden="1">
      <c r="A470" s="1" t="s">
        <v>21</v>
      </c>
      <c r="B470" s="3" t="str">
        <f>HYPERLINK("https://hawk-eye.atlassian.net/browse/HWKREPORT-3051?atlOrigin=eyJpIjoiYzgwYTQ0ZjEyNzQzNGJhN2JmNjEyZTM0NmRhZWZhNjIiLCJwIjoic2hlZXRzLWppcmEifQ","HWKREPORT-3051")</f>
        <v>HWKREPORT-3051</v>
      </c>
      <c r="C470" s="1" t="s">
        <v>1632</v>
      </c>
      <c r="D470" s="1" t="s">
        <v>34</v>
      </c>
      <c r="E470" s="1" t="s">
        <v>35</v>
      </c>
      <c r="F470" s="4">
        <v>45610.674363425926</v>
      </c>
      <c r="G470" s="3" t="str">
        <f>HYPERLINK("https://hawk-eye.atlassian.net/browse/BR-1778?atlOrigin=eyJpIjoiYzgwYTQ0ZjEyNzQzNGJhN2JmNjEyZTM0NmRhZWZhNjIiLCJwIjoic2hlZXRzLWppcmEifQ","BR-1778")</f>
        <v>BR-1778</v>
      </c>
      <c r="H470" s="1" t="s">
        <v>1058</v>
      </c>
      <c r="I470" s="1" t="s">
        <v>1107</v>
      </c>
      <c r="J470" s="1" t="s">
        <v>26</v>
      </c>
      <c r="K470" s="1" t="s">
        <v>1108</v>
      </c>
      <c r="L470" s="1" t="s">
        <v>26</v>
      </c>
      <c r="M470" s="1" t="s">
        <v>27</v>
      </c>
      <c r="N470" s="1" t="s">
        <v>26</v>
      </c>
      <c r="O470" s="1" t="s">
        <v>26</v>
      </c>
      <c r="P470" s="4">
        <v>45674.43309027778</v>
      </c>
    </row>
    <row r="471" hidden="1">
      <c r="A471" s="1" t="s">
        <v>21</v>
      </c>
      <c r="B471" s="3" t="str">
        <f>HYPERLINK("https://hawk-eye.atlassian.net/browse/HWKREPORT-3052?atlOrigin=eyJpIjoiYzgwYTQ0ZjEyNzQzNGJhN2JmNjEyZTM0NmRhZWZhNjIiLCJwIjoic2hlZXRzLWppcmEifQ","HWKREPORT-3052")</f>
        <v>HWKREPORT-3052</v>
      </c>
      <c r="C471" s="1" t="s">
        <v>1633</v>
      </c>
      <c r="D471" s="1" t="s">
        <v>23</v>
      </c>
      <c r="E471" s="1" t="s">
        <v>35</v>
      </c>
      <c r="F471" s="4">
        <v>45610.81251157408</v>
      </c>
      <c r="G471" s="3" t="str">
        <f>HYPERLINK("https://hawk-eye.atlassian.net/browse/BR-1777?atlOrigin=eyJpIjoiYzgwYTQ0ZjEyNzQzNGJhN2JmNjEyZTM0NmRhZWZhNjIiLCJwIjoic2hlZXRzLWppcmEifQ","BR-1777")</f>
        <v>BR-1777</v>
      </c>
      <c r="H471" s="1" t="s">
        <v>1058</v>
      </c>
      <c r="I471" s="1" t="s">
        <v>1107</v>
      </c>
      <c r="J471" s="1" t="s">
        <v>26</v>
      </c>
      <c r="K471" s="1" t="s">
        <v>1108</v>
      </c>
      <c r="L471" s="1" t="s">
        <v>26</v>
      </c>
      <c r="M471" s="1" t="s">
        <v>27</v>
      </c>
      <c r="N471" s="1" t="s">
        <v>26</v>
      </c>
      <c r="O471" s="1" t="s">
        <v>26</v>
      </c>
      <c r="P471" s="4">
        <v>45622.50126157407</v>
      </c>
    </row>
    <row r="472" hidden="1">
      <c r="A472" s="1" t="s">
        <v>21</v>
      </c>
      <c r="B472" s="3" t="str">
        <f>HYPERLINK("https://hawk-eye.atlassian.net/browse/HWKREPORT-3053?atlOrigin=eyJpIjoiYzgwYTQ0ZjEyNzQzNGJhN2JmNjEyZTM0NmRhZWZhNjIiLCJwIjoic2hlZXRzLWppcmEifQ","HWKREPORT-3053")</f>
        <v>HWKREPORT-3053</v>
      </c>
      <c r="C472" s="1" t="s">
        <v>1634</v>
      </c>
      <c r="D472" s="1" t="s">
        <v>40</v>
      </c>
      <c r="E472" s="1" t="s">
        <v>1057</v>
      </c>
      <c r="F472" s="4">
        <v>45611.462222222224</v>
      </c>
      <c r="G472" s="3" t="str">
        <f t="shared" ref="G472:G474" si="42">HYPERLINK("https://hawk-eye.atlassian.net/browse/?atlOrigin=eyJpIjoiYzgwYTQ0ZjEyNzQzNGJhN2JmNjEyZTM0NmRhZWZhNjIiLCJwIjoic2hlZXRzLWppcmEifQ","")</f>
        <v/>
      </c>
      <c r="H472" s="1" t="s">
        <v>1058</v>
      </c>
      <c r="I472" s="1" t="s">
        <v>1126</v>
      </c>
      <c r="J472" s="1" t="s">
        <v>26</v>
      </c>
      <c r="K472" s="1" t="s">
        <v>1211</v>
      </c>
      <c r="L472" s="1" t="s">
        <v>26</v>
      </c>
      <c r="M472" s="1" t="s">
        <v>27</v>
      </c>
      <c r="N472" s="1" t="s">
        <v>26</v>
      </c>
      <c r="O472" s="1" t="s">
        <v>26</v>
      </c>
      <c r="P472" s="4">
        <v>45611.462233796294</v>
      </c>
    </row>
    <row r="473" hidden="1">
      <c r="A473" s="1" t="s">
        <v>21</v>
      </c>
      <c r="B473" s="3" t="str">
        <f>HYPERLINK("https://hawk-eye.atlassian.net/browse/HWKREPORT-3054?atlOrigin=eyJpIjoiYzgwYTQ0ZjEyNzQzNGJhN2JmNjEyZTM0NmRhZWZhNjIiLCJwIjoic2hlZXRzLWppcmEifQ","HWKREPORT-3054")</f>
        <v>HWKREPORT-3054</v>
      </c>
      <c r="C473" s="1" t="s">
        <v>1635</v>
      </c>
      <c r="D473" s="1" t="s">
        <v>83</v>
      </c>
      <c r="E473" s="1" t="s">
        <v>35</v>
      </c>
      <c r="F473" s="4">
        <v>45611.574837962966</v>
      </c>
      <c r="G473" s="3" t="str">
        <f t="shared" si="42"/>
        <v/>
      </c>
      <c r="H473" s="1" t="s">
        <v>1058</v>
      </c>
      <c r="I473" s="1" t="s">
        <v>1059</v>
      </c>
      <c r="J473" s="1" t="s">
        <v>26</v>
      </c>
      <c r="K473" s="1" t="s">
        <v>1060</v>
      </c>
      <c r="L473" s="1" t="s">
        <v>26</v>
      </c>
      <c r="M473" s="1" t="s">
        <v>27</v>
      </c>
      <c r="N473" s="1" t="s">
        <v>26</v>
      </c>
      <c r="O473" s="1" t="s">
        <v>26</v>
      </c>
      <c r="P473" s="4">
        <v>45721.80105324074</v>
      </c>
    </row>
    <row r="474" hidden="1">
      <c r="A474" s="1" t="s">
        <v>21</v>
      </c>
      <c r="B474" s="3" t="str">
        <f>HYPERLINK("https://hawk-eye.atlassian.net/browse/HWKREPORT-3055?atlOrigin=eyJpIjoiYzgwYTQ0ZjEyNzQzNGJhN2JmNjEyZTM0NmRhZWZhNjIiLCJwIjoic2hlZXRzLWppcmEifQ","HWKREPORT-3055")</f>
        <v>HWKREPORT-3055</v>
      </c>
      <c r="C474" s="1" t="s">
        <v>1636</v>
      </c>
      <c r="D474" s="1" t="s">
        <v>34</v>
      </c>
      <c r="E474" s="1" t="s">
        <v>35</v>
      </c>
      <c r="F474" s="4">
        <v>45611.68665509259</v>
      </c>
      <c r="G474" s="3" t="str">
        <f t="shared" si="42"/>
        <v/>
      </c>
      <c r="H474" s="1" t="s">
        <v>1058</v>
      </c>
      <c r="I474" s="1" t="s">
        <v>1071</v>
      </c>
      <c r="J474" s="1" t="s">
        <v>26</v>
      </c>
      <c r="K474" s="1" t="s">
        <v>1072</v>
      </c>
      <c r="L474" s="1" t="s">
        <v>26</v>
      </c>
      <c r="M474" s="1" t="s">
        <v>27</v>
      </c>
      <c r="N474" s="1" t="s">
        <v>26</v>
      </c>
      <c r="O474" s="1" t="s">
        <v>26</v>
      </c>
      <c r="P474" s="4">
        <v>45713.632789351854</v>
      </c>
    </row>
    <row r="475" hidden="1">
      <c r="A475" s="1" t="s">
        <v>1055</v>
      </c>
      <c r="B475" s="3" t="str">
        <f>HYPERLINK("https://hawk-eye.atlassian.net/browse/HWKREPORT-3056?atlOrigin=eyJpIjoiYzgwYTQ0ZjEyNzQzNGJhN2JmNjEyZTM0NmRhZWZhNjIiLCJwIjoic2hlZXRzLWppcmEifQ","HWKREPORT-3056")</f>
        <v>HWKREPORT-3056</v>
      </c>
      <c r="C475" s="1" t="s">
        <v>1637</v>
      </c>
      <c r="D475" s="1" t="s">
        <v>48</v>
      </c>
      <c r="E475" s="1" t="s">
        <v>35</v>
      </c>
      <c r="F475" s="4">
        <v>45611.85438657407</v>
      </c>
      <c r="G475" s="3" t="str">
        <f>HYPERLINK("https://hawk-eye.atlassian.net/browse/RTT-9508?atlOrigin=eyJpIjoiYzgwYTQ0ZjEyNzQzNGJhN2JmNjEyZTM0NmRhZWZhNjIiLCJwIjoic2hlZXRzLWppcmEifQ","RTT-9508")</f>
        <v>RTT-9508</v>
      </c>
      <c r="H475" s="1" t="s">
        <v>1058</v>
      </c>
      <c r="I475" s="1" t="s">
        <v>28</v>
      </c>
      <c r="J475" s="1" t="s">
        <v>26</v>
      </c>
      <c r="K475" s="1" t="s">
        <v>1072</v>
      </c>
      <c r="L475" s="1" t="s">
        <v>26</v>
      </c>
      <c r="M475" s="1" t="s">
        <v>27</v>
      </c>
      <c r="N475" s="1" t="s">
        <v>26</v>
      </c>
      <c r="O475" s="1" t="s">
        <v>26</v>
      </c>
      <c r="P475" s="4">
        <v>45622.751388888886</v>
      </c>
    </row>
    <row r="476" hidden="1">
      <c r="A476" s="1" t="s">
        <v>21</v>
      </c>
      <c r="B476" s="3" t="str">
        <f>HYPERLINK("https://hawk-eye.atlassian.net/browse/HWKREPORT-3057?atlOrigin=eyJpIjoiYzgwYTQ0ZjEyNzQzNGJhN2JmNjEyZTM0NmRhZWZhNjIiLCJwIjoic2hlZXRzLWppcmEifQ","HWKREPORT-3057")</f>
        <v>HWKREPORT-3057</v>
      </c>
      <c r="C476" s="1" t="s">
        <v>1638</v>
      </c>
      <c r="D476" s="1" t="s">
        <v>23</v>
      </c>
      <c r="E476" s="1" t="s">
        <v>35</v>
      </c>
      <c r="F476" s="4">
        <v>45612.64555555556</v>
      </c>
      <c r="G476" s="3" t="str">
        <f>HYPERLINK("https://hawk-eye.atlassian.net/browse/BR-1776?atlOrigin=eyJpIjoiYzgwYTQ0ZjEyNzQzNGJhN2JmNjEyZTM0NmRhZWZhNjIiLCJwIjoic2hlZXRzLWppcmEifQ","BR-1776")</f>
        <v>BR-1776</v>
      </c>
      <c r="H476" s="1" t="s">
        <v>1058</v>
      </c>
      <c r="I476" s="1" t="s">
        <v>1107</v>
      </c>
      <c r="J476" s="1" t="s">
        <v>26</v>
      </c>
      <c r="K476" s="1" t="s">
        <v>1108</v>
      </c>
      <c r="L476" s="1" t="s">
        <v>26</v>
      </c>
      <c r="M476" s="1" t="s">
        <v>27</v>
      </c>
      <c r="N476" s="1" t="s">
        <v>26</v>
      </c>
      <c r="O476" s="1" t="s">
        <v>26</v>
      </c>
      <c r="P476" s="4">
        <v>45672.45229166667</v>
      </c>
    </row>
    <row r="477" hidden="1">
      <c r="A477" s="1" t="s">
        <v>21</v>
      </c>
      <c r="B477" s="3" t="str">
        <f>HYPERLINK("https://hawk-eye.atlassian.net/browse/HWKREPORT-3058?atlOrigin=eyJpIjoiYzgwYTQ0ZjEyNzQzNGJhN2JmNjEyZTM0NmRhZWZhNjIiLCJwIjoic2hlZXRzLWppcmEifQ","HWKREPORT-3058")</f>
        <v>HWKREPORT-3058</v>
      </c>
      <c r="C477" s="1" t="s">
        <v>1639</v>
      </c>
      <c r="D477" s="1" t="s">
        <v>48</v>
      </c>
      <c r="E477" s="1" t="s">
        <v>35</v>
      </c>
      <c r="F477" s="4">
        <v>45612.770104166666</v>
      </c>
      <c r="G477" s="3" t="str">
        <f>HYPERLINK("https://hawk-eye.atlassian.net/browse/?atlOrigin=eyJpIjoiYzgwYTQ0ZjEyNzQzNGJhN2JmNjEyZTM0NmRhZWZhNjIiLCJwIjoic2hlZXRzLWppcmEifQ","")</f>
        <v/>
      </c>
      <c r="H477" s="1" t="s">
        <v>1058</v>
      </c>
      <c r="I477" s="1" t="s">
        <v>1126</v>
      </c>
      <c r="J477" s="1" t="s">
        <v>26</v>
      </c>
      <c r="K477" s="1" t="s">
        <v>1211</v>
      </c>
      <c r="L477" s="1" t="s">
        <v>26</v>
      </c>
      <c r="M477" s="1" t="s">
        <v>27</v>
      </c>
      <c r="N477" s="1" t="s">
        <v>26</v>
      </c>
      <c r="O477" s="1" t="s">
        <v>26</v>
      </c>
      <c r="P477" s="4">
        <v>45677.49251157408</v>
      </c>
    </row>
    <row r="478" hidden="1">
      <c r="A478" s="1" t="s">
        <v>21</v>
      </c>
      <c r="B478" s="3" t="str">
        <f>HYPERLINK("https://hawk-eye.atlassian.net/browse/HWKREPORT-3059?atlOrigin=eyJpIjoiYzgwYTQ0ZjEyNzQzNGJhN2JmNjEyZTM0NmRhZWZhNjIiLCJwIjoic2hlZXRzLWppcmEifQ","HWKREPORT-3059")</f>
        <v>HWKREPORT-3059</v>
      </c>
      <c r="C478" s="1" t="s">
        <v>1640</v>
      </c>
      <c r="D478" s="1" t="s">
        <v>48</v>
      </c>
      <c r="E478" s="1" t="s">
        <v>1057</v>
      </c>
      <c r="F478" s="4">
        <v>45612.78340277778</v>
      </c>
      <c r="G478" s="3" t="str">
        <f>HYPERLINK("https://hawk-eye.atlassian.net/browse/TDP-2152?atlOrigin=eyJpIjoiYzgwYTQ0ZjEyNzQzNGJhN2JmNjEyZTM0NmRhZWZhNjIiLCJwIjoic2hlZXRzLWppcmEifQ","TDP-2152")</f>
        <v>TDP-2152</v>
      </c>
      <c r="H478" s="1" t="s">
        <v>1058</v>
      </c>
      <c r="I478" s="1" t="s">
        <v>1126</v>
      </c>
      <c r="J478" s="1" t="s">
        <v>26</v>
      </c>
      <c r="K478" s="1" t="s">
        <v>1211</v>
      </c>
      <c r="L478" s="1" t="s">
        <v>26</v>
      </c>
      <c r="M478" s="1" t="s">
        <v>27</v>
      </c>
      <c r="N478" s="1" t="s">
        <v>26</v>
      </c>
      <c r="O478" s="1" t="s">
        <v>26</v>
      </c>
      <c r="P478" s="4">
        <v>45612.78341435185</v>
      </c>
    </row>
    <row r="479" hidden="1">
      <c r="A479" s="1" t="s">
        <v>21</v>
      </c>
      <c r="B479" s="3" t="str">
        <f>HYPERLINK("https://hawk-eye.atlassian.net/browse/HWKREPORT-3060?atlOrigin=eyJpIjoiYzgwYTQ0ZjEyNzQzNGJhN2JmNjEyZTM0NmRhZWZhNjIiLCJwIjoic2hlZXRzLWppcmEifQ","HWKREPORT-3060")</f>
        <v>HWKREPORT-3060</v>
      </c>
      <c r="C479" s="1" t="s">
        <v>1641</v>
      </c>
      <c r="D479" s="1" t="s">
        <v>23</v>
      </c>
      <c r="E479" s="1" t="s">
        <v>1057</v>
      </c>
      <c r="F479" s="4">
        <v>45613.63182870371</v>
      </c>
      <c r="G479" s="3" t="str">
        <f>HYPERLINK("https://hawk-eye.atlassian.net/browse/?atlOrigin=eyJpIjoiYzgwYTQ0ZjEyNzQzNGJhN2JmNjEyZTM0NmRhZWZhNjIiLCJwIjoic2hlZXRzLWppcmEifQ","")</f>
        <v/>
      </c>
      <c r="H479" s="1" t="s">
        <v>1058</v>
      </c>
      <c r="I479" s="1" t="s">
        <v>1151</v>
      </c>
      <c r="J479" s="1" t="s">
        <v>26</v>
      </c>
      <c r="K479" s="1" t="s">
        <v>1355</v>
      </c>
      <c r="L479" s="1" t="s">
        <v>26</v>
      </c>
      <c r="M479" s="1" t="s">
        <v>27</v>
      </c>
      <c r="N479" s="1" t="s">
        <v>26</v>
      </c>
      <c r="O479" s="1" t="s">
        <v>26</v>
      </c>
      <c r="P479" s="4">
        <v>45613.631840277776</v>
      </c>
    </row>
    <row r="480" hidden="1">
      <c r="A480" s="1" t="s">
        <v>21</v>
      </c>
      <c r="B480" s="3" t="str">
        <f>HYPERLINK("https://hawk-eye.atlassian.net/browse/HWKREPORT-3061?atlOrigin=eyJpIjoiYzgwYTQ0ZjEyNzQzNGJhN2JmNjEyZTM0NmRhZWZhNjIiLCJwIjoic2hlZXRzLWppcmEifQ","HWKREPORT-3061")</f>
        <v>HWKREPORT-3061</v>
      </c>
      <c r="C480" s="1" t="s">
        <v>1642</v>
      </c>
      <c r="D480" s="1" t="s">
        <v>40</v>
      </c>
      <c r="E480" s="1" t="s">
        <v>35</v>
      </c>
      <c r="F480" s="4">
        <v>45613.80291666667</v>
      </c>
      <c r="G480" s="3" t="str">
        <f>HYPERLINK("https://hawk-eye.atlassian.net/browse/RTT-9507?atlOrigin=eyJpIjoiYzgwYTQ0ZjEyNzQzNGJhN2JmNjEyZTM0NmRhZWZhNjIiLCJwIjoic2hlZXRzLWppcmEifQ","RTT-9507")</f>
        <v>RTT-9507</v>
      </c>
      <c r="H480" s="1" t="s">
        <v>1058</v>
      </c>
      <c r="I480" s="1" t="s">
        <v>1085</v>
      </c>
      <c r="J480" s="1" t="s">
        <v>26</v>
      </c>
      <c r="K480" s="1" t="s">
        <v>1072</v>
      </c>
      <c r="L480" s="1" t="s">
        <v>26</v>
      </c>
      <c r="M480" s="1" t="s">
        <v>27</v>
      </c>
      <c r="N480" s="1" t="s">
        <v>26</v>
      </c>
      <c r="O480" s="1" t="s">
        <v>26</v>
      </c>
      <c r="P480" s="4">
        <v>45616.404965277776</v>
      </c>
    </row>
    <row r="481" hidden="1">
      <c r="A481" s="1" t="s">
        <v>21</v>
      </c>
      <c r="B481" s="3" t="str">
        <f>HYPERLINK("https://hawk-eye.atlassian.net/browse/HWKREPORT-3062?atlOrigin=eyJpIjoiYzgwYTQ0ZjEyNzQzNGJhN2JmNjEyZTM0NmRhZWZhNjIiLCJwIjoic2hlZXRzLWppcmEifQ","HWKREPORT-3062")</f>
        <v>HWKREPORT-3062</v>
      </c>
      <c r="C481" s="1" t="s">
        <v>1643</v>
      </c>
      <c r="D481" s="1" t="s">
        <v>40</v>
      </c>
      <c r="E481" s="1" t="s">
        <v>1057</v>
      </c>
      <c r="F481" s="4">
        <v>45614.70055555556</v>
      </c>
      <c r="G481" s="3" t="str">
        <f t="shared" ref="G481:G483" si="43">HYPERLINK("https://hawk-eye.atlassian.net/browse/?atlOrigin=eyJpIjoiYzgwYTQ0ZjEyNzQzNGJhN2JmNjEyZTM0NmRhZWZhNjIiLCJwIjoic2hlZXRzLWppcmEifQ","")</f>
        <v/>
      </c>
      <c r="H481" s="1" t="s">
        <v>1058</v>
      </c>
      <c r="I481" s="1" t="s">
        <v>1059</v>
      </c>
      <c r="J481" s="1" t="s">
        <v>26</v>
      </c>
      <c r="K481" s="1" t="s">
        <v>1060</v>
      </c>
      <c r="L481" s="1" t="s">
        <v>26</v>
      </c>
      <c r="M481" s="1" t="s">
        <v>27</v>
      </c>
      <c r="N481" s="1" t="s">
        <v>26</v>
      </c>
      <c r="O481" s="1" t="s">
        <v>26</v>
      </c>
      <c r="P481" s="4">
        <v>45614.700578703705</v>
      </c>
    </row>
    <row r="482" hidden="1">
      <c r="A482" s="1" t="s">
        <v>21</v>
      </c>
      <c r="B482" s="3" t="str">
        <f>HYPERLINK("https://hawk-eye.atlassian.net/browse/HWKREPORT-3063?atlOrigin=eyJpIjoiYzgwYTQ0ZjEyNzQzNGJhN2JmNjEyZTM0NmRhZWZhNjIiLCJwIjoic2hlZXRzLWppcmEifQ","HWKREPORT-3063")</f>
        <v>HWKREPORT-3063</v>
      </c>
      <c r="C482" s="1" t="s">
        <v>1644</v>
      </c>
      <c r="D482" s="1" t="s">
        <v>40</v>
      </c>
      <c r="E482" s="1" t="s">
        <v>1057</v>
      </c>
      <c r="F482" s="4">
        <v>45614.70547453704</v>
      </c>
      <c r="G482" s="3" t="str">
        <f t="shared" si="43"/>
        <v/>
      </c>
      <c r="H482" s="1" t="s">
        <v>1058</v>
      </c>
      <c r="I482" s="1" t="s">
        <v>1059</v>
      </c>
      <c r="J482" s="1" t="s">
        <v>26</v>
      </c>
      <c r="K482" s="1" t="s">
        <v>1060</v>
      </c>
      <c r="L482" s="1" t="s">
        <v>26</v>
      </c>
      <c r="M482" s="1" t="s">
        <v>27</v>
      </c>
      <c r="N482" s="1" t="s">
        <v>26</v>
      </c>
      <c r="O482" s="1" t="s">
        <v>26</v>
      </c>
      <c r="P482" s="4">
        <v>45614.70548611111</v>
      </c>
    </row>
    <row r="483" hidden="1">
      <c r="A483" s="1" t="s">
        <v>21</v>
      </c>
      <c r="B483" s="3" t="str">
        <f>HYPERLINK("https://hawk-eye.atlassian.net/browse/HWKREPORT-3064?atlOrigin=eyJpIjoiYzgwYTQ0ZjEyNzQzNGJhN2JmNjEyZTM0NmRhZWZhNjIiLCJwIjoic2hlZXRzLWppcmEifQ","HWKREPORT-3064")</f>
        <v>HWKREPORT-3064</v>
      </c>
      <c r="C483" s="1" t="s">
        <v>1645</v>
      </c>
      <c r="D483" s="1" t="s">
        <v>23</v>
      </c>
      <c r="E483" s="1" t="s">
        <v>35</v>
      </c>
      <c r="F483" s="4">
        <v>45614.71263888889</v>
      </c>
      <c r="G483" s="3" t="str">
        <f t="shared" si="43"/>
        <v/>
      </c>
      <c r="H483" s="1" t="s">
        <v>1058</v>
      </c>
      <c r="I483" s="1" t="s">
        <v>1059</v>
      </c>
      <c r="J483" s="1" t="s">
        <v>26</v>
      </c>
      <c r="K483" s="1" t="s">
        <v>1060</v>
      </c>
      <c r="L483" s="1" t="s">
        <v>26</v>
      </c>
      <c r="M483" s="1" t="s">
        <v>27</v>
      </c>
      <c r="N483" s="1" t="s">
        <v>26</v>
      </c>
      <c r="O483" s="1" t="s">
        <v>26</v>
      </c>
      <c r="P483" s="4">
        <v>45721.79673611111</v>
      </c>
    </row>
    <row r="484">
      <c r="A484" s="1" t="s">
        <v>21</v>
      </c>
      <c r="B484" s="3" t="str">
        <f>HYPERLINK("https://hawk-eye.atlassian.net/browse/HWKREPORT-3066?atlOrigin=eyJpIjoiYzgwYTQ0ZjEyNzQzNGJhN2JmNjEyZTM0NmRhZWZhNjIiLCJwIjoic2hlZXRzLWppcmEifQ","HWKREPORT-3066")</f>
        <v>HWKREPORT-3066</v>
      </c>
      <c r="C484" s="1" t="s">
        <v>1646</v>
      </c>
      <c r="D484" s="1" t="s">
        <v>48</v>
      </c>
      <c r="E484" s="1" t="s">
        <v>1057</v>
      </c>
      <c r="F484" s="4">
        <v>45615.77809027778</v>
      </c>
      <c r="G484" s="3" t="str">
        <f>HYPERLINK("https://hawk-eye.atlassian.net/browse/RTT-9570?atlOrigin=eyJpIjoiYzgwYTQ0ZjEyNzQzNGJhN2JmNjEyZTM0NmRhZWZhNjIiLCJwIjoic2hlZXRzLWppcmEifQ","RTT-9570")</f>
        <v>RTT-9570</v>
      </c>
      <c r="H484" s="1" t="s">
        <v>1058</v>
      </c>
      <c r="I484" s="1" t="s">
        <v>28</v>
      </c>
      <c r="J484" s="1" t="s">
        <v>26</v>
      </c>
      <c r="K484" s="1" t="s">
        <v>1072</v>
      </c>
      <c r="L484" s="1" t="s">
        <v>26</v>
      </c>
      <c r="M484" s="1" t="s">
        <v>27</v>
      </c>
      <c r="N484" s="1" t="s">
        <v>26</v>
      </c>
      <c r="O484" s="1" t="s">
        <v>26</v>
      </c>
      <c r="P484" s="4">
        <v>45615.77810185185</v>
      </c>
    </row>
    <row r="485" hidden="1">
      <c r="A485" s="1" t="s">
        <v>21</v>
      </c>
      <c r="B485" s="3" t="str">
        <f>HYPERLINK("https://hawk-eye.atlassian.net/browse/HWKREPORT-3067?atlOrigin=eyJpIjoiYzgwYTQ0ZjEyNzQzNGJhN2JmNjEyZTM0NmRhZWZhNjIiLCJwIjoic2hlZXRzLWppcmEifQ","HWKREPORT-3067")</f>
        <v>HWKREPORT-3067</v>
      </c>
      <c r="C485" s="1" t="s">
        <v>1647</v>
      </c>
      <c r="D485" s="1" t="s">
        <v>48</v>
      </c>
      <c r="E485" s="1" t="s">
        <v>1057</v>
      </c>
      <c r="F485" s="4">
        <v>45616.58293981481</v>
      </c>
      <c r="G485" s="3" t="str">
        <f t="shared" ref="G485:G486" si="44">HYPERLINK("https://hawk-eye.atlassian.net/browse/?atlOrigin=eyJpIjoiYzgwYTQ0ZjEyNzQzNGJhN2JmNjEyZTM0NmRhZWZhNjIiLCJwIjoic2hlZXRzLWppcmEifQ","")</f>
        <v/>
      </c>
      <c r="H485" s="1" t="s">
        <v>1058</v>
      </c>
      <c r="I485" s="1" t="s">
        <v>1085</v>
      </c>
      <c r="J485" s="1" t="s">
        <v>26</v>
      </c>
      <c r="K485" s="1" t="s">
        <v>1648</v>
      </c>
      <c r="L485" s="1" t="s">
        <v>26</v>
      </c>
      <c r="M485" s="1" t="s">
        <v>27</v>
      </c>
      <c r="N485" s="1" t="s">
        <v>26</v>
      </c>
      <c r="O485" s="1" t="s">
        <v>26</v>
      </c>
      <c r="P485" s="4">
        <v>45616.58295138889</v>
      </c>
    </row>
    <row r="486" hidden="1">
      <c r="A486" s="1" t="s">
        <v>21</v>
      </c>
      <c r="B486" s="3" t="str">
        <f>HYPERLINK("https://hawk-eye.atlassian.net/browse/HWKREPORT-3068?atlOrigin=eyJpIjoiYzgwYTQ0ZjEyNzQzNGJhN2JmNjEyZTM0NmRhZWZhNjIiLCJwIjoic2hlZXRzLWppcmEifQ","HWKREPORT-3068")</f>
        <v>HWKREPORT-3068</v>
      </c>
      <c r="C486" s="1" t="s">
        <v>1649</v>
      </c>
      <c r="D486" s="1" t="s">
        <v>23</v>
      </c>
      <c r="E486" s="1" t="s">
        <v>1057</v>
      </c>
      <c r="F486" s="4">
        <v>45616.58546296296</v>
      </c>
      <c r="G486" s="3" t="str">
        <f t="shared" si="44"/>
        <v/>
      </c>
      <c r="H486" s="1" t="s">
        <v>1058</v>
      </c>
      <c r="I486" s="1" t="s">
        <v>1085</v>
      </c>
      <c r="J486" s="1" t="s">
        <v>26</v>
      </c>
      <c r="K486" s="1" t="s">
        <v>1648</v>
      </c>
      <c r="L486" s="1" t="s">
        <v>26</v>
      </c>
      <c r="M486" s="1" t="s">
        <v>27</v>
      </c>
      <c r="N486" s="1" t="s">
        <v>26</v>
      </c>
      <c r="O486" s="1" t="s">
        <v>26</v>
      </c>
      <c r="P486" s="4">
        <v>45616.58547453704</v>
      </c>
    </row>
    <row r="487" hidden="1">
      <c r="A487" s="1" t="s">
        <v>21</v>
      </c>
      <c r="B487" s="3" t="str">
        <f>HYPERLINK("https://hawk-eye.atlassian.net/browse/HWKREPORT-3069?atlOrigin=eyJpIjoiYzgwYTQ0ZjEyNzQzNGJhN2JmNjEyZTM0NmRhZWZhNjIiLCJwIjoic2hlZXRzLWppcmEifQ","HWKREPORT-3069")</f>
        <v>HWKREPORT-3069</v>
      </c>
      <c r="C487" s="1" t="s">
        <v>1650</v>
      </c>
      <c r="D487" s="1" t="s">
        <v>34</v>
      </c>
      <c r="E487" s="1" t="s">
        <v>35</v>
      </c>
      <c r="F487" s="4">
        <v>45616.71068287037</v>
      </c>
      <c r="G487" s="3" t="str">
        <f>HYPERLINK("https://hawk-eye.atlassian.net/browse/RTT-9575?atlOrigin=eyJpIjoiYzgwYTQ0ZjEyNzQzNGJhN2JmNjEyZTM0NmRhZWZhNjIiLCJwIjoic2hlZXRzLWppcmEifQ","RTT-9575")</f>
        <v>RTT-9575</v>
      </c>
      <c r="H487" s="1" t="s">
        <v>1058</v>
      </c>
      <c r="I487" s="1" t="s">
        <v>1071</v>
      </c>
      <c r="J487" s="1" t="s">
        <v>26</v>
      </c>
      <c r="K487" s="1" t="s">
        <v>1095</v>
      </c>
      <c r="L487" s="1" t="s">
        <v>26</v>
      </c>
      <c r="M487" s="1" t="s">
        <v>27</v>
      </c>
      <c r="N487" s="1" t="s">
        <v>26</v>
      </c>
      <c r="O487" s="1" t="s">
        <v>26</v>
      </c>
      <c r="P487" s="4">
        <v>45713.54857638889</v>
      </c>
    </row>
    <row r="488" hidden="1">
      <c r="A488" s="1" t="s">
        <v>21</v>
      </c>
      <c r="B488" s="3" t="str">
        <f>HYPERLINK("https://hawk-eye.atlassian.net/browse/HWKREPORT-3070?atlOrigin=eyJpIjoiYzgwYTQ0ZjEyNzQzNGJhN2JmNjEyZTM0NmRhZWZhNjIiLCJwIjoic2hlZXRzLWppcmEifQ","HWKREPORT-3070")</f>
        <v>HWKREPORT-3070</v>
      </c>
      <c r="C488" s="1" t="s">
        <v>1651</v>
      </c>
      <c r="D488" s="1" t="s">
        <v>23</v>
      </c>
      <c r="E488" s="1" t="s">
        <v>1207</v>
      </c>
      <c r="F488" s="4">
        <v>45617.57848379629</v>
      </c>
      <c r="G488" s="3" t="str">
        <f>HYPERLINK("https://hawk-eye.atlassian.net/browse/TDP-2245?atlOrigin=eyJpIjoiYzgwYTQ0ZjEyNzQzNGJhN2JmNjEyZTM0NmRhZWZhNjIiLCJwIjoic2hlZXRzLWppcmEifQ","TDP-2245")</f>
        <v>TDP-2245</v>
      </c>
      <c r="H488" s="1" t="s">
        <v>1058</v>
      </c>
      <c r="I488" s="1" t="s">
        <v>1126</v>
      </c>
      <c r="J488" s="1" t="s">
        <v>26</v>
      </c>
      <c r="K488" s="1" t="s">
        <v>1211</v>
      </c>
      <c r="L488" s="1" t="s">
        <v>26</v>
      </c>
      <c r="M488" s="1" t="s">
        <v>27</v>
      </c>
      <c r="N488" s="1" t="s">
        <v>26</v>
      </c>
      <c r="O488" s="1" t="s">
        <v>26</v>
      </c>
      <c r="P488" s="4">
        <v>45734.425844907404</v>
      </c>
    </row>
    <row r="489" hidden="1">
      <c r="A489" s="1" t="s">
        <v>21</v>
      </c>
      <c r="B489" s="3" t="str">
        <f>HYPERLINK("https://hawk-eye.atlassian.net/browse/HWKREPORT-3071?atlOrigin=eyJpIjoiYzgwYTQ0ZjEyNzQzNGJhN2JmNjEyZTM0NmRhZWZhNjIiLCJwIjoic2hlZXRzLWppcmEifQ","HWKREPORT-3071")</f>
        <v>HWKREPORT-3071</v>
      </c>
      <c r="C489" s="1" t="s">
        <v>1652</v>
      </c>
      <c r="D489" s="1" t="s">
        <v>23</v>
      </c>
      <c r="E489" s="1" t="s">
        <v>1057</v>
      </c>
      <c r="F489" s="4">
        <v>45617.92994212963</v>
      </c>
      <c r="G489" s="3" t="str">
        <f>HYPERLINK("https://hawk-eye.atlassian.net/browse/?atlOrigin=eyJpIjoiYzgwYTQ0ZjEyNzQzNGJhN2JmNjEyZTM0NmRhZWZhNjIiLCJwIjoic2hlZXRzLWppcmEifQ","")</f>
        <v/>
      </c>
      <c r="H489" s="1" t="s">
        <v>1058</v>
      </c>
      <c r="I489" s="1" t="s">
        <v>1107</v>
      </c>
      <c r="J489" s="1" t="s">
        <v>26</v>
      </c>
      <c r="K489" s="1" t="s">
        <v>1108</v>
      </c>
      <c r="L489" s="1" t="s">
        <v>26</v>
      </c>
      <c r="M489" s="1" t="s">
        <v>27</v>
      </c>
      <c r="N489" s="1" t="s">
        <v>26</v>
      </c>
      <c r="O489" s="1" t="s">
        <v>26</v>
      </c>
      <c r="P489" s="4">
        <v>45617.9299537037</v>
      </c>
    </row>
    <row r="490" hidden="1">
      <c r="A490" s="1" t="s">
        <v>21</v>
      </c>
      <c r="B490" s="3" t="str">
        <f>HYPERLINK("https://hawk-eye.atlassian.net/browse/HWKREPORT-3072?atlOrigin=eyJpIjoiYzgwYTQ0ZjEyNzQzNGJhN2JmNjEyZTM0NmRhZWZhNjIiLCJwIjoic2hlZXRzLWppcmEifQ","HWKREPORT-3072")</f>
        <v>HWKREPORT-3072</v>
      </c>
      <c r="C490" s="1" t="s">
        <v>1653</v>
      </c>
      <c r="D490" s="1" t="s">
        <v>34</v>
      </c>
      <c r="E490" s="1" t="s">
        <v>35</v>
      </c>
      <c r="F490" s="4">
        <v>45619.74778935185</v>
      </c>
      <c r="G490" s="3" t="str">
        <f>HYPERLINK("https://hawk-eye.atlassian.net/browse/BR-1870?atlOrigin=eyJpIjoiYzgwYTQ0ZjEyNzQzNGJhN2JmNjEyZTM0NmRhZWZhNjIiLCJwIjoic2hlZXRzLWppcmEifQ","BR-1870")</f>
        <v>BR-1870</v>
      </c>
      <c r="H490" s="1" t="s">
        <v>1058</v>
      </c>
      <c r="I490" s="1" t="s">
        <v>1107</v>
      </c>
      <c r="J490" s="1" t="s">
        <v>26</v>
      </c>
      <c r="K490" s="1" t="s">
        <v>1108</v>
      </c>
      <c r="L490" s="1" t="s">
        <v>26</v>
      </c>
      <c r="M490" s="1" t="s">
        <v>27</v>
      </c>
      <c r="N490" s="1" t="s">
        <v>26</v>
      </c>
      <c r="O490" s="1" t="s">
        <v>26</v>
      </c>
      <c r="P490" s="4">
        <v>45679.62168981481</v>
      </c>
    </row>
    <row r="491" hidden="1">
      <c r="A491" s="1" t="s">
        <v>1055</v>
      </c>
      <c r="B491" s="3" t="str">
        <f>HYPERLINK("https://hawk-eye.atlassian.net/browse/HWKREPORT-3073?atlOrigin=eyJpIjoiYzgwYTQ0ZjEyNzQzNGJhN2JmNjEyZTM0NmRhZWZhNjIiLCJwIjoic2hlZXRzLWppcmEifQ","HWKREPORT-3073")</f>
        <v>HWKREPORT-3073</v>
      </c>
      <c r="C491" s="1" t="s">
        <v>1654</v>
      </c>
      <c r="D491" s="1" t="s">
        <v>48</v>
      </c>
      <c r="E491" s="1" t="s">
        <v>1074</v>
      </c>
      <c r="F491" s="4">
        <v>45619.753530092596</v>
      </c>
      <c r="G491" s="3" t="str">
        <f>HYPERLINK("https://hawk-eye.atlassian.net/browse/BR-1853?atlOrigin=eyJpIjoiYzgwYTQ0ZjEyNzQzNGJhN2JmNjEyZTM0NmRhZWZhNjIiLCJwIjoic2hlZXRzLWppcmEifQ","BR-1853")</f>
        <v>BR-1853</v>
      </c>
      <c r="H491" s="1" t="s">
        <v>1058</v>
      </c>
      <c r="I491" s="1" t="s">
        <v>1107</v>
      </c>
      <c r="J491" s="1" t="s">
        <v>26</v>
      </c>
      <c r="K491" s="1" t="s">
        <v>1108</v>
      </c>
      <c r="L491" s="1" t="s">
        <v>26</v>
      </c>
      <c r="M491" s="1" t="s">
        <v>27</v>
      </c>
      <c r="N491" s="1" t="s">
        <v>26</v>
      </c>
      <c r="O491" s="1" t="s">
        <v>26</v>
      </c>
      <c r="P491" s="4">
        <v>45674.43185185185</v>
      </c>
    </row>
    <row r="492" hidden="1">
      <c r="A492" s="1" t="s">
        <v>1055</v>
      </c>
      <c r="B492" s="3" t="str">
        <f>HYPERLINK("https://hawk-eye.atlassian.net/browse/HWKREPORT-3074?atlOrigin=eyJpIjoiYzgwYTQ0ZjEyNzQzNGJhN2JmNjEyZTM0NmRhZWZhNjIiLCJwIjoic2hlZXRzLWppcmEifQ","HWKREPORT-3074")</f>
        <v>HWKREPORT-3074</v>
      </c>
      <c r="C492" s="1" t="s">
        <v>1655</v>
      </c>
      <c r="D492" s="1" t="s">
        <v>48</v>
      </c>
      <c r="E492" s="1" t="s">
        <v>1057</v>
      </c>
      <c r="F492" s="4">
        <v>45619.76168981481</v>
      </c>
      <c r="G492" s="3" t="str">
        <f t="shared" ref="G492:G493" si="45">HYPERLINK("https://hawk-eye.atlassian.net/browse/?atlOrigin=eyJpIjoiYzgwYTQ0ZjEyNzQzNGJhN2JmNjEyZTM0NmRhZWZhNjIiLCJwIjoic2hlZXRzLWppcmEifQ","")</f>
        <v/>
      </c>
      <c r="H492" s="1" t="s">
        <v>1058</v>
      </c>
      <c r="I492" s="1" t="s">
        <v>1087</v>
      </c>
      <c r="J492" s="1" t="s">
        <v>26</v>
      </c>
      <c r="K492" s="1" t="s">
        <v>1108</v>
      </c>
      <c r="L492" s="1" t="s">
        <v>26</v>
      </c>
      <c r="M492" s="1" t="s">
        <v>27</v>
      </c>
      <c r="N492" s="1" t="s">
        <v>26</v>
      </c>
      <c r="O492" s="1" t="s">
        <v>26</v>
      </c>
      <c r="P492" s="4">
        <v>45619.76170138889</v>
      </c>
    </row>
    <row r="493" hidden="1">
      <c r="A493" s="1" t="s">
        <v>21</v>
      </c>
      <c r="B493" s="3" t="str">
        <f>HYPERLINK("https://hawk-eye.atlassian.net/browse/HWKREPORT-3075?atlOrigin=eyJpIjoiYzgwYTQ0ZjEyNzQzNGJhN2JmNjEyZTM0NmRhZWZhNjIiLCJwIjoic2hlZXRzLWppcmEifQ","HWKREPORT-3075")</f>
        <v>HWKREPORT-3075</v>
      </c>
      <c r="C493" s="1" t="s">
        <v>1656</v>
      </c>
      <c r="D493" s="1" t="s">
        <v>83</v>
      </c>
      <c r="E493" s="1" t="s">
        <v>35</v>
      </c>
      <c r="F493" s="4">
        <v>45619.779594907406</v>
      </c>
      <c r="G493" s="3" t="str">
        <f t="shared" si="45"/>
        <v/>
      </c>
      <c r="H493" s="1" t="s">
        <v>1058</v>
      </c>
      <c r="I493" s="1" t="s">
        <v>1107</v>
      </c>
      <c r="J493" s="1" t="s">
        <v>26</v>
      </c>
      <c r="K493" s="1" t="s">
        <v>1108</v>
      </c>
      <c r="L493" s="1" t="s">
        <v>26</v>
      </c>
      <c r="M493" s="1" t="s">
        <v>27</v>
      </c>
      <c r="N493" s="1" t="s">
        <v>26</v>
      </c>
      <c r="O493" s="1" t="s">
        <v>26</v>
      </c>
      <c r="P493" s="4">
        <v>45674.429375</v>
      </c>
    </row>
    <row r="494" hidden="1">
      <c r="A494" s="1" t="s">
        <v>21</v>
      </c>
      <c r="B494" s="3" t="str">
        <f>HYPERLINK("https://hawk-eye.atlassian.net/browse/HWKREPORT-3076?atlOrigin=eyJpIjoiYzgwYTQ0ZjEyNzQzNGJhN2JmNjEyZTM0NmRhZWZhNjIiLCJwIjoic2hlZXRzLWppcmEifQ","HWKREPORT-3076")</f>
        <v>HWKREPORT-3076</v>
      </c>
      <c r="C494" s="1" t="s">
        <v>1657</v>
      </c>
      <c r="D494" s="1" t="s">
        <v>40</v>
      </c>
      <c r="E494" s="1" t="s">
        <v>35</v>
      </c>
      <c r="F494" s="4">
        <v>45620.60923611111</v>
      </c>
      <c r="G494" s="3" t="str">
        <f>HYPERLINK("https://hawk-eye.atlassian.net/browse/SO-2062?atlOrigin=eyJpIjoiYzgwYTQ0ZjEyNzQzNGJhN2JmNjEyZTM0NmRhZWZhNjIiLCJwIjoic2hlZXRzLWppcmEifQ","SO-2062")</f>
        <v>SO-2062</v>
      </c>
      <c r="H494" s="1" t="s">
        <v>1058</v>
      </c>
      <c r="I494" s="1" t="s">
        <v>1151</v>
      </c>
      <c r="J494" s="1" t="s">
        <v>26</v>
      </c>
      <c r="K494" s="1" t="s">
        <v>1116</v>
      </c>
      <c r="L494" s="1" t="s">
        <v>26</v>
      </c>
      <c r="M494" s="1" t="s">
        <v>27</v>
      </c>
      <c r="N494" s="1" t="s">
        <v>26</v>
      </c>
      <c r="O494" s="1" t="s">
        <v>26</v>
      </c>
      <c r="P494" s="4">
        <v>45659.545439814814</v>
      </c>
    </row>
    <row r="495" hidden="1">
      <c r="A495" s="1" t="s">
        <v>21</v>
      </c>
      <c r="B495" s="3" t="str">
        <f>HYPERLINK("https://hawk-eye.atlassian.net/browse/HWKREPORT-3077?atlOrigin=eyJpIjoiYzgwYTQ0ZjEyNzQzNGJhN2JmNjEyZTM0NmRhZWZhNjIiLCJwIjoic2hlZXRzLWppcmEifQ","HWKREPORT-3077")</f>
        <v>HWKREPORT-3077</v>
      </c>
      <c r="C495" s="1" t="s">
        <v>1658</v>
      </c>
      <c r="D495" s="1" t="s">
        <v>48</v>
      </c>
      <c r="E495" s="1" t="s">
        <v>1057</v>
      </c>
      <c r="F495" s="4">
        <v>45621.399050925924</v>
      </c>
      <c r="G495" s="3" t="str">
        <f t="shared" ref="G495:G499" si="46">HYPERLINK("https://hawk-eye.atlassian.net/browse/?atlOrigin=eyJpIjoiYzgwYTQ0ZjEyNzQzNGJhN2JmNjEyZTM0NmRhZWZhNjIiLCJwIjoic2hlZXRzLWppcmEifQ","")</f>
        <v/>
      </c>
      <c r="H495" s="1" t="s">
        <v>1058</v>
      </c>
      <c r="I495" s="1" t="s">
        <v>1085</v>
      </c>
      <c r="J495" s="1" t="s">
        <v>26</v>
      </c>
      <c r="K495" s="1" t="s">
        <v>1134</v>
      </c>
      <c r="L495" s="1" t="s">
        <v>26</v>
      </c>
      <c r="M495" s="1" t="s">
        <v>27</v>
      </c>
      <c r="N495" s="1" t="s">
        <v>26</v>
      </c>
      <c r="O495" s="1" t="s">
        <v>26</v>
      </c>
      <c r="P495" s="4">
        <v>45621.3990625</v>
      </c>
    </row>
    <row r="496" hidden="1">
      <c r="A496" s="1" t="s">
        <v>1055</v>
      </c>
      <c r="B496" s="3" t="str">
        <f>HYPERLINK("https://hawk-eye.atlassian.net/browse/HWKREPORT-3078?atlOrigin=eyJpIjoiYzgwYTQ0ZjEyNzQzNGJhN2JmNjEyZTM0NmRhZWZhNjIiLCJwIjoic2hlZXRzLWppcmEifQ","HWKREPORT-3078")</f>
        <v>HWKREPORT-3078</v>
      </c>
      <c r="C496" s="1" t="s">
        <v>1659</v>
      </c>
      <c r="D496" s="1" t="s">
        <v>34</v>
      </c>
      <c r="E496" s="1" t="s">
        <v>35</v>
      </c>
      <c r="F496" s="4">
        <v>45621.579305555555</v>
      </c>
      <c r="G496" s="3" t="str">
        <f t="shared" si="46"/>
        <v/>
      </c>
      <c r="H496" s="1" t="s">
        <v>1058</v>
      </c>
      <c r="I496" s="1" t="s">
        <v>1071</v>
      </c>
      <c r="J496" s="1" t="s">
        <v>26</v>
      </c>
      <c r="K496" s="1" t="s">
        <v>1130</v>
      </c>
      <c r="L496" s="1" t="s">
        <v>26</v>
      </c>
      <c r="M496" s="1" t="s">
        <v>27</v>
      </c>
      <c r="N496" s="1" t="s">
        <v>26</v>
      </c>
      <c r="O496" s="1" t="s">
        <v>26</v>
      </c>
      <c r="P496" s="4">
        <v>45737.51725694445</v>
      </c>
    </row>
    <row r="497" hidden="1">
      <c r="A497" s="1" t="s">
        <v>1055</v>
      </c>
      <c r="B497" s="3" t="str">
        <f>HYPERLINK("https://hawk-eye.atlassian.net/browse/HWKREPORT-3079?atlOrigin=eyJpIjoiYzgwYTQ0ZjEyNzQzNGJhN2JmNjEyZTM0NmRhZWZhNjIiLCJwIjoic2hlZXRzLWppcmEifQ","HWKREPORT-3079")</f>
        <v>HWKREPORT-3079</v>
      </c>
      <c r="C497" s="1" t="s">
        <v>1660</v>
      </c>
      <c r="D497" s="1" t="s">
        <v>48</v>
      </c>
      <c r="E497" s="1" t="s">
        <v>1057</v>
      </c>
      <c r="F497" s="4">
        <v>45621.57971064815</v>
      </c>
      <c r="G497" s="3" t="str">
        <f t="shared" si="46"/>
        <v/>
      </c>
      <c r="H497" s="1" t="s">
        <v>1058</v>
      </c>
      <c r="I497" s="1" t="s">
        <v>28</v>
      </c>
      <c r="J497" s="1" t="s">
        <v>26</v>
      </c>
      <c r="K497" s="1" t="s">
        <v>1099</v>
      </c>
      <c r="L497" s="1" t="s">
        <v>26</v>
      </c>
      <c r="M497" s="1" t="s">
        <v>27</v>
      </c>
      <c r="N497" s="1" t="s">
        <v>26</v>
      </c>
      <c r="O497" s="1" t="s">
        <v>26</v>
      </c>
      <c r="P497" s="4">
        <v>45621.57971064815</v>
      </c>
    </row>
    <row r="498" hidden="1">
      <c r="A498" s="1" t="s">
        <v>1055</v>
      </c>
      <c r="B498" s="3" t="str">
        <f>HYPERLINK("https://hawk-eye.atlassian.net/browse/HWKREPORT-3080?atlOrigin=eyJpIjoiYzgwYTQ0ZjEyNzQzNGJhN2JmNjEyZTM0NmRhZWZhNjIiLCJwIjoic2hlZXRzLWppcmEifQ","HWKREPORT-3080")</f>
        <v>HWKREPORT-3080</v>
      </c>
      <c r="C498" s="1" t="s">
        <v>1661</v>
      </c>
      <c r="D498" s="1" t="s">
        <v>83</v>
      </c>
      <c r="E498" s="1" t="s">
        <v>1057</v>
      </c>
      <c r="F498" s="4">
        <v>45621.6172337963</v>
      </c>
      <c r="G498" s="3" t="str">
        <f t="shared" si="46"/>
        <v/>
      </c>
      <c r="H498" s="1" t="s">
        <v>1058</v>
      </c>
      <c r="I498" s="1" t="s">
        <v>1071</v>
      </c>
      <c r="J498" s="1" t="s">
        <v>26</v>
      </c>
      <c r="K498" s="1" t="s">
        <v>1072</v>
      </c>
      <c r="L498" s="1" t="s">
        <v>26</v>
      </c>
      <c r="M498" s="1" t="s">
        <v>27</v>
      </c>
      <c r="N498" s="1" t="s">
        <v>26</v>
      </c>
      <c r="O498" s="1" t="s">
        <v>26</v>
      </c>
      <c r="P498" s="4">
        <v>45621.61724537037</v>
      </c>
    </row>
    <row r="499" hidden="1">
      <c r="A499" s="1" t="s">
        <v>1055</v>
      </c>
      <c r="B499" s="3" t="str">
        <f>HYPERLINK("https://hawk-eye.atlassian.net/browse/HWKREPORT-3081?atlOrigin=eyJpIjoiYzgwYTQ0ZjEyNzQzNGJhN2JmNjEyZTM0NmRhZWZhNjIiLCJwIjoic2hlZXRzLWppcmEifQ","HWKREPORT-3081")</f>
        <v>HWKREPORT-3081</v>
      </c>
      <c r="C499" s="1" t="s">
        <v>1662</v>
      </c>
      <c r="D499" s="1" t="s">
        <v>48</v>
      </c>
      <c r="E499" s="1" t="s">
        <v>1057</v>
      </c>
      <c r="F499" s="4">
        <v>45621.79503472222</v>
      </c>
      <c r="G499" s="3" t="str">
        <f t="shared" si="46"/>
        <v/>
      </c>
      <c r="H499" s="1" t="s">
        <v>1058</v>
      </c>
      <c r="I499" s="1" t="s">
        <v>28</v>
      </c>
      <c r="J499" s="1" t="s">
        <v>26</v>
      </c>
      <c r="K499" s="1" t="s">
        <v>1072</v>
      </c>
      <c r="L499" s="1" t="s">
        <v>26</v>
      </c>
      <c r="M499" s="1" t="s">
        <v>27</v>
      </c>
      <c r="N499" s="1" t="s">
        <v>26</v>
      </c>
      <c r="O499" s="1" t="s">
        <v>26</v>
      </c>
      <c r="P499" s="4">
        <v>45621.79503472222</v>
      </c>
    </row>
    <row r="500">
      <c r="A500" s="1" t="s">
        <v>21</v>
      </c>
      <c r="B500" s="3" t="str">
        <f>HYPERLINK("https://hawk-eye.atlassian.net/browse/HWKREPORT-3082?atlOrigin=eyJpIjoiYzgwYTQ0ZjEyNzQzNGJhN2JmNjEyZTM0NmRhZWZhNjIiLCJwIjoic2hlZXRzLWppcmEifQ","HWKREPORT-3082")</f>
        <v>HWKREPORT-3082</v>
      </c>
      <c r="C500" s="1" t="s">
        <v>1663</v>
      </c>
      <c r="D500" s="1" t="s">
        <v>34</v>
      </c>
      <c r="E500" s="1" t="s">
        <v>35</v>
      </c>
      <c r="F500" s="4">
        <v>45621.82619212963</v>
      </c>
      <c r="G500" s="3" t="str">
        <f>HYPERLINK("https://hawk-eye.atlassian.net/browse/RTT-9589?atlOrigin=eyJpIjoiYzgwYTQ0ZjEyNzQzNGJhN2JmNjEyZTM0NmRhZWZhNjIiLCJwIjoic2hlZXRzLWppcmEifQ","RTT-9589")</f>
        <v>RTT-9589</v>
      </c>
      <c r="H500" s="1" t="s">
        <v>1058</v>
      </c>
      <c r="I500" s="1" t="s">
        <v>28</v>
      </c>
      <c r="J500" s="1" t="s">
        <v>26</v>
      </c>
      <c r="K500" s="1" t="s">
        <v>1072</v>
      </c>
      <c r="L500" s="1" t="s">
        <v>26</v>
      </c>
      <c r="M500" s="1" t="s">
        <v>27</v>
      </c>
      <c r="N500" s="1" t="s">
        <v>26</v>
      </c>
      <c r="O500" s="1" t="s">
        <v>26</v>
      </c>
      <c r="P500" s="4">
        <v>45699.70349537037</v>
      </c>
    </row>
    <row r="501">
      <c r="A501" s="1" t="s">
        <v>21</v>
      </c>
      <c r="B501" s="3" t="str">
        <f>HYPERLINK("https://hawk-eye.atlassian.net/browse/HWKREPORT-3083?atlOrigin=eyJpIjoiYzgwYTQ0ZjEyNzQzNGJhN2JmNjEyZTM0NmRhZWZhNjIiLCJwIjoic2hlZXRzLWppcmEifQ","HWKREPORT-3083")</f>
        <v>HWKREPORT-3083</v>
      </c>
      <c r="C501" s="1" t="s">
        <v>1664</v>
      </c>
      <c r="D501" s="1" t="s">
        <v>23</v>
      </c>
      <c r="E501" s="1" t="s">
        <v>1057</v>
      </c>
      <c r="F501" s="4">
        <v>45621.93550925926</v>
      </c>
      <c r="G501" s="3" t="str">
        <f>HYPERLINK("https://hawk-eye.atlassian.net/browse/RTT-9590?atlOrigin=eyJpIjoiYzgwYTQ0ZjEyNzQzNGJhN2JmNjEyZTM0NmRhZWZhNjIiLCJwIjoic2hlZXRzLWppcmEifQ","RTT-9590")</f>
        <v>RTT-9590</v>
      </c>
      <c r="H501" s="1" t="s">
        <v>1058</v>
      </c>
      <c r="I501" s="1" t="s">
        <v>28</v>
      </c>
      <c r="J501" s="1" t="s">
        <v>26</v>
      </c>
      <c r="K501" s="1" t="s">
        <v>1072</v>
      </c>
      <c r="L501" s="1" t="s">
        <v>26</v>
      </c>
      <c r="M501" s="1" t="s">
        <v>27</v>
      </c>
      <c r="N501" s="1" t="s">
        <v>26</v>
      </c>
      <c r="O501" s="1" t="s">
        <v>26</v>
      </c>
      <c r="P501" s="4">
        <v>45621.935520833336</v>
      </c>
    </row>
    <row r="502" hidden="1">
      <c r="A502" s="1" t="s">
        <v>21</v>
      </c>
      <c r="B502" s="3" t="str">
        <f>HYPERLINK("https://hawk-eye.atlassian.net/browse/HWKREPORT-2882?atlOrigin=eyJpIjoiYzgwYTQ0ZjEyNzQzNGJhN2JmNjEyZTM0NmRhZWZhNjIiLCJwIjoic2hlZXRzLWppcmEifQ","HWKREPORT-2882")</f>
        <v>HWKREPORT-2882</v>
      </c>
      <c r="C502" s="1" t="s">
        <v>1665</v>
      </c>
      <c r="D502" s="1" t="s">
        <v>23</v>
      </c>
      <c r="E502" s="1" t="s">
        <v>35</v>
      </c>
      <c r="F502" s="4">
        <v>45530.693078703705</v>
      </c>
      <c r="G502" s="3" t="str">
        <f>HYPERLINK("https://hawk-eye.atlassian.net/browse/RTT-9048?atlOrigin=eyJpIjoiYzgwYTQ0ZjEyNzQzNGJhN2JmNjEyZTM0NmRhZWZhNjIiLCJwIjoic2hlZXRzLWppcmEifQ","RTT-9048")</f>
        <v>RTT-9048</v>
      </c>
      <c r="H502" s="1" t="s">
        <v>1058</v>
      </c>
      <c r="I502" s="1" t="s">
        <v>1071</v>
      </c>
      <c r="J502" s="1" t="s">
        <v>26</v>
      </c>
      <c r="K502" s="1" t="s">
        <v>1072</v>
      </c>
      <c r="L502" s="1" t="s">
        <v>26</v>
      </c>
      <c r="M502" s="1" t="s">
        <v>27</v>
      </c>
      <c r="N502" s="1" t="s">
        <v>26</v>
      </c>
      <c r="O502" s="1" t="s">
        <v>26</v>
      </c>
      <c r="P502" s="4">
        <v>45532.745405092595</v>
      </c>
    </row>
    <row r="503" hidden="1">
      <c r="A503" s="1" t="s">
        <v>21</v>
      </c>
      <c r="B503" s="3" t="str">
        <f>HYPERLINK("https://hawk-eye.atlassian.net/browse/HWKREPORT-2883?atlOrigin=eyJpIjoiYzgwYTQ0ZjEyNzQzNGJhN2JmNjEyZTM0NmRhZWZhNjIiLCJwIjoic2hlZXRzLWppcmEifQ","HWKREPORT-2883")</f>
        <v>HWKREPORT-2883</v>
      </c>
      <c r="C503" s="1" t="s">
        <v>1666</v>
      </c>
      <c r="D503" s="1" t="s">
        <v>23</v>
      </c>
      <c r="E503" s="1" t="s">
        <v>35</v>
      </c>
      <c r="F503" s="4">
        <v>45530.700208333335</v>
      </c>
      <c r="G503" s="3" t="str">
        <f>HYPERLINK("https://hawk-eye.atlassian.net/browse/RTT-9080?atlOrigin=eyJpIjoiYzgwYTQ0ZjEyNzQzNGJhN2JmNjEyZTM0NmRhZWZhNjIiLCJwIjoic2hlZXRzLWppcmEifQ","RTT-9080")</f>
        <v>RTT-9080</v>
      </c>
      <c r="H503" s="1" t="s">
        <v>1058</v>
      </c>
      <c r="I503" s="1" t="s">
        <v>1071</v>
      </c>
      <c r="J503" s="1" t="s">
        <v>26</v>
      </c>
      <c r="K503" s="1" t="s">
        <v>1072</v>
      </c>
      <c r="L503" s="1" t="s">
        <v>26</v>
      </c>
      <c r="M503" s="1" t="s">
        <v>27</v>
      </c>
      <c r="N503" s="1" t="s">
        <v>26</v>
      </c>
      <c r="O503" s="1" t="s">
        <v>26</v>
      </c>
      <c r="P503" s="4">
        <v>45670.61140046296</v>
      </c>
    </row>
    <row r="504" hidden="1">
      <c r="A504" s="1" t="s">
        <v>21</v>
      </c>
      <c r="B504" s="3" t="str">
        <f>HYPERLINK("https://hawk-eye.atlassian.net/browse/HWKREPORT-2884?atlOrigin=eyJpIjoiYzgwYTQ0ZjEyNzQzNGJhN2JmNjEyZTM0NmRhZWZhNjIiLCJwIjoic2hlZXRzLWppcmEifQ","HWKREPORT-2884")</f>
        <v>HWKREPORT-2884</v>
      </c>
      <c r="C504" s="1" t="s">
        <v>1667</v>
      </c>
      <c r="D504" s="1" t="s">
        <v>34</v>
      </c>
      <c r="E504" s="1" t="s">
        <v>1207</v>
      </c>
      <c r="F504" s="4">
        <v>45530.70481481482</v>
      </c>
      <c r="G504" s="3" t="str">
        <f>HYPERLINK("https://hawk-eye.atlassian.net/browse/RTT-9081?atlOrigin=eyJpIjoiYzgwYTQ0ZjEyNzQzNGJhN2JmNjEyZTM0NmRhZWZhNjIiLCJwIjoic2hlZXRzLWppcmEifQ","RTT-9081")</f>
        <v>RTT-9081</v>
      </c>
      <c r="H504" s="1" t="s">
        <v>1058</v>
      </c>
      <c r="I504" s="1" t="s">
        <v>1071</v>
      </c>
      <c r="J504" s="1" t="s">
        <v>26</v>
      </c>
      <c r="K504" s="1" t="s">
        <v>1072</v>
      </c>
      <c r="L504" s="1" t="s">
        <v>26</v>
      </c>
      <c r="M504" s="1" t="s">
        <v>27</v>
      </c>
      <c r="N504" s="1" t="s">
        <v>26</v>
      </c>
      <c r="O504" s="1" t="s">
        <v>26</v>
      </c>
      <c r="P504" s="4">
        <v>45688.60836805555</v>
      </c>
    </row>
    <row r="505" hidden="1">
      <c r="A505" s="1" t="s">
        <v>21</v>
      </c>
      <c r="B505" s="3" t="str">
        <f>HYPERLINK("https://hawk-eye.atlassian.net/browse/HWKREPORT-2885?atlOrigin=eyJpIjoiYzgwYTQ0ZjEyNzQzNGJhN2JmNjEyZTM0NmRhZWZhNjIiLCJwIjoic2hlZXRzLWppcmEifQ","HWKREPORT-2885")</f>
        <v>HWKREPORT-2885</v>
      </c>
      <c r="C505" s="1" t="s">
        <v>1668</v>
      </c>
      <c r="D505" s="1" t="s">
        <v>48</v>
      </c>
      <c r="E505" s="1" t="s">
        <v>1057</v>
      </c>
      <c r="F505" s="4">
        <v>45531.49097222222</v>
      </c>
      <c r="G505" s="3" t="str">
        <f>HYPERLINK("https://hawk-eye.atlassian.net/browse/?atlOrigin=eyJpIjoiYzgwYTQ0ZjEyNzQzNGJhN2JmNjEyZTM0NmRhZWZhNjIiLCJwIjoic2hlZXRzLWppcmEifQ","")</f>
        <v/>
      </c>
      <c r="H505" s="1" t="s">
        <v>1058</v>
      </c>
      <c r="I505" s="1" t="s">
        <v>1085</v>
      </c>
      <c r="J505" s="1" t="s">
        <v>26</v>
      </c>
      <c r="K505" s="1" t="s">
        <v>1385</v>
      </c>
      <c r="L505" s="1" t="s">
        <v>26</v>
      </c>
      <c r="M505" s="1" t="s">
        <v>27</v>
      </c>
      <c r="N505" s="1" t="s">
        <v>26</v>
      </c>
      <c r="O505" s="1" t="s">
        <v>26</v>
      </c>
      <c r="P505" s="4">
        <v>45531.4909837963</v>
      </c>
    </row>
    <row r="506" hidden="1">
      <c r="A506" s="1" t="s">
        <v>21</v>
      </c>
      <c r="B506" s="3" t="str">
        <f>HYPERLINK("https://hawk-eye.atlassian.net/browse/HWKREPORT-2886?atlOrigin=eyJpIjoiYzgwYTQ0ZjEyNzQzNGJhN2JmNjEyZTM0NmRhZWZhNjIiLCJwIjoic2hlZXRzLWppcmEifQ","HWKREPORT-2886")</f>
        <v>HWKREPORT-2886</v>
      </c>
      <c r="C506" s="1" t="s">
        <v>1669</v>
      </c>
      <c r="D506" s="1" t="s">
        <v>34</v>
      </c>
      <c r="E506" s="1" t="s">
        <v>35</v>
      </c>
      <c r="F506" s="4">
        <v>45533.540613425925</v>
      </c>
      <c r="G506" s="3" t="str">
        <f>HYPERLINK("https://hawk-eye.atlassian.net/issues/?atlOrigin=eyJpIjoiYzgwYTQ0ZjEyNzQzNGJhN2JmNjEyZTM0NmRhZWZhNjIiLCJwIjoic2hlZXRzLWppcmEifQ&amp;jql=key+in+%28HWKREPORT-3185%2CSO-2250%29","HWKREPORT-3185;SO-2250")</f>
        <v>HWKREPORT-3185;SO-2250</v>
      </c>
      <c r="H506" s="1" t="s">
        <v>1058</v>
      </c>
      <c r="I506" s="1" t="s">
        <v>1507</v>
      </c>
      <c r="J506" s="1" t="s">
        <v>26</v>
      </c>
      <c r="K506" s="1" t="s">
        <v>1116</v>
      </c>
      <c r="L506" s="1" t="s">
        <v>26</v>
      </c>
      <c r="M506" s="1" t="s">
        <v>27</v>
      </c>
      <c r="N506" s="1" t="s">
        <v>26</v>
      </c>
      <c r="O506" s="1" t="s">
        <v>26</v>
      </c>
      <c r="P506" s="4">
        <v>45778.37724537037</v>
      </c>
    </row>
    <row r="507" hidden="1">
      <c r="A507" s="1" t="s">
        <v>1055</v>
      </c>
      <c r="B507" s="3" t="str">
        <f>HYPERLINK("https://hawk-eye.atlassian.net/browse/HWKREPORT-2887?atlOrigin=eyJpIjoiYzgwYTQ0ZjEyNzQzNGJhN2JmNjEyZTM0NmRhZWZhNjIiLCJwIjoic2hlZXRzLWppcmEifQ","HWKREPORT-2887")</f>
        <v>HWKREPORT-2887</v>
      </c>
      <c r="C507" s="1" t="s">
        <v>1670</v>
      </c>
      <c r="D507" s="1" t="s">
        <v>48</v>
      </c>
      <c r="E507" s="1" t="s">
        <v>1057</v>
      </c>
      <c r="F507" s="4">
        <v>45534.65571759259</v>
      </c>
      <c r="G507" s="3" t="str">
        <f>HYPERLINK("https://hawk-eye.atlassian.net/browse/?atlOrigin=eyJpIjoiYzgwYTQ0ZjEyNzQzNGJhN2JmNjEyZTM0NmRhZWZhNjIiLCJwIjoic2hlZXRzLWppcmEifQ","")</f>
        <v/>
      </c>
      <c r="H507" s="1" t="s">
        <v>1058</v>
      </c>
      <c r="I507" s="1" t="s">
        <v>1514</v>
      </c>
      <c r="J507" s="1" t="s">
        <v>26</v>
      </c>
      <c r="K507" s="1" t="s">
        <v>1116</v>
      </c>
      <c r="L507" s="1" t="s">
        <v>26</v>
      </c>
      <c r="M507" s="1" t="s">
        <v>27</v>
      </c>
      <c r="N507" s="1" t="s">
        <v>26</v>
      </c>
      <c r="O507" s="1" t="s">
        <v>26</v>
      </c>
      <c r="P507" s="4">
        <v>45534.65572916667</v>
      </c>
    </row>
    <row r="508" hidden="1">
      <c r="A508" s="1" t="s">
        <v>21</v>
      </c>
      <c r="B508" s="3" t="str">
        <f>HYPERLINK("https://hawk-eye.atlassian.net/browse/HWKREPORT-2888?atlOrigin=eyJpIjoiYzgwYTQ0ZjEyNzQzNGJhN2JmNjEyZTM0NmRhZWZhNjIiLCJwIjoic2hlZXRzLWppcmEifQ","HWKREPORT-2888")</f>
        <v>HWKREPORT-2888</v>
      </c>
      <c r="C508" s="1" t="s">
        <v>1671</v>
      </c>
      <c r="D508" s="1" t="s">
        <v>48</v>
      </c>
      <c r="E508" s="1" t="s">
        <v>1057</v>
      </c>
      <c r="F508" s="4">
        <v>45534.66273148148</v>
      </c>
      <c r="G508" s="3" t="str">
        <f>HYPERLINK("https://hawk-eye.atlassian.net/browse/BR-1985?atlOrigin=eyJpIjoiYzgwYTQ0ZjEyNzQzNGJhN2JmNjEyZTM0NmRhZWZhNjIiLCJwIjoic2hlZXRzLWppcmEifQ","BR-1985")</f>
        <v>BR-1985</v>
      </c>
      <c r="H508" s="1" t="s">
        <v>1058</v>
      </c>
      <c r="I508" s="1" t="s">
        <v>1107</v>
      </c>
      <c r="J508" s="1" t="s">
        <v>26</v>
      </c>
      <c r="K508" s="1" t="s">
        <v>1108</v>
      </c>
      <c r="L508" s="1" t="s">
        <v>26</v>
      </c>
      <c r="M508" s="1" t="s">
        <v>27</v>
      </c>
      <c r="N508" s="1" t="s">
        <v>26</v>
      </c>
      <c r="O508" s="1" t="s">
        <v>26</v>
      </c>
      <c r="P508" s="4">
        <v>45534.66274305555</v>
      </c>
    </row>
    <row r="509" hidden="1">
      <c r="A509" s="1" t="s">
        <v>21</v>
      </c>
      <c r="B509" s="3" t="str">
        <f>HYPERLINK("https://hawk-eye.atlassian.net/browse/HWKREPORT-2889?atlOrigin=eyJpIjoiYzgwYTQ0ZjEyNzQzNGJhN2JmNjEyZTM0NmRhZWZhNjIiLCJwIjoic2hlZXRzLWppcmEifQ","HWKREPORT-2889")</f>
        <v>HWKREPORT-2889</v>
      </c>
      <c r="C509" s="1" t="s">
        <v>1672</v>
      </c>
      <c r="D509" s="1" t="s">
        <v>23</v>
      </c>
      <c r="E509" s="1" t="s">
        <v>35</v>
      </c>
      <c r="F509" s="4">
        <v>45539.603530092594</v>
      </c>
      <c r="G509" s="3" t="str">
        <f>HYPERLINK("https://hawk-eye.atlassian.net/browse/SO-1787?atlOrigin=eyJpIjoiYzgwYTQ0ZjEyNzQzNGJhN2JmNjEyZTM0NmRhZWZhNjIiLCJwIjoic2hlZXRzLWppcmEifQ","SO-1787")</f>
        <v>SO-1787</v>
      </c>
      <c r="H509" s="1" t="s">
        <v>1058</v>
      </c>
      <c r="I509" s="1" t="s">
        <v>1126</v>
      </c>
      <c r="J509" s="1" t="s">
        <v>26</v>
      </c>
      <c r="K509" s="1" t="s">
        <v>1673</v>
      </c>
      <c r="L509" s="1" t="s">
        <v>26</v>
      </c>
      <c r="M509" s="1" t="s">
        <v>27</v>
      </c>
      <c r="N509" s="1" t="s">
        <v>26</v>
      </c>
      <c r="O509" s="1" t="s">
        <v>26</v>
      </c>
      <c r="P509" s="4">
        <v>45602.471979166665</v>
      </c>
    </row>
    <row r="510" hidden="1">
      <c r="A510" s="1" t="s">
        <v>21</v>
      </c>
      <c r="B510" s="3" t="str">
        <f>HYPERLINK("https://hawk-eye.atlassian.net/browse/HWKREPORT-2890?atlOrigin=eyJpIjoiYzgwYTQ0ZjEyNzQzNGJhN2JmNjEyZTM0NmRhZWZhNjIiLCJwIjoic2hlZXRzLWppcmEifQ","HWKREPORT-2890")</f>
        <v>HWKREPORT-2890</v>
      </c>
      <c r="C510" s="1" t="s">
        <v>1674</v>
      </c>
      <c r="D510" s="1" t="s">
        <v>23</v>
      </c>
      <c r="E510" s="1" t="s">
        <v>35</v>
      </c>
      <c r="F510" s="4">
        <v>45539.63694444444</v>
      </c>
      <c r="G510" s="3" t="str">
        <f>HYPERLINK("https://hawk-eye.atlassian.net/browse/SO-1786?atlOrigin=eyJpIjoiYzgwYTQ0ZjEyNzQzNGJhN2JmNjEyZTM0NmRhZWZhNjIiLCJwIjoic2hlZXRzLWppcmEifQ","SO-1786")</f>
        <v>SO-1786</v>
      </c>
      <c r="H510" s="1" t="s">
        <v>1058</v>
      </c>
      <c r="I510" s="1" t="s">
        <v>1126</v>
      </c>
      <c r="J510" s="1" t="s">
        <v>26</v>
      </c>
      <c r="K510" s="1" t="s">
        <v>1673</v>
      </c>
      <c r="L510" s="1" t="s">
        <v>26</v>
      </c>
      <c r="M510" s="1" t="s">
        <v>27</v>
      </c>
      <c r="N510" s="1" t="s">
        <v>26</v>
      </c>
      <c r="O510" s="1" t="s">
        <v>26</v>
      </c>
      <c r="P510" s="4">
        <v>45587.54586805555</v>
      </c>
    </row>
    <row r="511" hidden="1">
      <c r="A511" s="1" t="s">
        <v>1055</v>
      </c>
      <c r="B511" s="3" t="str">
        <f>HYPERLINK("https://hawk-eye.atlassian.net/browse/HWKREPORT-2891?atlOrigin=eyJpIjoiYzgwYTQ0ZjEyNzQzNGJhN2JmNjEyZTM0NmRhZWZhNjIiLCJwIjoic2hlZXRzLWppcmEifQ","HWKREPORT-2891")</f>
        <v>HWKREPORT-2891</v>
      </c>
      <c r="C511" s="1" t="s">
        <v>1675</v>
      </c>
      <c r="D511" s="1" t="s">
        <v>48</v>
      </c>
      <c r="E511" s="1" t="s">
        <v>1057</v>
      </c>
      <c r="F511" s="4">
        <v>45539.744409722225</v>
      </c>
      <c r="G511" s="3" t="str">
        <f t="shared" ref="G511:G514" si="47">HYPERLINK("https://hawk-eye.atlassian.net/browse/?atlOrigin=eyJpIjoiYzgwYTQ0ZjEyNzQzNGJhN2JmNjEyZTM0NmRhZWZhNjIiLCJwIjoic2hlZXRzLWppcmEifQ","")</f>
        <v/>
      </c>
      <c r="H511" s="1" t="s">
        <v>1058</v>
      </c>
      <c r="I511" s="1" t="s">
        <v>1676</v>
      </c>
      <c r="J511" s="1" t="s">
        <v>26</v>
      </c>
      <c r="K511" s="1" t="s">
        <v>1108</v>
      </c>
      <c r="L511" s="1" t="s">
        <v>26</v>
      </c>
      <c r="M511" s="1" t="s">
        <v>27</v>
      </c>
      <c r="N511" s="1" t="s">
        <v>26</v>
      </c>
      <c r="O511" s="1" t="s">
        <v>26</v>
      </c>
      <c r="P511" s="4">
        <v>45539.744409722225</v>
      </c>
    </row>
    <row r="512">
      <c r="A512" s="1" t="s">
        <v>21</v>
      </c>
      <c r="B512" s="3" t="str">
        <f>HYPERLINK("https://hawk-eye.atlassian.net/browse/HWKREPORT-2892?atlOrigin=eyJpIjoiYzgwYTQ0ZjEyNzQzNGJhN2JmNjEyZTM0NmRhZWZhNjIiLCJwIjoic2hlZXRzLWppcmEifQ","HWKREPORT-2892")</f>
        <v>HWKREPORT-2892</v>
      </c>
      <c r="C512" s="1" t="s">
        <v>1677</v>
      </c>
      <c r="D512" s="1" t="s">
        <v>34</v>
      </c>
      <c r="E512" s="1" t="s">
        <v>1057</v>
      </c>
      <c r="F512" s="4">
        <v>45541.644421296296</v>
      </c>
      <c r="G512" s="3" t="str">
        <f t="shared" si="47"/>
        <v/>
      </c>
      <c r="H512" s="1" t="s">
        <v>1058</v>
      </c>
      <c r="I512" s="1" t="s">
        <v>28</v>
      </c>
      <c r="J512" s="1" t="s">
        <v>26</v>
      </c>
      <c r="K512" s="1" t="s">
        <v>1219</v>
      </c>
      <c r="L512" s="1" t="s">
        <v>26</v>
      </c>
      <c r="M512" s="1" t="s">
        <v>27</v>
      </c>
      <c r="N512" s="1" t="s">
        <v>26</v>
      </c>
      <c r="O512" s="1" t="s">
        <v>26</v>
      </c>
      <c r="P512" s="4">
        <v>45541.644421296296</v>
      </c>
    </row>
    <row r="513" hidden="1">
      <c r="A513" s="1" t="s">
        <v>21</v>
      </c>
      <c r="B513" s="3" t="str">
        <f>HYPERLINK("https://hawk-eye.atlassian.net/browse/HWKREPORT-2893?atlOrigin=eyJpIjoiYzgwYTQ0ZjEyNzQzNGJhN2JmNjEyZTM0NmRhZWZhNjIiLCJwIjoic2hlZXRzLWppcmEifQ","HWKREPORT-2893")</f>
        <v>HWKREPORT-2893</v>
      </c>
      <c r="C513" s="1" t="s">
        <v>1678</v>
      </c>
      <c r="D513" s="1" t="s">
        <v>34</v>
      </c>
      <c r="E513" s="1" t="s">
        <v>1057</v>
      </c>
      <c r="F513" s="4">
        <v>45543.928252314814</v>
      </c>
      <c r="G513" s="3" t="str">
        <f t="shared" si="47"/>
        <v/>
      </c>
      <c r="H513" s="1" t="s">
        <v>1058</v>
      </c>
      <c r="I513" s="1" t="s">
        <v>1107</v>
      </c>
      <c r="J513" s="1" t="s">
        <v>26</v>
      </c>
      <c r="K513" s="1" t="s">
        <v>1108</v>
      </c>
      <c r="L513" s="1" t="s">
        <v>26</v>
      </c>
      <c r="M513" s="1" t="s">
        <v>27</v>
      </c>
      <c r="N513" s="1" t="s">
        <v>26</v>
      </c>
      <c r="O513" s="1" t="s">
        <v>26</v>
      </c>
      <c r="P513" s="4">
        <v>45543.92827546296</v>
      </c>
    </row>
    <row r="514" hidden="1">
      <c r="A514" s="1" t="s">
        <v>1055</v>
      </c>
      <c r="B514" s="3" t="str">
        <f>HYPERLINK("https://hawk-eye.atlassian.net/browse/HWKREPORT-2894?atlOrigin=eyJpIjoiYzgwYTQ0ZjEyNzQzNGJhN2JmNjEyZTM0NmRhZWZhNjIiLCJwIjoic2hlZXRzLWppcmEifQ","HWKREPORT-2894")</f>
        <v>HWKREPORT-2894</v>
      </c>
      <c r="C514" s="1" t="s">
        <v>1679</v>
      </c>
      <c r="D514" s="1" t="s">
        <v>48</v>
      </c>
      <c r="E514" s="1" t="s">
        <v>1057</v>
      </c>
      <c r="F514" s="4">
        <v>45544.554618055554</v>
      </c>
      <c r="G514" s="3" t="str">
        <f t="shared" si="47"/>
        <v/>
      </c>
      <c r="H514" s="1" t="s">
        <v>1058</v>
      </c>
      <c r="I514" s="1" t="s">
        <v>1082</v>
      </c>
      <c r="J514" s="1" t="s">
        <v>26</v>
      </c>
      <c r="K514" s="1" t="s">
        <v>1173</v>
      </c>
      <c r="L514" s="1" t="s">
        <v>26</v>
      </c>
      <c r="M514" s="1" t="s">
        <v>27</v>
      </c>
      <c r="N514" s="1" t="s">
        <v>26</v>
      </c>
      <c r="O514" s="1" t="s">
        <v>26</v>
      </c>
      <c r="P514" s="4">
        <v>45544.55462962963</v>
      </c>
    </row>
    <row r="515" hidden="1">
      <c r="A515" s="1" t="s">
        <v>21</v>
      </c>
      <c r="B515" s="3" t="str">
        <f>HYPERLINK("https://hawk-eye.atlassian.net/browse/HWKREPORT-2895?atlOrigin=eyJpIjoiYzgwYTQ0ZjEyNzQzNGJhN2JmNjEyZTM0NmRhZWZhNjIiLCJwIjoic2hlZXRzLWppcmEifQ","HWKREPORT-2895")</f>
        <v>HWKREPORT-2895</v>
      </c>
      <c r="C515" s="1" t="s">
        <v>1680</v>
      </c>
      <c r="D515" s="1" t="s">
        <v>40</v>
      </c>
      <c r="E515" s="1" t="s">
        <v>1207</v>
      </c>
      <c r="F515" s="4">
        <v>45546.51200231481</v>
      </c>
      <c r="G515" s="3" t="str">
        <f>HYPERLINK("https://hawk-eye.atlassian.net/browse/RTT-9143?atlOrigin=eyJpIjoiYzgwYTQ0ZjEyNzQzNGJhN2JmNjEyZTM0NmRhZWZhNjIiLCJwIjoic2hlZXRzLWppcmEifQ","RTT-9143")</f>
        <v>RTT-9143</v>
      </c>
      <c r="H515" s="1" t="s">
        <v>1058</v>
      </c>
      <c r="I515" s="1" t="s">
        <v>1085</v>
      </c>
      <c r="J515" s="1" t="s">
        <v>26</v>
      </c>
      <c r="K515" s="1" t="s">
        <v>1072</v>
      </c>
      <c r="L515" s="1" t="s">
        <v>26</v>
      </c>
      <c r="M515" s="1" t="s">
        <v>27</v>
      </c>
      <c r="N515" s="1" t="s">
        <v>26</v>
      </c>
      <c r="O515" s="1" t="s">
        <v>26</v>
      </c>
      <c r="P515" s="4">
        <v>45553.37096064815</v>
      </c>
    </row>
    <row r="516" hidden="1">
      <c r="A516" s="1" t="s">
        <v>21</v>
      </c>
      <c r="B516" s="3" t="str">
        <f>HYPERLINK("https://hawk-eye.atlassian.net/browse/HWKREPORT-2896?atlOrigin=eyJpIjoiYzgwYTQ0ZjEyNzQzNGJhN2JmNjEyZTM0NmRhZWZhNjIiLCJwIjoic2hlZXRzLWppcmEifQ","HWKREPORT-2896")</f>
        <v>HWKREPORT-2896</v>
      </c>
      <c r="C516" s="1" t="s">
        <v>1681</v>
      </c>
      <c r="D516" s="1" t="s">
        <v>83</v>
      </c>
      <c r="E516" s="1" t="s">
        <v>1207</v>
      </c>
      <c r="F516" s="4">
        <v>45546.634363425925</v>
      </c>
      <c r="G516" s="3" t="str">
        <f>HYPERLINK("https://hawk-eye.atlassian.net/browse/RTT-9385?atlOrigin=eyJpIjoiYzgwYTQ0ZjEyNzQzNGJhN2JmNjEyZTM0NmRhZWZhNjIiLCJwIjoic2hlZXRzLWppcmEifQ","RTT-9385")</f>
        <v>RTT-9385</v>
      </c>
      <c r="H516" s="1" t="s">
        <v>1058</v>
      </c>
      <c r="I516" s="1" t="s">
        <v>1071</v>
      </c>
      <c r="J516" s="1" t="s">
        <v>26</v>
      </c>
      <c r="K516" s="1" t="s">
        <v>1072</v>
      </c>
      <c r="L516" s="1" t="s">
        <v>26</v>
      </c>
      <c r="M516" s="1" t="s">
        <v>27</v>
      </c>
      <c r="N516" s="1" t="s">
        <v>26</v>
      </c>
      <c r="O516" s="1" t="s">
        <v>26</v>
      </c>
      <c r="P516" s="4">
        <v>45705.71560185185</v>
      </c>
    </row>
    <row r="517" hidden="1">
      <c r="A517" s="1" t="s">
        <v>1055</v>
      </c>
      <c r="B517" s="3" t="str">
        <f>HYPERLINK("https://hawk-eye.atlassian.net/browse/HWKREPORT-2897?atlOrigin=eyJpIjoiYzgwYTQ0ZjEyNzQzNGJhN2JmNjEyZTM0NmRhZWZhNjIiLCJwIjoic2hlZXRzLWppcmEifQ","HWKREPORT-2897")</f>
        <v>HWKREPORT-2897</v>
      </c>
      <c r="C517" s="1" t="s">
        <v>1682</v>
      </c>
      <c r="D517" s="1" t="s">
        <v>48</v>
      </c>
      <c r="E517" s="1" t="s">
        <v>1057</v>
      </c>
      <c r="F517" s="4">
        <v>45546.720983796295</v>
      </c>
      <c r="G517" s="3" t="str">
        <f>HYPERLINK("https://hawk-eye.atlassian.net/browse/?atlOrigin=eyJpIjoiYzgwYTQ0ZjEyNzQzNGJhN2JmNjEyZTM0NmRhZWZhNjIiLCJwIjoic2hlZXRzLWppcmEifQ","")</f>
        <v/>
      </c>
      <c r="H517" s="1" t="s">
        <v>1058</v>
      </c>
      <c r="I517" s="1" t="s">
        <v>1591</v>
      </c>
      <c r="J517" s="1" t="s">
        <v>26</v>
      </c>
      <c r="K517" s="1" t="s">
        <v>1167</v>
      </c>
      <c r="L517" s="1" t="s">
        <v>26</v>
      </c>
      <c r="M517" s="1" t="s">
        <v>27</v>
      </c>
      <c r="N517" s="1" t="s">
        <v>26</v>
      </c>
      <c r="O517" s="1" t="s">
        <v>26</v>
      </c>
      <c r="P517" s="4">
        <v>45546.720983796295</v>
      </c>
    </row>
    <row r="518" hidden="1">
      <c r="A518" s="1" t="s">
        <v>21</v>
      </c>
      <c r="B518" s="3" t="str">
        <f>HYPERLINK("https://hawk-eye.atlassian.net/browse/HWKREPORT-2898?atlOrigin=eyJpIjoiYzgwYTQ0ZjEyNzQzNGJhN2JmNjEyZTM0NmRhZWZhNjIiLCJwIjoic2hlZXRzLWppcmEifQ","HWKREPORT-2898")</f>
        <v>HWKREPORT-2898</v>
      </c>
      <c r="C518" s="1" t="s">
        <v>1683</v>
      </c>
      <c r="D518" s="1" t="s">
        <v>83</v>
      </c>
      <c r="E518" s="1" t="s">
        <v>1057</v>
      </c>
      <c r="F518" s="4">
        <v>45546.853368055556</v>
      </c>
      <c r="G518" s="3" t="str">
        <f>HYPERLINK("https://hawk-eye.atlassian.net/browse/DT-1803?atlOrigin=eyJpIjoiYzgwYTQ0ZjEyNzQzNGJhN2JmNjEyZTM0NmRhZWZhNjIiLCJwIjoic2hlZXRzLWppcmEifQ","DT-1803")</f>
        <v>DT-1803</v>
      </c>
      <c r="H518" s="1" t="s">
        <v>1058</v>
      </c>
      <c r="I518" s="1" t="s">
        <v>1087</v>
      </c>
      <c r="J518" s="1" t="s">
        <v>26</v>
      </c>
      <c r="K518" s="1" t="s">
        <v>1088</v>
      </c>
      <c r="L518" s="1" t="s">
        <v>26</v>
      </c>
      <c r="M518" s="1" t="s">
        <v>27</v>
      </c>
      <c r="N518" s="1" t="s">
        <v>26</v>
      </c>
      <c r="O518" s="1" t="s">
        <v>26</v>
      </c>
      <c r="P518" s="4">
        <v>45546.853368055556</v>
      </c>
    </row>
    <row r="519" hidden="1">
      <c r="A519" s="1" t="s">
        <v>1055</v>
      </c>
      <c r="B519" s="3" t="str">
        <f>HYPERLINK("https://hawk-eye.atlassian.net/browse/HWKREPORT-2899?atlOrigin=eyJpIjoiYzgwYTQ0ZjEyNzQzNGJhN2JmNjEyZTM0NmRhZWZhNjIiLCJwIjoic2hlZXRzLWppcmEifQ","HWKREPORT-2899")</f>
        <v>HWKREPORT-2899</v>
      </c>
      <c r="C519" s="1" t="s">
        <v>1684</v>
      </c>
      <c r="D519" s="1" t="s">
        <v>48</v>
      </c>
      <c r="E519" s="1" t="s">
        <v>1057</v>
      </c>
      <c r="F519" s="4">
        <v>45546.85575231481</v>
      </c>
      <c r="G519" s="3" t="str">
        <f>HYPERLINK("https://hawk-eye.atlassian.net/browse/GDS-427?atlOrigin=eyJpIjoiYzgwYTQ0ZjEyNzQzNGJhN2JmNjEyZTM0NmRhZWZhNjIiLCJwIjoic2hlZXRzLWppcmEifQ","GDS-427")</f>
        <v>GDS-427</v>
      </c>
      <c r="H519" s="1" t="s">
        <v>1058</v>
      </c>
      <c r="I519" s="1" t="s">
        <v>1087</v>
      </c>
      <c r="J519" s="1" t="s">
        <v>26</v>
      </c>
      <c r="K519" s="1" t="s">
        <v>1244</v>
      </c>
      <c r="L519" s="1" t="s">
        <v>26</v>
      </c>
      <c r="M519" s="1" t="s">
        <v>27</v>
      </c>
      <c r="N519" s="1" t="s">
        <v>26</v>
      </c>
      <c r="O519" s="1" t="s">
        <v>26</v>
      </c>
      <c r="P519" s="4">
        <v>45546.85575231481</v>
      </c>
    </row>
    <row r="520" hidden="1">
      <c r="A520" s="1" t="s">
        <v>1055</v>
      </c>
      <c r="B520" s="3" t="str">
        <f>HYPERLINK("https://hawk-eye.atlassian.net/browse/HWKREPORT-2900?atlOrigin=eyJpIjoiYzgwYTQ0ZjEyNzQzNGJhN2JmNjEyZTM0NmRhZWZhNjIiLCJwIjoic2hlZXRzLWppcmEifQ","HWKREPORT-2900")</f>
        <v>HWKREPORT-2900</v>
      </c>
      <c r="C520" s="1" t="s">
        <v>1685</v>
      </c>
      <c r="D520" s="1" t="s">
        <v>48</v>
      </c>
      <c r="E520" s="1" t="s">
        <v>1057</v>
      </c>
      <c r="F520" s="4">
        <v>45546.85905092592</v>
      </c>
      <c r="G520" s="3" t="str">
        <f>HYPERLINK("https://hawk-eye.atlassian.net/browse/GDS-426?atlOrigin=eyJpIjoiYzgwYTQ0ZjEyNzQzNGJhN2JmNjEyZTM0NmRhZWZhNjIiLCJwIjoic2hlZXRzLWppcmEifQ","GDS-426")</f>
        <v>GDS-426</v>
      </c>
      <c r="H520" s="1" t="s">
        <v>1058</v>
      </c>
      <c r="I520" s="1" t="s">
        <v>1087</v>
      </c>
      <c r="J520" s="1" t="s">
        <v>26</v>
      </c>
      <c r="K520" s="1" t="s">
        <v>1244</v>
      </c>
      <c r="L520" s="1" t="s">
        <v>26</v>
      </c>
      <c r="M520" s="1" t="s">
        <v>27</v>
      </c>
      <c r="N520" s="1" t="s">
        <v>26</v>
      </c>
      <c r="O520" s="1" t="s">
        <v>26</v>
      </c>
      <c r="P520" s="4">
        <v>45546.8590625</v>
      </c>
    </row>
    <row r="521" hidden="1">
      <c r="A521" s="1" t="s">
        <v>1055</v>
      </c>
      <c r="B521" s="3" t="str">
        <f>HYPERLINK("https://hawk-eye.atlassian.net/browse/HWKREPORT-2901?atlOrigin=eyJpIjoiYzgwYTQ0ZjEyNzQzNGJhN2JmNjEyZTM0NmRhZWZhNjIiLCJwIjoic2hlZXRzLWppcmEifQ","HWKREPORT-2901")</f>
        <v>HWKREPORT-2901</v>
      </c>
      <c r="C521" s="1" t="s">
        <v>1686</v>
      </c>
      <c r="D521" s="1" t="s">
        <v>48</v>
      </c>
      <c r="E521" s="1" t="s">
        <v>1057</v>
      </c>
      <c r="F521" s="4">
        <v>45548.42084490741</v>
      </c>
      <c r="G521" s="3" t="str">
        <f>HYPERLINK("https://hawk-eye.atlassian.net/browse/?atlOrigin=eyJpIjoiYzgwYTQ0ZjEyNzQzNGJhN2JmNjEyZTM0NmRhZWZhNjIiLCJwIjoic2hlZXRzLWppcmEifQ","")</f>
        <v/>
      </c>
      <c r="H521" s="1" t="s">
        <v>1058</v>
      </c>
      <c r="I521" s="1" t="s">
        <v>1082</v>
      </c>
      <c r="J521" s="1" t="s">
        <v>26</v>
      </c>
      <c r="K521" s="1" t="s">
        <v>1105</v>
      </c>
      <c r="L521" s="1" t="s">
        <v>26</v>
      </c>
      <c r="M521" s="1" t="s">
        <v>27</v>
      </c>
      <c r="N521" s="1" t="s">
        <v>26</v>
      </c>
      <c r="O521" s="1" t="s">
        <v>26</v>
      </c>
      <c r="P521" s="4">
        <v>45548.42084490741</v>
      </c>
    </row>
    <row r="522" hidden="1">
      <c r="A522" s="1" t="s">
        <v>21</v>
      </c>
      <c r="B522" s="3" t="str">
        <f>HYPERLINK("https://hawk-eye.atlassian.net/browse/HWKREPORT-2902?atlOrigin=eyJpIjoiYzgwYTQ0ZjEyNzQzNGJhN2JmNjEyZTM0NmRhZWZhNjIiLCJwIjoic2hlZXRzLWppcmEifQ","HWKREPORT-2902")</f>
        <v>HWKREPORT-2902</v>
      </c>
      <c r="C522" s="1" t="s">
        <v>1687</v>
      </c>
      <c r="D522" s="1" t="s">
        <v>23</v>
      </c>
      <c r="E522" s="1" t="s">
        <v>1207</v>
      </c>
      <c r="F522" s="4">
        <v>45550.45122685185</v>
      </c>
      <c r="G522" s="3" t="str">
        <f>HYPERLINK("https://hawk-eye.atlassian.net/browse/TDP-2277?atlOrigin=eyJpIjoiYzgwYTQ0ZjEyNzQzNGJhN2JmNjEyZTM0NmRhZWZhNjIiLCJwIjoic2hlZXRzLWppcmEifQ","TDP-2277")</f>
        <v>TDP-2277</v>
      </c>
      <c r="H522" s="1" t="s">
        <v>1058</v>
      </c>
      <c r="I522" s="1" t="s">
        <v>1126</v>
      </c>
      <c r="J522" s="1" t="s">
        <v>26</v>
      </c>
      <c r="K522" s="1" t="s">
        <v>1211</v>
      </c>
      <c r="L522" s="1" t="s">
        <v>26</v>
      </c>
      <c r="M522" s="1" t="s">
        <v>27</v>
      </c>
      <c r="N522" s="1" t="s">
        <v>26</v>
      </c>
      <c r="O522" s="1" t="s">
        <v>26</v>
      </c>
      <c r="P522" s="4">
        <v>45550.45123842593</v>
      </c>
    </row>
    <row r="523" hidden="1">
      <c r="A523" s="1" t="s">
        <v>21</v>
      </c>
      <c r="B523" s="3" t="str">
        <f>HYPERLINK("https://hawk-eye.atlassian.net/browse/HWKREPORT-2903?atlOrigin=eyJpIjoiYzgwYTQ0ZjEyNzQzNGJhN2JmNjEyZTM0NmRhZWZhNjIiLCJwIjoic2hlZXRzLWppcmEifQ","HWKREPORT-2903")</f>
        <v>HWKREPORT-2903</v>
      </c>
      <c r="C523" s="1" t="s">
        <v>1688</v>
      </c>
      <c r="D523" s="1" t="s">
        <v>40</v>
      </c>
      <c r="E523" s="1" t="s">
        <v>1057</v>
      </c>
      <c r="F523" s="4">
        <v>45551.48725694444</v>
      </c>
      <c r="G523" s="3" t="str">
        <f t="shared" ref="G523:G528" si="48">HYPERLINK("https://hawk-eye.atlassian.net/browse/?atlOrigin=eyJpIjoiYzgwYTQ0ZjEyNzQzNGJhN2JmNjEyZTM0NmRhZWZhNjIiLCJwIjoic2hlZXRzLWppcmEifQ","")</f>
        <v/>
      </c>
      <c r="H523" s="1" t="s">
        <v>1058</v>
      </c>
      <c r="I523" s="1" t="s">
        <v>1085</v>
      </c>
      <c r="J523" s="1" t="s">
        <v>26</v>
      </c>
      <c r="K523" s="1" t="s">
        <v>1689</v>
      </c>
      <c r="L523" s="1" t="s">
        <v>26</v>
      </c>
      <c r="M523" s="1" t="s">
        <v>27</v>
      </c>
      <c r="N523" s="1" t="s">
        <v>26</v>
      </c>
      <c r="O523" s="1" t="s">
        <v>26</v>
      </c>
      <c r="P523" s="4">
        <v>45551.48725694444</v>
      </c>
    </row>
    <row r="524" hidden="1">
      <c r="A524" s="1" t="s">
        <v>21</v>
      </c>
      <c r="B524" s="3" t="str">
        <f>HYPERLINK("https://hawk-eye.atlassian.net/browse/HWKREPORT-2904?atlOrigin=eyJpIjoiYzgwYTQ0ZjEyNzQzNGJhN2JmNjEyZTM0NmRhZWZhNjIiLCJwIjoic2hlZXRzLWppcmEifQ","HWKREPORT-2904")</f>
        <v>HWKREPORT-2904</v>
      </c>
      <c r="C524" s="1" t="s">
        <v>1690</v>
      </c>
      <c r="D524" s="1" t="s">
        <v>40</v>
      </c>
      <c r="E524" s="1" t="s">
        <v>1057</v>
      </c>
      <c r="F524" s="4">
        <v>45551.491574074076</v>
      </c>
      <c r="G524" s="3" t="str">
        <f t="shared" si="48"/>
        <v/>
      </c>
      <c r="H524" s="1" t="s">
        <v>1058</v>
      </c>
      <c r="I524" s="1" t="s">
        <v>1085</v>
      </c>
      <c r="J524" s="1" t="s">
        <v>26</v>
      </c>
      <c r="K524" s="1" t="s">
        <v>1689</v>
      </c>
      <c r="L524" s="1" t="s">
        <v>26</v>
      </c>
      <c r="M524" s="1" t="s">
        <v>27</v>
      </c>
      <c r="N524" s="1" t="s">
        <v>26</v>
      </c>
      <c r="O524" s="1" t="s">
        <v>26</v>
      </c>
      <c r="P524" s="4">
        <v>45551.491585648146</v>
      </c>
    </row>
    <row r="525" hidden="1">
      <c r="A525" s="1" t="s">
        <v>21</v>
      </c>
      <c r="B525" s="3" t="str">
        <f>HYPERLINK("https://hawk-eye.atlassian.net/browse/HWKREPORT-2905?atlOrigin=eyJpIjoiYzgwYTQ0ZjEyNzQzNGJhN2JmNjEyZTM0NmRhZWZhNjIiLCJwIjoic2hlZXRzLWppcmEifQ","HWKREPORT-2905")</f>
        <v>HWKREPORT-2905</v>
      </c>
      <c r="C525" s="1" t="s">
        <v>1691</v>
      </c>
      <c r="D525" s="1" t="s">
        <v>23</v>
      </c>
      <c r="E525" s="1" t="s">
        <v>1057</v>
      </c>
      <c r="F525" s="4">
        <v>45551.49337962963</v>
      </c>
      <c r="G525" s="3" t="str">
        <f t="shared" si="48"/>
        <v/>
      </c>
      <c r="H525" s="1" t="s">
        <v>1058</v>
      </c>
      <c r="I525" s="1" t="s">
        <v>1085</v>
      </c>
      <c r="J525" s="1" t="s">
        <v>26</v>
      </c>
      <c r="K525" s="1" t="s">
        <v>1689</v>
      </c>
      <c r="L525" s="1" t="s">
        <v>26</v>
      </c>
      <c r="M525" s="1" t="s">
        <v>27</v>
      </c>
      <c r="N525" s="1" t="s">
        <v>26</v>
      </c>
      <c r="O525" s="1" t="s">
        <v>26</v>
      </c>
      <c r="P525" s="4">
        <v>45551.4933912037</v>
      </c>
    </row>
    <row r="526" hidden="1">
      <c r="A526" s="1" t="s">
        <v>21</v>
      </c>
      <c r="B526" s="3" t="str">
        <f>HYPERLINK("https://hawk-eye.atlassian.net/browse/HWKREPORT-2906?atlOrigin=eyJpIjoiYzgwYTQ0ZjEyNzQzNGJhN2JmNjEyZTM0NmRhZWZhNjIiLCJwIjoic2hlZXRzLWppcmEifQ","HWKREPORT-2906")</f>
        <v>HWKREPORT-2906</v>
      </c>
      <c r="C526" s="1" t="s">
        <v>1692</v>
      </c>
      <c r="D526" s="1" t="s">
        <v>34</v>
      </c>
      <c r="E526" s="1" t="s">
        <v>1057</v>
      </c>
      <c r="F526" s="4">
        <v>45551.49607638889</v>
      </c>
      <c r="G526" s="3" t="str">
        <f t="shared" si="48"/>
        <v/>
      </c>
      <c r="H526" s="1" t="s">
        <v>1058</v>
      </c>
      <c r="I526" s="1" t="s">
        <v>1085</v>
      </c>
      <c r="J526" s="1" t="s">
        <v>26</v>
      </c>
      <c r="K526" s="1" t="s">
        <v>1689</v>
      </c>
      <c r="L526" s="1" t="s">
        <v>26</v>
      </c>
      <c r="M526" s="1" t="s">
        <v>27</v>
      </c>
      <c r="N526" s="1" t="s">
        <v>26</v>
      </c>
      <c r="O526" s="1" t="s">
        <v>26</v>
      </c>
      <c r="P526" s="4">
        <v>45551.49607638889</v>
      </c>
    </row>
    <row r="527" hidden="1">
      <c r="A527" s="1" t="s">
        <v>21</v>
      </c>
      <c r="B527" s="3" t="str">
        <f>HYPERLINK("https://hawk-eye.atlassian.net/browse/HWKREPORT-2907?atlOrigin=eyJpIjoiYzgwYTQ0ZjEyNzQzNGJhN2JmNjEyZTM0NmRhZWZhNjIiLCJwIjoic2hlZXRzLWppcmEifQ","HWKREPORT-2907")</f>
        <v>HWKREPORT-2907</v>
      </c>
      <c r="C527" s="1" t="s">
        <v>1693</v>
      </c>
      <c r="D527" s="1" t="s">
        <v>34</v>
      </c>
      <c r="E527" s="1" t="s">
        <v>1057</v>
      </c>
      <c r="F527" s="4">
        <v>45551.5015162037</v>
      </c>
      <c r="G527" s="3" t="str">
        <f t="shared" si="48"/>
        <v/>
      </c>
      <c r="H527" s="1" t="s">
        <v>1058</v>
      </c>
      <c r="I527" s="1" t="s">
        <v>1085</v>
      </c>
      <c r="J527" s="1" t="s">
        <v>26</v>
      </c>
      <c r="K527" s="1" t="s">
        <v>1689</v>
      </c>
      <c r="L527" s="1" t="s">
        <v>26</v>
      </c>
      <c r="M527" s="1" t="s">
        <v>27</v>
      </c>
      <c r="N527" s="1" t="s">
        <v>26</v>
      </c>
      <c r="O527" s="1" t="s">
        <v>26</v>
      </c>
      <c r="P527" s="4">
        <v>45551.5015162037</v>
      </c>
    </row>
    <row r="528" hidden="1">
      <c r="A528" s="1" t="s">
        <v>1055</v>
      </c>
      <c r="B528" s="3" t="str">
        <f>HYPERLINK("https://hawk-eye.atlassian.net/browse/HWKREPORT-2908?atlOrigin=eyJpIjoiYzgwYTQ0ZjEyNzQzNGJhN2JmNjEyZTM0NmRhZWZhNjIiLCJwIjoic2hlZXRzLWppcmEifQ","HWKREPORT-2908")</f>
        <v>HWKREPORT-2908</v>
      </c>
      <c r="C528" s="1" t="s">
        <v>1694</v>
      </c>
      <c r="D528" s="1" t="s">
        <v>48</v>
      </c>
      <c r="E528" s="1" t="s">
        <v>1057</v>
      </c>
      <c r="F528" s="4">
        <v>45551.50693287037</v>
      </c>
      <c r="G528" s="3" t="str">
        <f t="shared" si="48"/>
        <v/>
      </c>
      <c r="H528" s="1" t="s">
        <v>1058</v>
      </c>
      <c r="I528" s="1" t="s">
        <v>1085</v>
      </c>
      <c r="J528" s="1" t="s">
        <v>26</v>
      </c>
      <c r="K528" s="1" t="s">
        <v>1689</v>
      </c>
      <c r="L528" s="1" t="s">
        <v>26</v>
      </c>
      <c r="M528" s="1" t="s">
        <v>27</v>
      </c>
      <c r="N528" s="1" t="s">
        <v>26</v>
      </c>
      <c r="O528" s="1" t="s">
        <v>26</v>
      </c>
      <c r="P528" s="4">
        <v>45551.506944444445</v>
      </c>
    </row>
    <row r="529">
      <c r="A529" s="1" t="s">
        <v>21</v>
      </c>
      <c r="B529" s="3" t="str">
        <f>HYPERLINK("https://hawk-eye.atlassian.net/browse/HWKREPORT-2909?atlOrigin=eyJpIjoiYzgwYTQ0ZjEyNzQzNGJhN2JmNjEyZTM0NmRhZWZhNjIiLCJwIjoic2hlZXRzLWppcmEifQ","HWKREPORT-2909")</f>
        <v>HWKREPORT-2909</v>
      </c>
      <c r="C529" s="1" t="s">
        <v>1695</v>
      </c>
      <c r="D529" s="1" t="s">
        <v>48</v>
      </c>
      <c r="E529" s="1" t="s">
        <v>35</v>
      </c>
      <c r="F529" s="4">
        <v>45551.58243055556</v>
      </c>
      <c r="G529" s="3" t="str">
        <f>HYPERLINK("https://hawk-eye.atlassian.net/browse/RTT-9157?atlOrigin=eyJpIjoiYzgwYTQ0ZjEyNzQzNGJhN2JmNjEyZTM0NmRhZWZhNjIiLCJwIjoic2hlZXRzLWppcmEifQ","RTT-9157")</f>
        <v>RTT-9157</v>
      </c>
      <c r="H529" s="1" t="s">
        <v>1058</v>
      </c>
      <c r="I529" s="1" t="s">
        <v>28</v>
      </c>
      <c r="J529" s="1" t="s">
        <v>26</v>
      </c>
      <c r="K529" s="1" t="s">
        <v>1309</v>
      </c>
      <c r="L529" s="1" t="s">
        <v>26</v>
      </c>
      <c r="M529" s="1" t="s">
        <v>27</v>
      </c>
      <c r="N529" s="1" t="s">
        <v>26</v>
      </c>
      <c r="O529" s="1" t="s">
        <v>26</v>
      </c>
      <c r="P529" s="4">
        <v>45595.60903935185</v>
      </c>
    </row>
    <row r="530" hidden="1">
      <c r="A530" s="1" t="s">
        <v>1055</v>
      </c>
      <c r="B530" s="3" t="str">
        <f>HYPERLINK("https://hawk-eye.atlassian.net/browse/HWKREPORT-2910?atlOrigin=eyJpIjoiYzgwYTQ0ZjEyNzQzNGJhN2JmNjEyZTM0NmRhZWZhNjIiLCJwIjoic2hlZXRzLWppcmEifQ","HWKREPORT-2910")</f>
        <v>HWKREPORT-2910</v>
      </c>
      <c r="C530" s="1" t="s">
        <v>1696</v>
      </c>
      <c r="D530" s="1" t="s">
        <v>48</v>
      </c>
      <c r="E530" s="1" t="s">
        <v>35</v>
      </c>
      <c r="F530" s="4">
        <v>45551.66502314815</v>
      </c>
      <c r="G530" s="3" t="str">
        <f>HYPERLINK("https://hawk-eye.atlassian.net/browse/TOOL-194?atlOrigin=eyJpIjoiYzgwYTQ0ZjEyNzQzNGJhN2JmNjEyZTM0NmRhZWZhNjIiLCJwIjoic2hlZXRzLWppcmEifQ","TOOL-194")</f>
        <v>TOOL-194</v>
      </c>
      <c r="H530" s="1" t="s">
        <v>1058</v>
      </c>
      <c r="I530" s="1" t="s">
        <v>1697</v>
      </c>
      <c r="J530" s="1" t="s">
        <v>26</v>
      </c>
      <c r="K530" s="1" t="s">
        <v>1355</v>
      </c>
      <c r="L530" s="1" t="s">
        <v>26</v>
      </c>
      <c r="M530" s="1" t="s">
        <v>27</v>
      </c>
      <c r="N530" s="1" t="s">
        <v>26</v>
      </c>
      <c r="O530" s="1" t="s">
        <v>26</v>
      </c>
      <c r="P530" s="4">
        <v>45687.629282407404</v>
      </c>
    </row>
    <row r="531" hidden="1">
      <c r="A531" s="1" t="s">
        <v>1055</v>
      </c>
      <c r="B531" s="3" t="str">
        <f>HYPERLINK("https://hawk-eye.atlassian.net/browse/HWKREPORT-2911?atlOrigin=eyJpIjoiYzgwYTQ0ZjEyNzQzNGJhN2JmNjEyZTM0NmRhZWZhNjIiLCJwIjoic2hlZXRzLWppcmEifQ","HWKREPORT-2911")</f>
        <v>HWKREPORT-2911</v>
      </c>
      <c r="C531" s="1" t="s">
        <v>1698</v>
      </c>
      <c r="D531" s="1" t="s">
        <v>48</v>
      </c>
      <c r="E531" s="1" t="s">
        <v>35</v>
      </c>
      <c r="F531" s="4">
        <v>45551.73153935185</v>
      </c>
      <c r="G531" s="3" t="str">
        <f t="shared" ref="G531:G537" si="49">HYPERLINK("https://hawk-eye.atlassian.net/browse/?atlOrigin=eyJpIjoiYzgwYTQ0ZjEyNzQzNGJhN2JmNjEyZTM0NmRhZWZhNjIiLCJwIjoic2hlZXRzLWppcmEifQ","")</f>
        <v/>
      </c>
      <c r="H531" s="1" t="s">
        <v>1058</v>
      </c>
      <c r="I531" s="1" t="s">
        <v>1059</v>
      </c>
      <c r="J531" s="1" t="s">
        <v>26</v>
      </c>
      <c r="K531" s="1" t="s">
        <v>1134</v>
      </c>
      <c r="L531" s="1" t="s">
        <v>26</v>
      </c>
      <c r="M531" s="1" t="s">
        <v>27</v>
      </c>
      <c r="N531" s="1" t="s">
        <v>26</v>
      </c>
      <c r="O531" s="1" t="s">
        <v>26</v>
      </c>
      <c r="P531" s="4">
        <v>45736.407534722224</v>
      </c>
    </row>
    <row r="532" hidden="1">
      <c r="A532" s="1" t="s">
        <v>21</v>
      </c>
      <c r="B532" s="3" t="str">
        <f>HYPERLINK("https://hawk-eye.atlassian.net/browse/HWKREPORT-2912?atlOrigin=eyJpIjoiYzgwYTQ0ZjEyNzQzNGJhN2JmNjEyZTM0NmRhZWZhNjIiLCJwIjoic2hlZXRzLWppcmEifQ","HWKREPORT-2912")</f>
        <v>HWKREPORT-2912</v>
      </c>
      <c r="C532" s="1" t="s">
        <v>1699</v>
      </c>
      <c r="D532" s="1" t="s">
        <v>48</v>
      </c>
      <c r="E532" s="1" t="s">
        <v>1057</v>
      </c>
      <c r="F532" s="4">
        <v>45552.52180555555</v>
      </c>
      <c r="G532" s="3" t="str">
        <f t="shared" si="49"/>
        <v/>
      </c>
      <c r="H532" s="1" t="s">
        <v>1058</v>
      </c>
      <c r="I532" s="1" t="s">
        <v>1082</v>
      </c>
      <c r="J532" s="1" t="s">
        <v>26</v>
      </c>
      <c r="K532" s="1" t="s">
        <v>1700</v>
      </c>
      <c r="L532" s="1" t="s">
        <v>26</v>
      </c>
      <c r="M532" s="1" t="s">
        <v>27</v>
      </c>
      <c r="N532" s="1" t="s">
        <v>26</v>
      </c>
      <c r="O532" s="1" t="s">
        <v>26</v>
      </c>
      <c r="P532" s="4">
        <v>45552.52181712963</v>
      </c>
    </row>
    <row r="533" hidden="1">
      <c r="A533" s="1" t="s">
        <v>1055</v>
      </c>
      <c r="B533" s="3" t="str">
        <f>HYPERLINK("https://hawk-eye.atlassian.net/browse/HWKREPORT-2913?atlOrigin=eyJpIjoiYzgwYTQ0ZjEyNzQzNGJhN2JmNjEyZTM0NmRhZWZhNjIiLCJwIjoic2hlZXRzLWppcmEifQ","HWKREPORT-2913")</f>
        <v>HWKREPORT-2913</v>
      </c>
      <c r="C533" s="1" t="s">
        <v>1701</v>
      </c>
      <c r="D533" s="1" t="s">
        <v>83</v>
      </c>
      <c r="E533" s="1" t="s">
        <v>1057</v>
      </c>
      <c r="F533" s="4">
        <v>45552.83180555556</v>
      </c>
      <c r="G533" s="3" t="str">
        <f t="shared" si="49"/>
        <v/>
      </c>
      <c r="H533" s="1" t="s">
        <v>1058</v>
      </c>
      <c r="I533" s="1" t="s">
        <v>1059</v>
      </c>
      <c r="J533" s="1" t="s">
        <v>26</v>
      </c>
      <c r="K533" s="1" t="s">
        <v>1167</v>
      </c>
      <c r="L533" s="1" t="s">
        <v>26</v>
      </c>
      <c r="M533" s="1" t="s">
        <v>27</v>
      </c>
      <c r="N533" s="1" t="s">
        <v>26</v>
      </c>
      <c r="O533" s="1" t="s">
        <v>26</v>
      </c>
      <c r="P533" s="4">
        <v>45552.83180555556</v>
      </c>
    </row>
    <row r="534" hidden="1">
      <c r="A534" s="1" t="s">
        <v>21</v>
      </c>
      <c r="B534" s="3" t="str">
        <f>HYPERLINK("https://hawk-eye.atlassian.net/browse/HWKREPORT-2914?atlOrigin=eyJpIjoiYzgwYTQ0ZjEyNzQzNGJhN2JmNjEyZTM0NmRhZWZhNjIiLCJwIjoic2hlZXRzLWppcmEifQ","HWKREPORT-2914")</f>
        <v>HWKREPORT-2914</v>
      </c>
      <c r="C534" s="1" t="s">
        <v>1702</v>
      </c>
      <c r="D534" s="1" t="s">
        <v>48</v>
      </c>
      <c r="E534" s="1" t="s">
        <v>1057</v>
      </c>
      <c r="F534" s="4">
        <v>45553.91679398148</v>
      </c>
      <c r="G534" s="3" t="str">
        <f t="shared" si="49"/>
        <v/>
      </c>
      <c r="H534" s="1" t="s">
        <v>1058</v>
      </c>
      <c r="I534" s="1" t="s">
        <v>1107</v>
      </c>
      <c r="J534" s="1" t="s">
        <v>26</v>
      </c>
      <c r="K534" s="1" t="s">
        <v>1108</v>
      </c>
      <c r="L534" s="1" t="s">
        <v>26</v>
      </c>
      <c r="M534" s="1" t="s">
        <v>27</v>
      </c>
      <c r="N534" s="1" t="s">
        <v>26</v>
      </c>
      <c r="O534" s="1" t="s">
        <v>26</v>
      </c>
      <c r="P534" s="4">
        <v>45553.916817129626</v>
      </c>
    </row>
    <row r="535" hidden="1">
      <c r="A535" s="1" t="s">
        <v>1055</v>
      </c>
      <c r="B535" s="3" t="str">
        <f>HYPERLINK("https://hawk-eye.atlassian.net/browse/HWKREPORT-2915?atlOrigin=eyJpIjoiYzgwYTQ0ZjEyNzQzNGJhN2JmNjEyZTM0NmRhZWZhNjIiLCJwIjoic2hlZXRzLWppcmEifQ","HWKREPORT-2915")</f>
        <v>HWKREPORT-2915</v>
      </c>
      <c r="C535" s="1" t="s">
        <v>1703</v>
      </c>
      <c r="D535" s="1" t="s">
        <v>34</v>
      </c>
      <c r="E535" s="1" t="s">
        <v>1057</v>
      </c>
      <c r="F535" s="4">
        <v>45554.68797453704</v>
      </c>
      <c r="G535" s="3" t="str">
        <f t="shared" si="49"/>
        <v/>
      </c>
      <c r="H535" s="1" t="s">
        <v>1058</v>
      </c>
      <c r="I535" s="1" t="s">
        <v>1071</v>
      </c>
      <c r="J535" s="1" t="s">
        <v>26</v>
      </c>
      <c r="K535" s="1" t="s">
        <v>1134</v>
      </c>
      <c r="L535" s="1" t="s">
        <v>26</v>
      </c>
      <c r="M535" s="1" t="s">
        <v>27</v>
      </c>
      <c r="N535" s="1" t="s">
        <v>26</v>
      </c>
      <c r="O535" s="1" t="s">
        <v>26</v>
      </c>
      <c r="P535" s="4">
        <v>45554.68798611111</v>
      </c>
    </row>
    <row r="536" hidden="1">
      <c r="A536" s="1" t="s">
        <v>21</v>
      </c>
      <c r="B536" s="3" t="str">
        <f>HYPERLINK("https://hawk-eye.atlassian.net/browse/HWKREPORT-2916?atlOrigin=eyJpIjoiYzgwYTQ0ZjEyNzQzNGJhN2JmNjEyZTM0NmRhZWZhNjIiLCJwIjoic2hlZXRzLWppcmEifQ","HWKREPORT-2916")</f>
        <v>HWKREPORT-2916</v>
      </c>
      <c r="C536" s="1" t="s">
        <v>1704</v>
      </c>
      <c r="D536" s="1" t="s">
        <v>23</v>
      </c>
      <c r="E536" s="1" t="s">
        <v>1057</v>
      </c>
      <c r="F536" s="4">
        <v>45557.92358796296</v>
      </c>
      <c r="G536" s="3" t="str">
        <f t="shared" si="49"/>
        <v/>
      </c>
      <c r="H536" s="1" t="s">
        <v>1058</v>
      </c>
      <c r="I536" s="1" t="s">
        <v>1107</v>
      </c>
      <c r="J536" s="1" t="s">
        <v>26</v>
      </c>
      <c r="K536" s="1" t="s">
        <v>1705</v>
      </c>
      <c r="L536" s="1" t="s">
        <v>26</v>
      </c>
      <c r="M536" s="1" t="s">
        <v>27</v>
      </c>
      <c r="N536" s="1" t="s">
        <v>26</v>
      </c>
      <c r="O536" s="1" t="s">
        <v>26</v>
      </c>
      <c r="P536" s="4">
        <v>45557.92359953704</v>
      </c>
    </row>
    <row r="537" hidden="1">
      <c r="A537" s="1" t="s">
        <v>21</v>
      </c>
      <c r="B537" s="3" t="str">
        <f>HYPERLINK("https://hawk-eye.atlassian.net/browse/HWKREPORT-2917?atlOrigin=eyJpIjoiYzgwYTQ0ZjEyNzQzNGJhN2JmNjEyZTM0NmRhZWZhNjIiLCJwIjoic2hlZXRzLWppcmEifQ","HWKREPORT-2917")</f>
        <v>HWKREPORT-2917</v>
      </c>
      <c r="C537" s="1" t="s">
        <v>1706</v>
      </c>
      <c r="D537" s="1" t="s">
        <v>48</v>
      </c>
      <c r="E537" s="1" t="s">
        <v>1057</v>
      </c>
      <c r="F537" s="4">
        <v>45557.942141203705</v>
      </c>
      <c r="G537" s="3" t="str">
        <f t="shared" si="49"/>
        <v/>
      </c>
      <c r="H537" s="1" t="s">
        <v>1058</v>
      </c>
      <c r="I537" s="1" t="s">
        <v>1107</v>
      </c>
      <c r="J537" s="1" t="s">
        <v>26</v>
      </c>
      <c r="K537" s="1" t="s">
        <v>1108</v>
      </c>
      <c r="L537" s="1" t="s">
        <v>26</v>
      </c>
      <c r="M537" s="1" t="s">
        <v>27</v>
      </c>
      <c r="N537" s="1" t="s">
        <v>26</v>
      </c>
      <c r="O537" s="1" t="s">
        <v>26</v>
      </c>
      <c r="P537" s="4">
        <v>45557.942141203705</v>
      </c>
    </row>
    <row r="538" hidden="1">
      <c r="A538" s="1" t="s">
        <v>1055</v>
      </c>
      <c r="B538" s="3" t="str">
        <f>HYPERLINK("https://hawk-eye.atlassian.net/browse/HWKREPORT-2918?atlOrigin=eyJpIjoiYzgwYTQ0ZjEyNzQzNGJhN2JmNjEyZTM0NmRhZWZhNjIiLCJwIjoic2hlZXRzLWppcmEifQ","HWKREPORT-2918")</f>
        <v>HWKREPORT-2918</v>
      </c>
      <c r="C538" s="1" t="s">
        <v>1707</v>
      </c>
      <c r="D538" s="1" t="s">
        <v>48</v>
      </c>
      <c r="E538" s="1" t="s">
        <v>1057</v>
      </c>
      <c r="F538" s="4">
        <v>45559.5909375</v>
      </c>
      <c r="G538" s="3" t="str">
        <f>HYPERLINK("https://hawk-eye.atlassian.net/browse/FP-286?atlOrigin=eyJpIjoiYzgwYTQ0ZjEyNzQzNGJhN2JmNjEyZTM0NmRhZWZhNjIiLCJwIjoic2hlZXRzLWppcmEifQ","FP-286")</f>
        <v>FP-286</v>
      </c>
      <c r="H538" s="1" t="s">
        <v>1058</v>
      </c>
      <c r="I538" s="1" t="s">
        <v>1085</v>
      </c>
      <c r="J538" s="1" t="s">
        <v>26</v>
      </c>
      <c r="K538" s="1" t="s">
        <v>1290</v>
      </c>
      <c r="L538" s="1" t="s">
        <v>26</v>
      </c>
      <c r="M538" s="1" t="s">
        <v>27</v>
      </c>
      <c r="N538" s="1" t="s">
        <v>26</v>
      </c>
      <c r="O538" s="1" t="s">
        <v>26</v>
      </c>
      <c r="P538" s="4">
        <v>45559.590949074074</v>
      </c>
    </row>
    <row r="539" hidden="1">
      <c r="A539" s="1" t="s">
        <v>1055</v>
      </c>
      <c r="B539" s="3" t="str">
        <f>HYPERLINK("https://hawk-eye.atlassian.net/browse/HWKREPORT-2919?atlOrigin=eyJpIjoiYzgwYTQ0ZjEyNzQzNGJhN2JmNjEyZTM0NmRhZWZhNjIiLCJwIjoic2hlZXRzLWppcmEifQ","HWKREPORT-2919")</f>
        <v>HWKREPORT-2919</v>
      </c>
      <c r="C539" s="1" t="s">
        <v>1708</v>
      </c>
      <c r="D539" s="1" t="s">
        <v>48</v>
      </c>
      <c r="E539" s="1" t="s">
        <v>1057</v>
      </c>
      <c r="F539" s="4">
        <v>45559.59344907408</v>
      </c>
      <c r="G539" s="3" t="str">
        <f>HYPERLINK("https://hawk-eye.atlassian.net/browse/FP-287?atlOrigin=eyJpIjoiYzgwYTQ0ZjEyNzQzNGJhN2JmNjEyZTM0NmRhZWZhNjIiLCJwIjoic2hlZXRzLWppcmEifQ","FP-287")</f>
        <v>FP-287</v>
      </c>
      <c r="H539" s="1" t="s">
        <v>1058</v>
      </c>
      <c r="I539" s="1" t="s">
        <v>1085</v>
      </c>
      <c r="J539" s="1" t="s">
        <v>26</v>
      </c>
      <c r="K539" s="1" t="s">
        <v>1290</v>
      </c>
      <c r="L539" s="1" t="s">
        <v>26</v>
      </c>
      <c r="M539" s="1" t="s">
        <v>27</v>
      </c>
      <c r="N539" s="1" t="s">
        <v>26</v>
      </c>
      <c r="O539" s="1" t="s">
        <v>26</v>
      </c>
      <c r="P539" s="4">
        <v>45559.59344907408</v>
      </c>
    </row>
    <row r="540" hidden="1">
      <c r="A540" s="1" t="s">
        <v>1055</v>
      </c>
      <c r="B540" s="3" t="str">
        <f>HYPERLINK("https://hawk-eye.atlassian.net/browse/HWKREPORT-2920?atlOrigin=eyJpIjoiYzgwYTQ0ZjEyNzQzNGJhN2JmNjEyZTM0NmRhZWZhNjIiLCJwIjoic2hlZXRzLWppcmEifQ","HWKREPORT-2920")</f>
        <v>HWKREPORT-2920</v>
      </c>
      <c r="C540" s="1" t="s">
        <v>1709</v>
      </c>
      <c r="D540" s="1" t="s">
        <v>48</v>
      </c>
      <c r="E540" s="1" t="s">
        <v>1057</v>
      </c>
      <c r="F540" s="4">
        <v>45559.59798611111</v>
      </c>
      <c r="G540" s="3" t="str">
        <f>HYPERLINK("https://hawk-eye.atlassian.net/browse/FP-288?atlOrigin=eyJpIjoiYzgwYTQ0ZjEyNzQzNGJhN2JmNjEyZTM0NmRhZWZhNjIiLCJwIjoic2hlZXRzLWppcmEifQ","FP-288")</f>
        <v>FP-288</v>
      </c>
      <c r="H540" s="1" t="s">
        <v>1058</v>
      </c>
      <c r="I540" s="1" t="s">
        <v>1085</v>
      </c>
      <c r="J540" s="1" t="s">
        <v>26</v>
      </c>
      <c r="K540" s="1" t="s">
        <v>1290</v>
      </c>
      <c r="L540" s="1" t="s">
        <v>26</v>
      </c>
      <c r="M540" s="1" t="s">
        <v>27</v>
      </c>
      <c r="N540" s="1" t="s">
        <v>26</v>
      </c>
      <c r="O540" s="1" t="s">
        <v>26</v>
      </c>
      <c r="P540" s="4">
        <v>45559.59799768519</v>
      </c>
    </row>
    <row r="541" hidden="1">
      <c r="A541" s="1" t="s">
        <v>1055</v>
      </c>
      <c r="B541" s="3" t="str">
        <f>HYPERLINK("https://hawk-eye.atlassian.net/browse/HWKREPORT-2921?atlOrigin=eyJpIjoiYzgwYTQ0ZjEyNzQzNGJhN2JmNjEyZTM0NmRhZWZhNjIiLCJwIjoic2hlZXRzLWppcmEifQ","HWKREPORT-2921")</f>
        <v>HWKREPORT-2921</v>
      </c>
      <c r="C541" s="1" t="s">
        <v>1710</v>
      </c>
      <c r="D541" s="1" t="s">
        <v>48</v>
      </c>
      <c r="E541" s="1" t="s">
        <v>1057</v>
      </c>
      <c r="F541" s="4">
        <v>45559.61261574074</v>
      </c>
      <c r="G541" s="3" t="str">
        <f>HYPERLINK("https://hawk-eye.atlassian.net/browse/FP-289?atlOrigin=eyJpIjoiYzgwYTQ0ZjEyNzQzNGJhN2JmNjEyZTM0NmRhZWZhNjIiLCJwIjoic2hlZXRzLWppcmEifQ","FP-289")</f>
        <v>FP-289</v>
      </c>
      <c r="H541" s="1" t="s">
        <v>1058</v>
      </c>
      <c r="I541" s="1" t="s">
        <v>1085</v>
      </c>
      <c r="J541" s="1" t="s">
        <v>26</v>
      </c>
      <c r="K541" s="1" t="s">
        <v>1290</v>
      </c>
      <c r="L541" s="1" t="s">
        <v>26</v>
      </c>
      <c r="M541" s="1" t="s">
        <v>27</v>
      </c>
      <c r="N541" s="1" t="s">
        <v>26</v>
      </c>
      <c r="O541" s="1" t="s">
        <v>26</v>
      </c>
      <c r="P541" s="4">
        <v>45559.61262731482</v>
      </c>
    </row>
    <row r="542" hidden="1">
      <c r="A542" s="1" t="s">
        <v>1055</v>
      </c>
      <c r="B542" s="3" t="str">
        <f>HYPERLINK("https://hawk-eye.atlassian.net/browse/HWKREPORT-2922?atlOrigin=eyJpIjoiYzgwYTQ0ZjEyNzQzNGJhN2JmNjEyZTM0NmRhZWZhNjIiLCJwIjoic2hlZXRzLWppcmEifQ","HWKREPORT-2922")</f>
        <v>HWKREPORT-2922</v>
      </c>
      <c r="C542" s="1" t="s">
        <v>1711</v>
      </c>
      <c r="D542" s="1" t="s">
        <v>48</v>
      </c>
      <c r="E542" s="1" t="s">
        <v>1057</v>
      </c>
      <c r="F542" s="4">
        <v>45559.62912037037</v>
      </c>
      <c r="G542" s="3" t="str">
        <f>HYPERLINK("https://hawk-eye.atlassian.net/browse/FP-290?atlOrigin=eyJpIjoiYzgwYTQ0ZjEyNzQzNGJhN2JmNjEyZTM0NmRhZWZhNjIiLCJwIjoic2hlZXRzLWppcmEifQ","FP-290")</f>
        <v>FP-290</v>
      </c>
      <c r="H542" s="1" t="s">
        <v>1058</v>
      </c>
      <c r="I542" s="1" t="s">
        <v>1085</v>
      </c>
      <c r="J542" s="1" t="s">
        <v>26</v>
      </c>
      <c r="K542" s="1" t="s">
        <v>1290</v>
      </c>
      <c r="L542" s="1" t="s">
        <v>26</v>
      </c>
      <c r="M542" s="1" t="s">
        <v>27</v>
      </c>
      <c r="N542" s="1" t="s">
        <v>26</v>
      </c>
      <c r="O542" s="1" t="s">
        <v>26</v>
      </c>
      <c r="P542" s="4">
        <v>45559.62913194444</v>
      </c>
    </row>
    <row r="543" hidden="1">
      <c r="A543" s="1" t="s">
        <v>21</v>
      </c>
      <c r="B543" s="3" t="str">
        <f>HYPERLINK("https://hawk-eye.atlassian.net/browse/HWKREPORT-2923?atlOrigin=eyJpIjoiYzgwYTQ0ZjEyNzQzNGJhN2JmNjEyZTM0NmRhZWZhNjIiLCJwIjoic2hlZXRzLWppcmEifQ","HWKREPORT-2923")</f>
        <v>HWKREPORT-2923</v>
      </c>
      <c r="C543" s="1" t="s">
        <v>1712</v>
      </c>
      <c r="D543" s="1" t="s">
        <v>40</v>
      </c>
      <c r="E543" s="1" t="s">
        <v>1057</v>
      </c>
      <c r="F543" s="4">
        <v>45560.707349537035</v>
      </c>
      <c r="G543" s="3" t="str">
        <f>HYPERLINK("https://hawk-eye.atlassian.net/browse/SO-1855?atlOrigin=eyJpIjoiYzgwYTQ0ZjEyNzQzNGJhN2JmNjEyZTM0NmRhZWZhNjIiLCJwIjoic2hlZXRzLWppcmEifQ","SO-1855")</f>
        <v>SO-1855</v>
      </c>
      <c r="H543" s="1" t="s">
        <v>1058</v>
      </c>
      <c r="I543" s="1" t="s">
        <v>1085</v>
      </c>
      <c r="J543" s="1" t="s">
        <v>26</v>
      </c>
      <c r="K543" s="1" t="s">
        <v>1392</v>
      </c>
      <c r="L543" s="1" t="s">
        <v>26</v>
      </c>
      <c r="M543" s="1" t="s">
        <v>27</v>
      </c>
      <c r="N543" s="1" t="s">
        <v>26</v>
      </c>
      <c r="O543" s="1" t="s">
        <v>26</v>
      </c>
      <c r="P543" s="4">
        <v>45560.70736111111</v>
      </c>
    </row>
    <row r="544" hidden="1">
      <c r="A544" s="1" t="s">
        <v>1055</v>
      </c>
      <c r="B544" s="3" t="str">
        <f>HYPERLINK("https://hawk-eye.atlassian.net/browse/HWKREPORT-2924?atlOrigin=eyJpIjoiYzgwYTQ0ZjEyNzQzNGJhN2JmNjEyZTM0NmRhZWZhNjIiLCJwIjoic2hlZXRzLWppcmEifQ","HWKREPORT-2924")</f>
        <v>HWKREPORT-2924</v>
      </c>
      <c r="C544" s="1" t="s">
        <v>1713</v>
      </c>
      <c r="D544" s="1" t="s">
        <v>48</v>
      </c>
      <c r="E544" s="1" t="s">
        <v>1057</v>
      </c>
      <c r="F544" s="4">
        <v>45561.61283564815</v>
      </c>
      <c r="G544" s="3" t="str">
        <f>HYPERLINK("https://hawk-eye.atlassian.net/browse/FP-291?atlOrigin=eyJpIjoiYzgwYTQ0ZjEyNzQzNGJhN2JmNjEyZTM0NmRhZWZhNjIiLCJwIjoic2hlZXRzLWppcmEifQ","FP-291")</f>
        <v>FP-291</v>
      </c>
      <c r="H544" s="1" t="s">
        <v>1058</v>
      </c>
      <c r="I544" s="1" t="s">
        <v>1085</v>
      </c>
      <c r="J544" s="1" t="s">
        <v>26</v>
      </c>
      <c r="K544" s="1" t="s">
        <v>1290</v>
      </c>
      <c r="L544" s="1" t="s">
        <v>26</v>
      </c>
      <c r="M544" s="1" t="s">
        <v>27</v>
      </c>
      <c r="N544" s="1" t="s">
        <v>26</v>
      </c>
      <c r="O544" s="1" t="s">
        <v>26</v>
      </c>
      <c r="P544" s="4">
        <v>45561.61283564815</v>
      </c>
    </row>
    <row r="545" hidden="1">
      <c r="A545" s="1" t="s">
        <v>1055</v>
      </c>
      <c r="B545" s="3" t="str">
        <f>HYPERLINK("https://hawk-eye.atlassian.net/browse/HWKREPORT-2925?atlOrigin=eyJpIjoiYzgwYTQ0ZjEyNzQzNGJhN2JmNjEyZTM0NmRhZWZhNjIiLCJwIjoic2hlZXRzLWppcmEifQ","HWKREPORT-2925")</f>
        <v>HWKREPORT-2925</v>
      </c>
      <c r="C545" s="1" t="s">
        <v>1714</v>
      </c>
      <c r="D545" s="1" t="s">
        <v>23</v>
      </c>
      <c r="E545" s="1" t="s">
        <v>1057</v>
      </c>
      <c r="F545" s="4">
        <v>45562.66236111111</v>
      </c>
      <c r="G545" s="3" t="str">
        <f t="shared" ref="G545:G549" si="50">HYPERLINK("https://hawk-eye.atlassian.net/browse/?atlOrigin=eyJpIjoiYzgwYTQ0ZjEyNzQzNGJhN2JmNjEyZTM0NmRhZWZhNjIiLCJwIjoic2hlZXRzLWppcmEifQ","")</f>
        <v/>
      </c>
      <c r="H545" s="1" t="s">
        <v>1058</v>
      </c>
      <c r="I545" s="1" t="s">
        <v>1071</v>
      </c>
      <c r="J545" s="1" t="s">
        <v>26</v>
      </c>
      <c r="K545" s="1" t="s">
        <v>1276</v>
      </c>
      <c r="L545" s="1" t="s">
        <v>26</v>
      </c>
      <c r="M545" s="1" t="s">
        <v>27</v>
      </c>
      <c r="N545" s="1" t="s">
        <v>26</v>
      </c>
      <c r="O545" s="1" t="s">
        <v>26</v>
      </c>
      <c r="P545" s="4">
        <v>45562.66237268518</v>
      </c>
    </row>
    <row r="546" hidden="1">
      <c r="A546" s="1" t="s">
        <v>21</v>
      </c>
      <c r="B546" s="3" t="str">
        <f>HYPERLINK("https://hawk-eye.atlassian.net/browse/HWKREPORT-2926?atlOrigin=eyJpIjoiYzgwYTQ0ZjEyNzQzNGJhN2JmNjEyZTM0NmRhZWZhNjIiLCJwIjoic2hlZXRzLWppcmEifQ","HWKREPORT-2926")</f>
        <v>HWKREPORT-2926</v>
      </c>
      <c r="C546" s="1" t="s">
        <v>1715</v>
      </c>
      <c r="D546" s="1" t="s">
        <v>34</v>
      </c>
      <c r="E546" s="1" t="s">
        <v>35</v>
      </c>
      <c r="F546" s="4">
        <v>45564.248240740744</v>
      </c>
      <c r="G546" s="3" t="str">
        <f t="shared" si="50"/>
        <v/>
      </c>
      <c r="H546" s="1" t="s">
        <v>1058</v>
      </c>
      <c r="I546" s="1" t="s">
        <v>1151</v>
      </c>
      <c r="J546" s="1" t="s">
        <v>26</v>
      </c>
      <c r="K546" s="1" t="s">
        <v>1355</v>
      </c>
      <c r="L546" s="1" t="s">
        <v>26</v>
      </c>
      <c r="M546" s="1" t="s">
        <v>27</v>
      </c>
      <c r="N546" s="1" t="s">
        <v>26</v>
      </c>
      <c r="O546" s="1" t="s">
        <v>26</v>
      </c>
      <c r="P546" s="4">
        <v>45770.69571759259</v>
      </c>
    </row>
    <row r="547" hidden="1">
      <c r="A547" s="1" t="s">
        <v>1055</v>
      </c>
      <c r="B547" s="3" t="str">
        <f>HYPERLINK("https://hawk-eye.atlassian.net/browse/HWKREPORT-2927?atlOrigin=eyJpIjoiYzgwYTQ0ZjEyNzQzNGJhN2JmNjEyZTM0NmRhZWZhNjIiLCJwIjoic2hlZXRzLWppcmEifQ","HWKREPORT-2927")</f>
        <v>HWKREPORT-2927</v>
      </c>
      <c r="C547" s="1" t="s">
        <v>1716</v>
      </c>
      <c r="D547" s="1" t="s">
        <v>48</v>
      </c>
      <c r="E547" s="1" t="s">
        <v>1057</v>
      </c>
      <c r="F547" s="4">
        <v>45565.49458333333</v>
      </c>
      <c r="G547" s="3" t="str">
        <f t="shared" si="50"/>
        <v/>
      </c>
      <c r="H547" s="1" t="s">
        <v>1058</v>
      </c>
      <c r="I547" s="1" t="s">
        <v>1082</v>
      </c>
      <c r="J547" s="1" t="s">
        <v>26</v>
      </c>
      <c r="K547" s="1" t="s">
        <v>1717</v>
      </c>
      <c r="L547" s="1" t="s">
        <v>26</v>
      </c>
      <c r="M547" s="1" t="s">
        <v>27</v>
      </c>
      <c r="N547" s="1" t="s">
        <v>26</v>
      </c>
      <c r="O547" s="1" t="s">
        <v>26</v>
      </c>
      <c r="P547" s="4">
        <v>45565.49459490741</v>
      </c>
    </row>
    <row r="548" hidden="1">
      <c r="A548" s="1" t="s">
        <v>1055</v>
      </c>
      <c r="B548" s="3" t="str">
        <f>HYPERLINK("https://hawk-eye.atlassian.net/browse/HWKREPORT-2928?atlOrigin=eyJpIjoiYzgwYTQ0ZjEyNzQzNGJhN2JmNjEyZTM0NmRhZWZhNjIiLCJwIjoic2hlZXRzLWppcmEifQ","HWKREPORT-2928")</f>
        <v>HWKREPORT-2928</v>
      </c>
      <c r="C548" s="1" t="s">
        <v>1718</v>
      </c>
      <c r="D548" s="1" t="s">
        <v>48</v>
      </c>
      <c r="E548" s="1" t="s">
        <v>1057</v>
      </c>
      <c r="F548" s="4">
        <v>45565.599710648145</v>
      </c>
      <c r="G548" s="3" t="str">
        <f t="shared" si="50"/>
        <v/>
      </c>
      <c r="H548" s="1" t="s">
        <v>1058</v>
      </c>
      <c r="I548" s="1" t="s">
        <v>1082</v>
      </c>
      <c r="J548" s="1" t="s">
        <v>26</v>
      </c>
      <c r="K548" s="1" t="s">
        <v>1719</v>
      </c>
      <c r="L548" s="1" t="s">
        <v>26</v>
      </c>
      <c r="M548" s="1" t="s">
        <v>27</v>
      </c>
      <c r="N548" s="1" t="s">
        <v>26</v>
      </c>
      <c r="O548" s="1" t="s">
        <v>26</v>
      </c>
      <c r="P548" s="4">
        <v>45565.59972222222</v>
      </c>
    </row>
    <row r="549" hidden="1">
      <c r="A549" s="1" t="s">
        <v>1055</v>
      </c>
      <c r="B549" s="3" t="str">
        <f>HYPERLINK("https://hawk-eye.atlassian.net/browse/HWKREPORT-2929?atlOrigin=eyJpIjoiYzgwYTQ0ZjEyNzQzNGJhN2JmNjEyZTM0NmRhZWZhNjIiLCJwIjoic2hlZXRzLWppcmEifQ","HWKREPORT-2929")</f>
        <v>HWKREPORT-2929</v>
      </c>
      <c r="C549" s="1" t="s">
        <v>1720</v>
      </c>
      <c r="D549" s="1" t="s">
        <v>48</v>
      </c>
      <c r="E549" s="1" t="s">
        <v>1057</v>
      </c>
      <c r="F549" s="4">
        <v>45565.62670138889</v>
      </c>
      <c r="G549" s="3" t="str">
        <f t="shared" si="50"/>
        <v/>
      </c>
      <c r="H549" s="1" t="s">
        <v>1058</v>
      </c>
      <c r="I549" s="1" t="s">
        <v>1126</v>
      </c>
      <c r="J549" s="1" t="s">
        <v>26</v>
      </c>
      <c r="K549" s="1" t="s">
        <v>1211</v>
      </c>
      <c r="L549" s="1" t="s">
        <v>26</v>
      </c>
      <c r="M549" s="1" t="s">
        <v>27</v>
      </c>
      <c r="N549" s="1" t="s">
        <v>26</v>
      </c>
      <c r="O549" s="1" t="s">
        <v>26</v>
      </c>
      <c r="P549" s="4">
        <v>45565.62670138889</v>
      </c>
    </row>
    <row r="550" hidden="1">
      <c r="A550" s="1" t="s">
        <v>21</v>
      </c>
      <c r="B550" s="3" t="str">
        <f>HYPERLINK("https://hawk-eye.atlassian.net/browse/HWKREPORT-2930?atlOrigin=eyJpIjoiYzgwYTQ0ZjEyNzQzNGJhN2JmNjEyZTM0NmRhZWZhNjIiLCJwIjoic2hlZXRzLWppcmEifQ","HWKREPORT-2930")</f>
        <v>HWKREPORT-2930</v>
      </c>
      <c r="C550" s="1" t="s">
        <v>1721</v>
      </c>
      <c r="D550" s="1" t="s">
        <v>23</v>
      </c>
      <c r="E550" s="1" t="s">
        <v>1057</v>
      </c>
      <c r="F550" s="4">
        <v>45565.66788194444</v>
      </c>
      <c r="G550" s="3" t="str">
        <f>HYPERLINK("https://hawk-eye.atlassian.net/browse/SMARTGFX-546?atlOrigin=eyJpIjoiYzgwYTQ0ZjEyNzQzNGJhN2JmNjEyZTM0NmRhZWZhNjIiLCJwIjoic2hlZXRzLWppcmEifQ","SMARTGFX-546")</f>
        <v>SMARTGFX-546</v>
      </c>
      <c r="H550" s="1" t="s">
        <v>1058</v>
      </c>
      <c r="I550" s="1" t="s">
        <v>1085</v>
      </c>
      <c r="J550" s="1" t="s">
        <v>26</v>
      </c>
      <c r="K550" s="1" t="s">
        <v>1722</v>
      </c>
      <c r="L550" s="1" t="s">
        <v>26</v>
      </c>
      <c r="M550" s="1" t="s">
        <v>27</v>
      </c>
      <c r="N550" s="1" t="s">
        <v>26</v>
      </c>
      <c r="O550" s="1" t="s">
        <v>26</v>
      </c>
      <c r="P550" s="4">
        <v>45565.667905092596</v>
      </c>
    </row>
    <row r="551" hidden="1">
      <c r="A551" s="1" t="s">
        <v>21</v>
      </c>
      <c r="B551" s="3" t="str">
        <f>HYPERLINK("https://hawk-eye.atlassian.net/browse/HWKREPORT-2931?atlOrigin=eyJpIjoiYzgwYTQ0ZjEyNzQzNGJhN2JmNjEyZTM0NmRhZWZhNjIiLCJwIjoic2hlZXRzLWppcmEifQ","HWKREPORT-2931")</f>
        <v>HWKREPORT-2931</v>
      </c>
      <c r="C551" s="1" t="s">
        <v>1723</v>
      </c>
      <c r="D551" s="1" t="s">
        <v>34</v>
      </c>
      <c r="E551" s="1" t="s">
        <v>1057</v>
      </c>
      <c r="F551" s="4">
        <v>45566.414675925924</v>
      </c>
      <c r="G551" s="3" t="str">
        <f>HYPERLINK("https://hawk-eye.atlassian.net/browse/?atlOrigin=eyJpIjoiYzgwYTQ0ZjEyNzQzNGJhN2JmNjEyZTM0NmRhZWZhNjIiLCJwIjoic2hlZXRzLWppcmEifQ","")</f>
        <v/>
      </c>
      <c r="H551" s="1" t="s">
        <v>1058</v>
      </c>
      <c r="I551" s="1" t="s">
        <v>1085</v>
      </c>
      <c r="J551" s="1" t="s">
        <v>26</v>
      </c>
      <c r="K551" s="1" t="s">
        <v>1724</v>
      </c>
      <c r="L551" s="1" t="s">
        <v>26</v>
      </c>
      <c r="M551" s="1" t="s">
        <v>27</v>
      </c>
      <c r="N551" s="1" t="s">
        <v>26</v>
      </c>
      <c r="O551" s="1" t="s">
        <v>26</v>
      </c>
      <c r="P551" s="4">
        <v>45566.4146875</v>
      </c>
    </row>
    <row r="552" hidden="1">
      <c r="A552" s="1" t="s">
        <v>21</v>
      </c>
      <c r="B552" s="3" t="str">
        <f>HYPERLINK("https://hawk-eye.atlassian.net/browse/HWKREPORT-2932?atlOrigin=eyJpIjoiYzgwYTQ0ZjEyNzQzNGJhN2JmNjEyZTM0NmRhZWZhNjIiLCJwIjoic2hlZXRzLWppcmEifQ","HWKREPORT-2932")</f>
        <v>HWKREPORT-2932</v>
      </c>
      <c r="C552" s="1" t="s">
        <v>1725</v>
      </c>
      <c r="D552" s="1" t="s">
        <v>34</v>
      </c>
      <c r="E552" s="1" t="s">
        <v>35</v>
      </c>
      <c r="F552" s="4">
        <v>45566.706770833334</v>
      </c>
      <c r="G552" s="3" t="str">
        <f>HYPERLINK("https://hawk-eye.atlassian.net/browse/SO-1865?atlOrigin=eyJpIjoiYzgwYTQ0ZjEyNzQzNGJhN2JmNjEyZTM0NmRhZWZhNjIiLCJwIjoic2hlZXRzLWppcmEifQ","SO-1865")</f>
        <v>SO-1865</v>
      </c>
      <c r="H552" s="1" t="s">
        <v>1058</v>
      </c>
      <c r="I552" s="1" t="s">
        <v>1082</v>
      </c>
      <c r="J552" s="1" t="s">
        <v>26</v>
      </c>
      <c r="K552" s="1" t="s">
        <v>1726</v>
      </c>
      <c r="L552" s="1" t="s">
        <v>26</v>
      </c>
      <c r="M552" s="1" t="s">
        <v>27</v>
      </c>
      <c r="N552" s="1" t="s">
        <v>26</v>
      </c>
      <c r="O552" s="1" t="s">
        <v>26</v>
      </c>
      <c r="P552" s="4">
        <v>45586.55111111111</v>
      </c>
    </row>
    <row r="553">
      <c r="A553" s="1" t="s">
        <v>21</v>
      </c>
      <c r="B553" s="3" t="str">
        <f>HYPERLINK("https://hawk-eye.atlassian.net/browse/HWKREPORT-2933?atlOrigin=eyJpIjoiYzgwYTQ0ZjEyNzQzNGJhN2JmNjEyZTM0NmRhZWZhNjIiLCJwIjoic2hlZXRzLWppcmEifQ","HWKREPORT-2933")</f>
        <v>HWKREPORT-2933</v>
      </c>
      <c r="C553" s="1" t="s">
        <v>1727</v>
      </c>
      <c r="D553" s="1" t="s">
        <v>23</v>
      </c>
      <c r="E553" s="1" t="s">
        <v>35</v>
      </c>
      <c r="F553" s="4">
        <v>45567.74365740741</v>
      </c>
      <c r="G553" s="3" t="str">
        <f>HYPERLINK("https://hawk-eye.atlassian.net/browse/RTT-9243?atlOrigin=eyJpIjoiYzgwYTQ0ZjEyNzQzNGJhN2JmNjEyZTM0NmRhZWZhNjIiLCJwIjoic2hlZXRzLWppcmEifQ","RTT-9243")</f>
        <v>RTT-9243</v>
      </c>
      <c r="H553" s="1" t="s">
        <v>1058</v>
      </c>
      <c r="I553" s="1" t="s">
        <v>28</v>
      </c>
      <c r="J553" s="1" t="s">
        <v>26</v>
      </c>
      <c r="K553" s="1" t="s">
        <v>1072</v>
      </c>
      <c r="L553" s="1" t="s">
        <v>26</v>
      </c>
      <c r="M553" s="1" t="s">
        <v>27</v>
      </c>
      <c r="N553" s="1" t="s">
        <v>26</v>
      </c>
      <c r="O553" s="1" t="s">
        <v>26</v>
      </c>
      <c r="P553" s="4">
        <v>45699.70361111111</v>
      </c>
    </row>
    <row r="554" hidden="1">
      <c r="A554" s="1" t="s">
        <v>1055</v>
      </c>
      <c r="B554" s="3" t="str">
        <f>HYPERLINK("https://hawk-eye.atlassian.net/browse/HWKREPORT-2934?atlOrigin=eyJpIjoiYzgwYTQ0ZjEyNzQzNGJhN2JmNjEyZTM0NmRhZWZhNjIiLCJwIjoic2hlZXRzLWppcmEifQ","HWKREPORT-2934")</f>
        <v>HWKREPORT-2934</v>
      </c>
      <c r="C554" s="1" t="s">
        <v>1728</v>
      </c>
      <c r="D554" s="1" t="s">
        <v>48</v>
      </c>
      <c r="E554" s="1" t="s">
        <v>1057</v>
      </c>
      <c r="F554" s="4">
        <v>45567.81197916667</v>
      </c>
      <c r="G554" s="3" t="str">
        <f t="shared" ref="G554:G557" si="51">HYPERLINK("https://hawk-eye.atlassian.net/browse/?atlOrigin=eyJpIjoiYzgwYTQ0ZjEyNzQzNGJhN2JmNjEyZTM0NmRhZWZhNjIiLCJwIjoic2hlZXRzLWppcmEifQ","")</f>
        <v/>
      </c>
      <c r="H554" s="1" t="s">
        <v>1058</v>
      </c>
      <c r="I554" s="1" t="s">
        <v>28</v>
      </c>
      <c r="J554" s="1" t="s">
        <v>26</v>
      </c>
      <c r="K554" s="1" t="s">
        <v>1309</v>
      </c>
      <c r="L554" s="1" t="s">
        <v>26</v>
      </c>
      <c r="M554" s="1" t="s">
        <v>27</v>
      </c>
      <c r="N554" s="1" t="s">
        <v>26</v>
      </c>
      <c r="O554" s="1" t="s">
        <v>26</v>
      </c>
      <c r="P554" s="4">
        <v>45567.81199074074</v>
      </c>
    </row>
    <row r="555" hidden="1">
      <c r="A555" s="1" t="s">
        <v>21</v>
      </c>
      <c r="B555" s="3" t="str">
        <f>HYPERLINK("https://hawk-eye.atlassian.net/browse/HWKREPORT-2935?atlOrigin=eyJpIjoiYzgwYTQ0ZjEyNzQzNGJhN2JmNjEyZTM0NmRhZWZhNjIiLCJwIjoic2hlZXRzLWppcmEifQ","HWKREPORT-2935")</f>
        <v>HWKREPORT-2935</v>
      </c>
      <c r="C555" s="1" t="s">
        <v>1729</v>
      </c>
      <c r="D555" s="1" t="s">
        <v>34</v>
      </c>
      <c r="E555" s="1" t="s">
        <v>35</v>
      </c>
      <c r="F555" s="4">
        <v>45568.47827546296</v>
      </c>
      <c r="G555" s="3" t="str">
        <f t="shared" si="51"/>
        <v/>
      </c>
      <c r="H555" s="1" t="s">
        <v>1058</v>
      </c>
      <c r="I555" s="1" t="s">
        <v>1085</v>
      </c>
      <c r="J555" s="1" t="s">
        <v>26</v>
      </c>
      <c r="K555" s="1" t="s">
        <v>1355</v>
      </c>
      <c r="L555" s="1" t="s">
        <v>26</v>
      </c>
      <c r="M555" s="1" t="s">
        <v>27</v>
      </c>
      <c r="N555" s="1" t="s">
        <v>26</v>
      </c>
      <c r="O555" s="1" t="s">
        <v>26</v>
      </c>
      <c r="P555" s="4">
        <v>45573.46616898148</v>
      </c>
    </row>
    <row r="556" hidden="1">
      <c r="A556" s="1" t="s">
        <v>21</v>
      </c>
      <c r="B556" s="3" t="str">
        <f>HYPERLINK("https://hawk-eye.atlassian.net/browse/HWKREPORT-2936?atlOrigin=eyJpIjoiYzgwYTQ0ZjEyNzQzNGJhN2JmNjEyZTM0NmRhZWZhNjIiLCJwIjoic2hlZXRzLWppcmEifQ","HWKREPORT-2936")</f>
        <v>HWKREPORT-2936</v>
      </c>
      <c r="C556" s="1" t="s">
        <v>1730</v>
      </c>
      <c r="D556" s="1" t="s">
        <v>23</v>
      </c>
      <c r="E556" s="1" t="s">
        <v>1057</v>
      </c>
      <c r="F556" s="4">
        <v>45568.641701388886</v>
      </c>
      <c r="G556" s="3" t="str">
        <f t="shared" si="51"/>
        <v/>
      </c>
      <c r="H556" s="1" t="s">
        <v>1058</v>
      </c>
      <c r="I556" s="1" t="s">
        <v>1377</v>
      </c>
      <c r="J556" s="1" t="s">
        <v>26</v>
      </c>
      <c r="K556" s="1" t="s">
        <v>1241</v>
      </c>
      <c r="L556" s="1" t="s">
        <v>26</v>
      </c>
      <c r="M556" s="1" t="s">
        <v>27</v>
      </c>
      <c r="N556" s="1" t="s">
        <v>26</v>
      </c>
      <c r="O556" s="1" t="s">
        <v>26</v>
      </c>
      <c r="P556" s="4">
        <v>45568.64171296296</v>
      </c>
    </row>
    <row r="557" hidden="1">
      <c r="A557" s="1" t="s">
        <v>1055</v>
      </c>
      <c r="B557" s="3" t="str">
        <f>HYPERLINK("https://hawk-eye.atlassian.net/browse/HWKREPORT-2937?atlOrigin=eyJpIjoiYzgwYTQ0ZjEyNzQzNGJhN2JmNjEyZTM0NmRhZWZhNjIiLCJwIjoic2hlZXRzLWppcmEifQ","HWKREPORT-2937")</f>
        <v>HWKREPORT-2937</v>
      </c>
      <c r="C557" s="1" t="s">
        <v>1731</v>
      </c>
      <c r="D557" s="1" t="s">
        <v>48</v>
      </c>
      <c r="E557" s="1" t="s">
        <v>1057</v>
      </c>
      <c r="F557" s="4">
        <v>45568.74074074074</v>
      </c>
      <c r="G557" s="3" t="str">
        <f t="shared" si="51"/>
        <v/>
      </c>
      <c r="H557" s="1" t="s">
        <v>1058</v>
      </c>
      <c r="I557" s="1" t="s">
        <v>1087</v>
      </c>
      <c r="J557" s="1" t="s">
        <v>26</v>
      </c>
      <c r="K557" s="1" t="s">
        <v>1732</v>
      </c>
      <c r="L557" s="1" t="s">
        <v>26</v>
      </c>
      <c r="M557" s="1" t="s">
        <v>27</v>
      </c>
      <c r="N557" s="1" t="s">
        <v>26</v>
      </c>
      <c r="O557" s="1" t="s">
        <v>26</v>
      </c>
      <c r="P557" s="4">
        <v>45568.74074074074</v>
      </c>
    </row>
    <row r="558" hidden="1">
      <c r="A558" s="1" t="s">
        <v>21</v>
      </c>
      <c r="B558" s="3" t="str">
        <f>HYPERLINK("https://hawk-eye.atlassian.net/browse/HWKREPORT-2938?atlOrigin=eyJpIjoiYzgwYTQ0ZjEyNzQzNGJhN2JmNjEyZTM0NmRhZWZhNjIiLCJwIjoic2hlZXRzLWppcmEifQ","HWKREPORT-2938")</f>
        <v>HWKREPORT-2938</v>
      </c>
      <c r="C558" s="1" t="s">
        <v>1733</v>
      </c>
      <c r="D558" s="1" t="s">
        <v>40</v>
      </c>
      <c r="E558" s="1" t="s">
        <v>1207</v>
      </c>
      <c r="F558" s="4">
        <v>45571.88018518518</v>
      </c>
      <c r="G558" s="3" t="str">
        <f>HYPERLINK("https://hawk-eye.atlassian.net/browse/RTT-9253?atlOrigin=eyJpIjoiYzgwYTQ0ZjEyNzQzNGJhN2JmNjEyZTM0NmRhZWZhNjIiLCJwIjoic2hlZXRzLWppcmEifQ","RTT-9253")</f>
        <v>RTT-9253</v>
      </c>
      <c r="H558" s="1" t="s">
        <v>1058</v>
      </c>
      <c r="I558" s="1" t="s">
        <v>1085</v>
      </c>
      <c r="J558" s="1" t="s">
        <v>26</v>
      </c>
      <c r="K558" s="1" t="s">
        <v>1072</v>
      </c>
      <c r="L558" s="1" t="s">
        <v>26</v>
      </c>
      <c r="M558" s="1" t="s">
        <v>27</v>
      </c>
      <c r="N558" s="1" t="s">
        <v>26</v>
      </c>
      <c r="O558" s="1" t="s">
        <v>26</v>
      </c>
      <c r="P558" s="4">
        <v>45574.77855324074</v>
      </c>
    </row>
    <row r="559" hidden="1">
      <c r="A559" s="1" t="s">
        <v>21</v>
      </c>
      <c r="B559" s="3" t="str">
        <f>HYPERLINK("https://hawk-eye.atlassian.net/browse/HWKREPORT-2939?atlOrigin=eyJpIjoiYzgwYTQ0ZjEyNzQzNGJhN2JmNjEyZTM0NmRhZWZhNjIiLCJwIjoic2hlZXRzLWppcmEifQ","HWKREPORT-2939")</f>
        <v>HWKREPORT-2939</v>
      </c>
      <c r="C559" s="1" t="s">
        <v>1734</v>
      </c>
      <c r="D559" s="1" t="s">
        <v>23</v>
      </c>
      <c r="E559" s="1" t="s">
        <v>35</v>
      </c>
      <c r="F559" s="4">
        <v>45571.88340277778</v>
      </c>
      <c r="G559" s="3" t="str">
        <f>HYPERLINK("https://hawk-eye.atlassian.net/browse/MLT-2317?atlOrigin=eyJpIjoiYzgwYTQ0ZjEyNzQzNGJhN2JmNjEyZTM0NmRhZWZhNjIiLCJwIjoic2hlZXRzLWppcmEifQ","MLT-2317")</f>
        <v>MLT-2317</v>
      </c>
      <c r="H559" s="1" t="s">
        <v>1058</v>
      </c>
      <c r="I559" s="1" t="s">
        <v>1085</v>
      </c>
      <c r="J559" s="1" t="s">
        <v>26</v>
      </c>
      <c r="K559" s="1" t="s">
        <v>1072</v>
      </c>
      <c r="L559" s="1" t="s">
        <v>26</v>
      </c>
      <c r="M559" s="1" t="s">
        <v>27</v>
      </c>
      <c r="N559" s="1" t="s">
        <v>26</v>
      </c>
      <c r="O559" s="1" t="s">
        <v>26</v>
      </c>
      <c r="P559" s="4">
        <v>45581.36949074074</v>
      </c>
    </row>
    <row r="560" hidden="1">
      <c r="A560" s="1" t="s">
        <v>21</v>
      </c>
      <c r="B560" s="3" t="str">
        <f>HYPERLINK("https://hawk-eye.atlassian.net/browse/HWKREPORT-2940?atlOrigin=eyJpIjoiYzgwYTQ0ZjEyNzQzNGJhN2JmNjEyZTM0NmRhZWZhNjIiLCJwIjoic2hlZXRzLWppcmEifQ","HWKREPORT-2940")</f>
        <v>HWKREPORT-2940</v>
      </c>
      <c r="C560" s="1" t="s">
        <v>1735</v>
      </c>
      <c r="D560" s="1" t="s">
        <v>23</v>
      </c>
      <c r="E560" s="1" t="s">
        <v>35</v>
      </c>
      <c r="F560" s="4">
        <v>45572.812256944446</v>
      </c>
      <c r="G560" s="3" t="str">
        <f>HYPERLINK("https://hawk-eye.atlassian.net/browse/RTT-9278?atlOrigin=eyJpIjoiYzgwYTQ0ZjEyNzQzNGJhN2JmNjEyZTM0NmRhZWZhNjIiLCJwIjoic2hlZXRzLWppcmEifQ","RTT-9278")</f>
        <v>RTT-9278</v>
      </c>
      <c r="H560" s="1" t="s">
        <v>1058</v>
      </c>
      <c r="I560" s="1" t="s">
        <v>1071</v>
      </c>
      <c r="J560" s="1" t="s">
        <v>26</v>
      </c>
      <c r="K560" s="1" t="s">
        <v>1095</v>
      </c>
      <c r="L560" s="1" t="s">
        <v>26</v>
      </c>
      <c r="M560" s="1" t="s">
        <v>27</v>
      </c>
      <c r="N560" s="1" t="s">
        <v>26</v>
      </c>
      <c r="O560" s="1" t="s">
        <v>26</v>
      </c>
      <c r="P560" s="4">
        <v>45684.64908564815</v>
      </c>
    </row>
    <row r="561" hidden="1">
      <c r="A561" s="1" t="s">
        <v>21</v>
      </c>
      <c r="B561" s="3" t="str">
        <f>HYPERLINK("https://hawk-eye.atlassian.net/browse/HWKREPORT-2941?atlOrigin=eyJpIjoiYzgwYTQ0ZjEyNzQzNGJhN2JmNjEyZTM0NmRhZWZhNjIiLCJwIjoic2hlZXRzLWppcmEifQ","HWKREPORT-2941")</f>
        <v>HWKREPORT-2941</v>
      </c>
      <c r="C561" s="1" t="s">
        <v>1736</v>
      </c>
      <c r="D561" s="1" t="s">
        <v>48</v>
      </c>
      <c r="E561" s="1" t="s">
        <v>1057</v>
      </c>
      <c r="F561" s="4">
        <v>45573.566828703704</v>
      </c>
      <c r="G561" s="3" t="str">
        <f>HYPERLINK("https://hawk-eye.atlassian.net/browse/?atlOrigin=eyJpIjoiYzgwYTQ0ZjEyNzQzNGJhN2JmNjEyZTM0NmRhZWZhNjIiLCJwIjoic2hlZXRzLWppcmEifQ","")</f>
        <v/>
      </c>
      <c r="H561" s="1" t="s">
        <v>1058</v>
      </c>
      <c r="I561" s="1" t="s">
        <v>1126</v>
      </c>
      <c r="J561" s="1" t="s">
        <v>26</v>
      </c>
      <c r="K561" s="1" t="s">
        <v>1211</v>
      </c>
      <c r="L561" s="1" t="s">
        <v>26</v>
      </c>
      <c r="M561" s="1" t="s">
        <v>27</v>
      </c>
      <c r="N561" s="1" t="s">
        <v>26</v>
      </c>
      <c r="O561" s="1" t="s">
        <v>26</v>
      </c>
      <c r="P561" s="4">
        <v>45573.56684027778</v>
      </c>
    </row>
    <row r="562" hidden="1">
      <c r="A562" s="1" t="s">
        <v>1055</v>
      </c>
      <c r="B562" s="3" t="str">
        <f>HYPERLINK("https://hawk-eye.atlassian.net/browse/HWKREPORT-2942?atlOrigin=eyJpIjoiYzgwYTQ0ZjEyNzQzNGJhN2JmNjEyZTM0NmRhZWZhNjIiLCJwIjoic2hlZXRzLWppcmEifQ","HWKREPORT-2942")</f>
        <v>HWKREPORT-2942</v>
      </c>
      <c r="C562" s="1" t="s">
        <v>1737</v>
      </c>
      <c r="D562" s="1" t="s">
        <v>48</v>
      </c>
      <c r="E562" s="1" t="s">
        <v>1057</v>
      </c>
      <c r="F562" s="4">
        <v>45573.63863425926</v>
      </c>
      <c r="G562" s="3" t="str">
        <f>HYPERLINK("https://hawk-eye.atlassian.net/browse/TTS-11?atlOrigin=eyJpIjoiYzgwYTQ0ZjEyNzQzNGJhN2JmNjEyZTM0NmRhZWZhNjIiLCJwIjoic2hlZXRzLWppcmEifQ","TTS-11")</f>
        <v>TTS-11</v>
      </c>
      <c r="H562" s="1" t="s">
        <v>1058</v>
      </c>
      <c r="I562" s="1" t="s">
        <v>1085</v>
      </c>
      <c r="J562" s="1" t="s">
        <v>26</v>
      </c>
      <c r="K562" s="1" t="s">
        <v>1219</v>
      </c>
      <c r="L562" s="1" t="s">
        <v>26</v>
      </c>
      <c r="M562" s="1" t="s">
        <v>27</v>
      </c>
      <c r="N562" s="1" t="s">
        <v>26</v>
      </c>
      <c r="O562" s="1" t="s">
        <v>26</v>
      </c>
      <c r="P562" s="4">
        <v>45573.638645833336</v>
      </c>
    </row>
    <row r="563" hidden="1">
      <c r="A563" s="1" t="s">
        <v>1055</v>
      </c>
      <c r="B563" s="3" t="str">
        <f>HYPERLINK("https://hawk-eye.atlassian.net/browse/HWKREPORT-2943?atlOrigin=eyJpIjoiYzgwYTQ0ZjEyNzQzNGJhN2JmNjEyZTM0NmRhZWZhNjIiLCJwIjoic2hlZXRzLWppcmEifQ","HWKREPORT-2943")</f>
        <v>HWKREPORT-2943</v>
      </c>
      <c r="C563" s="1" t="s">
        <v>1738</v>
      </c>
      <c r="D563" s="1" t="s">
        <v>48</v>
      </c>
      <c r="E563" s="1" t="s">
        <v>1057</v>
      </c>
      <c r="F563" s="4">
        <v>45573.647893518515</v>
      </c>
      <c r="G563" s="3" t="str">
        <f>HYPERLINK("https://hawk-eye.atlassian.net/browse/AL-1181?atlOrigin=eyJpIjoiYzgwYTQ0ZjEyNzQzNGJhN2JmNjEyZTM0NmRhZWZhNjIiLCJwIjoic2hlZXRzLWppcmEifQ","AL-1181")</f>
        <v>AL-1181</v>
      </c>
      <c r="H563" s="1" t="s">
        <v>1058</v>
      </c>
      <c r="I563" s="1" t="s">
        <v>1085</v>
      </c>
      <c r="J563" s="1" t="s">
        <v>26</v>
      </c>
      <c r="K563" s="1" t="s">
        <v>1219</v>
      </c>
      <c r="L563" s="1" t="s">
        <v>26</v>
      </c>
      <c r="M563" s="1" t="s">
        <v>27</v>
      </c>
      <c r="N563" s="1" t="s">
        <v>26</v>
      </c>
      <c r="O563" s="1" t="s">
        <v>26</v>
      </c>
      <c r="P563" s="4">
        <v>45573.647893518515</v>
      </c>
    </row>
    <row r="564" hidden="1">
      <c r="A564" s="1" t="s">
        <v>21</v>
      </c>
      <c r="B564" s="3" t="str">
        <f>HYPERLINK("https://hawk-eye.atlassian.net/browse/HWKREPORT-2944?atlOrigin=eyJpIjoiYzgwYTQ0ZjEyNzQzNGJhN2JmNjEyZTM0NmRhZWZhNjIiLCJwIjoic2hlZXRzLWppcmEifQ","HWKREPORT-2944")</f>
        <v>HWKREPORT-2944</v>
      </c>
      <c r="C564" s="1" t="s">
        <v>1739</v>
      </c>
      <c r="D564" s="1" t="s">
        <v>83</v>
      </c>
      <c r="E564" s="1" t="s">
        <v>35</v>
      </c>
      <c r="F564" s="4">
        <v>45573.690358796295</v>
      </c>
      <c r="G564" s="3" t="str">
        <f>HYPERLINK("https://hawk-eye.atlassian.net/browse/?atlOrigin=eyJpIjoiYzgwYTQ0ZjEyNzQzNGJhN2JmNjEyZTM0NmRhZWZhNjIiLCJwIjoic2hlZXRzLWppcmEifQ","")</f>
        <v/>
      </c>
      <c r="H564" s="1" t="s">
        <v>1058</v>
      </c>
      <c r="I564" s="1" t="s">
        <v>1151</v>
      </c>
      <c r="J564" s="1" t="s">
        <v>26</v>
      </c>
      <c r="K564" s="1" t="s">
        <v>1312</v>
      </c>
      <c r="L564" s="1" t="s">
        <v>26</v>
      </c>
      <c r="M564" s="1" t="s">
        <v>27</v>
      </c>
      <c r="N564" s="1" t="s">
        <v>26</v>
      </c>
      <c r="O564" s="1" t="s">
        <v>26</v>
      </c>
      <c r="P564" s="4">
        <v>45580.495717592596</v>
      </c>
    </row>
    <row r="565" hidden="1">
      <c r="A565" s="1" t="s">
        <v>21</v>
      </c>
      <c r="B565" s="3" t="str">
        <f>HYPERLINK("https://hawk-eye.atlassian.net/browse/HWKREPORT-2945?atlOrigin=eyJpIjoiYzgwYTQ0ZjEyNzQzNGJhN2JmNjEyZTM0NmRhZWZhNjIiLCJwIjoic2hlZXRzLWppcmEifQ","HWKREPORT-2945")</f>
        <v>HWKREPORT-2945</v>
      </c>
      <c r="C565" s="1" t="s">
        <v>1740</v>
      </c>
      <c r="D565" s="1" t="s">
        <v>34</v>
      </c>
      <c r="E565" s="1" t="s">
        <v>1057</v>
      </c>
      <c r="F565" s="4">
        <v>45573.696180555555</v>
      </c>
      <c r="G565" s="3" t="str">
        <f>HYPERLINK("https://hawk-eye.atlassian.net/browse/RTT-9276?atlOrigin=eyJpIjoiYzgwYTQ0ZjEyNzQzNGJhN2JmNjEyZTM0NmRhZWZhNjIiLCJwIjoic2hlZXRzLWppcmEifQ","RTT-9276")</f>
        <v>RTT-9276</v>
      </c>
      <c r="H565" s="1" t="s">
        <v>1058</v>
      </c>
      <c r="I565" s="1" t="s">
        <v>1151</v>
      </c>
      <c r="J565" s="1" t="s">
        <v>26</v>
      </c>
      <c r="K565" s="1" t="s">
        <v>1072</v>
      </c>
      <c r="L565" s="1" t="s">
        <v>26</v>
      </c>
      <c r="M565" s="1" t="s">
        <v>27</v>
      </c>
      <c r="N565" s="1" t="s">
        <v>26</v>
      </c>
      <c r="O565" s="1" t="s">
        <v>26</v>
      </c>
      <c r="P565" s="4">
        <v>45573.69619212963</v>
      </c>
    </row>
    <row r="566" hidden="1">
      <c r="A566" s="1" t="s">
        <v>1055</v>
      </c>
      <c r="B566" s="3" t="str">
        <f>HYPERLINK("https://hawk-eye.atlassian.net/browse/HWKREPORT-2946?atlOrigin=eyJpIjoiYzgwYTQ0ZjEyNzQzNGJhN2JmNjEyZTM0NmRhZWZhNjIiLCJwIjoic2hlZXRzLWppcmEifQ","HWKREPORT-2946")</f>
        <v>HWKREPORT-2946</v>
      </c>
      <c r="C566" s="1" t="s">
        <v>1741</v>
      </c>
      <c r="D566" s="1" t="s">
        <v>48</v>
      </c>
      <c r="E566" s="1" t="s">
        <v>1057</v>
      </c>
      <c r="F566" s="4">
        <v>45573.86020833333</v>
      </c>
      <c r="G566" s="3" t="str">
        <f>HYPERLINK("https://hawk-eye.atlassian.net/browse/?atlOrigin=eyJpIjoiYzgwYTQ0ZjEyNzQzNGJhN2JmNjEyZTM0NmRhZWZhNjIiLCJwIjoic2hlZXRzLWppcmEifQ","")</f>
        <v/>
      </c>
      <c r="H566" s="1" t="s">
        <v>1058</v>
      </c>
      <c r="I566" s="1" t="s">
        <v>1085</v>
      </c>
      <c r="J566" s="1" t="s">
        <v>26</v>
      </c>
      <c r="K566" s="1" t="s">
        <v>1219</v>
      </c>
      <c r="L566" s="1" t="s">
        <v>26</v>
      </c>
      <c r="M566" s="1" t="s">
        <v>27</v>
      </c>
      <c r="N566" s="1" t="s">
        <v>26</v>
      </c>
      <c r="O566" s="1" t="s">
        <v>26</v>
      </c>
      <c r="P566" s="4">
        <v>45573.86021990741</v>
      </c>
    </row>
    <row r="567" hidden="1">
      <c r="A567" s="1" t="s">
        <v>21</v>
      </c>
      <c r="B567" s="3" t="str">
        <f>HYPERLINK("https://hawk-eye.atlassian.net/browse/HWKREPORT-2947?atlOrigin=eyJpIjoiYzgwYTQ0ZjEyNzQzNGJhN2JmNjEyZTM0NmRhZWZhNjIiLCJwIjoic2hlZXRzLWppcmEifQ","HWKREPORT-2947")</f>
        <v>HWKREPORT-2947</v>
      </c>
      <c r="C567" s="1" t="s">
        <v>1742</v>
      </c>
      <c r="D567" s="1" t="s">
        <v>34</v>
      </c>
      <c r="E567" s="1" t="s">
        <v>1057</v>
      </c>
      <c r="F567" s="4">
        <v>45575.600486111114</v>
      </c>
      <c r="G567" s="3" t="str">
        <f>HYPERLINK("https://hawk-eye.atlassian.net/browse/RTT-9190?atlOrigin=eyJpIjoiYzgwYTQ0ZjEyNzQzNGJhN2JmNjEyZTM0NmRhZWZhNjIiLCJwIjoic2hlZXRzLWppcmEifQ","RTT-9190")</f>
        <v>RTT-9190</v>
      </c>
      <c r="H567" s="1" t="s">
        <v>1058</v>
      </c>
      <c r="I567" s="1" t="s">
        <v>1082</v>
      </c>
      <c r="J567" s="1" t="s">
        <v>26</v>
      </c>
      <c r="K567" s="1" t="s">
        <v>1247</v>
      </c>
      <c r="L567" s="1" t="s">
        <v>26</v>
      </c>
      <c r="M567" s="1" t="s">
        <v>27</v>
      </c>
      <c r="N567" s="1" t="s">
        <v>26</v>
      </c>
      <c r="O567" s="1" t="s">
        <v>26</v>
      </c>
      <c r="P567" s="4">
        <v>45575.600486111114</v>
      </c>
    </row>
    <row r="568" hidden="1">
      <c r="A568" s="1" t="s">
        <v>1055</v>
      </c>
      <c r="B568" s="3" t="str">
        <f>HYPERLINK("https://hawk-eye.atlassian.net/browse/HWKREPORT-2948?atlOrigin=eyJpIjoiYzgwYTQ0ZjEyNzQzNGJhN2JmNjEyZTM0NmRhZWZhNjIiLCJwIjoic2hlZXRzLWppcmEifQ","HWKREPORT-2948")</f>
        <v>HWKREPORT-2948</v>
      </c>
      <c r="C568" s="1" t="s">
        <v>1743</v>
      </c>
      <c r="D568" s="1" t="s">
        <v>48</v>
      </c>
      <c r="E568" s="1" t="s">
        <v>1057</v>
      </c>
      <c r="F568" s="4">
        <v>45575.60230324074</v>
      </c>
      <c r="G568" s="3" t="str">
        <f t="shared" ref="G568:G569" si="52">HYPERLINK("https://hawk-eye.atlassian.net/browse/?atlOrigin=eyJpIjoiYzgwYTQ0ZjEyNzQzNGJhN2JmNjEyZTM0NmRhZWZhNjIiLCJwIjoic2hlZXRzLWppcmEifQ","")</f>
        <v/>
      </c>
      <c r="H568" s="1" t="s">
        <v>1058</v>
      </c>
      <c r="I568" s="1" t="s">
        <v>1082</v>
      </c>
      <c r="J568" s="1" t="s">
        <v>26</v>
      </c>
      <c r="K568" s="1" t="s">
        <v>1744</v>
      </c>
      <c r="L568" s="1" t="s">
        <v>26</v>
      </c>
      <c r="M568" s="1" t="s">
        <v>27</v>
      </c>
      <c r="N568" s="1" t="s">
        <v>26</v>
      </c>
      <c r="O568" s="1" t="s">
        <v>26</v>
      </c>
      <c r="P568" s="4">
        <v>45575.60230324074</v>
      </c>
    </row>
    <row r="569" hidden="1">
      <c r="A569" s="1" t="s">
        <v>21</v>
      </c>
      <c r="B569" s="3" t="str">
        <f>HYPERLINK("https://hawk-eye.atlassian.net/browse/HWKREPORT-2949?atlOrigin=eyJpIjoiYzgwYTQ0ZjEyNzQzNGJhN2JmNjEyZTM0NmRhZWZhNjIiLCJwIjoic2hlZXRzLWppcmEifQ","HWKREPORT-2949")</f>
        <v>HWKREPORT-2949</v>
      </c>
      <c r="C569" s="1" t="s">
        <v>1745</v>
      </c>
      <c r="D569" s="1" t="s">
        <v>48</v>
      </c>
      <c r="E569" s="1" t="s">
        <v>1057</v>
      </c>
      <c r="F569" s="4">
        <v>45575.6378125</v>
      </c>
      <c r="G569" s="3" t="str">
        <f t="shared" si="52"/>
        <v/>
      </c>
      <c r="H569" s="1" t="s">
        <v>1058</v>
      </c>
      <c r="I569" s="1" t="s">
        <v>1746</v>
      </c>
      <c r="J569" s="1" t="s">
        <v>26</v>
      </c>
      <c r="K569" s="1" t="s">
        <v>1355</v>
      </c>
      <c r="L569" s="1" t="s">
        <v>26</v>
      </c>
      <c r="M569" s="1" t="s">
        <v>27</v>
      </c>
      <c r="N569" s="1" t="s">
        <v>26</v>
      </c>
      <c r="O569" s="1" t="s">
        <v>26</v>
      </c>
      <c r="P569" s="4">
        <v>45575.6378125</v>
      </c>
    </row>
    <row r="570" hidden="1">
      <c r="A570" s="1" t="s">
        <v>1055</v>
      </c>
      <c r="B570" s="3" t="str">
        <f>HYPERLINK("https://hawk-eye.atlassian.net/browse/HWKREPORT-2950?atlOrigin=eyJpIjoiYzgwYTQ0ZjEyNzQzNGJhN2JmNjEyZTM0NmRhZWZhNjIiLCJwIjoic2hlZXRzLWppcmEifQ","HWKREPORT-2950")</f>
        <v>HWKREPORT-2950</v>
      </c>
      <c r="C570" s="1" t="s">
        <v>1747</v>
      </c>
      <c r="D570" s="1" t="s">
        <v>48</v>
      </c>
      <c r="E570" s="1" t="s">
        <v>1057</v>
      </c>
      <c r="F570" s="4">
        <v>45575.87887731481</v>
      </c>
      <c r="G570" s="3" t="str">
        <f>HYPERLINK("https://hawk-eye.atlassian.net/browse/AL-1218?atlOrigin=eyJpIjoiYzgwYTQ0ZjEyNzQzNGJhN2JmNjEyZTM0NmRhZWZhNjIiLCJwIjoic2hlZXRzLWppcmEifQ","AL-1218")</f>
        <v>AL-1218</v>
      </c>
      <c r="H570" s="1" t="s">
        <v>1058</v>
      </c>
      <c r="I570" s="1" t="s">
        <v>1085</v>
      </c>
      <c r="J570" s="1" t="s">
        <v>26</v>
      </c>
      <c r="K570" s="1" t="s">
        <v>1219</v>
      </c>
      <c r="L570" s="1" t="s">
        <v>26</v>
      </c>
      <c r="M570" s="1" t="s">
        <v>27</v>
      </c>
      <c r="N570" s="1" t="s">
        <v>26</v>
      </c>
      <c r="O570" s="1" t="s">
        <v>26</v>
      </c>
      <c r="P570" s="4">
        <v>45575.87888888889</v>
      </c>
    </row>
    <row r="571" hidden="1">
      <c r="A571" s="1" t="s">
        <v>1055</v>
      </c>
      <c r="B571" s="3" t="str">
        <f>HYPERLINK("https://hawk-eye.atlassian.net/browse/HWKREPORT-2951?atlOrigin=eyJpIjoiYzgwYTQ0ZjEyNzQzNGJhN2JmNjEyZTM0NmRhZWZhNjIiLCJwIjoic2hlZXRzLWppcmEifQ","HWKREPORT-2951")</f>
        <v>HWKREPORT-2951</v>
      </c>
      <c r="C571" s="1" t="s">
        <v>1748</v>
      </c>
      <c r="D571" s="1" t="s">
        <v>48</v>
      </c>
      <c r="E571" s="1" t="s">
        <v>35</v>
      </c>
      <c r="F571" s="4">
        <v>45575.90635416667</v>
      </c>
      <c r="G571" s="3" t="str">
        <f t="shared" ref="G571:G572" si="53">HYPERLINK("https://hawk-eye.atlassian.net/browse/?atlOrigin=eyJpIjoiYzgwYTQ0ZjEyNzQzNGJhN2JmNjEyZTM0NmRhZWZhNjIiLCJwIjoic2hlZXRzLWppcmEifQ","")</f>
        <v/>
      </c>
      <c r="H571" s="1" t="s">
        <v>1058</v>
      </c>
      <c r="I571" s="1" t="s">
        <v>1126</v>
      </c>
      <c r="J571" s="1" t="s">
        <v>26</v>
      </c>
      <c r="K571" s="1" t="s">
        <v>1211</v>
      </c>
      <c r="L571" s="1" t="s">
        <v>26</v>
      </c>
      <c r="M571" s="1" t="s">
        <v>27</v>
      </c>
      <c r="N571" s="1" t="s">
        <v>26</v>
      </c>
      <c r="O571" s="1" t="s">
        <v>26</v>
      </c>
      <c r="P571" s="4">
        <v>45733.569918981484</v>
      </c>
    </row>
    <row r="572" hidden="1">
      <c r="A572" s="1" t="s">
        <v>21</v>
      </c>
      <c r="B572" s="3" t="str">
        <f>HYPERLINK("https://hawk-eye.atlassian.net/browse/HWKREPORT-2952?atlOrigin=eyJpIjoiYzgwYTQ0ZjEyNzQzNGJhN2JmNjEyZTM0NmRhZWZhNjIiLCJwIjoic2hlZXRzLWppcmEifQ","HWKREPORT-2952")</f>
        <v>HWKREPORT-2952</v>
      </c>
      <c r="C572" s="1" t="s">
        <v>1749</v>
      </c>
      <c r="D572" s="1" t="s">
        <v>83</v>
      </c>
      <c r="E572" s="1" t="s">
        <v>1057</v>
      </c>
      <c r="F572" s="4">
        <v>45576.59930555556</v>
      </c>
      <c r="G572" s="3" t="str">
        <f t="shared" si="53"/>
        <v/>
      </c>
      <c r="H572" s="1" t="s">
        <v>1058</v>
      </c>
      <c r="I572" s="1" t="s">
        <v>1126</v>
      </c>
      <c r="J572" s="1" t="s">
        <v>26</v>
      </c>
      <c r="K572" s="1" t="s">
        <v>1750</v>
      </c>
      <c r="L572" s="1" t="s">
        <v>26</v>
      </c>
      <c r="M572" s="1" t="s">
        <v>27</v>
      </c>
      <c r="N572" s="1" t="s">
        <v>26</v>
      </c>
      <c r="O572" s="1" t="s">
        <v>26</v>
      </c>
      <c r="P572" s="4">
        <v>45576.59930555556</v>
      </c>
    </row>
    <row r="573">
      <c r="A573" s="1" t="s">
        <v>21</v>
      </c>
      <c r="B573" s="3" t="str">
        <f>HYPERLINK("https://hawk-eye.atlassian.net/browse/HWKREPORT-2953?atlOrigin=eyJpIjoiYzgwYTQ0ZjEyNzQzNGJhN2JmNjEyZTM0NmRhZWZhNjIiLCJwIjoic2hlZXRzLWppcmEifQ","HWKREPORT-2953")</f>
        <v>HWKREPORT-2953</v>
      </c>
      <c r="C573" s="1" t="s">
        <v>1751</v>
      </c>
      <c r="D573" s="1" t="s">
        <v>23</v>
      </c>
      <c r="E573" s="1" t="s">
        <v>1207</v>
      </c>
      <c r="F573" s="4">
        <v>45576.946238425924</v>
      </c>
      <c r="G573" s="3" t="str">
        <f>HYPERLINK("https://hawk-eye.atlassian.net/browse/RTT-9392?atlOrigin=eyJpIjoiYzgwYTQ0ZjEyNzQzNGJhN2JmNjEyZTM0NmRhZWZhNjIiLCJwIjoic2hlZXRzLWppcmEifQ","RTT-9392")</f>
        <v>RTT-9392</v>
      </c>
      <c r="H573" s="1" t="s">
        <v>1058</v>
      </c>
      <c r="I573" s="1" t="s">
        <v>28</v>
      </c>
      <c r="J573" s="1" t="s">
        <v>26</v>
      </c>
      <c r="K573" s="1" t="s">
        <v>1072</v>
      </c>
      <c r="L573" s="1" t="s">
        <v>26</v>
      </c>
      <c r="M573" s="1" t="s">
        <v>27</v>
      </c>
      <c r="N573" s="1" t="s">
        <v>26</v>
      </c>
      <c r="O573" s="1" t="s">
        <v>26</v>
      </c>
      <c r="P573" s="4">
        <v>45719.36238425926</v>
      </c>
    </row>
    <row r="574" hidden="1">
      <c r="A574" s="1" t="s">
        <v>1055</v>
      </c>
      <c r="B574" s="3" t="str">
        <f>HYPERLINK("https://hawk-eye.atlassian.net/browse/HWKREPORT-2954?atlOrigin=eyJpIjoiYzgwYTQ0ZjEyNzQzNGJhN2JmNjEyZTM0NmRhZWZhNjIiLCJwIjoic2hlZXRzLWppcmEifQ","HWKREPORT-2954")</f>
        <v>HWKREPORT-2954</v>
      </c>
      <c r="C574" s="1" t="s">
        <v>1752</v>
      </c>
      <c r="D574" s="1" t="s">
        <v>48</v>
      </c>
      <c r="E574" s="1" t="s">
        <v>1057</v>
      </c>
      <c r="F574" s="4">
        <v>45577.72236111111</v>
      </c>
      <c r="G574" s="3" t="str">
        <f t="shared" ref="G574:G576" si="54">HYPERLINK("https://hawk-eye.atlassian.net/browse/?atlOrigin=eyJpIjoiYzgwYTQ0ZjEyNzQzNGJhN2JmNjEyZTM0NmRhZWZhNjIiLCJwIjoic2hlZXRzLWppcmEifQ","")</f>
        <v/>
      </c>
      <c r="H574" s="1" t="s">
        <v>1058</v>
      </c>
      <c r="I574" s="1" t="s">
        <v>1107</v>
      </c>
      <c r="J574" s="1" t="s">
        <v>26</v>
      </c>
      <c r="K574" s="1" t="s">
        <v>1108</v>
      </c>
      <c r="L574" s="1" t="s">
        <v>26</v>
      </c>
      <c r="M574" s="1" t="s">
        <v>27</v>
      </c>
      <c r="N574" s="1" t="s">
        <v>26</v>
      </c>
      <c r="O574" s="1" t="s">
        <v>26</v>
      </c>
      <c r="P574" s="4">
        <v>45577.72236111111</v>
      </c>
    </row>
    <row r="575" hidden="1">
      <c r="A575" s="1" t="s">
        <v>21</v>
      </c>
      <c r="B575" s="3" t="str">
        <f>HYPERLINK("https://hawk-eye.atlassian.net/browse/HWKREPORT-2955?atlOrigin=eyJpIjoiYzgwYTQ0ZjEyNzQzNGJhN2JmNjEyZTM0NmRhZWZhNjIiLCJwIjoic2hlZXRzLWppcmEifQ","HWKREPORT-2955")</f>
        <v>HWKREPORT-2955</v>
      </c>
      <c r="C575" s="1" t="s">
        <v>1753</v>
      </c>
      <c r="D575" s="1" t="s">
        <v>23</v>
      </c>
      <c r="E575" s="1" t="s">
        <v>1057</v>
      </c>
      <c r="F575" s="4">
        <v>45580.560960648145</v>
      </c>
      <c r="G575" s="3" t="str">
        <f t="shared" si="54"/>
        <v/>
      </c>
      <c r="H575" s="1" t="s">
        <v>1058</v>
      </c>
      <c r="I575" s="1" t="s">
        <v>1085</v>
      </c>
      <c r="J575" s="1" t="s">
        <v>26</v>
      </c>
      <c r="K575" s="1" t="s">
        <v>1247</v>
      </c>
      <c r="L575" s="1" t="s">
        <v>26</v>
      </c>
      <c r="M575" s="1" t="s">
        <v>27</v>
      </c>
      <c r="N575" s="1" t="s">
        <v>26</v>
      </c>
      <c r="O575" s="1" t="s">
        <v>26</v>
      </c>
      <c r="P575" s="4">
        <v>45580.56101851852</v>
      </c>
    </row>
    <row r="576" hidden="1">
      <c r="A576" s="1" t="s">
        <v>1055</v>
      </c>
      <c r="B576" s="3" t="str">
        <f>HYPERLINK("https://hawk-eye.atlassian.net/browse/HWKREPORT-2956?atlOrigin=eyJpIjoiYzgwYTQ0ZjEyNzQzNGJhN2JmNjEyZTM0NmRhZWZhNjIiLCJwIjoic2hlZXRzLWppcmEifQ","HWKREPORT-2956")</f>
        <v>HWKREPORT-2956</v>
      </c>
      <c r="C576" s="1" t="s">
        <v>1754</v>
      </c>
      <c r="D576" s="1" t="s">
        <v>48</v>
      </c>
      <c r="E576" s="1" t="s">
        <v>1057</v>
      </c>
      <c r="F576" s="4">
        <v>45580.574212962965</v>
      </c>
      <c r="G576" s="3" t="str">
        <f t="shared" si="54"/>
        <v/>
      </c>
      <c r="H576" s="1" t="s">
        <v>1058</v>
      </c>
      <c r="I576" s="1" t="s">
        <v>1085</v>
      </c>
      <c r="J576" s="1" t="s">
        <v>26</v>
      </c>
      <c r="K576" s="1" t="s">
        <v>1247</v>
      </c>
      <c r="L576" s="1" t="s">
        <v>26</v>
      </c>
      <c r="M576" s="1" t="s">
        <v>27</v>
      </c>
      <c r="N576" s="1" t="s">
        <v>26</v>
      </c>
      <c r="O576" s="1" t="s">
        <v>26</v>
      </c>
      <c r="P576" s="4">
        <v>45580.574224537035</v>
      </c>
    </row>
    <row r="577" hidden="1">
      <c r="A577" s="1" t="s">
        <v>1055</v>
      </c>
      <c r="B577" s="3" t="str">
        <f>HYPERLINK("https://hawk-eye.atlassian.net/browse/HWKREPORT-2957?atlOrigin=eyJpIjoiYzgwYTQ0ZjEyNzQzNGJhN2JmNjEyZTM0NmRhZWZhNjIiLCJwIjoic2hlZXRzLWppcmEifQ","HWKREPORT-2957")</f>
        <v>HWKREPORT-2957</v>
      </c>
      <c r="C577" s="1" t="s">
        <v>1755</v>
      </c>
      <c r="D577" s="1" t="s">
        <v>48</v>
      </c>
      <c r="E577" s="1" t="s">
        <v>1207</v>
      </c>
      <c r="F577" s="4">
        <v>45581.88364583333</v>
      </c>
      <c r="G577" s="3" t="str">
        <f>HYPERLINK("https://hawk-eye.atlassian.net/browse/RTT-9485?atlOrigin=eyJpIjoiYzgwYTQ0ZjEyNzQzNGJhN2JmNjEyZTM0NmRhZWZhNjIiLCJwIjoic2hlZXRzLWppcmEifQ","RTT-9485")</f>
        <v>RTT-9485</v>
      </c>
      <c r="H577" s="1" t="s">
        <v>1058</v>
      </c>
      <c r="I577" s="1" t="s">
        <v>1082</v>
      </c>
      <c r="J577" s="1" t="s">
        <v>26</v>
      </c>
      <c r="K577" s="1" t="s">
        <v>1247</v>
      </c>
      <c r="L577" s="1" t="s">
        <v>26</v>
      </c>
      <c r="M577" s="1" t="s">
        <v>27</v>
      </c>
      <c r="N577" s="1" t="s">
        <v>26</v>
      </c>
      <c r="O577" s="1" t="s">
        <v>26</v>
      </c>
      <c r="P577" s="4">
        <v>45621.454733796294</v>
      </c>
    </row>
    <row r="578" hidden="1">
      <c r="A578" s="1" t="s">
        <v>21</v>
      </c>
      <c r="B578" s="3" t="str">
        <f>HYPERLINK("https://hawk-eye.atlassian.net/browse/HWKREPORT-2958?atlOrigin=eyJpIjoiYzgwYTQ0ZjEyNzQzNGJhN2JmNjEyZTM0NmRhZWZhNjIiLCJwIjoic2hlZXRzLWppcmEifQ","HWKREPORT-2958")</f>
        <v>HWKREPORT-2958</v>
      </c>
      <c r="C578" s="1" t="s">
        <v>1756</v>
      </c>
      <c r="D578" s="1" t="s">
        <v>23</v>
      </c>
      <c r="E578" s="1" t="s">
        <v>1057</v>
      </c>
      <c r="F578" s="4">
        <v>45582.40957175926</v>
      </c>
      <c r="G578" s="3" t="str">
        <f>HYPERLINK("https://hawk-eye.atlassian.net/browse/?atlOrigin=eyJpIjoiYzgwYTQ0ZjEyNzQzNGJhN2JmNjEyZTM0NmRhZWZhNjIiLCJwIjoic2hlZXRzLWppcmEifQ","")</f>
        <v/>
      </c>
      <c r="H578" s="1" t="s">
        <v>1058</v>
      </c>
      <c r="I578" s="1" t="s">
        <v>1082</v>
      </c>
      <c r="J578" s="1" t="s">
        <v>26</v>
      </c>
      <c r="K578" s="1" t="s">
        <v>1102</v>
      </c>
      <c r="L578" s="1" t="s">
        <v>26</v>
      </c>
      <c r="M578" s="1" t="s">
        <v>27</v>
      </c>
      <c r="N578" s="1" t="s">
        <v>26</v>
      </c>
      <c r="O578" s="1" t="s">
        <v>26</v>
      </c>
      <c r="P578" s="4">
        <v>45582.40957175926</v>
      </c>
    </row>
    <row r="579" hidden="1">
      <c r="A579" s="1" t="s">
        <v>21</v>
      </c>
      <c r="B579" s="3" t="str">
        <f>HYPERLINK("https://hawk-eye.atlassian.net/browse/HWKREPORT-2959?atlOrigin=eyJpIjoiYzgwYTQ0ZjEyNzQzNGJhN2JmNjEyZTM0NmRhZWZhNjIiLCJwIjoic2hlZXRzLWppcmEifQ","HWKREPORT-2959")</f>
        <v>HWKREPORT-2959</v>
      </c>
      <c r="C579" s="1" t="s">
        <v>1757</v>
      </c>
      <c r="D579" s="1" t="s">
        <v>23</v>
      </c>
      <c r="E579" s="1" t="s">
        <v>35</v>
      </c>
      <c r="F579" s="4">
        <v>45582.421261574076</v>
      </c>
      <c r="G579" s="3" t="str">
        <f>HYPERLINK("https://hawk-eye.atlassian.net/browse/SO-1998?atlOrigin=eyJpIjoiYzgwYTQ0ZjEyNzQzNGJhN2JmNjEyZTM0NmRhZWZhNjIiLCJwIjoic2hlZXRzLWppcmEifQ","SO-1998")</f>
        <v>SO-1998</v>
      </c>
      <c r="H579" s="1" t="s">
        <v>1058</v>
      </c>
      <c r="I579" s="1" t="s">
        <v>1082</v>
      </c>
      <c r="J579" s="1" t="s">
        <v>26</v>
      </c>
      <c r="K579" s="1" t="s">
        <v>1116</v>
      </c>
      <c r="L579" s="1" t="s">
        <v>26</v>
      </c>
      <c r="M579" s="1" t="s">
        <v>27</v>
      </c>
      <c r="N579" s="1" t="s">
        <v>26</v>
      </c>
      <c r="O579" s="1" t="s">
        <v>26</v>
      </c>
      <c r="P579" s="4">
        <v>45691.41074074074</v>
      </c>
    </row>
    <row r="580" hidden="1">
      <c r="A580" s="1" t="s">
        <v>21</v>
      </c>
      <c r="B580" s="3" t="str">
        <f>HYPERLINK("https://hawk-eye.atlassian.net/browse/HWKREPORT-2960?atlOrigin=eyJpIjoiYzgwYTQ0ZjEyNzQzNGJhN2JmNjEyZTM0NmRhZWZhNjIiLCJwIjoic2hlZXRzLWppcmEifQ","HWKREPORT-2960")</f>
        <v>HWKREPORT-2960</v>
      </c>
      <c r="C580" s="1" t="s">
        <v>1758</v>
      </c>
      <c r="D580" s="1" t="s">
        <v>34</v>
      </c>
      <c r="E580" s="1" t="s">
        <v>35</v>
      </c>
      <c r="F580" s="4">
        <v>45582.58938657407</v>
      </c>
      <c r="G580" s="3" t="str">
        <f t="shared" ref="G580:G581" si="55">HYPERLINK("https://hawk-eye.atlassian.net/browse/?atlOrigin=eyJpIjoiYzgwYTQ0ZjEyNzQzNGJhN2JmNjEyZTM0NmRhZWZhNjIiLCJwIjoic2hlZXRzLWppcmEifQ","")</f>
        <v/>
      </c>
      <c r="H580" s="1" t="s">
        <v>1058</v>
      </c>
      <c r="I580" s="1" t="s">
        <v>1071</v>
      </c>
      <c r="J580" s="1" t="s">
        <v>26</v>
      </c>
      <c r="K580" s="1" t="s">
        <v>1095</v>
      </c>
      <c r="L580" s="1" t="s">
        <v>26</v>
      </c>
      <c r="M580" s="1" t="s">
        <v>27</v>
      </c>
      <c r="N580" s="1" t="s">
        <v>26</v>
      </c>
      <c r="O580" s="1" t="s">
        <v>26</v>
      </c>
      <c r="P580" s="4">
        <v>45722.496041666665</v>
      </c>
    </row>
    <row r="581" hidden="1">
      <c r="A581" s="1" t="s">
        <v>1055</v>
      </c>
      <c r="B581" s="3" t="str">
        <f>HYPERLINK("https://hawk-eye.atlassian.net/browse/HWKREPORT-2961?atlOrigin=eyJpIjoiYzgwYTQ0ZjEyNzQzNGJhN2JmNjEyZTM0NmRhZWZhNjIiLCJwIjoic2hlZXRzLWppcmEifQ","HWKREPORT-2961")</f>
        <v>HWKREPORT-2961</v>
      </c>
      <c r="C581" s="1" t="s">
        <v>1759</v>
      </c>
      <c r="D581" s="1" t="s">
        <v>48</v>
      </c>
      <c r="E581" s="1" t="s">
        <v>1057</v>
      </c>
      <c r="F581" s="4">
        <v>45583.23174768518</v>
      </c>
      <c r="G581" s="3" t="str">
        <f t="shared" si="55"/>
        <v/>
      </c>
      <c r="H581" s="1" t="s">
        <v>1058</v>
      </c>
      <c r="I581" s="1" t="s">
        <v>1085</v>
      </c>
      <c r="J581" s="1" t="s">
        <v>26</v>
      </c>
      <c r="K581" s="1" t="s">
        <v>1157</v>
      </c>
      <c r="L581" s="1" t="s">
        <v>26</v>
      </c>
      <c r="M581" s="1" t="s">
        <v>27</v>
      </c>
      <c r="N581" s="1" t="s">
        <v>26</v>
      </c>
      <c r="O581" s="1" t="s">
        <v>26</v>
      </c>
      <c r="P581" s="4">
        <v>45583.23175925926</v>
      </c>
    </row>
    <row r="582" hidden="1">
      <c r="A582" s="1" t="s">
        <v>21</v>
      </c>
      <c r="B582" s="3" t="str">
        <f>HYPERLINK("https://hawk-eye.atlassian.net/browse/HWKREPORT-2962?atlOrigin=eyJpIjoiYzgwYTQ0ZjEyNzQzNGJhN2JmNjEyZTM0NmRhZWZhNjIiLCJwIjoic2hlZXRzLWppcmEifQ","HWKREPORT-2962")</f>
        <v>HWKREPORT-2962</v>
      </c>
      <c r="C582" s="1" t="s">
        <v>1760</v>
      </c>
      <c r="D582" s="1" t="s">
        <v>83</v>
      </c>
      <c r="E582" s="1" t="s">
        <v>35</v>
      </c>
      <c r="F582" s="4">
        <v>45586.65864583333</v>
      </c>
      <c r="G582" s="3" t="str">
        <f>HYPERLINK("https://hawk-eye.atlassian.net/browse/SO-1999?atlOrigin=eyJpIjoiYzgwYTQ0ZjEyNzQzNGJhN2JmNjEyZTM0NmRhZWZhNjIiLCJwIjoic2hlZXRzLWppcmEifQ","SO-1999")</f>
        <v>SO-1999</v>
      </c>
      <c r="H582" s="1" t="s">
        <v>1058</v>
      </c>
      <c r="I582" s="1" t="s">
        <v>1082</v>
      </c>
      <c r="J582" s="1" t="s">
        <v>26</v>
      </c>
      <c r="K582" s="1" t="s">
        <v>1116</v>
      </c>
      <c r="L582" s="1" t="s">
        <v>26</v>
      </c>
      <c r="M582" s="1" t="s">
        <v>27</v>
      </c>
      <c r="N582" s="1" t="s">
        <v>26</v>
      </c>
      <c r="O582" s="1" t="s">
        <v>26</v>
      </c>
      <c r="P582" s="4">
        <v>45681.48153935185</v>
      </c>
    </row>
    <row r="583" hidden="1">
      <c r="A583" s="1" t="s">
        <v>1055</v>
      </c>
      <c r="B583" s="3" t="str">
        <f>HYPERLINK("https://hawk-eye.atlassian.net/browse/HWKREPORT-2963?atlOrigin=eyJpIjoiYzgwYTQ0ZjEyNzQzNGJhN2JmNjEyZTM0NmRhZWZhNjIiLCJwIjoic2hlZXRzLWppcmEifQ","HWKREPORT-2963")</f>
        <v>HWKREPORT-2963</v>
      </c>
      <c r="C583" s="1" t="s">
        <v>1761</v>
      </c>
      <c r="D583" s="1" t="s">
        <v>40</v>
      </c>
      <c r="E583" s="1" t="s">
        <v>35</v>
      </c>
      <c r="F583" s="4">
        <v>45586.824953703705</v>
      </c>
      <c r="G583" s="3" t="str">
        <f>HYPERLINK("https://hawk-eye.atlassian.net/browse/?atlOrigin=eyJpIjoiYzgwYTQ0ZjEyNzQzNGJhN2JmNjEyZTM0NmRhZWZhNjIiLCJwIjoic2hlZXRzLWppcmEifQ","")</f>
        <v/>
      </c>
      <c r="H583" s="1" t="s">
        <v>1058</v>
      </c>
      <c r="I583" s="1" t="s">
        <v>1071</v>
      </c>
      <c r="J583" s="1" t="s">
        <v>26</v>
      </c>
      <c r="K583" s="1" t="s">
        <v>1762</v>
      </c>
      <c r="L583" s="1" t="s">
        <v>26</v>
      </c>
      <c r="M583" s="1" t="s">
        <v>27</v>
      </c>
      <c r="N583" s="1" t="s">
        <v>26</v>
      </c>
      <c r="O583" s="1" t="s">
        <v>26</v>
      </c>
      <c r="P583" s="4">
        <v>45755.62616898148</v>
      </c>
    </row>
    <row r="584" hidden="1">
      <c r="A584" s="1" t="s">
        <v>1055</v>
      </c>
      <c r="B584" s="3" t="str">
        <f>HYPERLINK("https://hawk-eye.atlassian.net/browse/HWKREPORT-2964?atlOrigin=eyJpIjoiYzgwYTQ0ZjEyNzQzNGJhN2JmNjEyZTM0NmRhZWZhNjIiLCJwIjoic2hlZXRzLWppcmEifQ","HWKREPORT-2964")</f>
        <v>HWKREPORT-2964</v>
      </c>
      <c r="C584" s="1" t="s">
        <v>1763</v>
      </c>
      <c r="D584" s="1" t="s">
        <v>48</v>
      </c>
      <c r="E584" s="1" t="s">
        <v>1207</v>
      </c>
      <c r="F584" s="4">
        <v>45587.98421296296</v>
      </c>
      <c r="G584" s="3" t="str">
        <f>HYPERLINK("https://hawk-eye.atlassian.net/issues/?atlOrigin=eyJpIjoiYzgwYTQ0ZjEyNzQzNGJhN2JmNjEyZTM0NmRhZWZhNjIiLCJwIjoic2hlZXRzLWppcmEifQ&amp;jql=key+in+%28RTT-10097%2CMLT-1864%29","RTT-10097;MLT-1864")</f>
        <v>RTT-10097;MLT-1864</v>
      </c>
      <c r="H584" s="1" t="s">
        <v>1058</v>
      </c>
      <c r="I584" s="1" t="s">
        <v>28</v>
      </c>
      <c r="J584" s="1" t="s">
        <v>26</v>
      </c>
      <c r="K584" s="1" t="s">
        <v>1099</v>
      </c>
      <c r="L584" s="1" t="s">
        <v>26</v>
      </c>
      <c r="M584" s="1" t="s">
        <v>27</v>
      </c>
      <c r="N584" s="1" t="s">
        <v>26</v>
      </c>
      <c r="O584" s="1" t="s">
        <v>26</v>
      </c>
      <c r="P584" s="4">
        <v>45716.681446759256</v>
      </c>
    </row>
    <row r="585">
      <c r="A585" s="1" t="s">
        <v>21</v>
      </c>
      <c r="B585" s="3" t="str">
        <f>HYPERLINK("https://hawk-eye.atlassian.net/browse/HWKREPORT-2965?atlOrigin=eyJpIjoiYzgwYTQ0ZjEyNzQzNGJhN2JmNjEyZTM0NmRhZWZhNjIiLCJwIjoic2hlZXRzLWppcmEifQ","HWKREPORT-2965")</f>
        <v>HWKREPORT-2965</v>
      </c>
      <c r="C585" s="1" t="s">
        <v>1764</v>
      </c>
      <c r="D585" s="1" t="s">
        <v>23</v>
      </c>
      <c r="E585" s="1" t="s">
        <v>35</v>
      </c>
      <c r="F585" s="4">
        <v>45588.67938657408</v>
      </c>
      <c r="G585" s="3" t="str">
        <f>HYPERLINK("https://hawk-eye.atlassian.net/browse/RTT-9393?atlOrigin=eyJpIjoiYzgwYTQ0ZjEyNzQzNGJhN2JmNjEyZTM0NmRhZWZhNjIiLCJwIjoic2hlZXRzLWppcmEifQ","RTT-9393")</f>
        <v>RTT-9393</v>
      </c>
      <c r="H585" s="1" t="s">
        <v>1058</v>
      </c>
      <c r="I585" s="1" t="s">
        <v>28</v>
      </c>
      <c r="J585" s="1" t="s">
        <v>26</v>
      </c>
      <c r="K585" s="1" t="s">
        <v>1099</v>
      </c>
      <c r="L585" s="1" t="s">
        <v>26</v>
      </c>
      <c r="M585" s="1" t="s">
        <v>27</v>
      </c>
      <c r="N585" s="1" t="s">
        <v>26</v>
      </c>
      <c r="O585" s="1" t="s">
        <v>26</v>
      </c>
      <c r="P585" s="4">
        <v>45644.46157407408</v>
      </c>
    </row>
    <row r="586" hidden="1">
      <c r="A586" s="1" t="s">
        <v>1055</v>
      </c>
      <c r="B586" s="3" t="str">
        <f>HYPERLINK("https://hawk-eye.atlassian.net/browse/HWKREPORT-2966?atlOrigin=eyJpIjoiYzgwYTQ0ZjEyNzQzNGJhN2JmNjEyZTM0NmRhZWZhNjIiLCJwIjoic2hlZXRzLWppcmEifQ","HWKREPORT-2966")</f>
        <v>HWKREPORT-2966</v>
      </c>
      <c r="C586" s="1" t="s">
        <v>1765</v>
      </c>
      <c r="D586" s="1" t="s">
        <v>83</v>
      </c>
      <c r="E586" s="1" t="s">
        <v>35</v>
      </c>
      <c r="F586" s="4">
        <v>45589.55670138889</v>
      </c>
      <c r="G586" s="3" t="str">
        <f>HYPERLINK("https://hawk-eye.atlassian.net/browse/CTF-1327?atlOrigin=eyJpIjoiYzgwYTQ0ZjEyNzQzNGJhN2JmNjEyZTM0NmRhZWZhNjIiLCJwIjoic2hlZXRzLWppcmEifQ","CTF-1327")</f>
        <v>CTF-1327</v>
      </c>
      <c r="H586" s="1" t="s">
        <v>1058</v>
      </c>
      <c r="I586" s="1" t="s">
        <v>1059</v>
      </c>
      <c r="J586" s="1" t="s">
        <v>26</v>
      </c>
      <c r="K586" s="1" t="s">
        <v>1060</v>
      </c>
      <c r="L586" s="1" t="s">
        <v>26</v>
      </c>
      <c r="M586" s="1" t="s">
        <v>27</v>
      </c>
      <c r="N586" s="1" t="s">
        <v>26</v>
      </c>
      <c r="O586" s="1" t="s">
        <v>26</v>
      </c>
      <c r="P586" s="4">
        <v>45778.65078703704</v>
      </c>
    </row>
    <row r="587" hidden="1">
      <c r="A587" s="1" t="s">
        <v>1055</v>
      </c>
      <c r="B587" s="3" t="str">
        <f>HYPERLINK("https://hawk-eye.atlassian.net/browse/HWKREPORT-2967?atlOrigin=eyJpIjoiYzgwYTQ0ZjEyNzQzNGJhN2JmNjEyZTM0NmRhZWZhNjIiLCJwIjoic2hlZXRzLWppcmEifQ","HWKREPORT-2967")</f>
        <v>HWKREPORT-2967</v>
      </c>
      <c r="C587" s="1" t="s">
        <v>1766</v>
      </c>
      <c r="D587" s="1" t="s">
        <v>23</v>
      </c>
      <c r="E587" s="1" t="s">
        <v>1057</v>
      </c>
      <c r="F587" s="4">
        <v>45589.56282407408</v>
      </c>
      <c r="G587" s="3" t="str">
        <f t="shared" ref="G587:G594" si="56">HYPERLINK("https://hawk-eye.atlassian.net/browse/?atlOrigin=eyJpIjoiYzgwYTQ0ZjEyNzQzNGJhN2JmNjEyZTM0NmRhZWZhNjIiLCJwIjoic2hlZXRzLWppcmEifQ","")</f>
        <v/>
      </c>
      <c r="H587" s="1" t="s">
        <v>1058</v>
      </c>
      <c r="I587" s="1" t="s">
        <v>1059</v>
      </c>
      <c r="J587" s="1" t="s">
        <v>26</v>
      </c>
      <c r="K587" s="1" t="s">
        <v>1060</v>
      </c>
      <c r="L587" s="1" t="s">
        <v>26</v>
      </c>
      <c r="M587" s="1" t="s">
        <v>27</v>
      </c>
      <c r="N587" s="1" t="s">
        <v>26</v>
      </c>
      <c r="O587" s="1" t="s">
        <v>26</v>
      </c>
      <c r="P587" s="4">
        <v>45589.56283564815</v>
      </c>
    </row>
    <row r="588" hidden="1">
      <c r="A588" s="1" t="s">
        <v>1055</v>
      </c>
      <c r="B588" s="3" t="str">
        <f>HYPERLINK("https://hawk-eye.atlassian.net/browse/HWKREPORT-2968?atlOrigin=eyJpIjoiYzgwYTQ0ZjEyNzQzNGJhN2JmNjEyZTM0NmRhZWZhNjIiLCJwIjoic2hlZXRzLWppcmEifQ","HWKREPORT-2968")</f>
        <v>HWKREPORT-2968</v>
      </c>
      <c r="C588" s="1" t="s">
        <v>1767</v>
      </c>
      <c r="D588" s="1" t="s">
        <v>83</v>
      </c>
      <c r="E588" s="1" t="s">
        <v>1057</v>
      </c>
      <c r="F588" s="4">
        <v>45589.565983796296</v>
      </c>
      <c r="G588" s="3" t="str">
        <f t="shared" si="56"/>
        <v/>
      </c>
      <c r="H588" s="1" t="s">
        <v>1058</v>
      </c>
      <c r="I588" s="1" t="s">
        <v>1059</v>
      </c>
      <c r="J588" s="1" t="s">
        <v>26</v>
      </c>
      <c r="K588" s="1" t="s">
        <v>1060</v>
      </c>
      <c r="L588" s="1" t="s">
        <v>26</v>
      </c>
      <c r="M588" s="1" t="s">
        <v>27</v>
      </c>
      <c r="N588" s="1" t="s">
        <v>26</v>
      </c>
      <c r="O588" s="1" t="s">
        <v>26</v>
      </c>
      <c r="P588" s="4">
        <v>45589.565983796296</v>
      </c>
    </row>
    <row r="589" hidden="1">
      <c r="A589" s="1" t="s">
        <v>1055</v>
      </c>
      <c r="B589" s="3" t="str">
        <f>HYPERLINK("https://hawk-eye.atlassian.net/browse/HWKREPORT-2969?atlOrigin=eyJpIjoiYzgwYTQ0ZjEyNzQzNGJhN2JmNjEyZTM0NmRhZWZhNjIiLCJwIjoic2hlZXRzLWppcmEifQ","HWKREPORT-2969")</f>
        <v>HWKREPORT-2969</v>
      </c>
      <c r="C589" s="1" t="s">
        <v>1768</v>
      </c>
      <c r="D589" s="1" t="s">
        <v>83</v>
      </c>
      <c r="E589" s="1" t="s">
        <v>1057</v>
      </c>
      <c r="F589" s="4">
        <v>45589.568819444445</v>
      </c>
      <c r="G589" s="3" t="str">
        <f t="shared" si="56"/>
        <v/>
      </c>
      <c r="H589" s="1" t="s">
        <v>1058</v>
      </c>
      <c r="I589" s="1" t="s">
        <v>1059</v>
      </c>
      <c r="J589" s="1" t="s">
        <v>26</v>
      </c>
      <c r="K589" s="1" t="s">
        <v>1167</v>
      </c>
      <c r="L589" s="1" t="s">
        <v>26</v>
      </c>
      <c r="M589" s="1" t="s">
        <v>27</v>
      </c>
      <c r="N589" s="1" t="s">
        <v>26</v>
      </c>
      <c r="O589" s="1" t="s">
        <v>26</v>
      </c>
      <c r="P589" s="4">
        <v>45589.56883101852</v>
      </c>
    </row>
    <row r="590" hidden="1">
      <c r="A590" s="1" t="s">
        <v>1055</v>
      </c>
      <c r="B590" s="3" t="str">
        <f>HYPERLINK("https://hawk-eye.atlassian.net/browse/HWKREPORT-2970?atlOrigin=eyJpIjoiYzgwYTQ0ZjEyNzQzNGJhN2JmNjEyZTM0NmRhZWZhNjIiLCJwIjoic2hlZXRzLWppcmEifQ","HWKREPORT-2970")</f>
        <v>HWKREPORT-2970</v>
      </c>
      <c r="C590" s="1" t="s">
        <v>1769</v>
      </c>
      <c r="D590" s="1" t="s">
        <v>23</v>
      </c>
      <c r="E590" s="1" t="s">
        <v>1057</v>
      </c>
      <c r="F590" s="4">
        <v>45589.59008101852</v>
      </c>
      <c r="G590" s="3" t="str">
        <f t="shared" si="56"/>
        <v/>
      </c>
      <c r="H590" s="1" t="s">
        <v>1058</v>
      </c>
      <c r="I590" s="1" t="s">
        <v>1059</v>
      </c>
      <c r="J590" s="1" t="s">
        <v>26</v>
      </c>
      <c r="K590" s="1" t="s">
        <v>1060</v>
      </c>
      <c r="L590" s="1" t="s">
        <v>26</v>
      </c>
      <c r="M590" s="1" t="s">
        <v>27</v>
      </c>
      <c r="N590" s="1" t="s">
        <v>26</v>
      </c>
      <c r="O590" s="1" t="s">
        <v>26</v>
      </c>
      <c r="P590" s="4">
        <v>45589.59008101852</v>
      </c>
    </row>
    <row r="591" hidden="1">
      <c r="A591" s="1" t="s">
        <v>1055</v>
      </c>
      <c r="B591" s="3" t="str">
        <f>HYPERLINK("https://hawk-eye.atlassian.net/browse/HWKREPORT-2971?atlOrigin=eyJpIjoiYzgwYTQ0ZjEyNzQzNGJhN2JmNjEyZTM0NmRhZWZhNjIiLCJwIjoic2hlZXRzLWppcmEifQ","HWKREPORT-2971")</f>
        <v>HWKREPORT-2971</v>
      </c>
      <c r="C591" s="1" t="s">
        <v>1770</v>
      </c>
      <c r="D591" s="1" t="s">
        <v>83</v>
      </c>
      <c r="E591" s="1" t="s">
        <v>1057</v>
      </c>
      <c r="F591" s="4">
        <v>45589.592997685184</v>
      </c>
      <c r="G591" s="3" t="str">
        <f t="shared" si="56"/>
        <v/>
      </c>
      <c r="H591" s="1" t="s">
        <v>1058</v>
      </c>
      <c r="I591" s="1" t="s">
        <v>1059</v>
      </c>
      <c r="J591" s="1" t="s">
        <v>26</v>
      </c>
      <c r="K591" s="1" t="s">
        <v>1060</v>
      </c>
      <c r="L591" s="1" t="s">
        <v>26</v>
      </c>
      <c r="M591" s="1" t="s">
        <v>27</v>
      </c>
      <c r="N591" s="1" t="s">
        <v>26</v>
      </c>
      <c r="O591" s="1" t="s">
        <v>26</v>
      </c>
      <c r="P591" s="4">
        <v>45589.592997685184</v>
      </c>
    </row>
    <row r="592" hidden="1">
      <c r="A592" s="1" t="s">
        <v>1055</v>
      </c>
      <c r="B592" s="3" t="str">
        <f>HYPERLINK("https://hawk-eye.atlassian.net/browse/HWKREPORT-2972?atlOrigin=eyJpIjoiYzgwYTQ0ZjEyNzQzNGJhN2JmNjEyZTM0NmRhZWZhNjIiLCJwIjoic2hlZXRzLWppcmEifQ","HWKREPORT-2972")</f>
        <v>HWKREPORT-2972</v>
      </c>
      <c r="C592" s="1" t="s">
        <v>1771</v>
      </c>
      <c r="D592" s="1" t="s">
        <v>83</v>
      </c>
      <c r="E592" s="1" t="s">
        <v>1057</v>
      </c>
      <c r="F592" s="4">
        <v>45589.59615740741</v>
      </c>
      <c r="G592" s="3" t="str">
        <f t="shared" si="56"/>
        <v/>
      </c>
      <c r="H592" s="1" t="s">
        <v>1058</v>
      </c>
      <c r="I592" s="1" t="s">
        <v>1059</v>
      </c>
      <c r="J592" s="1" t="s">
        <v>26</v>
      </c>
      <c r="K592" s="1" t="s">
        <v>1060</v>
      </c>
      <c r="L592" s="1" t="s">
        <v>26</v>
      </c>
      <c r="M592" s="1" t="s">
        <v>27</v>
      </c>
      <c r="N592" s="1" t="s">
        <v>26</v>
      </c>
      <c r="O592" s="1" t="s">
        <v>26</v>
      </c>
      <c r="P592" s="4">
        <v>45589.59615740741</v>
      </c>
    </row>
    <row r="593" hidden="1">
      <c r="A593" s="1" t="s">
        <v>21</v>
      </c>
      <c r="B593" s="3" t="str">
        <f>HYPERLINK("https://hawk-eye.atlassian.net/browse/HWKREPORT-2973?atlOrigin=eyJpIjoiYzgwYTQ0ZjEyNzQzNGJhN2JmNjEyZTM0NmRhZWZhNjIiLCJwIjoic2hlZXRzLWppcmEifQ","HWKREPORT-2973")</f>
        <v>HWKREPORT-2973</v>
      </c>
      <c r="C593" s="1" t="s">
        <v>1772</v>
      </c>
      <c r="D593" s="1" t="s">
        <v>83</v>
      </c>
      <c r="E593" s="1" t="s">
        <v>1057</v>
      </c>
      <c r="F593" s="4">
        <v>45589.59952546296</v>
      </c>
      <c r="G593" s="3" t="str">
        <f t="shared" si="56"/>
        <v/>
      </c>
      <c r="H593" s="1" t="s">
        <v>1058</v>
      </c>
      <c r="I593" s="1" t="s">
        <v>1059</v>
      </c>
      <c r="J593" s="1" t="s">
        <v>26</v>
      </c>
      <c r="K593" s="1" t="s">
        <v>1060</v>
      </c>
      <c r="L593" s="1" t="s">
        <v>26</v>
      </c>
      <c r="M593" s="1" t="s">
        <v>27</v>
      </c>
      <c r="N593" s="1" t="s">
        <v>26</v>
      </c>
      <c r="O593" s="1" t="s">
        <v>26</v>
      </c>
      <c r="P593" s="4">
        <v>45589.59953703704</v>
      </c>
    </row>
    <row r="594" hidden="1">
      <c r="A594" s="1" t="s">
        <v>21</v>
      </c>
      <c r="B594" s="3" t="str">
        <f>HYPERLINK("https://hawk-eye.atlassian.net/browse/HWKREPORT-2974?atlOrigin=eyJpIjoiYzgwYTQ0ZjEyNzQzNGJhN2JmNjEyZTM0NmRhZWZhNjIiLCJwIjoic2hlZXRzLWppcmEifQ","HWKREPORT-2974")</f>
        <v>HWKREPORT-2974</v>
      </c>
      <c r="C594" s="1" t="s">
        <v>1773</v>
      </c>
      <c r="D594" s="1" t="s">
        <v>48</v>
      </c>
      <c r="E594" s="1" t="s">
        <v>1057</v>
      </c>
      <c r="F594" s="4">
        <v>45589.60799768518</v>
      </c>
      <c r="G594" s="3" t="str">
        <f t="shared" si="56"/>
        <v/>
      </c>
      <c r="H594" s="1" t="s">
        <v>1058</v>
      </c>
      <c r="I594" s="1" t="s">
        <v>1059</v>
      </c>
      <c r="J594" s="1" t="s">
        <v>26</v>
      </c>
      <c r="K594" s="1" t="s">
        <v>1060</v>
      </c>
      <c r="L594" s="1" t="s">
        <v>26</v>
      </c>
      <c r="M594" s="1" t="s">
        <v>27</v>
      </c>
      <c r="N594" s="1" t="s">
        <v>26</v>
      </c>
      <c r="O594" s="1" t="s">
        <v>26</v>
      </c>
      <c r="P594" s="4">
        <v>45589.60800925926</v>
      </c>
    </row>
    <row r="595" hidden="1">
      <c r="A595" s="1" t="s">
        <v>1055</v>
      </c>
      <c r="B595" s="3" t="str">
        <f>HYPERLINK("https://hawk-eye.atlassian.net/browse/HWKREPORT-2975?atlOrigin=eyJpIjoiYzgwYTQ0ZjEyNzQzNGJhN2JmNjEyZTM0NmRhZWZhNjIiLCJwIjoic2hlZXRzLWppcmEifQ","HWKREPORT-2975")</f>
        <v>HWKREPORT-2975</v>
      </c>
      <c r="C595" s="1" t="s">
        <v>1774</v>
      </c>
      <c r="D595" s="1" t="s">
        <v>23</v>
      </c>
      <c r="E595" s="1" t="s">
        <v>1057</v>
      </c>
      <c r="F595" s="4">
        <v>45590.75502314815</v>
      </c>
      <c r="G595" s="3" t="str">
        <f>HYPERLINK("https://hawk-eye.atlassian.net/browse/AT-1616?atlOrigin=eyJpIjoiYzgwYTQ0ZjEyNzQzNGJhN2JmNjEyZTM0NmRhZWZhNjIiLCJwIjoic2hlZXRzLWppcmEifQ","AT-1616")</f>
        <v>AT-1616</v>
      </c>
      <c r="H595" s="1" t="s">
        <v>1058</v>
      </c>
      <c r="I595" s="1" t="s">
        <v>1085</v>
      </c>
      <c r="J595" s="1" t="s">
        <v>26</v>
      </c>
      <c r="K595" s="1" t="s">
        <v>26</v>
      </c>
      <c r="L595" s="1" t="s">
        <v>26</v>
      </c>
      <c r="M595" s="1" t="s">
        <v>27</v>
      </c>
      <c r="N595" s="1" t="s">
        <v>26</v>
      </c>
      <c r="O595" s="1" t="s">
        <v>26</v>
      </c>
      <c r="P595" s="4">
        <v>45590.75503472222</v>
      </c>
    </row>
    <row r="596">
      <c r="A596" s="1" t="s">
        <v>21</v>
      </c>
      <c r="B596" s="3" t="str">
        <f>HYPERLINK("https://hawk-eye.atlassian.net/browse/HWKREPORT-2976?atlOrigin=eyJpIjoiYzgwYTQ0ZjEyNzQzNGJhN2JmNjEyZTM0NmRhZWZhNjIiLCJwIjoic2hlZXRzLWppcmEifQ","HWKREPORT-2976")</f>
        <v>HWKREPORT-2976</v>
      </c>
      <c r="C596" s="1" t="s">
        <v>1775</v>
      </c>
      <c r="D596" s="1" t="s">
        <v>34</v>
      </c>
      <c r="E596" s="1" t="s">
        <v>35</v>
      </c>
      <c r="F596" s="4">
        <v>45593.32803240741</v>
      </c>
      <c r="G596" s="3" t="str">
        <f>HYPERLINK("https://hawk-eye.atlassian.net/browse/SO-2062?atlOrigin=eyJpIjoiYzgwYTQ0ZjEyNzQzNGJhN2JmNjEyZTM0NmRhZWZhNjIiLCJwIjoic2hlZXRzLWppcmEifQ","SO-2062")</f>
        <v>SO-2062</v>
      </c>
      <c r="H596" s="1" t="s">
        <v>1058</v>
      </c>
      <c r="I596" s="1" t="s">
        <v>28</v>
      </c>
      <c r="J596" s="1" t="s">
        <v>26</v>
      </c>
      <c r="K596" s="1" t="s">
        <v>1116</v>
      </c>
      <c r="L596" s="1" t="s">
        <v>26</v>
      </c>
      <c r="M596" s="1" t="s">
        <v>27</v>
      </c>
      <c r="N596" s="1" t="s">
        <v>26</v>
      </c>
      <c r="O596" s="1" t="s">
        <v>26</v>
      </c>
      <c r="P596" s="4">
        <v>45659.545115740744</v>
      </c>
    </row>
    <row r="597" hidden="1">
      <c r="A597" s="1" t="s">
        <v>1055</v>
      </c>
      <c r="B597" s="3" t="str">
        <f>HYPERLINK("https://hawk-eye.atlassian.net/browse/HWKREPORT-2977?atlOrigin=eyJpIjoiYzgwYTQ0ZjEyNzQzNGJhN2JmNjEyZTM0NmRhZWZhNjIiLCJwIjoic2hlZXRzLWppcmEifQ","HWKREPORT-2977")</f>
        <v>HWKREPORT-2977</v>
      </c>
      <c r="C597" s="1" t="s">
        <v>1776</v>
      </c>
      <c r="D597" s="1" t="s">
        <v>48</v>
      </c>
      <c r="E597" s="1" t="s">
        <v>35</v>
      </c>
      <c r="F597" s="4">
        <v>45593.75341435185</v>
      </c>
      <c r="G597" s="3" t="str">
        <f>HYPERLINK("https://hawk-eye.atlassian.net/browse/SO-1945?atlOrigin=eyJpIjoiYzgwYTQ0ZjEyNzQzNGJhN2JmNjEyZTM0NmRhZWZhNjIiLCJwIjoic2hlZXRzLWppcmEifQ","SO-1945")</f>
        <v>SO-1945</v>
      </c>
      <c r="H597" s="1" t="s">
        <v>1058</v>
      </c>
      <c r="I597" s="1" t="s">
        <v>1071</v>
      </c>
      <c r="J597" s="1" t="s">
        <v>26</v>
      </c>
      <c r="K597" s="1" t="s">
        <v>1777</v>
      </c>
      <c r="L597" s="1" t="s">
        <v>26</v>
      </c>
      <c r="M597" s="1" t="s">
        <v>27</v>
      </c>
      <c r="N597" s="1" t="s">
        <v>26</v>
      </c>
      <c r="O597" s="1" t="s">
        <v>26</v>
      </c>
      <c r="P597" s="4">
        <v>45611.36844907407</v>
      </c>
    </row>
    <row r="598" hidden="1">
      <c r="A598" s="1" t="s">
        <v>21</v>
      </c>
      <c r="B598" s="3" t="str">
        <f>HYPERLINK("https://hawk-eye.atlassian.net/browse/HWKREPORT-2978?atlOrigin=eyJpIjoiYzgwYTQ0ZjEyNzQzNGJhN2JmNjEyZTM0NmRhZWZhNjIiLCJwIjoic2hlZXRzLWppcmEifQ","HWKREPORT-2978")</f>
        <v>HWKREPORT-2978</v>
      </c>
      <c r="C598" s="1" t="s">
        <v>1778</v>
      </c>
      <c r="D598" s="1" t="s">
        <v>40</v>
      </c>
      <c r="E598" s="1" t="s">
        <v>1057</v>
      </c>
      <c r="F598" s="4">
        <v>45594.56869212963</v>
      </c>
      <c r="G598" s="3" t="str">
        <f t="shared" ref="G598:G599" si="57">HYPERLINK("https://hawk-eye.atlassian.net/browse/?atlOrigin=eyJpIjoiYzgwYTQ0ZjEyNzQzNGJhN2JmNjEyZTM0NmRhZWZhNjIiLCJwIjoic2hlZXRzLWppcmEifQ","")</f>
        <v/>
      </c>
      <c r="H598" s="1" t="s">
        <v>1058</v>
      </c>
      <c r="I598" s="1" t="s">
        <v>1082</v>
      </c>
      <c r="J598" s="1" t="s">
        <v>26</v>
      </c>
      <c r="K598" s="1" t="s">
        <v>1148</v>
      </c>
      <c r="L598" s="1" t="s">
        <v>26</v>
      </c>
      <c r="M598" s="1" t="s">
        <v>27</v>
      </c>
      <c r="N598" s="1" t="s">
        <v>26</v>
      </c>
      <c r="O598" s="1" t="s">
        <v>26</v>
      </c>
      <c r="P598" s="4">
        <v>45594.56869212963</v>
      </c>
    </row>
    <row r="599" hidden="1">
      <c r="A599" s="1" t="s">
        <v>21</v>
      </c>
      <c r="B599" s="3" t="str">
        <f>HYPERLINK("https://hawk-eye.atlassian.net/browse/HWKREPORT-2979?atlOrigin=eyJpIjoiYzgwYTQ0ZjEyNzQzNGJhN2JmNjEyZTM0NmRhZWZhNjIiLCJwIjoic2hlZXRzLWppcmEifQ","HWKREPORT-2979")</f>
        <v>HWKREPORT-2979</v>
      </c>
      <c r="C599" s="1" t="s">
        <v>1779</v>
      </c>
      <c r="D599" s="1" t="s">
        <v>23</v>
      </c>
      <c r="E599" s="1" t="s">
        <v>1057</v>
      </c>
      <c r="F599" s="4">
        <v>45594.58090277778</v>
      </c>
      <c r="G599" s="3" t="str">
        <f t="shared" si="57"/>
        <v/>
      </c>
      <c r="H599" s="1" t="s">
        <v>1058</v>
      </c>
      <c r="I599" s="1" t="s">
        <v>1085</v>
      </c>
      <c r="J599" s="1" t="s">
        <v>26</v>
      </c>
      <c r="K599" s="1" t="s">
        <v>1290</v>
      </c>
      <c r="L599" s="1" t="s">
        <v>26</v>
      </c>
      <c r="M599" s="1" t="s">
        <v>27</v>
      </c>
      <c r="N599" s="1" t="s">
        <v>26</v>
      </c>
      <c r="O599" s="1" t="s">
        <v>26</v>
      </c>
      <c r="P599" s="4">
        <v>45594.58091435185</v>
      </c>
    </row>
    <row r="600" hidden="1">
      <c r="A600" s="1" t="s">
        <v>1055</v>
      </c>
      <c r="B600" s="3" t="str">
        <f>HYPERLINK("https://hawk-eye.atlassian.net/browse/HWKREPORT-2980?atlOrigin=eyJpIjoiYzgwYTQ0ZjEyNzQzNGJhN2JmNjEyZTM0NmRhZWZhNjIiLCJwIjoic2hlZXRzLWppcmEifQ","HWKREPORT-2980")</f>
        <v>HWKREPORT-2980</v>
      </c>
      <c r="C600" s="1" t="s">
        <v>1780</v>
      </c>
      <c r="D600" s="1" t="s">
        <v>48</v>
      </c>
      <c r="E600" s="1" t="s">
        <v>1057</v>
      </c>
      <c r="F600" s="4">
        <v>45595.48416666667</v>
      </c>
      <c r="G600" s="3" t="str">
        <f>HYPERLINK("https://hawk-eye.atlassian.net/browse/SO-2343?atlOrigin=eyJpIjoiYzgwYTQ0ZjEyNzQzNGJhN2JmNjEyZTM0NmRhZWZhNjIiLCJwIjoic2hlZXRzLWppcmEifQ","SO-2343")</f>
        <v>SO-2343</v>
      </c>
      <c r="H600" s="1" t="s">
        <v>1058</v>
      </c>
      <c r="I600" s="1" t="s">
        <v>1085</v>
      </c>
      <c r="J600" s="1" t="s">
        <v>26</v>
      </c>
      <c r="K600" s="1" t="s">
        <v>1116</v>
      </c>
      <c r="L600" s="1" t="s">
        <v>26</v>
      </c>
      <c r="M600" s="1" t="s">
        <v>27</v>
      </c>
      <c r="N600" s="1" t="s">
        <v>26</v>
      </c>
      <c r="O600" s="1" t="s">
        <v>26</v>
      </c>
      <c r="P600" s="4">
        <v>45595.48416666667</v>
      </c>
    </row>
    <row r="601" hidden="1">
      <c r="A601" s="1" t="s">
        <v>21</v>
      </c>
      <c r="B601" s="3" t="str">
        <f>HYPERLINK("https://hawk-eye.atlassian.net/browse/HWKREPORT-2981?atlOrigin=eyJpIjoiYzgwYTQ0ZjEyNzQzNGJhN2JmNjEyZTM0NmRhZWZhNjIiLCJwIjoic2hlZXRzLWppcmEifQ","HWKREPORT-2981")</f>
        <v>HWKREPORT-2981</v>
      </c>
      <c r="C601" s="1" t="s">
        <v>1781</v>
      </c>
      <c r="D601" s="1" t="s">
        <v>34</v>
      </c>
      <c r="E601" s="1" t="s">
        <v>1057</v>
      </c>
      <c r="F601" s="4">
        <v>45595.62063657407</v>
      </c>
      <c r="G601" s="3" t="str">
        <f>HYPERLINK("https://hawk-eye.atlassian.net/browse/?atlOrigin=eyJpIjoiYzgwYTQ0ZjEyNzQzNGJhN2JmNjEyZTM0NmRhZWZhNjIiLCJwIjoic2hlZXRzLWppcmEifQ","")</f>
        <v/>
      </c>
      <c r="H601" s="1" t="s">
        <v>1058</v>
      </c>
      <c r="I601" s="1" t="s">
        <v>1082</v>
      </c>
      <c r="J601" s="1" t="s">
        <v>26</v>
      </c>
      <c r="K601" s="1" t="s">
        <v>1247</v>
      </c>
      <c r="L601" s="1" t="s">
        <v>26</v>
      </c>
      <c r="M601" s="1" t="s">
        <v>27</v>
      </c>
      <c r="N601" s="1" t="s">
        <v>26</v>
      </c>
      <c r="O601" s="1" t="s">
        <v>26</v>
      </c>
      <c r="P601" s="4">
        <v>45595.62064814815</v>
      </c>
    </row>
    <row r="602" hidden="1">
      <c r="A602" s="1" t="s">
        <v>1055</v>
      </c>
      <c r="B602" s="3" t="str">
        <f>HYPERLINK("https://hawk-eye.atlassian.net/browse/HWKREPORT-2782?atlOrigin=eyJpIjoiYzgwYTQ0ZjEyNzQzNGJhN2JmNjEyZTM0NmRhZWZhNjIiLCJwIjoic2hlZXRzLWppcmEifQ","HWKREPORT-2782")</f>
        <v>HWKREPORT-2782</v>
      </c>
      <c r="C602" s="1" t="s">
        <v>1782</v>
      </c>
      <c r="D602" s="1" t="s">
        <v>48</v>
      </c>
      <c r="E602" s="1" t="s">
        <v>1057</v>
      </c>
      <c r="F602" s="4">
        <v>45448.51181712963</v>
      </c>
      <c r="G602" s="3" t="str">
        <f>HYPERLINK("https://hawk-eye.atlassian.net/browse/CTK-178?atlOrigin=eyJpIjoiYzgwYTQ0ZjEyNzQzNGJhN2JmNjEyZTM0NmRhZWZhNjIiLCJwIjoic2hlZXRzLWppcmEifQ","CTK-178")</f>
        <v>CTK-178</v>
      </c>
      <c r="H602" s="1" t="s">
        <v>1058</v>
      </c>
      <c r="I602" s="1" t="s">
        <v>1082</v>
      </c>
      <c r="J602" s="1" t="s">
        <v>26</v>
      </c>
      <c r="K602" s="1" t="s">
        <v>1083</v>
      </c>
      <c r="L602" s="1" t="s">
        <v>26</v>
      </c>
      <c r="M602" s="1" t="s">
        <v>27</v>
      </c>
      <c r="N602" s="1" t="s">
        <v>26</v>
      </c>
      <c r="O602" s="1" t="s">
        <v>26</v>
      </c>
      <c r="P602" s="4">
        <v>45448.511828703704</v>
      </c>
    </row>
    <row r="603" hidden="1">
      <c r="A603" s="1" t="s">
        <v>1055</v>
      </c>
      <c r="B603" s="3" t="str">
        <f>HYPERLINK("https://hawk-eye.atlassian.net/browse/HWKREPORT-2783?atlOrigin=eyJpIjoiYzgwYTQ0ZjEyNzQzNGJhN2JmNjEyZTM0NmRhZWZhNjIiLCJwIjoic2hlZXRzLWppcmEifQ","HWKREPORT-2783")</f>
        <v>HWKREPORT-2783</v>
      </c>
      <c r="C603" s="1" t="s">
        <v>1783</v>
      </c>
      <c r="D603" s="1" t="s">
        <v>48</v>
      </c>
      <c r="E603" s="1" t="s">
        <v>35</v>
      </c>
      <c r="F603" s="4">
        <v>45448.524664351855</v>
      </c>
      <c r="G603" s="3" t="str">
        <f>HYPERLINK("https://hawk-eye.atlassian.net/browse/CTK-182?atlOrigin=eyJpIjoiYzgwYTQ0ZjEyNzQzNGJhN2JmNjEyZTM0NmRhZWZhNjIiLCJwIjoic2hlZXRzLWppcmEifQ","CTK-182")</f>
        <v>CTK-182</v>
      </c>
      <c r="H603" s="1" t="s">
        <v>1058</v>
      </c>
      <c r="I603" s="1" t="s">
        <v>1082</v>
      </c>
      <c r="J603" s="1" t="s">
        <v>26</v>
      </c>
      <c r="K603" s="1" t="s">
        <v>1083</v>
      </c>
      <c r="L603" s="1" t="s">
        <v>26</v>
      </c>
      <c r="M603" s="1" t="s">
        <v>27</v>
      </c>
      <c r="N603" s="1" t="s">
        <v>26</v>
      </c>
      <c r="O603" s="1" t="s">
        <v>26</v>
      </c>
      <c r="P603" s="4">
        <v>45714.40388888889</v>
      </c>
    </row>
    <row r="604" hidden="1">
      <c r="A604" s="1" t="s">
        <v>1055</v>
      </c>
      <c r="B604" s="3" t="str">
        <f>HYPERLINK("https://hawk-eye.atlassian.net/browse/HWKREPORT-2784?atlOrigin=eyJpIjoiYzgwYTQ0ZjEyNzQzNGJhN2JmNjEyZTM0NmRhZWZhNjIiLCJwIjoic2hlZXRzLWppcmEifQ","HWKREPORT-2784")</f>
        <v>HWKREPORT-2784</v>
      </c>
      <c r="C604" s="1" t="s">
        <v>1784</v>
      </c>
      <c r="D604" s="1" t="s">
        <v>48</v>
      </c>
      <c r="E604" s="1" t="s">
        <v>1057</v>
      </c>
      <c r="F604" s="4">
        <v>45449.7296875</v>
      </c>
      <c r="G604" s="3" t="str">
        <f>HYPERLINK("https://hawk-eye.atlassian.net/browse/BR-1952?atlOrigin=eyJpIjoiYzgwYTQ0ZjEyNzQzNGJhN2JmNjEyZTM0NmRhZWZhNjIiLCJwIjoic2hlZXRzLWppcmEifQ","BR-1952")</f>
        <v>BR-1952</v>
      </c>
      <c r="H604" s="1" t="s">
        <v>1058</v>
      </c>
      <c r="I604" s="1" t="s">
        <v>1087</v>
      </c>
      <c r="J604" s="1" t="s">
        <v>26</v>
      </c>
      <c r="K604" s="1" t="s">
        <v>1337</v>
      </c>
      <c r="L604" s="1" t="s">
        <v>26</v>
      </c>
      <c r="M604" s="1" t="s">
        <v>27</v>
      </c>
      <c r="N604" s="1" t="s">
        <v>26</v>
      </c>
      <c r="O604" s="1" t="s">
        <v>26</v>
      </c>
      <c r="P604" s="4">
        <v>45449.72969907407</v>
      </c>
    </row>
    <row r="605" hidden="1">
      <c r="A605" s="1" t="s">
        <v>1055</v>
      </c>
      <c r="B605" s="3" t="str">
        <f>HYPERLINK("https://hawk-eye.atlassian.net/browse/HWKREPORT-2785?atlOrigin=eyJpIjoiYzgwYTQ0ZjEyNzQzNGJhN2JmNjEyZTM0NmRhZWZhNjIiLCJwIjoic2hlZXRzLWppcmEifQ","HWKREPORT-2785")</f>
        <v>HWKREPORT-2785</v>
      </c>
      <c r="C605" s="1" t="s">
        <v>1785</v>
      </c>
      <c r="D605" s="1" t="s">
        <v>48</v>
      </c>
      <c r="E605" s="1" t="s">
        <v>1057</v>
      </c>
      <c r="F605" s="4">
        <v>45449.73510416667</v>
      </c>
      <c r="G605" s="3" t="str">
        <f>HYPERLINK("https://hawk-eye.atlassian.net/browse/BR-1480?atlOrigin=eyJpIjoiYzgwYTQ0ZjEyNzQzNGJhN2JmNjEyZTM0NmRhZWZhNjIiLCJwIjoic2hlZXRzLWppcmEifQ","BR-1480")</f>
        <v>BR-1480</v>
      </c>
      <c r="H605" s="1" t="s">
        <v>1058</v>
      </c>
      <c r="I605" s="1" t="s">
        <v>1087</v>
      </c>
      <c r="J605" s="1" t="s">
        <v>26</v>
      </c>
      <c r="K605" s="1" t="s">
        <v>1786</v>
      </c>
      <c r="L605" s="1" t="s">
        <v>26</v>
      </c>
      <c r="M605" s="1" t="s">
        <v>27</v>
      </c>
      <c r="N605" s="1" t="s">
        <v>26</v>
      </c>
      <c r="O605" s="1" t="s">
        <v>26</v>
      </c>
      <c r="P605" s="4">
        <v>45449.73510416667</v>
      </c>
    </row>
    <row r="606" hidden="1">
      <c r="A606" s="1" t="s">
        <v>21</v>
      </c>
      <c r="B606" s="3" t="str">
        <f>HYPERLINK("https://hawk-eye.atlassian.net/browse/HWKREPORT-2786?atlOrigin=eyJpIjoiYzgwYTQ0ZjEyNzQzNGJhN2JmNjEyZTM0NmRhZWZhNjIiLCJwIjoic2hlZXRzLWppcmEifQ","HWKREPORT-2786")</f>
        <v>HWKREPORT-2786</v>
      </c>
      <c r="C606" s="1" t="s">
        <v>1787</v>
      </c>
      <c r="D606" s="1" t="s">
        <v>23</v>
      </c>
      <c r="E606" s="1" t="s">
        <v>35</v>
      </c>
      <c r="F606" s="4">
        <v>45449.79053240741</v>
      </c>
      <c r="G606" s="3" t="str">
        <f>HYPERLINK("https://hawk-eye.atlassian.net/browse/TDP-2072?atlOrigin=eyJpIjoiYzgwYTQ0ZjEyNzQzNGJhN2JmNjEyZTM0NmRhZWZhNjIiLCJwIjoic2hlZXRzLWppcmEifQ","TDP-2072")</f>
        <v>TDP-2072</v>
      </c>
      <c r="H606" s="1" t="s">
        <v>1058</v>
      </c>
      <c r="I606" s="1" t="s">
        <v>1126</v>
      </c>
      <c r="J606" s="1" t="s">
        <v>26</v>
      </c>
      <c r="K606" s="1" t="s">
        <v>1211</v>
      </c>
      <c r="L606" s="1" t="s">
        <v>26</v>
      </c>
      <c r="M606" s="1" t="s">
        <v>27</v>
      </c>
      <c r="N606" s="1" t="s">
        <v>26</v>
      </c>
      <c r="O606" s="1" t="s">
        <v>26</v>
      </c>
      <c r="P606" s="4">
        <v>45457.43917824074</v>
      </c>
    </row>
    <row r="607" hidden="1">
      <c r="A607" s="1" t="s">
        <v>21</v>
      </c>
      <c r="B607" s="3" t="str">
        <f>HYPERLINK("https://hawk-eye.atlassian.net/browse/HWKREPORT-2787?atlOrigin=eyJpIjoiYzgwYTQ0ZjEyNzQzNGJhN2JmNjEyZTM0NmRhZWZhNjIiLCJwIjoic2hlZXRzLWppcmEifQ","HWKREPORT-2787")</f>
        <v>HWKREPORT-2787</v>
      </c>
      <c r="C607" s="1" t="s">
        <v>1788</v>
      </c>
      <c r="D607" s="1" t="s">
        <v>23</v>
      </c>
      <c r="E607" s="1" t="s">
        <v>35</v>
      </c>
      <c r="F607" s="4">
        <v>45449.813564814816</v>
      </c>
      <c r="G607" s="3" t="str">
        <f t="shared" ref="G607:G609" si="58">HYPERLINK("https://hawk-eye.atlassian.net/browse/?atlOrigin=eyJpIjoiYzgwYTQ0ZjEyNzQzNGJhN2JmNjEyZTM0NmRhZWZhNjIiLCJwIjoic2hlZXRzLWppcmEifQ","")</f>
        <v/>
      </c>
      <c r="H607" s="1" t="s">
        <v>1058</v>
      </c>
      <c r="I607" s="1" t="s">
        <v>1126</v>
      </c>
      <c r="J607" s="1" t="s">
        <v>26</v>
      </c>
      <c r="K607" s="1" t="s">
        <v>1211</v>
      </c>
      <c r="L607" s="1" t="s">
        <v>26</v>
      </c>
      <c r="M607" s="1" t="s">
        <v>27</v>
      </c>
      <c r="N607" s="1" t="s">
        <v>26</v>
      </c>
      <c r="O607" s="1" t="s">
        <v>26</v>
      </c>
      <c r="P607" s="4">
        <v>45551.52972222222</v>
      </c>
    </row>
    <row r="608" hidden="1">
      <c r="A608" s="1" t="s">
        <v>21</v>
      </c>
      <c r="B608" s="3" t="str">
        <f>HYPERLINK("https://hawk-eye.atlassian.net/browse/HWKREPORT-2788?atlOrigin=eyJpIjoiYzgwYTQ0ZjEyNzQzNGJhN2JmNjEyZTM0NmRhZWZhNjIiLCJwIjoic2hlZXRzLWppcmEifQ","HWKREPORT-2788")</f>
        <v>HWKREPORT-2788</v>
      </c>
      <c r="C608" s="1" t="s">
        <v>1789</v>
      </c>
      <c r="D608" s="1" t="s">
        <v>40</v>
      </c>
      <c r="E608" s="1" t="s">
        <v>1057</v>
      </c>
      <c r="F608" s="4">
        <v>45450.90090277778</v>
      </c>
      <c r="G608" s="3" t="str">
        <f t="shared" si="58"/>
        <v/>
      </c>
      <c r="H608" s="1" t="s">
        <v>1058</v>
      </c>
      <c r="I608" s="1" t="s">
        <v>1085</v>
      </c>
      <c r="J608" s="1" t="s">
        <v>26</v>
      </c>
      <c r="K608" s="1" t="s">
        <v>1219</v>
      </c>
      <c r="L608" s="1" t="s">
        <v>26</v>
      </c>
      <c r="M608" s="1" t="s">
        <v>27</v>
      </c>
      <c r="N608" s="1" t="s">
        <v>26</v>
      </c>
      <c r="O608" s="1" t="s">
        <v>26</v>
      </c>
      <c r="P608" s="4">
        <v>45450.90091435185</v>
      </c>
    </row>
    <row r="609" hidden="1">
      <c r="A609" s="1" t="s">
        <v>21</v>
      </c>
      <c r="B609" s="3" t="str">
        <f>HYPERLINK("https://hawk-eye.atlassian.net/browse/HWKREPORT-2789?atlOrigin=eyJpIjoiYzgwYTQ0ZjEyNzQzNGJhN2JmNjEyZTM0NmRhZWZhNjIiLCJwIjoic2hlZXRzLWppcmEifQ","HWKREPORT-2789")</f>
        <v>HWKREPORT-2789</v>
      </c>
      <c r="C609" s="1" t="s">
        <v>1790</v>
      </c>
      <c r="D609" s="1" t="s">
        <v>83</v>
      </c>
      <c r="E609" s="1" t="s">
        <v>35</v>
      </c>
      <c r="F609" s="4">
        <v>45453.74201388889</v>
      </c>
      <c r="G609" s="3" t="str">
        <f t="shared" si="58"/>
        <v/>
      </c>
      <c r="H609" s="1" t="s">
        <v>1058</v>
      </c>
      <c r="I609" s="1" t="s">
        <v>1071</v>
      </c>
      <c r="J609" s="1" t="s">
        <v>26</v>
      </c>
      <c r="K609" s="1" t="s">
        <v>1241</v>
      </c>
      <c r="L609" s="1" t="s">
        <v>26</v>
      </c>
      <c r="M609" s="1" t="s">
        <v>27</v>
      </c>
      <c r="N609" s="1" t="s">
        <v>26</v>
      </c>
      <c r="O609" s="1" t="s">
        <v>26</v>
      </c>
      <c r="P609" s="4">
        <v>45616.71083333333</v>
      </c>
    </row>
    <row r="610" hidden="1">
      <c r="A610" s="1" t="s">
        <v>21</v>
      </c>
      <c r="B610" s="3" t="str">
        <f>HYPERLINK("https://hawk-eye.atlassian.net/browse/HWKREPORT-2790?atlOrigin=eyJpIjoiYzgwYTQ0ZjEyNzQzNGJhN2JmNjEyZTM0NmRhZWZhNjIiLCJwIjoic2hlZXRzLWppcmEifQ","HWKREPORT-2790")</f>
        <v>HWKREPORT-2790</v>
      </c>
      <c r="C610" s="1" t="s">
        <v>1791</v>
      </c>
      <c r="D610" s="1" t="s">
        <v>40</v>
      </c>
      <c r="E610" s="1" t="s">
        <v>1057</v>
      </c>
      <c r="F610" s="4">
        <v>45454.2433912037</v>
      </c>
      <c r="G610" s="3" t="str">
        <f>HYPERLINK("https://hawk-eye.atlassian.net/browse/RTT-8600?atlOrigin=eyJpIjoiYzgwYTQ0ZjEyNzQzNGJhN2JmNjEyZTM0NmRhZWZhNjIiLCJwIjoic2hlZXRzLWppcmEifQ","RTT-8600")</f>
        <v>RTT-8600</v>
      </c>
      <c r="H610" s="1" t="s">
        <v>1058</v>
      </c>
      <c r="I610" s="1" t="s">
        <v>1514</v>
      </c>
      <c r="J610" s="1" t="s">
        <v>26</v>
      </c>
      <c r="K610" s="1" t="s">
        <v>1309</v>
      </c>
      <c r="L610" s="1" t="s">
        <v>26</v>
      </c>
      <c r="M610" s="1" t="s">
        <v>27</v>
      </c>
      <c r="N610" s="1" t="s">
        <v>26</v>
      </c>
      <c r="O610" s="1" t="s">
        <v>26</v>
      </c>
      <c r="P610" s="4">
        <v>45454.24340277778</v>
      </c>
    </row>
    <row r="611" hidden="1">
      <c r="A611" s="1" t="s">
        <v>21</v>
      </c>
      <c r="B611" s="3" t="str">
        <f>HYPERLINK("https://hawk-eye.atlassian.net/browse/HWKREPORT-2791?atlOrigin=eyJpIjoiYzgwYTQ0ZjEyNzQzNGJhN2JmNjEyZTM0NmRhZWZhNjIiLCJwIjoic2hlZXRzLWppcmEifQ","HWKREPORT-2791")</f>
        <v>HWKREPORT-2791</v>
      </c>
      <c r="C611" s="1" t="s">
        <v>1792</v>
      </c>
      <c r="D611" s="1" t="s">
        <v>34</v>
      </c>
      <c r="E611" s="1" t="s">
        <v>1207</v>
      </c>
      <c r="F611" s="4">
        <v>45454.247465277775</v>
      </c>
      <c r="G611" s="3" t="str">
        <f>HYPERLINK("https://hawk-eye.atlassian.net/browse/RTT-8601?atlOrigin=eyJpIjoiYzgwYTQ0ZjEyNzQzNGJhN2JmNjEyZTM0NmRhZWZhNjIiLCJwIjoic2hlZXRzLWppcmEifQ","RTT-8601")</f>
        <v>RTT-8601</v>
      </c>
      <c r="H611" s="1" t="s">
        <v>1058</v>
      </c>
      <c r="I611" s="1" t="s">
        <v>1514</v>
      </c>
      <c r="J611" s="1" t="s">
        <v>26</v>
      </c>
      <c r="K611" s="1" t="s">
        <v>1309</v>
      </c>
      <c r="L611" s="1" t="s">
        <v>26</v>
      </c>
      <c r="M611" s="1" t="s">
        <v>27</v>
      </c>
      <c r="N611" s="1" t="s">
        <v>26</v>
      </c>
      <c r="O611" s="1" t="s">
        <v>26</v>
      </c>
      <c r="P611" s="4">
        <v>45475.401504629626</v>
      </c>
    </row>
    <row r="612" hidden="1">
      <c r="A612" s="1" t="s">
        <v>1055</v>
      </c>
      <c r="B612" s="3" t="str">
        <f>HYPERLINK("https://hawk-eye.atlassian.net/browse/HWKREPORT-2792?atlOrigin=eyJpIjoiYzgwYTQ0ZjEyNzQzNGJhN2JmNjEyZTM0NmRhZWZhNjIiLCJwIjoic2hlZXRzLWppcmEifQ","HWKREPORT-2792")</f>
        <v>HWKREPORT-2792</v>
      </c>
      <c r="C612" s="1" t="s">
        <v>1793</v>
      </c>
      <c r="D612" s="1" t="s">
        <v>48</v>
      </c>
      <c r="E612" s="1" t="s">
        <v>1057</v>
      </c>
      <c r="F612" s="4">
        <v>45454.94020833333</v>
      </c>
      <c r="G612" s="3" t="str">
        <f>HYPERLINK("https://hawk-eye.atlassian.net/browse/?atlOrigin=eyJpIjoiYzgwYTQ0ZjEyNzQzNGJhN2JmNjEyZTM0NmRhZWZhNjIiLCJwIjoic2hlZXRzLWppcmEifQ","")</f>
        <v/>
      </c>
      <c r="H612" s="1" t="s">
        <v>1058</v>
      </c>
      <c r="I612" s="1" t="s">
        <v>1676</v>
      </c>
      <c r="J612" s="1" t="s">
        <v>26</v>
      </c>
      <c r="K612" s="1" t="s">
        <v>1794</v>
      </c>
      <c r="L612" s="1" t="s">
        <v>26</v>
      </c>
      <c r="M612" s="1" t="s">
        <v>27</v>
      </c>
      <c r="N612" s="1" t="s">
        <v>26</v>
      </c>
      <c r="O612" s="1" t="s">
        <v>26</v>
      </c>
      <c r="P612" s="4">
        <v>45454.94020833333</v>
      </c>
    </row>
    <row r="613" hidden="1">
      <c r="A613" s="1" t="s">
        <v>21</v>
      </c>
      <c r="B613" s="3" t="str">
        <f>HYPERLINK("https://hawk-eye.atlassian.net/browse/HWKREPORT-2793?atlOrigin=eyJpIjoiYzgwYTQ0ZjEyNzQzNGJhN2JmNjEyZTM0NmRhZWZhNjIiLCJwIjoic2hlZXRzLWppcmEifQ","HWKREPORT-2793")</f>
        <v>HWKREPORT-2793</v>
      </c>
      <c r="C613" s="1" t="s">
        <v>1795</v>
      </c>
      <c r="D613" s="1" t="s">
        <v>48</v>
      </c>
      <c r="E613" s="1" t="s">
        <v>1057</v>
      </c>
      <c r="F613" s="4">
        <v>45455.00219907407</v>
      </c>
      <c r="G613" s="3" t="str">
        <f>HYPERLINK("https://hawk-eye.atlassian.net/browse/BR-1481?atlOrigin=eyJpIjoiYzgwYTQ0ZjEyNzQzNGJhN2JmNjEyZTM0NmRhZWZhNjIiLCJwIjoic2hlZXRzLWppcmEifQ","BR-1481")</f>
        <v>BR-1481</v>
      </c>
      <c r="H613" s="1" t="s">
        <v>1058</v>
      </c>
      <c r="I613" s="1" t="s">
        <v>1087</v>
      </c>
      <c r="J613" s="1" t="s">
        <v>26</v>
      </c>
      <c r="K613" s="1" t="s">
        <v>1108</v>
      </c>
      <c r="L613" s="1" t="s">
        <v>26</v>
      </c>
      <c r="M613" s="1" t="s">
        <v>27</v>
      </c>
      <c r="N613" s="1" t="s">
        <v>26</v>
      </c>
      <c r="O613" s="1" t="s">
        <v>26</v>
      </c>
      <c r="P613" s="4">
        <v>45455.00221064815</v>
      </c>
    </row>
    <row r="614" hidden="1">
      <c r="A614" s="1" t="s">
        <v>1055</v>
      </c>
      <c r="B614" s="3" t="str">
        <f>HYPERLINK("https://hawk-eye.atlassian.net/browse/HWKREPORT-2794?atlOrigin=eyJpIjoiYzgwYTQ0ZjEyNzQzNGJhN2JmNjEyZTM0NmRhZWZhNjIiLCJwIjoic2hlZXRzLWppcmEifQ","HWKREPORT-2794")</f>
        <v>HWKREPORT-2794</v>
      </c>
      <c r="C614" s="1" t="s">
        <v>1796</v>
      </c>
      <c r="D614" s="1" t="s">
        <v>48</v>
      </c>
      <c r="E614" s="1" t="s">
        <v>1057</v>
      </c>
      <c r="F614" s="4">
        <v>45455.686215277776</v>
      </c>
      <c r="G614" s="3" t="str">
        <f t="shared" ref="G614:G617" si="59">HYPERLINK("https://hawk-eye.atlassian.net/browse/?atlOrigin=eyJpIjoiYzgwYTQ0ZjEyNzQzNGJhN2JmNjEyZTM0NmRhZWZhNjIiLCJwIjoic2hlZXRzLWppcmEifQ","")</f>
        <v/>
      </c>
      <c r="H614" s="1" t="s">
        <v>1058</v>
      </c>
      <c r="I614" s="1" t="s">
        <v>1126</v>
      </c>
      <c r="J614" s="1" t="s">
        <v>26</v>
      </c>
      <c r="K614" s="1" t="s">
        <v>1105</v>
      </c>
      <c r="L614" s="1" t="s">
        <v>26</v>
      </c>
      <c r="M614" s="1" t="s">
        <v>27</v>
      </c>
      <c r="N614" s="1" t="s">
        <v>26</v>
      </c>
      <c r="O614" s="1" t="s">
        <v>26</v>
      </c>
      <c r="P614" s="4">
        <v>45455.68622685185</v>
      </c>
    </row>
    <row r="615" hidden="1">
      <c r="A615" s="1" t="s">
        <v>1055</v>
      </c>
      <c r="B615" s="3" t="str">
        <f>HYPERLINK("https://hawk-eye.atlassian.net/browse/HWKREPORT-2795?atlOrigin=eyJpIjoiYzgwYTQ0ZjEyNzQzNGJhN2JmNjEyZTM0NmRhZWZhNjIiLCJwIjoic2hlZXRzLWppcmEifQ","HWKREPORT-2795")</f>
        <v>HWKREPORT-2795</v>
      </c>
      <c r="C615" s="1" t="s">
        <v>1797</v>
      </c>
      <c r="D615" s="1" t="s">
        <v>48</v>
      </c>
      <c r="E615" s="1" t="s">
        <v>1057</v>
      </c>
      <c r="F615" s="4">
        <v>45458.70342592592</v>
      </c>
      <c r="G615" s="3" t="str">
        <f t="shared" si="59"/>
        <v/>
      </c>
      <c r="H615" s="1" t="s">
        <v>1058</v>
      </c>
      <c r="I615" s="1" t="s">
        <v>1107</v>
      </c>
      <c r="J615" s="1" t="s">
        <v>26</v>
      </c>
      <c r="K615" s="1" t="s">
        <v>1247</v>
      </c>
      <c r="L615" s="1" t="s">
        <v>26</v>
      </c>
      <c r="M615" s="1" t="s">
        <v>27</v>
      </c>
      <c r="N615" s="1" t="s">
        <v>26</v>
      </c>
      <c r="O615" s="1" t="s">
        <v>26</v>
      </c>
      <c r="P615" s="4">
        <v>45458.7034375</v>
      </c>
    </row>
    <row r="616" hidden="1">
      <c r="A616" s="1" t="s">
        <v>1055</v>
      </c>
      <c r="B616" s="3" t="str">
        <f>HYPERLINK("https://hawk-eye.atlassian.net/browse/HWKREPORT-2796?atlOrigin=eyJpIjoiYzgwYTQ0ZjEyNzQzNGJhN2JmNjEyZTM0NmRhZWZhNjIiLCJwIjoic2hlZXRzLWppcmEifQ","HWKREPORT-2796")</f>
        <v>HWKREPORT-2796</v>
      </c>
      <c r="C616" s="1" t="s">
        <v>1798</v>
      </c>
      <c r="D616" s="1" t="s">
        <v>48</v>
      </c>
      <c r="E616" s="1" t="s">
        <v>1057</v>
      </c>
      <c r="F616" s="4">
        <v>45458.82938657407</v>
      </c>
      <c r="G616" s="3" t="str">
        <f t="shared" si="59"/>
        <v/>
      </c>
      <c r="H616" s="1" t="s">
        <v>1058</v>
      </c>
      <c r="I616" s="1" t="s">
        <v>1107</v>
      </c>
      <c r="J616" s="1" t="s">
        <v>26</v>
      </c>
      <c r="K616" s="1" t="s">
        <v>1108</v>
      </c>
      <c r="L616" s="1" t="s">
        <v>26</v>
      </c>
      <c r="M616" s="1" t="s">
        <v>27</v>
      </c>
      <c r="N616" s="1" t="s">
        <v>26</v>
      </c>
      <c r="O616" s="1" t="s">
        <v>26</v>
      </c>
      <c r="P616" s="4">
        <v>45458.82939814815</v>
      </c>
    </row>
    <row r="617" hidden="1">
      <c r="A617" s="1" t="s">
        <v>21</v>
      </c>
      <c r="B617" s="3" t="str">
        <f>HYPERLINK("https://hawk-eye.atlassian.net/browse/HWKREPORT-2797?atlOrigin=eyJpIjoiYzgwYTQ0ZjEyNzQzNGJhN2JmNjEyZTM0NmRhZWZhNjIiLCJwIjoic2hlZXRzLWppcmEifQ","HWKREPORT-2797")</f>
        <v>HWKREPORT-2797</v>
      </c>
      <c r="C617" s="1" t="s">
        <v>1799</v>
      </c>
      <c r="D617" s="1" t="s">
        <v>34</v>
      </c>
      <c r="E617" s="1" t="s">
        <v>1057</v>
      </c>
      <c r="F617" s="4">
        <v>45461.65987268519</v>
      </c>
      <c r="G617" s="3" t="str">
        <f t="shared" si="59"/>
        <v/>
      </c>
      <c r="H617" s="1" t="s">
        <v>1058</v>
      </c>
      <c r="I617" s="1" t="s">
        <v>1085</v>
      </c>
      <c r="J617" s="1" t="s">
        <v>26</v>
      </c>
      <c r="K617" s="1" t="s">
        <v>1290</v>
      </c>
      <c r="L617" s="1" t="s">
        <v>26</v>
      </c>
      <c r="M617" s="1" t="s">
        <v>27</v>
      </c>
      <c r="N617" s="1" t="s">
        <v>26</v>
      </c>
      <c r="O617" s="1" t="s">
        <v>26</v>
      </c>
      <c r="P617" s="4">
        <v>45461.659895833334</v>
      </c>
    </row>
    <row r="618" hidden="1">
      <c r="A618" s="1" t="s">
        <v>21</v>
      </c>
      <c r="B618" s="3" t="str">
        <f>HYPERLINK("https://hawk-eye.atlassian.net/browse/HWKREPORT-2798?atlOrigin=eyJpIjoiYzgwYTQ0ZjEyNzQzNGJhN2JmNjEyZTM0NmRhZWZhNjIiLCJwIjoic2hlZXRzLWppcmEifQ","HWKREPORT-2798")</f>
        <v>HWKREPORT-2798</v>
      </c>
      <c r="C618" s="1" t="s">
        <v>1800</v>
      </c>
      <c r="D618" s="1" t="s">
        <v>34</v>
      </c>
      <c r="E618" s="1" t="s">
        <v>35</v>
      </c>
      <c r="F618" s="4">
        <v>45461.670069444444</v>
      </c>
      <c r="G618" s="3" t="str">
        <f>HYPERLINK("https://hawk-eye.atlassian.net/browse/SO-1574?atlOrigin=eyJpIjoiYzgwYTQ0ZjEyNzQzNGJhN2JmNjEyZTM0NmRhZWZhNjIiLCJwIjoic2hlZXRzLWppcmEifQ","SO-1574")</f>
        <v>SO-1574</v>
      </c>
      <c r="H618" s="1" t="s">
        <v>1058</v>
      </c>
      <c r="I618" s="1" t="s">
        <v>1085</v>
      </c>
      <c r="J618" s="1" t="s">
        <v>26</v>
      </c>
      <c r="K618" s="1" t="s">
        <v>1116</v>
      </c>
      <c r="L618" s="1" t="s">
        <v>26</v>
      </c>
      <c r="M618" s="1" t="s">
        <v>27</v>
      </c>
      <c r="N618" s="1" t="s">
        <v>26</v>
      </c>
      <c r="O618" s="1" t="s">
        <v>26</v>
      </c>
      <c r="P618" s="4">
        <v>45488.61708333333</v>
      </c>
    </row>
    <row r="619" hidden="1">
      <c r="A619" s="1" t="s">
        <v>21</v>
      </c>
      <c r="B619" s="3" t="str">
        <f>HYPERLINK("https://hawk-eye.atlassian.net/browse/HWKREPORT-2799?atlOrigin=eyJpIjoiYzgwYTQ0ZjEyNzQzNGJhN2JmNjEyZTM0NmRhZWZhNjIiLCJwIjoic2hlZXRzLWppcmEifQ","HWKREPORT-2799")</f>
        <v>HWKREPORT-2799</v>
      </c>
      <c r="C619" s="1" t="s">
        <v>1801</v>
      </c>
      <c r="D619" s="1" t="s">
        <v>23</v>
      </c>
      <c r="E619" s="1" t="s">
        <v>35</v>
      </c>
      <c r="F619" s="4">
        <v>45461.68150462963</v>
      </c>
      <c r="G619" s="3" t="str">
        <f>HYPERLINK("https://hawk-eye.atlassian.net/browse/SO-1576?atlOrigin=eyJpIjoiYzgwYTQ0ZjEyNzQzNGJhN2JmNjEyZTM0NmRhZWZhNjIiLCJwIjoic2hlZXRzLWppcmEifQ","SO-1576")</f>
        <v>SO-1576</v>
      </c>
      <c r="H619" s="1" t="s">
        <v>1058</v>
      </c>
      <c r="I619" s="1" t="s">
        <v>1085</v>
      </c>
      <c r="J619" s="1" t="s">
        <v>26</v>
      </c>
      <c r="K619" s="1" t="s">
        <v>1116</v>
      </c>
      <c r="L619" s="1" t="s">
        <v>26</v>
      </c>
      <c r="M619" s="1" t="s">
        <v>27</v>
      </c>
      <c r="N619" s="1" t="s">
        <v>26</v>
      </c>
      <c r="O619" s="1" t="s">
        <v>26</v>
      </c>
      <c r="P619" s="4">
        <v>45498.53679398148</v>
      </c>
    </row>
    <row r="620" hidden="1">
      <c r="A620" s="1" t="s">
        <v>21</v>
      </c>
      <c r="B620" s="3" t="str">
        <f>HYPERLINK("https://hawk-eye.atlassian.net/browse/HWKREPORT-2800?atlOrigin=eyJpIjoiYzgwYTQ0ZjEyNzQzNGJhN2JmNjEyZTM0NmRhZWZhNjIiLCJwIjoic2hlZXRzLWppcmEifQ","HWKREPORT-2800")</f>
        <v>HWKREPORT-2800</v>
      </c>
      <c r="C620" s="1" t="s">
        <v>1802</v>
      </c>
      <c r="D620" s="1" t="s">
        <v>23</v>
      </c>
      <c r="E620" s="1" t="s">
        <v>1057</v>
      </c>
      <c r="F620" s="4">
        <v>45461.70217592592</v>
      </c>
      <c r="G620" s="3" t="str">
        <f>HYPERLINK("https://hawk-eye.atlassian.net/browse/SO-1575?atlOrigin=eyJpIjoiYzgwYTQ0ZjEyNzQzNGJhN2JmNjEyZTM0NmRhZWZhNjIiLCJwIjoic2hlZXRzLWppcmEifQ","SO-1575")</f>
        <v>SO-1575</v>
      </c>
      <c r="H620" s="1" t="s">
        <v>1058</v>
      </c>
      <c r="I620" s="1" t="s">
        <v>1085</v>
      </c>
      <c r="J620" s="1" t="s">
        <v>26</v>
      </c>
      <c r="K620" s="1" t="s">
        <v>1116</v>
      </c>
      <c r="L620" s="1" t="s">
        <v>26</v>
      </c>
      <c r="M620" s="1" t="s">
        <v>27</v>
      </c>
      <c r="N620" s="1" t="s">
        <v>26</v>
      </c>
      <c r="O620" s="1" t="s">
        <v>26</v>
      </c>
      <c r="P620" s="4">
        <v>45761.44060185185</v>
      </c>
    </row>
    <row r="621">
      <c r="A621" s="1" t="s">
        <v>21</v>
      </c>
      <c r="B621" s="3" t="str">
        <f>HYPERLINK("https://hawk-eye.atlassian.net/browse/HWKREPORT-2801?atlOrigin=eyJpIjoiYzgwYTQ0ZjEyNzQzNGJhN2JmNjEyZTM0NmRhZWZhNjIiLCJwIjoic2hlZXRzLWppcmEifQ","HWKREPORT-2801")</f>
        <v>HWKREPORT-2801</v>
      </c>
      <c r="C621" s="1" t="s">
        <v>1803</v>
      </c>
      <c r="D621" s="1" t="s">
        <v>23</v>
      </c>
      <c r="E621" s="1" t="s">
        <v>35</v>
      </c>
      <c r="F621" s="4">
        <v>45462.8371875</v>
      </c>
      <c r="G621" s="3" t="str">
        <f>HYPERLINK("https://hawk-eye.atlassian.net/browse/RTT-8658?atlOrigin=eyJpIjoiYzgwYTQ0ZjEyNzQzNGJhN2JmNjEyZTM0NmRhZWZhNjIiLCJwIjoic2hlZXRzLWppcmEifQ","RTT-8658")</f>
        <v>RTT-8658</v>
      </c>
      <c r="H621" s="1" t="s">
        <v>1058</v>
      </c>
      <c r="I621" s="1" t="s">
        <v>28</v>
      </c>
      <c r="J621" s="1" t="s">
        <v>26</v>
      </c>
      <c r="K621" s="1" t="s">
        <v>1804</v>
      </c>
      <c r="L621" s="1" t="s">
        <v>26</v>
      </c>
      <c r="M621" s="1" t="s">
        <v>27</v>
      </c>
      <c r="N621" s="1" t="s">
        <v>26</v>
      </c>
      <c r="O621" s="1" t="s">
        <v>26</v>
      </c>
      <c r="P621" s="4">
        <v>45644.46111111111</v>
      </c>
    </row>
    <row r="622">
      <c r="A622" s="1" t="s">
        <v>21</v>
      </c>
      <c r="B622" s="3" t="str">
        <f>HYPERLINK("https://hawk-eye.atlassian.net/browse/HWKREPORT-2802?atlOrigin=eyJpIjoiYzgwYTQ0ZjEyNzQzNGJhN2JmNjEyZTM0NmRhZWZhNjIiLCJwIjoic2hlZXRzLWppcmEifQ","HWKREPORT-2802")</f>
        <v>HWKREPORT-2802</v>
      </c>
      <c r="C622" s="1" t="s">
        <v>1805</v>
      </c>
      <c r="D622" s="1" t="s">
        <v>23</v>
      </c>
      <c r="E622" s="1" t="s">
        <v>35</v>
      </c>
      <c r="F622" s="4">
        <v>45467.84763888889</v>
      </c>
      <c r="G622" s="3" t="str">
        <f>HYPERLINK("https://hawk-eye.atlassian.net/browse/SO-1561?atlOrigin=eyJpIjoiYzgwYTQ0ZjEyNzQzNGJhN2JmNjEyZTM0NmRhZWZhNjIiLCJwIjoic2hlZXRzLWppcmEifQ","SO-1561")</f>
        <v>SO-1561</v>
      </c>
      <c r="H622" s="1" t="s">
        <v>1058</v>
      </c>
      <c r="I622" s="1" t="s">
        <v>28</v>
      </c>
      <c r="J622" s="1" t="s">
        <v>26</v>
      </c>
      <c r="K622" s="1" t="s">
        <v>1116</v>
      </c>
      <c r="L622" s="1" t="s">
        <v>26</v>
      </c>
      <c r="M622" s="1" t="s">
        <v>27</v>
      </c>
      <c r="N622" s="1" t="s">
        <v>26</v>
      </c>
      <c r="O622" s="1" t="s">
        <v>26</v>
      </c>
      <c r="P622" s="4">
        <v>45476.57726851852</v>
      </c>
    </row>
    <row r="623" hidden="1">
      <c r="A623" s="1" t="s">
        <v>1055</v>
      </c>
      <c r="B623" s="3" t="str">
        <f>HYPERLINK("https://hawk-eye.atlassian.net/browse/HWKREPORT-2803?atlOrigin=eyJpIjoiYzgwYTQ0ZjEyNzQzNGJhN2JmNjEyZTM0NmRhZWZhNjIiLCJwIjoic2hlZXRzLWppcmEifQ","HWKREPORT-2803")</f>
        <v>HWKREPORT-2803</v>
      </c>
      <c r="C623" s="1" t="s">
        <v>1806</v>
      </c>
      <c r="D623" s="1" t="s">
        <v>48</v>
      </c>
      <c r="E623" s="1" t="s">
        <v>1207</v>
      </c>
      <c r="F623" s="4">
        <v>45468.36640046296</v>
      </c>
      <c r="G623" s="3" t="str">
        <f>HYPERLINK("https://hawk-eye.atlassian.net/browse/RTT-8670?atlOrigin=eyJpIjoiYzgwYTQ0ZjEyNzQzNGJhN2JmNjEyZTM0NmRhZWZhNjIiLCJwIjoic2hlZXRzLWppcmEifQ","RTT-8670")</f>
        <v>RTT-8670</v>
      </c>
      <c r="H623" s="1" t="s">
        <v>1058</v>
      </c>
      <c r="I623" s="1" t="s">
        <v>1085</v>
      </c>
      <c r="J623" s="1" t="s">
        <v>26</v>
      </c>
      <c r="K623" s="1" t="s">
        <v>1072</v>
      </c>
      <c r="L623" s="1" t="s">
        <v>26</v>
      </c>
      <c r="M623" s="1" t="s">
        <v>27</v>
      </c>
      <c r="N623" s="1" t="s">
        <v>26</v>
      </c>
      <c r="O623" s="1" t="s">
        <v>26</v>
      </c>
      <c r="P623" s="4">
        <v>45492.40005787037</v>
      </c>
    </row>
    <row r="624" hidden="1">
      <c r="A624" s="1" t="s">
        <v>21</v>
      </c>
      <c r="B624" s="3" t="str">
        <f>HYPERLINK("https://hawk-eye.atlassian.net/browse/HWKREPORT-2804?atlOrigin=eyJpIjoiYzgwYTQ0ZjEyNzQzNGJhN2JmNjEyZTM0NmRhZWZhNjIiLCJwIjoic2hlZXRzLWppcmEifQ","HWKREPORT-2804")</f>
        <v>HWKREPORT-2804</v>
      </c>
      <c r="C624" s="1" t="s">
        <v>1807</v>
      </c>
      <c r="D624" s="1" t="s">
        <v>23</v>
      </c>
      <c r="E624" s="1" t="s">
        <v>35</v>
      </c>
      <c r="F624" s="4">
        <v>45469.426782407405</v>
      </c>
      <c r="G624" s="3" t="str">
        <f>HYPERLINK("https://hawk-eye.atlassian.net/issues/?atlOrigin=eyJpIjoiYzgwYTQ0ZjEyNzQzNGJhN2JmNjEyZTM0NmRhZWZhNjIiLCJwIjoic2hlZXRzLWppcmEifQ&amp;jql=key+in+%28TMP-151%2CTMP-162%2CTMP-163%29","TMP-151;TMP-162;TMP-163")</f>
        <v>TMP-151;TMP-162;TMP-163</v>
      </c>
      <c r="H624" s="1" t="s">
        <v>1058</v>
      </c>
      <c r="I624" s="1" t="s">
        <v>1126</v>
      </c>
      <c r="J624" s="1" t="s">
        <v>26</v>
      </c>
      <c r="K624" s="1" t="s">
        <v>1211</v>
      </c>
      <c r="L624" s="1" t="s">
        <v>26</v>
      </c>
      <c r="M624" s="1" t="s">
        <v>27</v>
      </c>
      <c r="N624" s="1" t="s">
        <v>26</v>
      </c>
      <c r="O624" s="1" t="s">
        <v>26</v>
      </c>
      <c r="P624" s="4">
        <v>45551.52210648148</v>
      </c>
    </row>
    <row r="625" hidden="1">
      <c r="A625" s="1" t="s">
        <v>21</v>
      </c>
      <c r="B625" s="3" t="str">
        <f>HYPERLINK("https://hawk-eye.atlassian.net/browse/HWKREPORT-2805?atlOrigin=eyJpIjoiYzgwYTQ0ZjEyNzQzNGJhN2JmNjEyZTM0NmRhZWZhNjIiLCJwIjoic2hlZXRzLWppcmEifQ","HWKREPORT-2805")</f>
        <v>HWKREPORT-2805</v>
      </c>
      <c r="C625" s="1" t="s">
        <v>1808</v>
      </c>
      <c r="D625" s="1" t="s">
        <v>83</v>
      </c>
      <c r="E625" s="1" t="s">
        <v>35</v>
      </c>
      <c r="F625" s="4">
        <v>45469.63081018518</v>
      </c>
      <c r="G625" s="3" t="str">
        <f>HYPERLINK("https://hawk-eye.atlassian.net/browse/SO-1786?atlOrigin=eyJpIjoiYzgwYTQ0ZjEyNzQzNGJhN2JmNjEyZTM0NmRhZWZhNjIiLCJwIjoic2hlZXRzLWppcmEifQ","SO-1786")</f>
        <v>SO-1786</v>
      </c>
      <c r="H625" s="1" t="s">
        <v>1058</v>
      </c>
      <c r="I625" s="1" t="s">
        <v>1126</v>
      </c>
      <c r="J625" s="1" t="s">
        <v>26</v>
      </c>
      <c r="K625" s="1" t="s">
        <v>1673</v>
      </c>
      <c r="L625" s="1" t="s">
        <v>26</v>
      </c>
      <c r="M625" s="1" t="s">
        <v>27</v>
      </c>
      <c r="N625" s="1" t="s">
        <v>26</v>
      </c>
      <c r="O625" s="1" t="s">
        <v>26</v>
      </c>
      <c r="P625" s="4">
        <v>45659.54305555556</v>
      </c>
    </row>
    <row r="626" hidden="1">
      <c r="A626" s="1" t="s">
        <v>21</v>
      </c>
      <c r="B626" s="3" t="str">
        <f>HYPERLINK("https://hawk-eye.atlassian.net/browse/HWKREPORT-2806?atlOrigin=eyJpIjoiYzgwYTQ0ZjEyNzQzNGJhN2JmNjEyZTM0NmRhZWZhNjIiLCJwIjoic2hlZXRzLWppcmEifQ","HWKREPORT-2806")</f>
        <v>HWKREPORT-2806</v>
      </c>
      <c r="C626" s="1" t="s">
        <v>1809</v>
      </c>
      <c r="D626" s="1" t="s">
        <v>23</v>
      </c>
      <c r="E626" s="1" t="s">
        <v>35</v>
      </c>
      <c r="F626" s="4">
        <v>45469.79777777778</v>
      </c>
      <c r="G626" s="3" t="str">
        <f>HYPERLINK("https://hawk-eye.atlassian.net/browse/CORE-110?atlOrigin=eyJpIjoiYzgwYTQ0ZjEyNzQzNGJhN2JmNjEyZTM0NmRhZWZhNjIiLCJwIjoic2hlZXRzLWppcmEifQ","CORE-110")</f>
        <v>CORE-110</v>
      </c>
      <c r="H626" s="1" t="s">
        <v>1058</v>
      </c>
      <c r="I626" s="1" t="s">
        <v>1810</v>
      </c>
      <c r="J626" s="1" t="s">
        <v>26</v>
      </c>
      <c r="K626" s="1" t="s">
        <v>1247</v>
      </c>
      <c r="L626" s="1" t="s">
        <v>26</v>
      </c>
      <c r="M626" s="1" t="s">
        <v>27</v>
      </c>
      <c r="N626" s="1" t="s">
        <v>26</v>
      </c>
      <c r="O626" s="1" t="s">
        <v>26</v>
      </c>
      <c r="P626" s="4">
        <v>45513.704305555555</v>
      </c>
    </row>
    <row r="627" hidden="1">
      <c r="A627" s="1" t="s">
        <v>1055</v>
      </c>
      <c r="B627" s="3" t="str">
        <f>HYPERLINK("https://hawk-eye.atlassian.net/browse/HWKREPORT-2807?atlOrigin=eyJpIjoiYzgwYTQ0ZjEyNzQzNGJhN2JmNjEyZTM0NmRhZWZhNjIiLCJwIjoic2hlZXRzLWppcmEifQ","HWKREPORT-2807")</f>
        <v>HWKREPORT-2807</v>
      </c>
      <c r="C627" s="1" t="s">
        <v>1811</v>
      </c>
      <c r="D627" s="1" t="s">
        <v>48</v>
      </c>
      <c r="E627" s="1" t="s">
        <v>1057</v>
      </c>
      <c r="F627" s="4">
        <v>45475.653958333336</v>
      </c>
      <c r="G627" s="3" t="str">
        <f>HYPERLINK("https://hawk-eye.atlassian.net/browse/?atlOrigin=eyJpIjoiYzgwYTQ0ZjEyNzQzNGJhN2JmNjEyZTM0NmRhZWZhNjIiLCJwIjoic2hlZXRzLWppcmEifQ","")</f>
        <v/>
      </c>
      <c r="H627" s="1" t="s">
        <v>1058</v>
      </c>
      <c r="I627" s="1" t="s">
        <v>28</v>
      </c>
      <c r="J627" s="1" t="s">
        <v>26</v>
      </c>
      <c r="K627" s="1" t="s">
        <v>1072</v>
      </c>
      <c r="L627" s="1" t="s">
        <v>26</v>
      </c>
      <c r="M627" s="1" t="s">
        <v>27</v>
      </c>
      <c r="N627" s="1" t="s">
        <v>26</v>
      </c>
      <c r="O627" s="1" t="s">
        <v>26</v>
      </c>
      <c r="P627" s="4">
        <v>45475.653969907406</v>
      </c>
    </row>
    <row r="628" hidden="1">
      <c r="A628" s="1" t="s">
        <v>21</v>
      </c>
      <c r="B628" s="3" t="str">
        <f>HYPERLINK("https://hawk-eye.atlassian.net/browse/HWKREPORT-2808?atlOrigin=eyJpIjoiYzgwYTQ0ZjEyNzQzNGJhN2JmNjEyZTM0NmRhZWZhNjIiLCJwIjoic2hlZXRzLWppcmEifQ","HWKREPORT-2808")</f>
        <v>HWKREPORT-2808</v>
      </c>
      <c r="C628" s="1" t="s">
        <v>1812</v>
      </c>
      <c r="D628" s="1" t="s">
        <v>23</v>
      </c>
      <c r="E628" s="1" t="s">
        <v>1057</v>
      </c>
      <c r="F628" s="4">
        <v>45475.714166666665</v>
      </c>
      <c r="G628" s="3" t="str">
        <f>HYPERLINK("https://hawk-eye.atlassian.net/browse/BAS-880?atlOrigin=eyJpIjoiYzgwYTQ0ZjEyNzQzNGJhN2JmNjEyZTM0NmRhZWZhNjIiLCJwIjoic2hlZXRzLWppcmEifQ","BAS-880")</f>
        <v>BAS-880</v>
      </c>
      <c r="H628" s="1" t="s">
        <v>1058</v>
      </c>
      <c r="I628" s="1" t="s">
        <v>1071</v>
      </c>
      <c r="J628" s="1" t="s">
        <v>26</v>
      </c>
      <c r="K628" s="1" t="s">
        <v>1813</v>
      </c>
      <c r="L628" s="1" t="s">
        <v>26</v>
      </c>
      <c r="M628" s="1" t="s">
        <v>27</v>
      </c>
      <c r="N628" s="1" t="s">
        <v>26</v>
      </c>
      <c r="O628" s="1" t="s">
        <v>26</v>
      </c>
      <c r="P628" s="4">
        <v>45475.71417824074</v>
      </c>
    </row>
    <row r="629" hidden="1">
      <c r="A629" s="1" t="s">
        <v>21</v>
      </c>
      <c r="B629" s="3" t="str">
        <f>HYPERLINK("https://hawk-eye.atlassian.net/browse/HWKREPORT-2809?atlOrigin=eyJpIjoiYzgwYTQ0ZjEyNzQzNGJhN2JmNjEyZTM0NmRhZWZhNjIiLCJwIjoic2hlZXRzLWppcmEifQ","HWKREPORT-2809")</f>
        <v>HWKREPORT-2809</v>
      </c>
      <c r="C629" s="1" t="s">
        <v>1814</v>
      </c>
      <c r="D629" s="1" t="s">
        <v>34</v>
      </c>
      <c r="E629" s="1" t="s">
        <v>35</v>
      </c>
      <c r="F629" s="4">
        <v>45475.90689814815</v>
      </c>
      <c r="G629" s="3" t="str">
        <f>HYPERLINK("https://hawk-eye.atlassian.net/browse/CORE-110?atlOrigin=eyJpIjoiYzgwYTQ0ZjEyNzQzNGJhN2JmNjEyZTM0NmRhZWZhNjIiLCJwIjoic2hlZXRzLWppcmEifQ","CORE-110")</f>
        <v>CORE-110</v>
      </c>
      <c r="H629" s="1" t="s">
        <v>1058</v>
      </c>
      <c r="I629" s="1" t="s">
        <v>1502</v>
      </c>
      <c r="J629" s="1" t="s">
        <v>26</v>
      </c>
      <c r="K629" s="1" t="s">
        <v>1815</v>
      </c>
      <c r="L629" s="1" t="s">
        <v>26</v>
      </c>
      <c r="M629" s="1" t="s">
        <v>27</v>
      </c>
      <c r="N629" s="1" t="s">
        <v>26</v>
      </c>
      <c r="O629" s="1" t="s">
        <v>26</v>
      </c>
      <c r="P629" s="4">
        <v>45513.704305555555</v>
      </c>
    </row>
    <row r="630" hidden="1">
      <c r="A630" s="1" t="s">
        <v>1055</v>
      </c>
      <c r="B630" s="3" t="str">
        <f>HYPERLINK("https://hawk-eye.atlassian.net/browse/HWKREPORT-2810?atlOrigin=eyJpIjoiYzgwYTQ0ZjEyNzQzNGJhN2JmNjEyZTM0NmRhZWZhNjIiLCJwIjoic2hlZXRzLWppcmEifQ","HWKREPORT-2810")</f>
        <v>HWKREPORT-2810</v>
      </c>
      <c r="C630" s="1" t="s">
        <v>1816</v>
      </c>
      <c r="D630" s="1" t="s">
        <v>48</v>
      </c>
      <c r="E630" s="1" t="s">
        <v>1057</v>
      </c>
      <c r="F630" s="4">
        <v>45476.48509259259</v>
      </c>
      <c r="G630" s="3" t="str">
        <f t="shared" ref="G630:G631" si="60">HYPERLINK("https://hawk-eye.atlassian.net/browse/?atlOrigin=eyJpIjoiYzgwYTQ0ZjEyNzQzNGJhN2JmNjEyZTM0NmRhZWZhNjIiLCJwIjoic2hlZXRzLWppcmEifQ","")</f>
        <v/>
      </c>
      <c r="H630" s="1" t="s">
        <v>1058</v>
      </c>
      <c r="I630" s="1" t="s">
        <v>1107</v>
      </c>
      <c r="J630" s="1" t="s">
        <v>26</v>
      </c>
      <c r="K630" s="1" t="s">
        <v>1108</v>
      </c>
      <c r="L630" s="1" t="s">
        <v>26</v>
      </c>
      <c r="M630" s="1" t="s">
        <v>27</v>
      </c>
      <c r="N630" s="1" t="s">
        <v>26</v>
      </c>
      <c r="O630" s="1" t="s">
        <v>26</v>
      </c>
      <c r="P630" s="4">
        <v>45476.48509259259</v>
      </c>
    </row>
    <row r="631" hidden="1">
      <c r="A631" s="1" t="s">
        <v>21</v>
      </c>
      <c r="B631" s="3" t="str">
        <f>HYPERLINK("https://hawk-eye.atlassian.net/browse/HWKREPORT-2811?atlOrigin=eyJpIjoiYzgwYTQ0ZjEyNzQzNGJhN2JmNjEyZTM0NmRhZWZhNjIiLCJwIjoic2hlZXRzLWppcmEifQ","HWKREPORT-2811")</f>
        <v>HWKREPORT-2811</v>
      </c>
      <c r="C631" s="1" t="s">
        <v>1817</v>
      </c>
      <c r="D631" s="1" t="s">
        <v>40</v>
      </c>
      <c r="E631" s="1" t="s">
        <v>1057</v>
      </c>
      <c r="F631" s="4">
        <v>45476.691979166666</v>
      </c>
      <c r="G631" s="3" t="str">
        <f t="shared" si="60"/>
        <v/>
      </c>
      <c r="H631" s="1" t="s">
        <v>1058</v>
      </c>
      <c r="I631" s="1" t="s">
        <v>1193</v>
      </c>
      <c r="J631" s="1" t="s">
        <v>26</v>
      </c>
      <c r="K631" s="1" t="s">
        <v>1247</v>
      </c>
      <c r="L631" s="1" t="s">
        <v>26</v>
      </c>
      <c r="M631" s="1" t="s">
        <v>27</v>
      </c>
      <c r="N631" s="1" t="s">
        <v>26</v>
      </c>
      <c r="O631" s="1" t="s">
        <v>26</v>
      </c>
      <c r="P631" s="4">
        <v>45476.691979166666</v>
      </c>
    </row>
    <row r="632" hidden="1">
      <c r="A632" s="1" t="s">
        <v>21</v>
      </c>
      <c r="B632" s="3" t="str">
        <f>HYPERLINK("https://hawk-eye.atlassian.net/browse/HWKREPORT-2812?atlOrigin=eyJpIjoiYzgwYTQ0ZjEyNzQzNGJhN2JmNjEyZTM0NmRhZWZhNjIiLCJwIjoic2hlZXRzLWppcmEifQ","HWKREPORT-2812")</f>
        <v>HWKREPORT-2812</v>
      </c>
      <c r="C632" s="1" t="s">
        <v>1818</v>
      </c>
      <c r="D632" s="1" t="s">
        <v>23</v>
      </c>
      <c r="E632" s="1" t="s">
        <v>1057</v>
      </c>
      <c r="F632" s="4">
        <v>45477.70921296296</v>
      </c>
      <c r="G632" s="3" t="str">
        <f>HYPERLINK("https://hawk-eye.atlassian.net/browse/BR-1619?atlOrigin=eyJpIjoiYzgwYTQ0ZjEyNzQzNGJhN2JmNjEyZTM0NmRhZWZhNjIiLCJwIjoic2hlZXRzLWppcmEifQ","BR-1619")</f>
        <v>BR-1619</v>
      </c>
      <c r="H632" s="1" t="s">
        <v>1058</v>
      </c>
      <c r="I632" s="1" t="s">
        <v>1107</v>
      </c>
      <c r="J632" s="1" t="s">
        <v>26</v>
      </c>
      <c r="K632" s="1" t="s">
        <v>1134</v>
      </c>
      <c r="L632" s="1" t="s">
        <v>26</v>
      </c>
      <c r="M632" s="1" t="s">
        <v>27</v>
      </c>
      <c r="N632" s="1" t="s">
        <v>26</v>
      </c>
      <c r="O632" s="1" t="s">
        <v>26</v>
      </c>
      <c r="P632" s="4">
        <v>45477.70922453704</v>
      </c>
    </row>
    <row r="633" hidden="1">
      <c r="A633" s="1" t="s">
        <v>21</v>
      </c>
      <c r="B633" s="3" t="str">
        <f>HYPERLINK("https://hawk-eye.atlassian.net/browse/HWKREPORT-2813?atlOrigin=eyJpIjoiYzgwYTQ0ZjEyNzQzNGJhN2JmNjEyZTM0NmRhZWZhNjIiLCJwIjoic2hlZXRzLWppcmEifQ","HWKREPORT-2813")</f>
        <v>HWKREPORT-2813</v>
      </c>
      <c r="C633" s="1" t="s">
        <v>1819</v>
      </c>
      <c r="D633" s="1" t="s">
        <v>48</v>
      </c>
      <c r="E633" s="1" t="s">
        <v>35</v>
      </c>
      <c r="F633" s="4">
        <v>45481.69876157407</v>
      </c>
      <c r="G633" s="3" t="str">
        <f>HYPERLINK("https://hawk-eye.atlassian.net/browse/SO-1605?atlOrigin=eyJpIjoiYzgwYTQ0ZjEyNzQzNGJhN2JmNjEyZTM0NmRhZWZhNjIiLCJwIjoic2hlZXRzLWppcmEifQ","SO-1605")</f>
        <v>SO-1605</v>
      </c>
      <c r="H633" s="1" t="s">
        <v>1058</v>
      </c>
      <c r="I633" s="1" t="s">
        <v>1820</v>
      </c>
      <c r="J633" s="1" t="s">
        <v>26</v>
      </c>
      <c r="K633" s="1" t="s">
        <v>1102</v>
      </c>
      <c r="L633" s="1" t="s">
        <v>26</v>
      </c>
      <c r="M633" s="1" t="s">
        <v>27</v>
      </c>
      <c r="N633" s="1" t="s">
        <v>26</v>
      </c>
      <c r="O633" s="1" t="s">
        <v>26</v>
      </c>
      <c r="P633" s="4">
        <v>45509.42108796296</v>
      </c>
    </row>
    <row r="634" hidden="1">
      <c r="A634" s="1" t="s">
        <v>21</v>
      </c>
      <c r="B634" s="3" t="str">
        <f>HYPERLINK("https://hawk-eye.atlassian.net/browse/HWKREPORT-2814?atlOrigin=eyJpIjoiYzgwYTQ0ZjEyNzQzNGJhN2JmNjEyZTM0NmRhZWZhNjIiLCJwIjoic2hlZXRzLWppcmEifQ","HWKREPORT-2814")</f>
        <v>HWKREPORT-2814</v>
      </c>
      <c r="C634" s="1" t="s">
        <v>1821</v>
      </c>
      <c r="D634" s="1" t="s">
        <v>23</v>
      </c>
      <c r="E634" s="1" t="s">
        <v>35</v>
      </c>
      <c r="F634" s="4">
        <v>45482.62608796296</v>
      </c>
      <c r="G634" s="3" t="str">
        <f>HYPERLINK("https://hawk-eye.atlassian.net/browse/RTT-8783?atlOrigin=eyJpIjoiYzgwYTQ0ZjEyNzQzNGJhN2JmNjEyZTM0NmRhZWZhNjIiLCJwIjoic2hlZXRzLWppcmEifQ","RTT-8783")</f>
        <v>RTT-8783</v>
      </c>
      <c r="H634" s="1" t="s">
        <v>1058</v>
      </c>
      <c r="I634" s="1" t="s">
        <v>1071</v>
      </c>
      <c r="J634" s="1" t="s">
        <v>26</v>
      </c>
      <c r="K634" s="1" t="s">
        <v>1072</v>
      </c>
      <c r="L634" s="1" t="s">
        <v>26</v>
      </c>
      <c r="M634" s="1" t="s">
        <v>27</v>
      </c>
      <c r="N634" s="1" t="s">
        <v>26</v>
      </c>
      <c r="O634" s="1" t="s">
        <v>26</v>
      </c>
      <c r="P634" s="4">
        <v>45670.6094212963</v>
      </c>
    </row>
    <row r="635" hidden="1">
      <c r="A635" s="1" t="s">
        <v>21</v>
      </c>
      <c r="B635" s="3" t="str">
        <f>HYPERLINK("https://hawk-eye.atlassian.net/browse/HWKREPORT-2815?atlOrigin=eyJpIjoiYzgwYTQ0ZjEyNzQzNGJhN2JmNjEyZTM0NmRhZWZhNjIiLCJwIjoic2hlZXRzLWppcmEifQ","HWKREPORT-2815")</f>
        <v>HWKREPORT-2815</v>
      </c>
      <c r="C635" s="1" t="s">
        <v>1822</v>
      </c>
      <c r="D635" s="1" t="s">
        <v>23</v>
      </c>
      <c r="E635" s="1" t="s">
        <v>1057</v>
      </c>
      <c r="F635" s="4">
        <v>45485.68635416667</v>
      </c>
      <c r="G635" s="3" t="str">
        <f>HYPERLINK("https://hawk-eye.atlassian.net/browse/?atlOrigin=eyJpIjoiYzgwYTQ0ZjEyNzQzNGJhN2JmNjEyZTM0NmRhZWZhNjIiLCJwIjoic2hlZXRzLWppcmEifQ","")</f>
        <v/>
      </c>
      <c r="H635" s="1" t="s">
        <v>1058</v>
      </c>
      <c r="I635" s="1" t="s">
        <v>1126</v>
      </c>
      <c r="J635" s="1" t="s">
        <v>26</v>
      </c>
      <c r="K635" s="1" t="s">
        <v>1211</v>
      </c>
      <c r="L635" s="1" t="s">
        <v>26</v>
      </c>
      <c r="M635" s="1" t="s">
        <v>27</v>
      </c>
      <c r="N635" s="1" t="s">
        <v>26</v>
      </c>
      <c r="O635" s="1" t="s">
        <v>26</v>
      </c>
      <c r="P635" s="4">
        <v>45485.68636574074</v>
      </c>
    </row>
    <row r="636" hidden="1">
      <c r="A636" s="1" t="s">
        <v>1055</v>
      </c>
      <c r="B636" s="3" t="str">
        <f>HYPERLINK("https://hawk-eye.atlassian.net/browse/HWKREPORT-2816?atlOrigin=eyJpIjoiYzgwYTQ0ZjEyNzQzNGJhN2JmNjEyZTM0NmRhZWZhNjIiLCJwIjoic2hlZXRzLWppcmEifQ","HWKREPORT-2816")</f>
        <v>HWKREPORT-2816</v>
      </c>
      <c r="C636" s="1" t="s">
        <v>1823</v>
      </c>
      <c r="D636" s="1" t="s">
        <v>34</v>
      </c>
      <c r="E636" s="1" t="s">
        <v>1057</v>
      </c>
      <c r="F636" s="4">
        <v>45486.46409722222</v>
      </c>
      <c r="G636" s="3" t="str">
        <f>HYPERLINK("https://hawk-eye.atlassian.net/browse/AT-1437?atlOrigin=eyJpIjoiYzgwYTQ0ZjEyNzQzNGJhN2JmNjEyZTM0NmRhZWZhNjIiLCJwIjoic2hlZXRzLWppcmEifQ","AT-1437")</f>
        <v>AT-1437</v>
      </c>
      <c r="H636" s="1" t="s">
        <v>1058</v>
      </c>
      <c r="I636" s="1" t="s">
        <v>1085</v>
      </c>
      <c r="J636" s="1" t="s">
        <v>26</v>
      </c>
      <c r="K636" s="1" t="s">
        <v>26</v>
      </c>
      <c r="L636" s="1" t="s">
        <v>26</v>
      </c>
      <c r="M636" s="1" t="s">
        <v>27</v>
      </c>
      <c r="N636" s="1" t="s">
        <v>26</v>
      </c>
      <c r="O636" s="1" t="s">
        <v>26</v>
      </c>
      <c r="P636" s="4">
        <v>45486.464108796295</v>
      </c>
    </row>
    <row r="637" hidden="1">
      <c r="A637" s="1" t="s">
        <v>1055</v>
      </c>
      <c r="B637" s="3" t="str">
        <f>HYPERLINK("https://hawk-eye.atlassian.net/browse/HWKREPORT-2817?atlOrigin=eyJpIjoiYzgwYTQ0ZjEyNzQzNGJhN2JmNjEyZTM0NmRhZWZhNjIiLCJwIjoic2hlZXRzLWppcmEifQ","HWKREPORT-2817")</f>
        <v>HWKREPORT-2817</v>
      </c>
      <c r="C637" s="1" t="s">
        <v>1824</v>
      </c>
      <c r="D637" s="1" t="s">
        <v>34</v>
      </c>
      <c r="E637" s="1" t="s">
        <v>1057</v>
      </c>
      <c r="F637" s="4">
        <v>45486.46753472222</v>
      </c>
      <c r="G637" s="3" t="str">
        <f>HYPERLINK("https://hawk-eye.atlassian.net/browse/AT-1439?atlOrigin=eyJpIjoiYzgwYTQ0ZjEyNzQzNGJhN2JmNjEyZTM0NmRhZWZhNjIiLCJwIjoic2hlZXRzLWppcmEifQ","AT-1439")</f>
        <v>AT-1439</v>
      </c>
      <c r="H637" s="1" t="s">
        <v>1058</v>
      </c>
      <c r="I637" s="1" t="s">
        <v>1085</v>
      </c>
      <c r="J637" s="1" t="s">
        <v>26</v>
      </c>
      <c r="K637" s="1" t="s">
        <v>26</v>
      </c>
      <c r="L637" s="1" t="s">
        <v>26</v>
      </c>
      <c r="M637" s="1" t="s">
        <v>27</v>
      </c>
      <c r="N637" s="1" t="s">
        <v>26</v>
      </c>
      <c r="O637" s="1" t="s">
        <v>26</v>
      </c>
      <c r="P637" s="4">
        <v>45486.4675462963</v>
      </c>
    </row>
    <row r="638" hidden="1">
      <c r="A638" s="1" t="s">
        <v>1055</v>
      </c>
      <c r="B638" s="3" t="str">
        <f>HYPERLINK("https://hawk-eye.atlassian.net/browse/HWKREPORT-2818?atlOrigin=eyJpIjoiYzgwYTQ0ZjEyNzQzNGJhN2JmNjEyZTM0NmRhZWZhNjIiLCJwIjoic2hlZXRzLWppcmEifQ","HWKREPORT-2818")</f>
        <v>HWKREPORT-2818</v>
      </c>
      <c r="C638" s="1" t="s">
        <v>1825</v>
      </c>
      <c r="D638" s="1" t="s">
        <v>34</v>
      </c>
      <c r="E638" s="1" t="s">
        <v>1057</v>
      </c>
      <c r="F638" s="4">
        <v>45489.325266203705</v>
      </c>
      <c r="G638" s="3" t="str">
        <f>HYPERLINK("https://hawk-eye.atlassian.net/browse/AT-1414?atlOrigin=eyJpIjoiYzgwYTQ0ZjEyNzQzNGJhN2JmNjEyZTM0NmRhZWZhNjIiLCJwIjoic2hlZXRzLWppcmEifQ","AT-1414")</f>
        <v>AT-1414</v>
      </c>
      <c r="H638" s="1" t="s">
        <v>1058</v>
      </c>
      <c r="I638" s="1" t="s">
        <v>1085</v>
      </c>
      <c r="J638" s="1" t="s">
        <v>26</v>
      </c>
      <c r="K638" s="1" t="s">
        <v>26</v>
      </c>
      <c r="L638" s="1" t="s">
        <v>26</v>
      </c>
      <c r="M638" s="1" t="s">
        <v>27</v>
      </c>
      <c r="N638" s="1" t="s">
        <v>26</v>
      </c>
      <c r="O638" s="1" t="s">
        <v>26</v>
      </c>
      <c r="P638" s="4">
        <v>45489.325277777774</v>
      </c>
    </row>
    <row r="639" hidden="1">
      <c r="A639" s="1" t="s">
        <v>1055</v>
      </c>
      <c r="B639" s="3" t="str">
        <f>HYPERLINK("https://hawk-eye.atlassian.net/browse/HWKREPORT-2819?atlOrigin=eyJpIjoiYzgwYTQ0ZjEyNzQzNGJhN2JmNjEyZTM0NmRhZWZhNjIiLCJwIjoic2hlZXRzLWppcmEifQ","HWKREPORT-2819")</f>
        <v>HWKREPORT-2819</v>
      </c>
      <c r="C639" s="1" t="s">
        <v>1826</v>
      </c>
      <c r="D639" s="1" t="s">
        <v>34</v>
      </c>
      <c r="E639" s="1" t="s">
        <v>1057</v>
      </c>
      <c r="F639" s="4">
        <v>45490.379224537035</v>
      </c>
      <c r="G639" s="3" t="str">
        <f>HYPERLINK("https://hawk-eye.atlassian.net/browse/AT-1417?atlOrigin=eyJpIjoiYzgwYTQ0ZjEyNzQzNGJhN2JmNjEyZTM0NmRhZWZhNjIiLCJwIjoic2hlZXRzLWppcmEifQ","AT-1417")</f>
        <v>AT-1417</v>
      </c>
      <c r="H639" s="1" t="s">
        <v>1058</v>
      </c>
      <c r="I639" s="1" t="s">
        <v>1085</v>
      </c>
      <c r="J639" s="1" t="s">
        <v>26</v>
      </c>
      <c r="K639" s="1" t="s">
        <v>26</v>
      </c>
      <c r="L639" s="1" t="s">
        <v>26</v>
      </c>
      <c r="M639" s="1" t="s">
        <v>27</v>
      </c>
      <c r="N639" s="1" t="s">
        <v>26</v>
      </c>
      <c r="O639" s="1" t="s">
        <v>26</v>
      </c>
      <c r="P639" s="4">
        <v>45490.379224537035</v>
      </c>
    </row>
    <row r="640" hidden="1">
      <c r="A640" s="1" t="s">
        <v>21</v>
      </c>
      <c r="B640" s="3" t="str">
        <f>HYPERLINK("https://hawk-eye.atlassian.net/browse/HWKREPORT-2820?atlOrigin=eyJpIjoiYzgwYTQ0ZjEyNzQzNGJhN2JmNjEyZTM0NmRhZWZhNjIiLCJwIjoic2hlZXRzLWppcmEifQ","HWKREPORT-2820")</f>
        <v>HWKREPORT-2820</v>
      </c>
      <c r="C640" s="1" t="s">
        <v>1827</v>
      </c>
      <c r="D640" s="1" t="s">
        <v>23</v>
      </c>
      <c r="E640" s="1" t="s">
        <v>1057</v>
      </c>
      <c r="F640" s="4">
        <v>45492.92726851852</v>
      </c>
      <c r="G640" s="3" t="str">
        <f>HYPERLINK("https://hawk-eye.atlassian.net/browse/BAS-882?atlOrigin=eyJpIjoiYzgwYTQ0ZjEyNzQzNGJhN2JmNjEyZTM0NmRhZWZhNjIiLCJwIjoic2hlZXRzLWppcmEifQ","BAS-882")</f>
        <v>BAS-882</v>
      </c>
      <c r="H640" s="1" t="s">
        <v>1058</v>
      </c>
      <c r="I640" s="1" t="s">
        <v>1071</v>
      </c>
      <c r="J640" s="1" t="s">
        <v>26</v>
      </c>
      <c r="K640" s="1" t="s">
        <v>1813</v>
      </c>
      <c r="L640" s="1" t="s">
        <v>26</v>
      </c>
      <c r="M640" s="1" t="s">
        <v>27</v>
      </c>
      <c r="N640" s="1" t="s">
        <v>26</v>
      </c>
      <c r="O640" s="1" t="s">
        <v>26</v>
      </c>
      <c r="P640" s="4">
        <v>45492.92729166667</v>
      </c>
    </row>
    <row r="641" hidden="1">
      <c r="A641" s="1" t="s">
        <v>21</v>
      </c>
      <c r="B641" s="3" t="str">
        <f>HYPERLINK("https://hawk-eye.atlassian.net/browse/HWKREPORT-2821?atlOrigin=eyJpIjoiYzgwYTQ0ZjEyNzQzNGJhN2JmNjEyZTM0NmRhZWZhNjIiLCJwIjoic2hlZXRzLWppcmEifQ","HWKREPORT-2821")</f>
        <v>HWKREPORT-2821</v>
      </c>
      <c r="C641" s="1" t="s">
        <v>1828</v>
      </c>
      <c r="D641" s="1" t="s">
        <v>23</v>
      </c>
      <c r="E641" s="1" t="s">
        <v>1057</v>
      </c>
      <c r="F641" s="4">
        <v>45492.92916666667</v>
      </c>
      <c r="G641" s="3" t="str">
        <f>HYPERLINK("https://hawk-eye.atlassian.net/browse/BAS-881?atlOrigin=eyJpIjoiYzgwYTQ0ZjEyNzQzNGJhN2JmNjEyZTM0NmRhZWZhNjIiLCJwIjoic2hlZXRzLWppcmEifQ","BAS-881")</f>
        <v>BAS-881</v>
      </c>
      <c r="H641" s="1" t="s">
        <v>1058</v>
      </c>
      <c r="I641" s="1" t="s">
        <v>1071</v>
      </c>
      <c r="J641" s="1" t="s">
        <v>26</v>
      </c>
      <c r="K641" s="1" t="s">
        <v>1829</v>
      </c>
      <c r="L641" s="1" t="s">
        <v>26</v>
      </c>
      <c r="M641" s="1" t="s">
        <v>27</v>
      </c>
      <c r="N641" s="1" t="s">
        <v>26</v>
      </c>
      <c r="O641" s="1" t="s">
        <v>26</v>
      </c>
      <c r="P641" s="4">
        <v>45492.92916666667</v>
      </c>
    </row>
    <row r="642" hidden="1">
      <c r="A642" s="1" t="s">
        <v>21</v>
      </c>
      <c r="B642" s="3" t="str">
        <f>HYPERLINK("https://hawk-eye.atlassian.net/browse/HWKREPORT-2822?atlOrigin=eyJpIjoiYzgwYTQ0ZjEyNzQzNGJhN2JmNjEyZTM0NmRhZWZhNjIiLCJwIjoic2hlZXRzLWppcmEifQ","HWKREPORT-2822")</f>
        <v>HWKREPORT-2822</v>
      </c>
      <c r="C642" s="1" t="s">
        <v>1830</v>
      </c>
      <c r="D642" s="1" t="s">
        <v>40</v>
      </c>
      <c r="E642" s="1" t="s">
        <v>35</v>
      </c>
      <c r="F642" s="4">
        <v>45495.88017361111</v>
      </c>
      <c r="G642" s="3" t="str">
        <f t="shared" ref="G642:G648" si="61">HYPERLINK("https://hawk-eye.atlassian.net/browse/?atlOrigin=eyJpIjoiYzgwYTQ0ZjEyNzQzNGJhN2JmNjEyZTM0NmRhZWZhNjIiLCJwIjoic2hlZXRzLWppcmEifQ","")</f>
        <v/>
      </c>
      <c r="H642" s="1" t="s">
        <v>1058</v>
      </c>
      <c r="I642" s="1" t="s">
        <v>1126</v>
      </c>
      <c r="J642" s="1" t="s">
        <v>26</v>
      </c>
      <c r="K642" s="1" t="s">
        <v>1211</v>
      </c>
      <c r="L642" s="1" t="s">
        <v>26</v>
      </c>
      <c r="M642" s="1" t="s">
        <v>27</v>
      </c>
      <c r="N642" s="1" t="s">
        <v>26</v>
      </c>
      <c r="O642" s="1" t="s">
        <v>26</v>
      </c>
      <c r="P642" s="4">
        <v>45551.71094907408</v>
      </c>
    </row>
    <row r="643" hidden="1">
      <c r="A643" s="1" t="s">
        <v>1055</v>
      </c>
      <c r="B643" s="3" t="str">
        <f>HYPERLINK("https://hawk-eye.atlassian.net/browse/HWKREPORT-2823?atlOrigin=eyJpIjoiYzgwYTQ0ZjEyNzQzNGJhN2JmNjEyZTM0NmRhZWZhNjIiLCJwIjoic2hlZXRzLWppcmEifQ","HWKREPORT-2823")</f>
        <v>HWKREPORT-2823</v>
      </c>
      <c r="C643" s="1" t="s">
        <v>1831</v>
      </c>
      <c r="D643" s="1" t="s">
        <v>48</v>
      </c>
      <c r="E643" s="1" t="s">
        <v>1057</v>
      </c>
      <c r="F643" s="4">
        <v>45496.48699074074</v>
      </c>
      <c r="G643" s="3" t="str">
        <f t="shared" si="61"/>
        <v/>
      </c>
      <c r="H643" s="1" t="s">
        <v>1058</v>
      </c>
      <c r="I643" s="1" t="s">
        <v>1085</v>
      </c>
      <c r="J643" s="1" t="s">
        <v>26</v>
      </c>
      <c r="K643" s="1" t="s">
        <v>1312</v>
      </c>
      <c r="L643" s="1" t="s">
        <v>26</v>
      </c>
      <c r="M643" s="1" t="s">
        <v>27</v>
      </c>
      <c r="N643" s="1" t="s">
        <v>26</v>
      </c>
      <c r="O643" s="1" t="s">
        <v>26</v>
      </c>
      <c r="P643" s="4">
        <v>45496.48700231482</v>
      </c>
    </row>
    <row r="644" hidden="1">
      <c r="A644" s="1" t="s">
        <v>21</v>
      </c>
      <c r="B644" s="3" t="str">
        <f>HYPERLINK("https://hawk-eye.atlassian.net/browse/HWKREPORT-2824?atlOrigin=eyJpIjoiYzgwYTQ0ZjEyNzQzNGJhN2JmNjEyZTM0NmRhZWZhNjIiLCJwIjoic2hlZXRzLWppcmEifQ","HWKREPORT-2824")</f>
        <v>HWKREPORT-2824</v>
      </c>
      <c r="C644" s="1" t="s">
        <v>1832</v>
      </c>
      <c r="D644" s="1" t="s">
        <v>34</v>
      </c>
      <c r="E644" s="1" t="s">
        <v>35</v>
      </c>
      <c r="F644" s="4">
        <v>45496.606886574074</v>
      </c>
      <c r="G644" s="3" t="str">
        <f t="shared" si="61"/>
        <v/>
      </c>
      <c r="H644" s="1" t="s">
        <v>1058</v>
      </c>
      <c r="I644" s="1" t="s">
        <v>1082</v>
      </c>
      <c r="J644" s="1" t="s">
        <v>26</v>
      </c>
      <c r="K644" s="1" t="s">
        <v>1148</v>
      </c>
      <c r="L644" s="1" t="s">
        <v>26</v>
      </c>
      <c r="M644" s="1" t="s">
        <v>27</v>
      </c>
      <c r="N644" s="1" t="s">
        <v>26</v>
      </c>
      <c r="O644" s="1" t="s">
        <v>26</v>
      </c>
      <c r="P644" s="4">
        <v>45498.708402777775</v>
      </c>
    </row>
    <row r="645" hidden="1">
      <c r="A645" s="1" t="s">
        <v>21</v>
      </c>
      <c r="B645" s="3" t="str">
        <f>HYPERLINK("https://hawk-eye.atlassian.net/browse/HWKREPORT-2825?atlOrigin=eyJpIjoiYzgwYTQ0ZjEyNzQzNGJhN2JmNjEyZTM0NmRhZWZhNjIiLCJwIjoic2hlZXRzLWppcmEifQ","HWKREPORT-2825")</f>
        <v>HWKREPORT-2825</v>
      </c>
      <c r="C645" s="1" t="s">
        <v>1833</v>
      </c>
      <c r="D645" s="1" t="s">
        <v>34</v>
      </c>
      <c r="E645" s="1" t="s">
        <v>35</v>
      </c>
      <c r="F645" s="4">
        <v>45496.72017361111</v>
      </c>
      <c r="G645" s="3" t="str">
        <f t="shared" si="61"/>
        <v/>
      </c>
      <c r="H645" s="1" t="s">
        <v>1058</v>
      </c>
      <c r="I645" s="1" t="s">
        <v>1085</v>
      </c>
      <c r="J645" s="1" t="s">
        <v>26</v>
      </c>
      <c r="K645" s="1" t="s">
        <v>1834</v>
      </c>
      <c r="L645" s="1" t="s">
        <v>26</v>
      </c>
      <c r="M645" s="1" t="s">
        <v>27</v>
      </c>
      <c r="N645" s="1" t="s">
        <v>26</v>
      </c>
      <c r="O645" s="1" t="s">
        <v>26</v>
      </c>
      <c r="P645" s="4">
        <v>45496.78869212963</v>
      </c>
    </row>
    <row r="646" hidden="1">
      <c r="A646" s="1" t="s">
        <v>21</v>
      </c>
      <c r="B646" s="3" t="str">
        <f>HYPERLINK("https://hawk-eye.atlassian.net/browse/HWKREPORT-2826?atlOrigin=eyJpIjoiYzgwYTQ0ZjEyNzQzNGJhN2JmNjEyZTM0NmRhZWZhNjIiLCJwIjoic2hlZXRzLWppcmEifQ","HWKREPORT-2826")</f>
        <v>HWKREPORT-2826</v>
      </c>
      <c r="C646" s="1" t="s">
        <v>1835</v>
      </c>
      <c r="D646" s="1" t="s">
        <v>48</v>
      </c>
      <c r="E646" s="1" t="s">
        <v>35</v>
      </c>
      <c r="F646" s="4">
        <v>45499.68666666667</v>
      </c>
      <c r="G646" s="3" t="str">
        <f t="shared" si="61"/>
        <v/>
      </c>
      <c r="H646" s="1" t="s">
        <v>1058</v>
      </c>
      <c r="I646" s="1" t="s">
        <v>1126</v>
      </c>
      <c r="J646" s="1" t="s">
        <v>26</v>
      </c>
      <c r="K646" s="1" t="s">
        <v>1211</v>
      </c>
      <c r="L646" s="1" t="s">
        <v>26</v>
      </c>
      <c r="M646" s="1" t="s">
        <v>27</v>
      </c>
      <c r="N646" s="1" t="s">
        <v>26</v>
      </c>
      <c r="O646" s="1" t="s">
        <v>26</v>
      </c>
      <c r="P646" s="4">
        <v>45551.508738425924</v>
      </c>
    </row>
    <row r="647" hidden="1">
      <c r="A647" s="1" t="s">
        <v>1055</v>
      </c>
      <c r="B647" s="3" t="str">
        <f>HYPERLINK("https://hawk-eye.atlassian.net/browse/HWKREPORT-2827?atlOrigin=eyJpIjoiYzgwYTQ0ZjEyNzQzNGJhN2JmNjEyZTM0NmRhZWZhNjIiLCJwIjoic2hlZXRzLWppcmEifQ","HWKREPORT-2827")</f>
        <v>HWKREPORT-2827</v>
      </c>
      <c r="C647" s="1" t="s">
        <v>1836</v>
      </c>
      <c r="D647" s="1" t="s">
        <v>48</v>
      </c>
      <c r="E647" s="1" t="s">
        <v>35</v>
      </c>
      <c r="F647" s="4">
        <v>45499.89603009259</v>
      </c>
      <c r="G647" s="3" t="str">
        <f t="shared" si="61"/>
        <v/>
      </c>
      <c r="H647" s="1" t="s">
        <v>1058</v>
      </c>
      <c r="I647" s="1" t="s">
        <v>1126</v>
      </c>
      <c r="J647" s="1" t="s">
        <v>26</v>
      </c>
      <c r="K647" s="1" t="s">
        <v>1211</v>
      </c>
      <c r="L647" s="1" t="s">
        <v>26</v>
      </c>
      <c r="M647" s="1" t="s">
        <v>27</v>
      </c>
      <c r="N647" s="1" t="s">
        <v>26</v>
      </c>
      <c r="O647" s="1" t="s">
        <v>26</v>
      </c>
      <c r="P647" s="4">
        <v>45728.75210648148</v>
      </c>
    </row>
    <row r="648" hidden="1">
      <c r="A648" s="1" t="s">
        <v>21</v>
      </c>
      <c r="B648" s="3" t="str">
        <f>HYPERLINK("https://hawk-eye.atlassian.net/browse/HWKREPORT-2828?atlOrigin=eyJpIjoiYzgwYTQ0ZjEyNzQzNGJhN2JmNjEyZTM0NmRhZWZhNjIiLCJwIjoic2hlZXRzLWppcmEifQ","HWKREPORT-2828")</f>
        <v>HWKREPORT-2828</v>
      </c>
      <c r="C648" s="1" t="s">
        <v>1837</v>
      </c>
      <c r="D648" s="1" t="s">
        <v>48</v>
      </c>
      <c r="E648" s="1" t="s">
        <v>1057</v>
      </c>
      <c r="F648" s="4">
        <v>45500.02774305556</v>
      </c>
      <c r="G648" s="3" t="str">
        <f t="shared" si="61"/>
        <v/>
      </c>
      <c r="H648" s="1" t="s">
        <v>1058</v>
      </c>
      <c r="I648" s="1" t="s">
        <v>1126</v>
      </c>
      <c r="J648" s="1" t="s">
        <v>26</v>
      </c>
      <c r="K648" s="1" t="s">
        <v>1211</v>
      </c>
      <c r="L648" s="1" t="s">
        <v>26</v>
      </c>
      <c r="M648" s="1" t="s">
        <v>27</v>
      </c>
      <c r="N648" s="1" t="s">
        <v>26</v>
      </c>
      <c r="O648" s="1" t="s">
        <v>26</v>
      </c>
      <c r="P648" s="4">
        <v>45500.02775462963</v>
      </c>
    </row>
    <row r="649" hidden="1">
      <c r="A649" s="1" t="s">
        <v>21</v>
      </c>
      <c r="B649" s="3" t="str">
        <f>HYPERLINK("https://hawk-eye.atlassian.net/browse/HWKREPORT-2829?atlOrigin=eyJpIjoiYzgwYTQ0ZjEyNzQzNGJhN2JmNjEyZTM0NmRhZWZhNjIiLCJwIjoic2hlZXRzLWppcmEifQ","HWKREPORT-2829")</f>
        <v>HWKREPORT-2829</v>
      </c>
      <c r="C649" s="1" t="s">
        <v>1838</v>
      </c>
      <c r="D649" s="1" t="s">
        <v>34</v>
      </c>
      <c r="E649" s="1" t="s">
        <v>1207</v>
      </c>
      <c r="F649" s="4">
        <v>45500.58347222222</v>
      </c>
      <c r="G649" s="3" t="str">
        <f>HYPERLINK("https://hawk-eye.atlassian.net/browse/RTT-8900?atlOrigin=eyJpIjoiYzgwYTQ0ZjEyNzQzNGJhN2JmNjEyZTM0NmRhZWZhNjIiLCJwIjoic2hlZXRzLWppcmEifQ","RTT-8900")</f>
        <v>RTT-8900</v>
      </c>
      <c r="H649" s="1" t="s">
        <v>1058</v>
      </c>
      <c r="I649" s="1" t="s">
        <v>1085</v>
      </c>
      <c r="J649" s="1" t="s">
        <v>26</v>
      </c>
      <c r="K649" s="1" t="s">
        <v>1072</v>
      </c>
      <c r="L649" s="1" t="s">
        <v>26</v>
      </c>
      <c r="M649" s="1" t="s">
        <v>27</v>
      </c>
      <c r="N649" s="1" t="s">
        <v>26</v>
      </c>
      <c r="O649" s="1" t="s">
        <v>26</v>
      </c>
      <c r="P649" s="4">
        <v>45503.676666666666</v>
      </c>
    </row>
    <row r="650" hidden="1">
      <c r="A650" s="1" t="s">
        <v>21</v>
      </c>
      <c r="B650" s="3" t="str">
        <f>HYPERLINK("https://hawk-eye.atlassian.net/browse/HWKREPORT-2830?atlOrigin=eyJpIjoiYzgwYTQ0ZjEyNzQzNGJhN2JmNjEyZTM0NmRhZWZhNjIiLCJwIjoic2hlZXRzLWppcmEifQ","HWKREPORT-2830")</f>
        <v>HWKREPORT-2830</v>
      </c>
      <c r="C650" s="1" t="s">
        <v>1839</v>
      </c>
      <c r="D650" s="1" t="s">
        <v>40</v>
      </c>
      <c r="E650" s="1" t="s">
        <v>35</v>
      </c>
      <c r="F650" s="4">
        <v>45500.728530092594</v>
      </c>
      <c r="G650" s="3" t="str">
        <f>HYPERLINK("https://hawk-eye.atlassian.net/browse/?atlOrigin=eyJpIjoiYzgwYTQ0ZjEyNzQzNGJhN2JmNjEyZTM0NmRhZWZhNjIiLCJwIjoic2hlZXRzLWppcmEifQ","")</f>
        <v/>
      </c>
      <c r="H650" s="1" t="s">
        <v>1058</v>
      </c>
      <c r="I650" s="1" t="s">
        <v>1126</v>
      </c>
      <c r="J650" s="1" t="s">
        <v>26</v>
      </c>
      <c r="K650" s="1" t="s">
        <v>1211</v>
      </c>
      <c r="L650" s="1" t="s">
        <v>26</v>
      </c>
      <c r="M650" s="1" t="s">
        <v>27</v>
      </c>
      <c r="N650" s="1" t="s">
        <v>26</v>
      </c>
      <c r="O650" s="1" t="s">
        <v>26</v>
      </c>
      <c r="P650" s="4">
        <v>45614.46188657408</v>
      </c>
    </row>
    <row r="651" hidden="1">
      <c r="A651" s="1" t="s">
        <v>21</v>
      </c>
      <c r="B651" s="3" t="str">
        <f>HYPERLINK("https://hawk-eye.atlassian.net/browse/HWKREPORT-2831?atlOrigin=eyJpIjoiYzgwYTQ0ZjEyNzQzNGJhN2JmNjEyZTM0NmRhZWZhNjIiLCJwIjoic2hlZXRzLWppcmEifQ","HWKREPORT-2831")</f>
        <v>HWKREPORT-2831</v>
      </c>
      <c r="C651" s="1" t="s">
        <v>1840</v>
      </c>
      <c r="D651" s="1" t="s">
        <v>34</v>
      </c>
      <c r="E651" s="1" t="s">
        <v>1207</v>
      </c>
      <c r="F651" s="4">
        <v>45501.8921412037</v>
      </c>
      <c r="G651" s="3" t="str">
        <f>HYPERLINK("https://hawk-eye.atlassian.net/browse/RTT-8899?atlOrigin=eyJpIjoiYzgwYTQ0ZjEyNzQzNGJhN2JmNjEyZTM0NmRhZWZhNjIiLCJwIjoic2hlZXRzLWppcmEifQ","RTT-8899")</f>
        <v>RTT-8899</v>
      </c>
      <c r="H651" s="1" t="s">
        <v>1058</v>
      </c>
      <c r="I651" s="1" t="s">
        <v>1085</v>
      </c>
      <c r="J651" s="1" t="s">
        <v>26</v>
      </c>
      <c r="K651" s="1" t="s">
        <v>1072</v>
      </c>
      <c r="L651" s="1" t="s">
        <v>26</v>
      </c>
      <c r="M651" s="1" t="s">
        <v>27</v>
      </c>
      <c r="N651" s="1" t="s">
        <v>26</v>
      </c>
      <c r="O651" s="1" t="s">
        <v>26</v>
      </c>
      <c r="P651" s="4">
        <v>45503.67667824074</v>
      </c>
    </row>
    <row r="652" hidden="1">
      <c r="A652" s="1" t="s">
        <v>21</v>
      </c>
      <c r="B652" s="3" t="str">
        <f>HYPERLINK("https://hawk-eye.atlassian.net/browse/HWKREPORT-2832?atlOrigin=eyJpIjoiYzgwYTQ0ZjEyNzQzNGJhN2JmNjEyZTM0NmRhZWZhNjIiLCJwIjoic2hlZXRzLWppcmEifQ","HWKREPORT-2832")</f>
        <v>HWKREPORT-2832</v>
      </c>
      <c r="C652" s="1" t="s">
        <v>1841</v>
      </c>
      <c r="D652" s="1" t="s">
        <v>34</v>
      </c>
      <c r="E652" s="1" t="s">
        <v>35</v>
      </c>
      <c r="F652" s="4">
        <v>45501.96372685185</v>
      </c>
      <c r="G652" s="3" t="str">
        <f>HYPERLINK("https://hawk-eye.atlassian.net/browse/RTT-8960?atlOrigin=eyJpIjoiYzgwYTQ0ZjEyNzQzNGJhN2JmNjEyZTM0NmRhZWZhNjIiLCJwIjoic2hlZXRzLWppcmEifQ","RTT-8960")</f>
        <v>RTT-8960</v>
      </c>
      <c r="H652" s="1" t="s">
        <v>1058</v>
      </c>
      <c r="I652" s="1" t="s">
        <v>1085</v>
      </c>
      <c r="J652" s="1" t="s">
        <v>26</v>
      </c>
      <c r="K652" s="1" t="s">
        <v>1072</v>
      </c>
      <c r="L652" s="1" t="s">
        <v>26</v>
      </c>
      <c r="M652" s="1" t="s">
        <v>27</v>
      </c>
      <c r="N652" s="1" t="s">
        <v>26</v>
      </c>
      <c r="O652" s="1" t="s">
        <v>26</v>
      </c>
      <c r="P652" s="4">
        <v>45546.46618055556</v>
      </c>
    </row>
    <row r="653" hidden="1">
      <c r="A653" s="1" t="s">
        <v>1055</v>
      </c>
      <c r="B653" s="3" t="str">
        <f>HYPERLINK("https://hawk-eye.atlassian.net/browse/HWKREPORT-2833?atlOrigin=eyJpIjoiYzgwYTQ0ZjEyNzQzNGJhN2JmNjEyZTM0NmRhZWZhNjIiLCJwIjoic2hlZXRzLWppcmEifQ","HWKREPORT-2833")</f>
        <v>HWKREPORT-2833</v>
      </c>
      <c r="C653" s="1" t="s">
        <v>1842</v>
      </c>
      <c r="D653" s="1" t="s">
        <v>48</v>
      </c>
      <c r="E653" s="1" t="s">
        <v>1057</v>
      </c>
      <c r="F653" s="4">
        <v>45502.64063657408</v>
      </c>
      <c r="G653" s="3" t="str">
        <f>HYPERLINK("https://hawk-eye.atlassian.net/browse/?atlOrigin=eyJpIjoiYzgwYTQ0ZjEyNzQzNGJhN2JmNjEyZTM0NmRhZWZhNjIiLCJwIjoic2hlZXRzLWppcmEifQ","")</f>
        <v/>
      </c>
      <c r="H653" s="1" t="s">
        <v>1058</v>
      </c>
      <c r="I653" s="1" t="s">
        <v>1107</v>
      </c>
      <c r="J653" s="1" t="s">
        <v>26</v>
      </c>
      <c r="K653" s="1" t="s">
        <v>1843</v>
      </c>
      <c r="L653" s="1" t="s">
        <v>26</v>
      </c>
      <c r="M653" s="1" t="s">
        <v>27</v>
      </c>
      <c r="N653" s="1" t="s">
        <v>26</v>
      </c>
      <c r="O653" s="1" t="s">
        <v>26</v>
      </c>
      <c r="P653" s="4">
        <v>45502.640648148146</v>
      </c>
    </row>
    <row r="654" hidden="1">
      <c r="A654" s="1" t="s">
        <v>1055</v>
      </c>
      <c r="B654" s="3" t="str">
        <f>HYPERLINK("https://hawk-eye.atlassian.net/browse/HWKREPORT-2834?atlOrigin=eyJpIjoiYzgwYTQ0ZjEyNzQzNGJhN2JmNjEyZTM0NmRhZWZhNjIiLCJwIjoic2hlZXRzLWppcmEifQ","HWKREPORT-2834")</f>
        <v>HWKREPORT-2834</v>
      </c>
      <c r="C654" s="1" t="s">
        <v>1844</v>
      </c>
      <c r="D654" s="1" t="s">
        <v>34</v>
      </c>
      <c r="E654" s="1" t="s">
        <v>1057</v>
      </c>
      <c r="F654" s="4">
        <v>45502.709178240744</v>
      </c>
      <c r="G654" s="3" t="str">
        <f>HYPERLINK("https://hawk-eye.atlassian.net/browse/AT-1435?atlOrigin=eyJpIjoiYzgwYTQ0ZjEyNzQzNGJhN2JmNjEyZTM0NmRhZWZhNjIiLCJwIjoic2hlZXRzLWppcmEifQ","AT-1435")</f>
        <v>AT-1435</v>
      </c>
      <c r="H654" s="1" t="s">
        <v>1058</v>
      </c>
      <c r="I654" s="1" t="s">
        <v>1085</v>
      </c>
      <c r="J654" s="1" t="s">
        <v>26</v>
      </c>
      <c r="K654" s="1" t="s">
        <v>26</v>
      </c>
      <c r="L654" s="1" t="s">
        <v>26</v>
      </c>
      <c r="M654" s="1" t="s">
        <v>27</v>
      </c>
      <c r="N654" s="1" t="s">
        <v>26</v>
      </c>
      <c r="O654" s="1" t="s">
        <v>26</v>
      </c>
      <c r="P654" s="4">
        <v>45502.709189814814</v>
      </c>
    </row>
    <row r="655" hidden="1">
      <c r="A655" s="1" t="s">
        <v>1055</v>
      </c>
      <c r="B655" s="3" t="str">
        <f>HYPERLINK("https://hawk-eye.atlassian.net/browse/HWKREPORT-2835?atlOrigin=eyJpIjoiYzgwYTQ0ZjEyNzQzNGJhN2JmNjEyZTM0NmRhZWZhNjIiLCJwIjoic2hlZXRzLWppcmEifQ","HWKREPORT-2835")</f>
        <v>HWKREPORT-2835</v>
      </c>
      <c r="C655" s="1" t="s">
        <v>1845</v>
      </c>
      <c r="D655" s="1" t="s">
        <v>48</v>
      </c>
      <c r="E655" s="1" t="s">
        <v>1207</v>
      </c>
      <c r="F655" s="4">
        <v>45502.74717592593</v>
      </c>
      <c r="G655" s="3" t="str">
        <f>HYPERLINK("https://hawk-eye.atlassian.net/browse/DT-1802?atlOrigin=eyJpIjoiYzgwYTQ0ZjEyNzQzNGJhN2JmNjEyZTM0NmRhZWZhNjIiLCJwIjoic2hlZXRzLWppcmEifQ","DT-1802")</f>
        <v>DT-1802</v>
      </c>
      <c r="H655" s="1" t="s">
        <v>1058</v>
      </c>
      <c r="I655" s="1" t="s">
        <v>1087</v>
      </c>
      <c r="J655" s="1" t="s">
        <v>26</v>
      </c>
      <c r="K655" s="1" t="s">
        <v>1088</v>
      </c>
      <c r="L655" s="1" t="s">
        <v>26</v>
      </c>
      <c r="M655" s="1" t="s">
        <v>27</v>
      </c>
      <c r="N655" s="1" t="s">
        <v>26</v>
      </c>
      <c r="O655" s="1" t="s">
        <v>26</v>
      </c>
      <c r="P655" s="4">
        <v>45552.700162037036</v>
      </c>
    </row>
    <row r="656" hidden="1">
      <c r="A656" s="1" t="s">
        <v>1055</v>
      </c>
      <c r="B656" s="3" t="str">
        <f>HYPERLINK("https://hawk-eye.atlassian.net/browse/HWKREPORT-2836?atlOrigin=eyJpIjoiYzgwYTQ0ZjEyNzQzNGJhN2JmNjEyZTM0NmRhZWZhNjIiLCJwIjoic2hlZXRzLWppcmEifQ","HWKREPORT-2836")</f>
        <v>HWKREPORT-2836</v>
      </c>
      <c r="C656" s="1" t="s">
        <v>1846</v>
      </c>
      <c r="D656" s="1" t="s">
        <v>34</v>
      </c>
      <c r="E656" s="1" t="s">
        <v>1057</v>
      </c>
      <c r="F656" s="4">
        <v>45503.40076388889</v>
      </c>
      <c r="G656" s="3" t="str">
        <f>HYPERLINK("https://hawk-eye.atlassian.net/browse/AT-1436?atlOrigin=eyJpIjoiYzgwYTQ0ZjEyNzQzNGJhN2JmNjEyZTM0NmRhZWZhNjIiLCJwIjoic2hlZXRzLWppcmEifQ","AT-1436")</f>
        <v>AT-1436</v>
      </c>
      <c r="H656" s="1" t="s">
        <v>1058</v>
      </c>
      <c r="I656" s="1" t="s">
        <v>1085</v>
      </c>
      <c r="J656" s="1" t="s">
        <v>26</v>
      </c>
      <c r="K656" s="1" t="s">
        <v>26</v>
      </c>
      <c r="L656" s="1" t="s">
        <v>26</v>
      </c>
      <c r="M656" s="1" t="s">
        <v>27</v>
      </c>
      <c r="N656" s="1" t="s">
        <v>26</v>
      </c>
      <c r="O656" s="1" t="s">
        <v>26</v>
      </c>
      <c r="P656" s="4">
        <v>45503.40076388889</v>
      </c>
    </row>
    <row r="657" hidden="1">
      <c r="A657" s="1" t="s">
        <v>21</v>
      </c>
      <c r="B657" s="3" t="str">
        <f>HYPERLINK("https://hawk-eye.atlassian.net/browse/HWKREPORT-2837?atlOrigin=eyJpIjoiYzgwYTQ0ZjEyNzQzNGJhN2JmNjEyZTM0NmRhZWZhNjIiLCJwIjoic2hlZXRzLWppcmEifQ","HWKREPORT-2837")</f>
        <v>HWKREPORT-2837</v>
      </c>
      <c r="C657" s="1" t="s">
        <v>1847</v>
      </c>
      <c r="D657" s="1" t="s">
        <v>34</v>
      </c>
      <c r="E657" s="1" t="s">
        <v>1057</v>
      </c>
      <c r="F657" s="4">
        <v>45503.58788194445</v>
      </c>
      <c r="G657" s="3" t="str">
        <f t="shared" ref="G657:G659" si="62">HYPERLINK("https://hawk-eye.atlassian.net/browse/?atlOrigin=eyJpIjoiYzgwYTQ0ZjEyNzQzNGJhN2JmNjEyZTM0NmRhZWZhNjIiLCJwIjoic2hlZXRzLWppcmEifQ","")</f>
        <v/>
      </c>
      <c r="H657" s="1" t="s">
        <v>1058</v>
      </c>
      <c r="I657" s="1" t="s">
        <v>1085</v>
      </c>
      <c r="J657" s="1" t="s">
        <v>26</v>
      </c>
      <c r="K657" s="1" t="s">
        <v>1114</v>
      </c>
      <c r="L657" s="1" t="s">
        <v>26</v>
      </c>
      <c r="M657" s="1" t="s">
        <v>27</v>
      </c>
      <c r="N657" s="1" t="s">
        <v>26</v>
      </c>
      <c r="O657" s="1" t="s">
        <v>26</v>
      </c>
      <c r="P657" s="4">
        <v>45503.58788194445</v>
      </c>
    </row>
    <row r="658" hidden="1">
      <c r="A658" s="1" t="s">
        <v>1055</v>
      </c>
      <c r="B658" s="3" t="str">
        <f>HYPERLINK("https://hawk-eye.atlassian.net/browse/HWKREPORT-2838?atlOrigin=eyJpIjoiYzgwYTQ0ZjEyNzQzNGJhN2JmNjEyZTM0NmRhZWZhNjIiLCJwIjoic2hlZXRzLWppcmEifQ","HWKREPORT-2838")</f>
        <v>HWKREPORT-2838</v>
      </c>
      <c r="C658" s="1" t="s">
        <v>1848</v>
      </c>
      <c r="D658" s="1" t="s">
        <v>34</v>
      </c>
      <c r="E658" s="1" t="s">
        <v>1057</v>
      </c>
      <c r="F658" s="4">
        <v>45503.68792824074</v>
      </c>
      <c r="G658" s="3" t="str">
        <f t="shared" si="62"/>
        <v/>
      </c>
      <c r="H658" s="1" t="s">
        <v>1058</v>
      </c>
      <c r="I658" s="1" t="s">
        <v>1085</v>
      </c>
      <c r="J658" s="1" t="s">
        <v>26</v>
      </c>
      <c r="K658" s="1" t="s">
        <v>26</v>
      </c>
      <c r="L658" s="1" t="s">
        <v>26</v>
      </c>
      <c r="M658" s="1" t="s">
        <v>27</v>
      </c>
      <c r="N658" s="1" t="s">
        <v>26</v>
      </c>
      <c r="O658" s="1" t="s">
        <v>26</v>
      </c>
      <c r="P658" s="4">
        <v>45503.687939814816</v>
      </c>
    </row>
    <row r="659" hidden="1">
      <c r="A659" s="1" t="s">
        <v>1055</v>
      </c>
      <c r="B659" s="3" t="str">
        <f>HYPERLINK("https://hawk-eye.atlassian.net/browse/HWKREPORT-2839?atlOrigin=eyJpIjoiYzgwYTQ0ZjEyNzQzNGJhN2JmNjEyZTM0NmRhZWZhNjIiLCJwIjoic2hlZXRzLWppcmEifQ","HWKREPORT-2839")</f>
        <v>HWKREPORT-2839</v>
      </c>
      <c r="C659" s="1" t="s">
        <v>1849</v>
      </c>
      <c r="D659" s="1" t="s">
        <v>48</v>
      </c>
      <c r="E659" s="1" t="s">
        <v>1057</v>
      </c>
      <c r="F659" s="4">
        <v>45503.721238425926</v>
      </c>
      <c r="G659" s="3" t="str">
        <f t="shared" si="62"/>
        <v/>
      </c>
      <c r="H659" s="1" t="s">
        <v>1058</v>
      </c>
      <c r="I659" s="1" t="s">
        <v>1107</v>
      </c>
      <c r="J659" s="1" t="s">
        <v>26</v>
      </c>
      <c r="K659" s="1" t="s">
        <v>1108</v>
      </c>
      <c r="L659" s="1" t="s">
        <v>26</v>
      </c>
      <c r="M659" s="1" t="s">
        <v>27</v>
      </c>
      <c r="N659" s="1" t="s">
        <v>26</v>
      </c>
      <c r="O659" s="1" t="s">
        <v>26</v>
      </c>
      <c r="P659" s="4">
        <v>45503.72125</v>
      </c>
    </row>
    <row r="660" hidden="1">
      <c r="A660" s="1" t="s">
        <v>21</v>
      </c>
      <c r="B660" s="3" t="str">
        <f>HYPERLINK("https://hawk-eye.atlassian.net/browse/HWKREPORT-2840?atlOrigin=eyJpIjoiYzgwYTQ0ZjEyNzQzNGJhN2JmNjEyZTM0NmRhZWZhNjIiLCJwIjoic2hlZXRzLWppcmEifQ","HWKREPORT-2840")</f>
        <v>HWKREPORT-2840</v>
      </c>
      <c r="C660" s="1" t="s">
        <v>1850</v>
      </c>
      <c r="D660" s="1" t="s">
        <v>40</v>
      </c>
      <c r="E660" s="1" t="s">
        <v>35</v>
      </c>
      <c r="F660" s="4">
        <v>45503.930868055555</v>
      </c>
      <c r="G660" s="3" t="str">
        <f>HYPERLINK("https://hawk-eye.atlassian.net/browse/RTT-8939?atlOrigin=eyJpIjoiYzgwYTQ0ZjEyNzQzNGJhN2JmNjEyZTM0NmRhZWZhNjIiLCJwIjoic2hlZXRzLWppcmEifQ","RTT-8939")</f>
        <v>RTT-8939</v>
      </c>
      <c r="H660" s="1" t="s">
        <v>1058</v>
      </c>
      <c r="I660" s="1" t="s">
        <v>1085</v>
      </c>
      <c r="J660" s="1" t="s">
        <v>26</v>
      </c>
      <c r="K660" s="1" t="s">
        <v>1196</v>
      </c>
      <c r="L660" s="1" t="s">
        <v>26</v>
      </c>
      <c r="M660" s="1" t="s">
        <v>27</v>
      </c>
      <c r="N660" s="1" t="s">
        <v>26</v>
      </c>
      <c r="O660" s="1" t="s">
        <v>26</v>
      </c>
      <c r="P660" s="4">
        <v>45506.598229166666</v>
      </c>
    </row>
    <row r="661" hidden="1">
      <c r="A661" s="1" t="s">
        <v>21</v>
      </c>
      <c r="B661" s="3" t="str">
        <f>HYPERLINK("https://hawk-eye.atlassian.net/browse/HWKREPORT-2841?atlOrigin=eyJpIjoiYzgwYTQ0ZjEyNzQzNGJhN2JmNjEyZTM0NmRhZWZhNjIiLCJwIjoic2hlZXRzLWppcmEifQ","HWKREPORT-2841")</f>
        <v>HWKREPORT-2841</v>
      </c>
      <c r="C661" s="1" t="s">
        <v>1851</v>
      </c>
      <c r="D661" s="1" t="s">
        <v>40</v>
      </c>
      <c r="E661" s="1" t="s">
        <v>1207</v>
      </c>
      <c r="F661" s="4">
        <v>45504.03056712963</v>
      </c>
      <c r="G661" s="3" t="str">
        <f>HYPERLINK("https://hawk-eye.atlassian.net/browse/RTT-8917?atlOrigin=eyJpIjoiYzgwYTQ0ZjEyNzQzNGJhN2JmNjEyZTM0NmRhZWZhNjIiLCJwIjoic2hlZXRzLWppcmEifQ","RTT-8917")</f>
        <v>RTT-8917</v>
      </c>
      <c r="H661" s="1" t="s">
        <v>1058</v>
      </c>
      <c r="I661" s="1" t="s">
        <v>1085</v>
      </c>
      <c r="J661" s="1" t="s">
        <v>26</v>
      </c>
      <c r="K661" s="1" t="s">
        <v>1072</v>
      </c>
      <c r="L661" s="1" t="s">
        <v>26</v>
      </c>
      <c r="M661" s="1" t="s">
        <v>27</v>
      </c>
      <c r="N661" s="1" t="s">
        <v>26</v>
      </c>
      <c r="O661" s="1" t="s">
        <v>26</v>
      </c>
      <c r="P661" s="4">
        <v>45505.41489583333</v>
      </c>
    </row>
    <row r="662" hidden="1">
      <c r="A662" s="1" t="s">
        <v>1055</v>
      </c>
      <c r="B662" s="3" t="str">
        <f>HYPERLINK("https://hawk-eye.atlassian.net/browse/HWKREPORT-2842?atlOrigin=eyJpIjoiYzgwYTQ0ZjEyNzQzNGJhN2JmNjEyZTM0NmRhZWZhNjIiLCJwIjoic2hlZXRzLWppcmEifQ","HWKREPORT-2842")</f>
        <v>HWKREPORT-2842</v>
      </c>
      <c r="C662" s="1" t="s">
        <v>1852</v>
      </c>
      <c r="D662" s="1" t="s">
        <v>83</v>
      </c>
      <c r="E662" s="1" t="s">
        <v>1057</v>
      </c>
      <c r="F662" s="4">
        <v>45504.63385416667</v>
      </c>
      <c r="G662" s="3" t="str">
        <f>HYPERLINK("https://hawk-eye.atlassian.net/browse/?atlOrigin=eyJpIjoiYzgwYTQ0ZjEyNzQzNGJhN2JmNjEyZTM0NmRhZWZhNjIiLCJwIjoic2hlZXRzLWppcmEifQ","")</f>
        <v/>
      </c>
      <c r="H662" s="1" t="s">
        <v>1058</v>
      </c>
      <c r="I662" s="1" t="s">
        <v>1071</v>
      </c>
      <c r="J662" s="1" t="s">
        <v>26</v>
      </c>
      <c r="K662" s="1" t="s">
        <v>1762</v>
      </c>
      <c r="L662" s="1" t="s">
        <v>26</v>
      </c>
      <c r="M662" s="1" t="s">
        <v>27</v>
      </c>
      <c r="N662" s="1" t="s">
        <v>26</v>
      </c>
      <c r="O662" s="1" t="s">
        <v>26</v>
      </c>
      <c r="P662" s="4">
        <v>45504.63386574074</v>
      </c>
    </row>
    <row r="663" hidden="1">
      <c r="A663" s="1" t="s">
        <v>21</v>
      </c>
      <c r="B663" s="3" t="str">
        <f>HYPERLINK("https://hawk-eye.atlassian.net/browse/HWKREPORT-2843?atlOrigin=eyJpIjoiYzgwYTQ0ZjEyNzQzNGJhN2JmNjEyZTM0NmRhZWZhNjIiLCJwIjoic2hlZXRzLWppcmEifQ","HWKREPORT-2843")</f>
        <v>HWKREPORT-2843</v>
      </c>
      <c r="C663" s="1" t="s">
        <v>1853</v>
      </c>
      <c r="D663" s="1" t="s">
        <v>23</v>
      </c>
      <c r="E663" s="1" t="s">
        <v>35</v>
      </c>
      <c r="F663" s="4">
        <v>45504.71787037037</v>
      </c>
      <c r="G663" s="3" t="str">
        <f>HYPERLINK("https://hawk-eye.atlassian.net/browse/RTT-8941?atlOrigin=eyJpIjoiYzgwYTQ0ZjEyNzQzNGJhN2JmNjEyZTM0NmRhZWZhNjIiLCJwIjoic2hlZXRzLWppcmEifQ","RTT-8941")</f>
        <v>RTT-8941</v>
      </c>
      <c r="H663" s="1" t="s">
        <v>1058</v>
      </c>
      <c r="I663" s="1" t="s">
        <v>1071</v>
      </c>
      <c r="J663" s="1" t="s">
        <v>26</v>
      </c>
      <c r="K663" s="1" t="s">
        <v>1095</v>
      </c>
      <c r="L663" s="1" t="s">
        <v>26</v>
      </c>
      <c r="M663" s="1" t="s">
        <v>27</v>
      </c>
      <c r="N663" s="1" t="s">
        <v>26</v>
      </c>
      <c r="O663" s="1" t="s">
        <v>26</v>
      </c>
      <c r="P663" s="4">
        <v>45531.62299768518</v>
      </c>
    </row>
    <row r="664" hidden="1">
      <c r="A664" s="1" t="s">
        <v>21</v>
      </c>
      <c r="B664" s="3" t="str">
        <f>HYPERLINK("https://hawk-eye.atlassian.net/browse/HWKREPORT-2844?atlOrigin=eyJpIjoiYzgwYTQ0ZjEyNzQzNGJhN2JmNjEyZTM0NmRhZWZhNjIiLCJwIjoic2hlZXRzLWppcmEifQ","HWKREPORT-2844")</f>
        <v>HWKREPORT-2844</v>
      </c>
      <c r="C664" s="1" t="s">
        <v>1854</v>
      </c>
      <c r="D664" s="1" t="s">
        <v>23</v>
      </c>
      <c r="E664" s="1" t="s">
        <v>35</v>
      </c>
      <c r="F664" s="4">
        <v>45504.73131944444</v>
      </c>
      <c r="G664" s="3" t="str">
        <f>HYPERLINK("https://hawk-eye.atlassian.net/browse/RTT-8943?atlOrigin=eyJpIjoiYzgwYTQ0ZjEyNzQzNGJhN2JmNjEyZTM0NmRhZWZhNjIiLCJwIjoic2hlZXRzLWppcmEifQ","RTT-8943")</f>
        <v>RTT-8943</v>
      </c>
      <c r="H664" s="1" t="s">
        <v>1058</v>
      </c>
      <c r="I664" s="1" t="s">
        <v>1085</v>
      </c>
      <c r="J664" s="1" t="s">
        <v>26</v>
      </c>
      <c r="K664" s="1" t="s">
        <v>1072</v>
      </c>
      <c r="L664" s="1" t="s">
        <v>26</v>
      </c>
      <c r="M664" s="1" t="s">
        <v>27</v>
      </c>
      <c r="N664" s="1" t="s">
        <v>26</v>
      </c>
      <c r="O664" s="1" t="s">
        <v>26</v>
      </c>
      <c r="P664" s="4">
        <v>45522.92511574074</v>
      </c>
    </row>
    <row r="665" hidden="1">
      <c r="A665" s="1" t="s">
        <v>21</v>
      </c>
      <c r="B665" s="3" t="str">
        <f>HYPERLINK("https://hawk-eye.atlassian.net/browse/HWKREPORT-2845?atlOrigin=eyJpIjoiYzgwYTQ0ZjEyNzQzNGJhN2JmNjEyZTM0NmRhZWZhNjIiLCJwIjoic2hlZXRzLWppcmEifQ","HWKREPORT-2845")</f>
        <v>HWKREPORT-2845</v>
      </c>
      <c r="C665" s="1" t="s">
        <v>1855</v>
      </c>
      <c r="D665" s="1" t="s">
        <v>23</v>
      </c>
      <c r="E665" s="1" t="s">
        <v>1057</v>
      </c>
      <c r="F665" s="4">
        <v>45504.74506944444</v>
      </c>
      <c r="G665" s="3" t="str">
        <f>HYPERLINK("https://hawk-eye.atlassian.net/browse/MLT-2167?atlOrigin=eyJpIjoiYzgwYTQ0ZjEyNzQzNGJhN2JmNjEyZTM0NmRhZWZhNjIiLCJwIjoic2hlZXRzLWppcmEifQ","MLT-2167")</f>
        <v>MLT-2167</v>
      </c>
      <c r="H665" s="1" t="s">
        <v>1058</v>
      </c>
      <c r="I665" s="1" t="s">
        <v>1085</v>
      </c>
      <c r="J665" s="1" t="s">
        <v>26</v>
      </c>
      <c r="K665" s="1" t="s">
        <v>1072</v>
      </c>
      <c r="L665" s="1" t="s">
        <v>26</v>
      </c>
      <c r="M665" s="1" t="s">
        <v>27</v>
      </c>
      <c r="N665" s="1" t="s">
        <v>26</v>
      </c>
      <c r="O665" s="1" t="s">
        <v>26</v>
      </c>
      <c r="P665" s="4">
        <v>45504.74506944444</v>
      </c>
    </row>
    <row r="666" hidden="1">
      <c r="A666" s="1" t="s">
        <v>1055</v>
      </c>
      <c r="B666" s="3" t="str">
        <f>HYPERLINK("https://hawk-eye.atlassian.net/browse/HWKREPORT-2846?atlOrigin=eyJpIjoiYzgwYTQ0ZjEyNzQzNGJhN2JmNjEyZTM0NmRhZWZhNjIiLCJwIjoic2hlZXRzLWppcmEifQ","HWKREPORT-2846")</f>
        <v>HWKREPORT-2846</v>
      </c>
      <c r="C666" s="1" t="s">
        <v>1856</v>
      </c>
      <c r="D666" s="1" t="s">
        <v>48</v>
      </c>
      <c r="E666" s="1" t="s">
        <v>35</v>
      </c>
      <c r="F666" s="4">
        <v>45504.79430555556</v>
      </c>
      <c r="G666" s="3" t="str">
        <f>HYPERLINK("https://hawk-eye.atlassian.net/browse/SO-1531?atlOrigin=eyJpIjoiYzgwYTQ0ZjEyNzQzNGJhN2JmNjEyZTM0NmRhZWZhNjIiLCJwIjoic2hlZXRzLWppcmEifQ","SO-1531")</f>
        <v>SO-1531</v>
      </c>
      <c r="H666" s="1" t="s">
        <v>1058</v>
      </c>
      <c r="I666" s="1" t="s">
        <v>1071</v>
      </c>
      <c r="J666" s="1" t="s">
        <v>26</v>
      </c>
      <c r="K666" s="1" t="s">
        <v>1116</v>
      </c>
      <c r="L666" s="1" t="s">
        <v>26</v>
      </c>
      <c r="M666" s="1" t="s">
        <v>27</v>
      </c>
      <c r="N666" s="1" t="s">
        <v>26</v>
      </c>
      <c r="O666" s="1" t="s">
        <v>26</v>
      </c>
      <c r="P666" s="4">
        <v>45686.404594907406</v>
      </c>
    </row>
    <row r="667" hidden="1">
      <c r="A667" s="1" t="s">
        <v>21</v>
      </c>
      <c r="B667" s="3" t="str">
        <f>HYPERLINK("https://hawk-eye.atlassian.net/browse/HWKREPORT-2847?atlOrigin=eyJpIjoiYzgwYTQ0ZjEyNzQzNGJhN2JmNjEyZTM0NmRhZWZhNjIiLCJwIjoic2hlZXRzLWppcmEifQ","HWKREPORT-2847")</f>
        <v>HWKREPORT-2847</v>
      </c>
      <c r="C667" s="1" t="s">
        <v>1857</v>
      </c>
      <c r="D667" s="1" t="s">
        <v>40</v>
      </c>
      <c r="E667" s="1" t="s">
        <v>1057</v>
      </c>
      <c r="F667" s="4">
        <v>45505.43466435185</v>
      </c>
      <c r="G667" s="3" t="str">
        <f t="shared" ref="G667:G668" si="63">HYPERLINK("https://hawk-eye.atlassian.net/browse/?atlOrigin=eyJpIjoiYzgwYTQ0ZjEyNzQzNGJhN2JmNjEyZTM0NmRhZWZhNjIiLCJwIjoic2hlZXRzLWppcmEifQ","")</f>
        <v/>
      </c>
      <c r="H667" s="1" t="s">
        <v>1058</v>
      </c>
      <c r="I667" s="1" t="s">
        <v>1085</v>
      </c>
      <c r="J667" s="1" t="s">
        <v>26</v>
      </c>
      <c r="K667" s="1" t="s">
        <v>1105</v>
      </c>
      <c r="L667" s="1" t="s">
        <v>26</v>
      </c>
      <c r="M667" s="1" t="s">
        <v>27</v>
      </c>
      <c r="N667" s="1" t="s">
        <v>26</v>
      </c>
      <c r="O667" s="1" t="s">
        <v>26</v>
      </c>
      <c r="P667" s="4">
        <v>45505.43467592593</v>
      </c>
    </row>
    <row r="668" hidden="1">
      <c r="A668" s="1" t="s">
        <v>1055</v>
      </c>
      <c r="B668" s="3" t="str">
        <f>HYPERLINK("https://hawk-eye.atlassian.net/browse/HWKREPORT-2848?atlOrigin=eyJpIjoiYzgwYTQ0ZjEyNzQzNGJhN2JmNjEyZTM0NmRhZWZhNjIiLCJwIjoic2hlZXRzLWppcmEifQ","HWKREPORT-2848")</f>
        <v>HWKREPORT-2848</v>
      </c>
      <c r="C668" s="1" t="s">
        <v>1858</v>
      </c>
      <c r="D668" s="1" t="s">
        <v>48</v>
      </c>
      <c r="E668" s="1" t="s">
        <v>1057</v>
      </c>
      <c r="F668" s="4">
        <v>45505.52309027778</v>
      </c>
      <c r="G668" s="3" t="str">
        <f t="shared" si="63"/>
        <v/>
      </c>
      <c r="H668" s="1" t="s">
        <v>1058</v>
      </c>
      <c r="I668" s="1" t="s">
        <v>1082</v>
      </c>
      <c r="J668" s="1" t="s">
        <v>26</v>
      </c>
      <c r="K668" s="1" t="s">
        <v>1114</v>
      </c>
      <c r="L668" s="1" t="s">
        <v>26</v>
      </c>
      <c r="M668" s="1" t="s">
        <v>27</v>
      </c>
      <c r="N668" s="1" t="s">
        <v>26</v>
      </c>
      <c r="O668" s="1" t="s">
        <v>26</v>
      </c>
      <c r="P668" s="4">
        <v>45505.52309027778</v>
      </c>
    </row>
    <row r="669" hidden="1">
      <c r="A669" s="1" t="s">
        <v>21</v>
      </c>
      <c r="B669" s="3" t="str">
        <f>HYPERLINK("https://hawk-eye.atlassian.net/browse/HWKREPORT-2849?atlOrigin=eyJpIjoiYzgwYTQ0ZjEyNzQzNGJhN2JmNjEyZTM0NmRhZWZhNjIiLCJwIjoic2hlZXRzLWppcmEifQ","HWKREPORT-2849")</f>
        <v>HWKREPORT-2849</v>
      </c>
      <c r="C669" s="1" t="s">
        <v>1859</v>
      </c>
      <c r="D669" s="1" t="s">
        <v>40</v>
      </c>
      <c r="E669" s="1" t="s">
        <v>1091</v>
      </c>
      <c r="F669" s="4">
        <v>45507.42681712963</v>
      </c>
      <c r="G669" s="3" t="str">
        <f>HYPERLINK("https://hawk-eye.atlassian.net/browse/RTT-8958?atlOrigin=eyJpIjoiYzgwYTQ0ZjEyNzQzNGJhN2JmNjEyZTM0NmRhZWZhNjIiLCJwIjoic2hlZXRzLWppcmEifQ","RTT-8958")</f>
        <v>RTT-8958</v>
      </c>
      <c r="H669" s="1" t="s">
        <v>1058</v>
      </c>
      <c r="I669" s="1" t="s">
        <v>1085</v>
      </c>
      <c r="J669" s="1" t="s">
        <v>26</v>
      </c>
      <c r="K669" s="1" t="s">
        <v>1072</v>
      </c>
      <c r="L669" s="1" t="s">
        <v>26</v>
      </c>
      <c r="M669" s="1" t="s">
        <v>27</v>
      </c>
      <c r="N669" s="1" t="s">
        <v>26</v>
      </c>
      <c r="O669" s="1" t="s">
        <v>26</v>
      </c>
      <c r="P669" s="4">
        <v>45531.47284722222</v>
      </c>
    </row>
    <row r="670" hidden="1">
      <c r="A670" s="1" t="s">
        <v>21</v>
      </c>
      <c r="B670" s="3" t="str">
        <f>HYPERLINK("https://hawk-eye.atlassian.net/browse/HWKREPORT-2850?atlOrigin=eyJpIjoiYzgwYTQ0ZjEyNzQzNGJhN2JmNjEyZTM0NmRhZWZhNjIiLCJwIjoic2hlZXRzLWppcmEifQ","HWKREPORT-2850")</f>
        <v>HWKREPORT-2850</v>
      </c>
      <c r="C670" s="1" t="s">
        <v>1860</v>
      </c>
      <c r="D670" s="1" t="s">
        <v>40</v>
      </c>
      <c r="E670" s="1" t="s">
        <v>35</v>
      </c>
      <c r="F670" s="4">
        <v>45507.475810185184</v>
      </c>
      <c r="G670" s="3" t="str">
        <f>HYPERLINK("https://hawk-eye.atlassian.net/browse/RTT-8957?atlOrigin=eyJpIjoiYzgwYTQ0ZjEyNzQzNGJhN2JmNjEyZTM0NmRhZWZhNjIiLCJwIjoic2hlZXRzLWppcmEifQ","RTT-8957")</f>
        <v>RTT-8957</v>
      </c>
      <c r="H670" s="1" t="s">
        <v>1058</v>
      </c>
      <c r="I670" s="1" t="s">
        <v>1085</v>
      </c>
      <c r="J670" s="1" t="s">
        <v>26</v>
      </c>
      <c r="K670" s="1" t="s">
        <v>1072</v>
      </c>
      <c r="L670" s="1" t="s">
        <v>26</v>
      </c>
      <c r="M670" s="1" t="s">
        <v>27</v>
      </c>
      <c r="N670" s="1" t="s">
        <v>26</v>
      </c>
      <c r="O670" s="1" t="s">
        <v>26</v>
      </c>
      <c r="P670" s="4">
        <v>45636.39335648148</v>
      </c>
    </row>
    <row r="671" hidden="1">
      <c r="A671" s="1" t="s">
        <v>1055</v>
      </c>
      <c r="B671" s="3" t="str">
        <f>HYPERLINK("https://hawk-eye.atlassian.net/browse/HWKREPORT-2851?atlOrigin=eyJpIjoiYzgwYTQ0ZjEyNzQzNGJhN2JmNjEyZTM0NmRhZWZhNjIiLCJwIjoic2hlZXRzLWppcmEifQ","HWKREPORT-2851")</f>
        <v>HWKREPORT-2851</v>
      </c>
      <c r="C671" s="1" t="s">
        <v>1861</v>
      </c>
      <c r="D671" s="1" t="s">
        <v>48</v>
      </c>
      <c r="E671" s="1" t="s">
        <v>35</v>
      </c>
      <c r="F671" s="4">
        <v>45510.438206018516</v>
      </c>
      <c r="G671" s="3" t="str">
        <f t="shared" ref="G671:G672" si="64">HYPERLINK("https://hawk-eye.atlassian.net/browse/?atlOrigin=eyJpIjoiYzgwYTQ0ZjEyNzQzNGJhN2JmNjEyZTM0NmRhZWZhNjIiLCJwIjoic2hlZXRzLWppcmEifQ","")</f>
        <v/>
      </c>
      <c r="H671" s="1" t="s">
        <v>1058</v>
      </c>
      <c r="I671" s="1" t="s">
        <v>1085</v>
      </c>
      <c r="J671" s="1" t="s">
        <v>26</v>
      </c>
      <c r="K671" s="1" t="s">
        <v>1290</v>
      </c>
      <c r="L671" s="1" t="s">
        <v>26</v>
      </c>
      <c r="M671" s="1" t="s">
        <v>27</v>
      </c>
      <c r="N671" s="1" t="s">
        <v>26</v>
      </c>
      <c r="O671" s="1" t="s">
        <v>26</v>
      </c>
      <c r="P671" s="4">
        <v>45511.475752314815</v>
      </c>
    </row>
    <row r="672" hidden="1">
      <c r="A672" s="1" t="s">
        <v>1055</v>
      </c>
      <c r="B672" s="3" t="str">
        <f>HYPERLINK("https://hawk-eye.atlassian.net/browse/HWKREPORT-2852?atlOrigin=eyJpIjoiYzgwYTQ0ZjEyNzQzNGJhN2JmNjEyZTM0NmRhZWZhNjIiLCJwIjoic2hlZXRzLWppcmEifQ","HWKREPORT-2852")</f>
        <v>HWKREPORT-2852</v>
      </c>
      <c r="C672" s="1" t="s">
        <v>1862</v>
      </c>
      <c r="D672" s="1" t="s">
        <v>48</v>
      </c>
      <c r="E672" s="1" t="s">
        <v>1541</v>
      </c>
      <c r="F672" s="4">
        <v>45510.45259259259</v>
      </c>
      <c r="G672" s="3" t="str">
        <f t="shared" si="64"/>
        <v/>
      </c>
      <c r="H672" s="1" t="s">
        <v>1058</v>
      </c>
      <c r="I672" s="1" t="s">
        <v>1085</v>
      </c>
      <c r="J672" s="1" t="s">
        <v>26</v>
      </c>
      <c r="K672" s="1" t="s">
        <v>1290</v>
      </c>
      <c r="L672" s="1" t="s">
        <v>26</v>
      </c>
      <c r="M672" s="1" t="s">
        <v>27</v>
      </c>
      <c r="N672" s="1" t="s">
        <v>26</v>
      </c>
      <c r="O672" s="1" t="s">
        <v>26</v>
      </c>
      <c r="P672" s="4">
        <v>45511.47678240741</v>
      </c>
    </row>
    <row r="673" hidden="1">
      <c r="A673" s="1" t="s">
        <v>21</v>
      </c>
      <c r="B673" s="3" t="str">
        <f>HYPERLINK("https://hawk-eye.atlassian.net/browse/HWKREPORT-2853?atlOrigin=eyJpIjoiYzgwYTQ0ZjEyNzQzNGJhN2JmNjEyZTM0NmRhZWZhNjIiLCJwIjoic2hlZXRzLWppcmEifQ","HWKREPORT-2853")</f>
        <v>HWKREPORT-2853</v>
      </c>
      <c r="C673" s="1" t="s">
        <v>1863</v>
      </c>
      <c r="D673" s="1" t="s">
        <v>40</v>
      </c>
      <c r="E673" s="1" t="s">
        <v>35</v>
      </c>
      <c r="F673" s="4">
        <v>45510.63675925926</v>
      </c>
      <c r="G673" s="3" t="str">
        <f>HYPERLINK("https://hawk-eye.atlassian.net/browse/RTT-8965?atlOrigin=eyJpIjoiYzgwYTQ0ZjEyNzQzNGJhN2JmNjEyZTM0NmRhZWZhNjIiLCJwIjoic2hlZXRzLWppcmEifQ","RTT-8965")</f>
        <v>RTT-8965</v>
      </c>
      <c r="H673" s="1" t="s">
        <v>1058</v>
      </c>
      <c r="I673" s="1" t="s">
        <v>1071</v>
      </c>
      <c r="J673" s="1" t="s">
        <v>26</v>
      </c>
      <c r="K673" s="1" t="s">
        <v>1072</v>
      </c>
      <c r="L673" s="1" t="s">
        <v>26</v>
      </c>
      <c r="M673" s="1" t="s">
        <v>27</v>
      </c>
      <c r="N673" s="1" t="s">
        <v>26</v>
      </c>
      <c r="O673" s="1" t="s">
        <v>26</v>
      </c>
      <c r="P673" s="4">
        <v>45670.60953703704</v>
      </c>
    </row>
    <row r="674" hidden="1">
      <c r="A674" s="1" t="s">
        <v>21</v>
      </c>
      <c r="B674" s="3" t="str">
        <f>HYPERLINK("https://hawk-eye.atlassian.net/browse/HWKREPORT-2854?atlOrigin=eyJpIjoiYzgwYTQ0ZjEyNzQzNGJhN2JmNjEyZTM0NmRhZWZhNjIiLCJwIjoic2hlZXRzLWppcmEifQ","HWKREPORT-2854")</f>
        <v>HWKREPORT-2854</v>
      </c>
      <c r="C674" s="1" t="s">
        <v>1864</v>
      </c>
      <c r="D674" s="1" t="s">
        <v>34</v>
      </c>
      <c r="E674" s="1" t="s">
        <v>1207</v>
      </c>
      <c r="F674" s="4">
        <v>45510.661527777775</v>
      </c>
      <c r="G674" s="3" t="str">
        <f>HYPERLINK("https://hawk-eye.atlassian.net/browse/RTT-8970?atlOrigin=eyJpIjoiYzgwYTQ0ZjEyNzQzNGJhN2JmNjEyZTM0NmRhZWZhNjIiLCJwIjoic2hlZXRzLWppcmEifQ","RTT-8970")</f>
        <v>RTT-8970</v>
      </c>
      <c r="H674" s="1" t="s">
        <v>1058</v>
      </c>
      <c r="I674" s="1" t="s">
        <v>1085</v>
      </c>
      <c r="J674" s="1" t="s">
        <v>26</v>
      </c>
      <c r="K674" s="1" t="s">
        <v>1072</v>
      </c>
      <c r="L674" s="1" t="s">
        <v>26</v>
      </c>
      <c r="M674" s="1" t="s">
        <v>27</v>
      </c>
      <c r="N674" s="1" t="s">
        <v>26</v>
      </c>
      <c r="O674" s="1" t="s">
        <v>26</v>
      </c>
      <c r="P674" s="4">
        <v>45525.42847222222</v>
      </c>
    </row>
    <row r="675" hidden="1">
      <c r="A675" s="1" t="s">
        <v>1055</v>
      </c>
      <c r="B675" s="3" t="str">
        <f>HYPERLINK("https://hawk-eye.atlassian.net/browse/HWKREPORT-2855?atlOrigin=eyJpIjoiYzgwYTQ0ZjEyNzQzNGJhN2JmNjEyZTM0NmRhZWZhNjIiLCJwIjoic2hlZXRzLWppcmEifQ","HWKREPORT-2855")</f>
        <v>HWKREPORT-2855</v>
      </c>
      <c r="C675" s="1" t="s">
        <v>1865</v>
      </c>
      <c r="D675" s="1" t="s">
        <v>48</v>
      </c>
      <c r="E675" s="1" t="s">
        <v>1057</v>
      </c>
      <c r="F675" s="4">
        <v>45510.68604166667</v>
      </c>
      <c r="G675" s="3" t="str">
        <f t="shared" ref="G675:G676" si="65">HYPERLINK("https://hawk-eye.atlassian.net/browse/?atlOrigin=eyJpIjoiYzgwYTQ0ZjEyNzQzNGJhN2JmNjEyZTM0NmRhZWZhNjIiLCJwIjoic2hlZXRzLWppcmEifQ","")</f>
        <v/>
      </c>
      <c r="H675" s="1" t="s">
        <v>1058</v>
      </c>
      <c r="I675" s="1" t="s">
        <v>1085</v>
      </c>
      <c r="J675" s="1" t="s">
        <v>26</v>
      </c>
      <c r="K675" s="1" t="s">
        <v>1290</v>
      </c>
      <c r="L675" s="1" t="s">
        <v>26</v>
      </c>
      <c r="M675" s="1" t="s">
        <v>27</v>
      </c>
      <c r="N675" s="1" t="s">
        <v>26</v>
      </c>
      <c r="O675" s="1" t="s">
        <v>26</v>
      </c>
      <c r="P675" s="4">
        <v>45510.68604166667</v>
      </c>
    </row>
    <row r="676" hidden="1">
      <c r="A676" s="1" t="s">
        <v>1055</v>
      </c>
      <c r="B676" s="3" t="str">
        <f>HYPERLINK("https://hawk-eye.atlassian.net/browse/HWKREPORT-2856?atlOrigin=eyJpIjoiYzgwYTQ0ZjEyNzQzNGJhN2JmNjEyZTM0NmRhZWZhNjIiLCJwIjoic2hlZXRzLWppcmEifQ","HWKREPORT-2856")</f>
        <v>HWKREPORT-2856</v>
      </c>
      <c r="C676" s="1" t="s">
        <v>1866</v>
      </c>
      <c r="D676" s="1" t="s">
        <v>23</v>
      </c>
      <c r="E676" s="1" t="s">
        <v>35</v>
      </c>
      <c r="F676" s="4">
        <v>45510.80761574074</v>
      </c>
      <c r="G676" s="3" t="str">
        <f t="shared" si="65"/>
        <v/>
      </c>
      <c r="H676" s="1" t="s">
        <v>1058</v>
      </c>
      <c r="I676" s="1" t="s">
        <v>1085</v>
      </c>
      <c r="J676" s="1" t="s">
        <v>26</v>
      </c>
      <c r="K676" s="1" t="s">
        <v>26</v>
      </c>
      <c r="L676" s="1" t="s">
        <v>26</v>
      </c>
      <c r="M676" s="1" t="s">
        <v>27</v>
      </c>
      <c r="N676" s="1" t="s">
        <v>26</v>
      </c>
      <c r="O676" s="1" t="s">
        <v>26</v>
      </c>
      <c r="P676" s="4">
        <v>45551.6153125</v>
      </c>
    </row>
    <row r="677" hidden="1">
      <c r="A677" s="1" t="s">
        <v>1055</v>
      </c>
      <c r="B677" s="3" t="str">
        <f>HYPERLINK("https://hawk-eye.atlassian.net/browse/HWKREPORT-2857?atlOrigin=eyJpIjoiYzgwYTQ0ZjEyNzQzNGJhN2JmNjEyZTM0NmRhZWZhNjIiLCJwIjoic2hlZXRzLWppcmEifQ","HWKREPORT-2857")</f>
        <v>HWKREPORT-2857</v>
      </c>
      <c r="C677" s="1" t="s">
        <v>1867</v>
      </c>
      <c r="D677" s="1" t="s">
        <v>23</v>
      </c>
      <c r="E677" s="1" t="s">
        <v>1057</v>
      </c>
      <c r="F677" s="4">
        <v>45510.82034722222</v>
      </c>
      <c r="G677" s="3" t="str">
        <f>HYPERLINK("https://hawk-eye.atlassian.net/browse/AT-1441?atlOrigin=eyJpIjoiYzgwYTQ0ZjEyNzQzNGJhN2JmNjEyZTM0NmRhZWZhNjIiLCJwIjoic2hlZXRzLWppcmEifQ","AT-1441")</f>
        <v>AT-1441</v>
      </c>
      <c r="H677" s="1" t="s">
        <v>1058</v>
      </c>
      <c r="I677" s="1" t="s">
        <v>1085</v>
      </c>
      <c r="J677" s="1" t="s">
        <v>26</v>
      </c>
      <c r="K677" s="1" t="s">
        <v>26</v>
      </c>
      <c r="L677" s="1" t="s">
        <v>26</v>
      </c>
      <c r="M677" s="1" t="s">
        <v>27</v>
      </c>
      <c r="N677" s="1" t="s">
        <v>26</v>
      </c>
      <c r="O677" s="1" t="s">
        <v>26</v>
      </c>
      <c r="P677" s="4">
        <v>45510.8203587963</v>
      </c>
    </row>
    <row r="678" hidden="1">
      <c r="A678" s="1" t="s">
        <v>1055</v>
      </c>
      <c r="B678" s="3" t="str">
        <f>HYPERLINK("https://hawk-eye.atlassian.net/browse/HWKREPORT-2858?atlOrigin=eyJpIjoiYzgwYTQ0ZjEyNzQzNGJhN2JmNjEyZTM0NmRhZWZhNjIiLCJwIjoic2hlZXRzLWppcmEifQ","HWKREPORT-2858")</f>
        <v>HWKREPORT-2858</v>
      </c>
      <c r="C678" s="1" t="s">
        <v>1868</v>
      </c>
      <c r="D678" s="1" t="s">
        <v>48</v>
      </c>
      <c r="E678" s="1" t="s">
        <v>35</v>
      </c>
      <c r="F678" s="4">
        <v>45510.896261574075</v>
      </c>
      <c r="G678" s="3" t="str">
        <f>HYPERLINK("https://hawk-eye.atlassian.net/browse/RTT-8984?atlOrigin=eyJpIjoiYzgwYTQ0ZjEyNzQzNGJhN2JmNjEyZTM0NmRhZWZhNjIiLCJwIjoic2hlZXRzLWppcmEifQ","RTT-8984")</f>
        <v>RTT-8984</v>
      </c>
      <c r="H678" s="1" t="s">
        <v>1058</v>
      </c>
      <c r="I678" s="1" t="s">
        <v>1071</v>
      </c>
      <c r="J678" s="1" t="s">
        <v>26</v>
      </c>
      <c r="K678" s="1" t="s">
        <v>1072</v>
      </c>
      <c r="L678" s="1" t="s">
        <v>26</v>
      </c>
      <c r="M678" s="1" t="s">
        <v>27</v>
      </c>
      <c r="N678" s="1" t="s">
        <v>26</v>
      </c>
      <c r="O678" s="1" t="s">
        <v>26</v>
      </c>
      <c r="P678" s="4">
        <v>45670.61119212963</v>
      </c>
    </row>
    <row r="679" hidden="1">
      <c r="A679" s="1" t="s">
        <v>1055</v>
      </c>
      <c r="B679" s="3" t="str">
        <f>HYPERLINK("https://hawk-eye.atlassian.net/browse/HWKREPORT-2859?atlOrigin=eyJpIjoiYzgwYTQ0ZjEyNzQzNGJhN2JmNjEyZTM0NmRhZWZhNjIiLCJwIjoic2hlZXRzLWppcmEifQ","HWKREPORT-2859")</f>
        <v>HWKREPORT-2859</v>
      </c>
      <c r="C679" s="1" t="s">
        <v>1869</v>
      </c>
      <c r="D679" s="1" t="s">
        <v>48</v>
      </c>
      <c r="E679" s="1" t="s">
        <v>35</v>
      </c>
      <c r="F679" s="4">
        <v>45511.61766203704</v>
      </c>
      <c r="G679" s="3" t="str">
        <f>HYPERLINK("https://hawk-eye.atlassian.net/browse/SO-1671?atlOrigin=eyJpIjoiYzgwYTQ0ZjEyNzQzNGJhN2JmNjEyZTM0NmRhZWZhNjIiLCJwIjoic2hlZXRzLWppcmEifQ","SO-1671")</f>
        <v>SO-1671</v>
      </c>
      <c r="H679" s="1" t="s">
        <v>1058</v>
      </c>
      <c r="I679" s="1" t="s">
        <v>1085</v>
      </c>
      <c r="J679" s="1" t="s">
        <v>26</v>
      </c>
      <c r="K679" s="1" t="s">
        <v>1116</v>
      </c>
      <c r="L679" s="1" t="s">
        <v>26</v>
      </c>
      <c r="M679" s="1" t="s">
        <v>27</v>
      </c>
      <c r="N679" s="1" t="s">
        <v>26</v>
      </c>
      <c r="O679" s="1" t="s">
        <v>26</v>
      </c>
      <c r="P679" s="4">
        <v>45524.45591435185</v>
      </c>
    </row>
    <row r="680">
      <c r="A680" s="1" t="s">
        <v>21</v>
      </c>
      <c r="B680" s="3" t="str">
        <f>HYPERLINK("https://hawk-eye.atlassian.net/browse/HWKREPORT-2860?atlOrigin=eyJpIjoiYzgwYTQ0ZjEyNzQzNGJhN2JmNjEyZTM0NmRhZWZhNjIiLCJwIjoic2hlZXRzLWppcmEifQ","HWKREPORT-2860")</f>
        <v>HWKREPORT-2860</v>
      </c>
      <c r="C680" s="1" t="s">
        <v>1870</v>
      </c>
      <c r="D680" s="1" t="s">
        <v>34</v>
      </c>
      <c r="E680" s="1" t="s">
        <v>35</v>
      </c>
      <c r="F680" s="4">
        <v>45511.78726851852</v>
      </c>
      <c r="G680" s="3" t="str">
        <f>HYPERLINK("https://hawk-eye.atlassian.net/browse/RTT-8977?atlOrigin=eyJpIjoiYzgwYTQ0ZjEyNzQzNGJhN2JmNjEyZTM0NmRhZWZhNjIiLCJwIjoic2hlZXRzLWppcmEifQ","RTT-8977")</f>
        <v>RTT-8977</v>
      </c>
      <c r="H680" s="1" t="s">
        <v>1058</v>
      </c>
      <c r="I680" s="1" t="s">
        <v>28</v>
      </c>
      <c r="J680" s="1" t="s">
        <v>26</v>
      </c>
      <c r="K680" s="1" t="s">
        <v>1072</v>
      </c>
      <c r="L680" s="1" t="s">
        <v>26</v>
      </c>
      <c r="M680" s="1" t="s">
        <v>27</v>
      </c>
      <c r="N680" s="1" t="s">
        <v>26</v>
      </c>
      <c r="O680" s="1" t="s">
        <v>26</v>
      </c>
      <c r="P680" s="4">
        <v>45699.70306712963</v>
      </c>
    </row>
    <row r="681" hidden="1">
      <c r="A681" s="1" t="s">
        <v>21</v>
      </c>
      <c r="B681" s="3" t="str">
        <f>HYPERLINK("https://hawk-eye.atlassian.net/browse/HWKREPORT-2861?atlOrigin=eyJpIjoiYzgwYTQ0ZjEyNzQzNGJhN2JmNjEyZTM0NmRhZWZhNjIiLCJwIjoic2hlZXRzLWppcmEifQ","HWKREPORT-2861")</f>
        <v>HWKREPORT-2861</v>
      </c>
      <c r="C681" s="1" t="s">
        <v>1871</v>
      </c>
      <c r="D681" s="1" t="s">
        <v>34</v>
      </c>
      <c r="E681" s="1" t="s">
        <v>35</v>
      </c>
      <c r="F681" s="4">
        <v>45512.69394675926</v>
      </c>
      <c r="G681" s="3" t="str">
        <f>HYPERLINK("https://hawk-eye.atlassian.net/browse/RTT-8978?atlOrigin=eyJpIjoiYzgwYTQ0ZjEyNzQzNGJhN2JmNjEyZTM0NmRhZWZhNjIiLCJwIjoic2hlZXRzLWppcmEifQ","RTT-8978")</f>
        <v>RTT-8978</v>
      </c>
      <c r="H681" s="1" t="s">
        <v>1058</v>
      </c>
      <c r="I681" s="1" t="s">
        <v>1071</v>
      </c>
      <c r="J681" s="1" t="s">
        <v>26</v>
      </c>
      <c r="K681" s="1" t="s">
        <v>1072</v>
      </c>
      <c r="L681" s="1" t="s">
        <v>26</v>
      </c>
      <c r="M681" s="1" t="s">
        <v>27</v>
      </c>
      <c r="N681" s="1" t="s">
        <v>26</v>
      </c>
      <c r="O681" s="1" t="s">
        <v>26</v>
      </c>
      <c r="P681" s="4">
        <v>45695.46037037037</v>
      </c>
    </row>
    <row r="682" hidden="1">
      <c r="A682" s="1" t="s">
        <v>21</v>
      </c>
      <c r="B682" s="3" t="str">
        <f>HYPERLINK("https://hawk-eye.atlassian.net/browse/HWKREPORT-2862?atlOrigin=eyJpIjoiYzgwYTQ0ZjEyNzQzNGJhN2JmNjEyZTM0NmRhZWZhNjIiLCJwIjoic2hlZXRzLWppcmEifQ","HWKREPORT-2862")</f>
        <v>HWKREPORT-2862</v>
      </c>
      <c r="C682" s="1" t="s">
        <v>1872</v>
      </c>
      <c r="D682" s="1" t="s">
        <v>40</v>
      </c>
      <c r="E682" s="1" t="s">
        <v>1207</v>
      </c>
      <c r="F682" s="4">
        <v>45513.51846064815</v>
      </c>
      <c r="G682" s="3" t="str">
        <f>HYPERLINK("https://hawk-eye.atlassian.net/browse/RTT-8980?atlOrigin=eyJpIjoiYzgwYTQ0ZjEyNzQzNGJhN2JmNjEyZTM0NmRhZWZhNjIiLCJwIjoic2hlZXRzLWppcmEifQ","RTT-8980")</f>
        <v>RTT-8980</v>
      </c>
      <c r="H682" s="1" t="s">
        <v>1058</v>
      </c>
      <c r="I682" s="1" t="s">
        <v>1085</v>
      </c>
      <c r="J682" s="1" t="s">
        <v>26</v>
      </c>
      <c r="K682" s="1" t="s">
        <v>1072</v>
      </c>
      <c r="L682" s="1" t="s">
        <v>26</v>
      </c>
      <c r="M682" s="1" t="s">
        <v>27</v>
      </c>
      <c r="N682" s="1" t="s">
        <v>26</v>
      </c>
      <c r="O682" s="1" t="s">
        <v>26</v>
      </c>
      <c r="P682" s="4">
        <v>45554.85456018519</v>
      </c>
    </row>
    <row r="683" hidden="1">
      <c r="A683" s="1" t="s">
        <v>21</v>
      </c>
      <c r="B683" s="3" t="str">
        <f>HYPERLINK("https://hawk-eye.atlassian.net/browse/HWKREPORT-2863?atlOrigin=eyJpIjoiYzgwYTQ0ZjEyNzQzNGJhN2JmNjEyZTM0NmRhZWZhNjIiLCJwIjoic2hlZXRzLWppcmEifQ","HWKREPORT-2863")</f>
        <v>HWKREPORT-2863</v>
      </c>
      <c r="C683" s="1" t="s">
        <v>1873</v>
      </c>
      <c r="D683" s="1" t="s">
        <v>40</v>
      </c>
      <c r="E683" s="1" t="s">
        <v>1057</v>
      </c>
      <c r="F683" s="4">
        <v>45515.9890625</v>
      </c>
      <c r="G683" s="3" t="str">
        <f>HYPERLINK("https://hawk-eye.atlassian.net/browse/?atlOrigin=eyJpIjoiYzgwYTQ0ZjEyNzQzNGJhN2JmNjEyZTM0NmRhZWZhNjIiLCJwIjoic2hlZXRzLWppcmEifQ","")</f>
        <v/>
      </c>
      <c r="H683" s="1" t="s">
        <v>1058</v>
      </c>
      <c r="I683" s="1" t="s">
        <v>1126</v>
      </c>
      <c r="J683" s="1" t="s">
        <v>26</v>
      </c>
      <c r="K683" s="1" t="s">
        <v>1211</v>
      </c>
      <c r="L683" s="1" t="s">
        <v>26</v>
      </c>
      <c r="M683" s="1" t="s">
        <v>27</v>
      </c>
      <c r="N683" s="1" t="s">
        <v>26</v>
      </c>
      <c r="O683" s="1" t="s">
        <v>26</v>
      </c>
      <c r="P683" s="4">
        <v>45515.989074074074</v>
      </c>
    </row>
    <row r="684" hidden="1">
      <c r="A684" s="1" t="s">
        <v>21</v>
      </c>
      <c r="B684" s="3" t="str">
        <f>HYPERLINK("https://hawk-eye.atlassian.net/browse/HWKREPORT-2864?atlOrigin=eyJpIjoiYzgwYTQ0ZjEyNzQzNGJhN2JmNjEyZTM0NmRhZWZhNjIiLCJwIjoic2hlZXRzLWppcmEifQ","HWKREPORT-2864")</f>
        <v>HWKREPORT-2864</v>
      </c>
      <c r="C684" s="1" t="s">
        <v>1874</v>
      </c>
      <c r="D684" s="1" t="s">
        <v>23</v>
      </c>
      <c r="E684" s="1" t="s">
        <v>35</v>
      </c>
      <c r="F684" s="4">
        <v>45517.97487268518</v>
      </c>
      <c r="G684" s="3" t="str">
        <f>HYPERLINK("https://hawk-eye.atlassian.net/browse/SO-2006?atlOrigin=eyJpIjoiYzgwYTQ0ZjEyNzQzNGJhN2JmNjEyZTM0NmRhZWZhNjIiLCJwIjoic2hlZXRzLWppcmEifQ","SO-2006")</f>
        <v>SO-2006</v>
      </c>
      <c r="H684" s="1" t="s">
        <v>1058</v>
      </c>
      <c r="I684" s="1" t="s">
        <v>1071</v>
      </c>
      <c r="J684" s="1" t="s">
        <v>26</v>
      </c>
      <c r="K684" s="1" t="s">
        <v>1134</v>
      </c>
      <c r="L684" s="1" t="s">
        <v>26</v>
      </c>
      <c r="M684" s="1" t="s">
        <v>27</v>
      </c>
      <c r="N684" s="1" t="s">
        <v>26</v>
      </c>
      <c r="O684" s="1" t="s">
        <v>26</v>
      </c>
      <c r="P684" s="4">
        <v>45615.63980324074</v>
      </c>
    </row>
    <row r="685" hidden="1">
      <c r="A685" s="1" t="s">
        <v>1055</v>
      </c>
      <c r="B685" s="3" t="str">
        <f>HYPERLINK("https://hawk-eye.atlassian.net/browse/HWKREPORT-2865?atlOrigin=eyJpIjoiYzgwYTQ0ZjEyNzQzNGJhN2JmNjEyZTM0NmRhZWZhNjIiLCJwIjoic2hlZXRzLWppcmEifQ","HWKREPORT-2865")</f>
        <v>HWKREPORT-2865</v>
      </c>
      <c r="C685" s="1" t="s">
        <v>1875</v>
      </c>
      <c r="D685" s="1" t="s">
        <v>48</v>
      </c>
      <c r="E685" s="1" t="s">
        <v>1057</v>
      </c>
      <c r="F685" s="4">
        <v>45518.00767361111</v>
      </c>
      <c r="G685" s="3" t="str">
        <f t="shared" ref="G685:G686" si="66">HYPERLINK("https://hawk-eye.atlassian.net/browse/?atlOrigin=eyJpIjoiYzgwYTQ0ZjEyNzQzNGJhN2JmNjEyZTM0NmRhZWZhNjIiLCJwIjoic2hlZXRzLWppcmEifQ","")</f>
        <v/>
      </c>
      <c r="H685" s="1" t="s">
        <v>1058</v>
      </c>
      <c r="I685" s="1" t="s">
        <v>1085</v>
      </c>
      <c r="J685" s="1" t="s">
        <v>26</v>
      </c>
      <c r="K685" s="1" t="s">
        <v>1876</v>
      </c>
      <c r="L685" s="1" t="s">
        <v>26</v>
      </c>
      <c r="M685" s="1" t="s">
        <v>27</v>
      </c>
      <c r="N685" s="1" t="s">
        <v>26</v>
      </c>
      <c r="O685" s="1" t="s">
        <v>26</v>
      </c>
      <c r="P685" s="4">
        <v>45518.007685185185</v>
      </c>
    </row>
    <row r="686" hidden="1">
      <c r="A686" s="1" t="s">
        <v>21</v>
      </c>
      <c r="B686" s="3" t="str">
        <f>HYPERLINK("https://hawk-eye.atlassian.net/browse/HWKREPORT-2866?atlOrigin=eyJpIjoiYzgwYTQ0ZjEyNzQzNGJhN2JmNjEyZTM0NmRhZWZhNjIiLCJwIjoic2hlZXRzLWppcmEifQ","HWKREPORT-2866")</f>
        <v>HWKREPORT-2866</v>
      </c>
      <c r="C686" s="1" t="s">
        <v>1877</v>
      </c>
      <c r="D686" s="1" t="s">
        <v>23</v>
      </c>
      <c r="E686" s="1" t="s">
        <v>1057</v>
      </c>
      <c r="F686" s="4">
        <v>45518.48778935185</v>
      </c>
      <c r="G686" s="3" t="str">
        <f t="shared" si="66"/>
        <v/>
      </c>
      <c r="H686" s="1" t="s">
        <v>1058</v>
      </c>
      <c r="I686" s="1" t="s">
        <v>1085</v>
      </c>
      <c r="J686" s="1" t="s">
        <v>26</v>
      </c>
      <c r="K686" s="1" t="s">
        <v>1385</v>
      </c>
      <c r="L686" s="1" t="s">
        <v>26</v>
      </c>
      <c r="M686" s="1" t="s">
        <v>27</v>
      </c>
      <c r="N686" s="1" t="s">
        <v>26</v>
      </c>
      <c r="O686" s="1" t="s">
        <v>26</v>
      </c>
      <c r="P686" s="4">
        <v>45518.48780092593</v>
      </c>
    </row>
    <row r="687" hidden="1">
      <c r="A687" s="1" t="s">
        <v>1055</v>
      </c>
      <c r="B687" s="3" t="str">
        <f>HYPERLINK("https://hawk-eye.atlassian.net/browse/HWKREPORT-2867?atlOrigin=eyJpIjoiYzgwYTQ0ZjEyNzQzNGJhN2JmNjEyZTM0NmRhZWZhNjIiLCJwIjoic2hlZXRzLWppcmEifQ","HWKREPORT-2867")</f>
        <v>HWKREPORT-2867</v>
      </c>
      <c r="C687" s="1" t="s">
        <v>1878</v>
      </c>
      <c r="D687" s="1" t="s">
        <v>48</v>
      </c>
      <c r="E687" s="1" t="s">
        <v>35</v>
      </c>
      <c r="F687" s="4">
        <v>45518.66186342593</v>
      </c>
      <c r="G687" s="3" t="str">
        <f>HYPERLINK("https://hawk-eye.atlassian.net/browse/RTT-9028?atlOrigin=eyJpIjoiYzgwYTQ0ZjEyNzQzNGJhN2JmNjEyZTM0NmRhZWZhNjIiLCJwIjoic2hlZXRzLWppcmEifQ","RTT-9028")</f>
        <v>RTT-9028</v>
      </c>
      <c r="H687" s="1" t="s">
        <v>1058</v>
      </c>
      <c r="I687" s="1" t="s">
        <v>28</v>
      </c>
      <c r="J687" s="1" t="s">
        <v>26</v>
      </c>
      <c r="K687" s="1" t="s">
        <v>1072</v>
      </c>
      <c r="L687" s="1" t="s">
        <v>26</v>
      </c>
      <c r="M687" s="1" t="s">
        <v>27</v>
      </c>
      <c r="N687" s="1" t="s">
        <v>26</v>
      </c>
      <c r="O687" s="1" t="s">
        <v>26</v>
      </c>
      <c r="P687" s="4">
        <v>45644.46125</v>
      </c>
    </row>
    <row r="688" hidden="1">
      <c r="A688" s="1" t="s">
        <v>1055</v>
      </c>
      <c r="B688" s="3" t="str">
        <f>HYPERLINK("https://hawk-eye.atlassian.net/browse/HWKREPORT-2868?atlOrigin=eyJpIjoiYzgwYTQ0ZjEyNzQzNGJhN2JmNjEyZTM0NmRhZWZhNjIiLCJwIjoic2hlZXRzLWppcmEifQ","HWKREPORT-2868")</f>
        <v>HWKREPORT-2868</v>
      </c>
      <c r="C688" s="1" t="s">
        <v>1879</v>
      </c>
      <c r="D688" s="1" t="s">
        <v>48</v>
      </c>
      <c r="E688" s="1" t="s">
        <v>1057</v>
      </c>
      <c r="F688" s="4">
        <v>45518.66407407408</v>
      </c>
      <c r="G688" s="3" t="str">
        <f>HYPERLINK("https://hawk-eye.atlassian.net/browse/RTT-9027?atlOrigin=eyJpIjoiYzgwYTQ0ZjEyNzQzNGJhN2JmNjEyZTM0NmRhZWZhNjIiLCJwIjoic2hlZXRzLWppcmEifQ","RTT-9027")</f>
        <v>RTT-9027</v>
      </c>
      <c r="H688" s="1" t="s">
        <v>1058</v>
      </c>
      <c r="I688" s="1" t="s">
        <v>28</v>
      </c>
      <c r="J688" s="1" t="s">
        <v>26</v>
      </c>
      <c r="K688" s="1" t="s">
        <v>1072</v>
      </c>
      <c r="L688" s="1" t="s">
        <v>26</v>
      </c>
      <c r="M688" s="1" t="s">
        <v>27</v>
      </c>
      <c r="N688" s="1" t="s">
        <v>26</v>
      </c>
      <c r="O688" s="1" t="s">
        <v>26</v>
      </c>
      <c r="P688" s="4">
        <v>45518.664085648146</v>
      </c>
    </row>
    <row r="689" hidden="1">
      <c r="A689" s="1" t="s">
        <v>1055</v>
      </c>
      <c r="B689" s="3" t="str">
        <f>HYPERLINK("https://hawk-eye.atlassian.net/browse/HWKREPORT-2869?atlOrigin=eyJpIjoiYzgwYTQ0ZjEyNzQzNGJhN2JmNjEyZTM0NmRhZWZhNjIiLCJwIjoic2hlZXRzLWppcmEifQ","HWKREPORT-2869")</f>
        <v>HWKREPORT-2869</v>
      </c>
      <c r="C689" s="1" t="s">
        <v>1880</v>
      </c>
      <c r="D689" s="1" t="s">
        <v>48</v>
      </c>
      <c r="E689" s="1" t="s">
        <v>35</v>
      </c>
      <c r="F689" s="4">
        <v>45518.666400462964</v>
      </c>
      <c r="G689" s="3" t="str">
        <f>HYPERLINK("https://hawk-eye.atlassian.net/browse/RTT-9026?atlOrigin=eyJpIjoiYzgwYTQ0ZjEyNzQzNGJhN2JmNjEyZTM0NmRhZWZhNjIiLCJwIjoic2hlZXRzLWppcmEifQ","RTT-9026")</f>
        <v>RTT-9026</v>
      </c>
      <c r="H689" s="1" t="s">
        <v>1058</v>
      </c>
      <c r="I689" s="1" t="s">
        <v>28</v>
      </c>
      <c r="J689" s="1" t="s">
        <v>26</v>
      </c>
      <c r="K689" s="1" t="s">
        <v>1072</v>
      </c>
      <c r="L689" s="1" t="s">
        <v>26</v>
      </c>
      <c r="M689" s="1" t="s">
        <v>27</v>
      </c>
      <c r="N689" s="1" t="s">
        <v>26</v>
      </c>
      <c r="O689" s="1" t="s">
        <v>26</v>
      </c>
      <c r="P689" s="4">
        <v>45644.46131944445</v>
      </c>
    </row>
    <row r="690" hidden="1">
      <c r="A690" s="1" t="s">
        <v>1055</v>
      </c>
      <c r="B690" s="3" t="str">
        <f>HYPERLINK("https://hawk-eye.atlassian.net/browse/HWKREPORT-2870?atlOrigin=eyJpIjoiYzgwYTQ0ZjEyNzQzNGJhN2JmNjEyZTM0NmRhZWZhNjIiLCJwIjoic2hlZXRzLWppcmEifQ","HWKREPORT-2870")</f>
        <v>HWKREPORT-2870</v>
      </c>
      <c r="C690" s="1" t="s">
        <v>1881</v>
      </c>
      <c r="D690" s="1" t="s">
        <v>48</v>
      </c>
      <c r="E690" s="1" t="s">
        <v>1057</v>
      </c>
      <c r="F690" s="4">
        <v>45518.67016203704</v>
      </c>
      <c r="G690" s="3" t="str">
        <f>HYPERLINK("https://hawk-eye.atlassian.net/browse/RTT-9025?atlOrigin=eyJpIjoiYzgwYTQ0ZjEyNzQzNGJhN2JmNjEyZTM0NmRhZWZhNjIiLCJwIjoic2hlZXRzLWppcmEifQ","RTT-9025")</f>
        <v>RTT-9025</v>
      </c>
      <c r="H690" s="1" t="s">
        <v>1058</v>
      </c>
      <c r="I690" s="1" t="s">
        <v>28</v>
      </c>
      <c r="J690" s="1" t="s">
        <v>26</v>
      </c>
      <c r="K690" s="1" t="s">
        <v>1072</v>
      </c>
      <c r="L690" s="1" t="s">
        <v>26</v>
      </c>
      <c r="M690" s="1" t="s">
        <v>27</v>
      </c>
      <c r="N690" s="1" t="s">
        <v>26</v>
      </c>
      <c r="O690" s="1" t="s">
        <v>26</v>
      </c>
      <c r="P690" s="4">
        <v>45518.67016203704</v>
      </c>
    </row>
    <row r="691" hidden="1">
      <c r="A691" s="1" t="s">
        <v>1055</v>
      </c>
      <c r="B691" s="3" t="str">
        <f>HYPERLINK("https://hawk-eye.atlassian.net/browse/HWKREPORT-2871?atlOrigin=eyJpIjoiYzgwYTQ0ZjEyNzQzNGJhN2JmNjEyZTM0NmRhZWZhNjIiLCJwIjoic2hlZXRzLWppcmEifQ","HWKREPORT-2871")</f>
        <v>HWKREPORT-2871</v>
      </c>
      <c r="C691" s="1" t="s">
        <v>1882</v>
      </c>
      <c r="D691" s="1" t="s">
        <v>48</v>
      </c>
      <c r="E691" s="1" t="s">
        <v>35</v>
      </c>
      <c r="F691" s="4">
        <v>45519.84930555556</v>
      </c>
      <c r="G691" s="3" t="str">
        <f>HYPERLINK("https://hawk-eye.atlassian.net/browse/RTT-9034?atlOrigin=eyJpIjoiYzgwYTQ0ZjEyNzQzNGJhN2JmNjEyZTM0NmRhZWZhNjIiLCJwIjoic2hlZXRzLWppcmEifQ","RTT-9034")</f>
        <v>RTT-9034</v>
      </c>
      <c r="H691" s="1" t="s">
        <v>1058</v>
      </c>
      <c r="I691" s="1" t="s">
        <v>28</v>
      </c>
      <c r="J691" s="1" t="s">
        <v>26</v>
      </c>
      <c r="K691" s="1" t="s">
        <v>1072</v>
      </c>
      <c r="L691" s="1" t="s">
        <v>26</v>
      </c>
      <c r="M691" s="1" t="s">
        <v>27</v>
      </c>
      <c r="N691" s="1" t="s">
        <v>26</v>
      </c>
      <c r="O691" s="1" t="s">
        <v>26</v>
      </c>
      <c r="P691" s="4">
        <v>45644.461388888885</v>
      </c>
    </row>
    <row r="692" hidden="1">
      <c r="A692" s="1" t="s">
        <v>21</v>
      </c>
      <c r="B692" s="3" t="str">
        <f>HYPERLINK("https://hawk-eye.atlassian.net/browse/HWKREPORT-2872?atlOrigin=eyJpIjoiYzgwYTQ0ZjEyNzQzNGJhN2JmNjEyZTM0NmRhZWZhNjIiLCJwIjoic2hlZXRzLWppcmEifQ","HWKREPORT-2872")</f>
        <v>HWKREPORT-2872</v>
      </c>
      <c r="C692" s="1" t="s">
        <v>1883</v>
      </c>
      <c r="D692" s="1" t="s">
        <v>40</v>
      </c>
      <c r="E692" s="1" t="s">
        <v>35</v>
      </c>
      <c r="F692" s="4">
        <v>45521.797002314815</v>
      </c>
      <c r="G692" s="3" t="str">
        <f t="shared" ref="G692:G693" si="67">HYPERLINK("https://hawk-eye.atlassian.net/browse/?atlOrigin=eyJpIjoiYzgwYTQ0ZjEyNzQzNGJhN2JmNjEyZTM0NmRhZWZhNjIiLCJwIjoic2hlZXRzLWppcmEifQ","")</f>
        <v/>
      </c>
      <c r="H692" s="1" t="s">
        <v>1058</v>
      </c>
      <c r="I692" s="1" t="s">
        <v>1126</v>
      </c>
      <c r="J692" s="1" t="s">
        <v>26</v>
      </c>
      <c r="K692" s="1" t="s">
        <v>1211</v>
      </c>
      <c r="L692" s="1" t="s">
        <v>26</v>
      </c>
      <c r="M692" s="1" t="s">
        <v>27</v>
      </c>
      <c r="N692" s="1" t="s">
        <v>26</v>
      </c>
      <c r="O692" s="1" t="s">
        <v>26</v>
      </c>
      <c r="P692" s="4">
        <v>45733.568032407406</v>
      </c>
    </row>
    <row r="693" hidden="1">
      <c r="A693" s="1" t="s">
        <v>1055</v>
      </c>
      <c r="B693" s="3" t="str">
        <f>HYPERLINK("https://hawk-eye.atlassian.net/browse/HWKREPORT-2873?atlOrigin=eyJpIjoiYzgwYTQ0ZjEyNzQzNGJhN2JmNjEyZTM0NmRhZWZhNjIiLCJwIjoic2hlZXRzLWppcmEifQ","HWKREPORT-2873")</f>
        <v>HWKREPORT-2873</v>
      </c>
      <c r="C693" s="1" t="s">
        <v>1884</v>
      </c>
      <c r="D693" s="1" t="s">
        <v>48</v>
      </c>
      <c r="E693" s="1" t="s">
        <v>1057</v>
      </c>
      <c r="F693" s="4">
        <v>45522.83534722222</v>
      </c>
      <c r="G693" s="3" t="str">
        <f t="shared" si="67"/>
        <v/>
      </c>
      <c r="H693" s="1" t="s">
        <v>1058</v>
      </c>
      <c r="I693" s="1" t="s">
        <v>1107</v>
      </c>
      <c r="J693" s="1" t="s">
        <v>26</v>
      </c>
      <c r="K693" s="1" t="s">
        <v>1108</v>
      </c>
      <c r="L693" s="1" t="s">
        <v>26</v>
      </c>
      <c r="M693" s="1" t="s">
        <v>27</v>
      </c>
      <c r="N693" s="1" t="s">
        <v>26</v>
      </c>
      <c r="O693" s="1" t="s">
        <v>26</v>
      </c>
      <c r="P693" s="4">
        <v>45522.8353587963</v>
      </c>
    </row>
    <row r="694" hidden="1">
      <c r="A694" s="1" t="s">
        <v>1055</v>
      </c>
      <c r="B694" s="3" t="str">
        <f>HYPERLINK("https://hawk-eye.atlassian.net/browse/HWKREPORT-2874?atlOrigin=eyJpIjoiYzgwYTQ0ZjEyNzQzNGJhN2JmNjEyZTM0NmRhZWZhNjIiLCJwIjoic2hlZXRzLWppcmEifQ","HWKREPORT-2874")</f>
        <v>HWKREPORT-2874</v>
      </c>
      <c r="C694" s="1" t="s">
        <v>1885</v>
      </c>
      <c r="D694" s="1" t="s">
        <v>48</v>
      </c>
      <c r="E694" s="1" t="s">
        <v>1057</v>
      </c>
      <c r="F694" s="4">
        <v>45522.9390162037</v>
      </c>
      <c r="G694" s="3" t="str">
        <f>HYPERLINK("https://hawk-eye.atlassian.net/browse/BR-1620?atlOrigin=eyJpIjoiYzgwYTQ0ZjEyNzQzNGJhN2JmNjEyZTM0NmRhZWZhNjIiLCJwIjoic2hlZXRzLWppcmEifQ","BR-1620")</f>
        <v>BR-1620</v>
      </c>
      <c r="H694" s="1" t="s">
        <v>1058</v>
      </c>
      <c r="I694" s="1" t="s">
        <v>1107</v>
      </c>
      <c r="J694" s="1" t="s">
        <v>26</v>
      </c>
      <c r="K694" s="1" t="s">
        <v>1108</v>
      </c>
      <c r="L694" s="1" t="s">
        <v>26</v>
      </c>
      <c r="M694" s="1" t="s">
        <v>27</v>
      </c>
      <c r="N694" s="1" t="s">
        <v>26</v>
      </c>
      <c r="O694" s="1" t="s">
        <v>26</v>
      </c>
      <c r="P694" s="4">
        <v>45522.93902777778</v>
      </c>
    </row>
    <row r="695" hidden="1">
      <c r="A695" s="1" t="s">
        <v>1055</v>
      </c>
      <c r="B695" s="3" t="str">
        <f>HYPERLINK("https://hawk-eye.atlassian.net/browse/HWKREPORT-2875?atlOrigin=eyJpIjoiYzgwYTQ0ZjEyNzQzNGJhN2JmNjEyZTM0NmRhZWZhNjIiLCJwIjoic2hlZXRzLWppcmEifQ","HWKREPORT-2875")</f>
        <v>HWKREPORT-2875</v>
      </c>
      <c r="C695" s="1" t="s">
        <v>1886</v>
      </c>
      <c r="D695" s="1" t="s">
        <v>23</v>
      </c>
      <c r="E695" s="1" t="s">
        <v>1057</v>
      </c>
      <c r="F695" s="4">
        <v>45523.58268518518</v>
      </c>
      <c r="G695" s="3" t="str">
        <f>HYPERLINK("https://hawk-eye.atlassian.net/browse/?atlOrigin=eyJpIjoiYzgwYTQ0ZjEyNzQzNGJhN2JmNjEyZTM0NmRhZWZhNjIiLCJwIjoic2hlZXRzLWppcmEifQ","")</f>
        <v/>
      </c>
      <c r="H695" s="1" t="s">
        <v>1058</v>
      </c>
      <c r="I695" s="1" t="s">
        <v>1082</v>
      </c>
      <c r="J695" s="1" t="s">
        <v>26</v>
      </c>
      <c r="K695" s="1" t="s">
        <v>26</v>
      </c>
      <c r="L695" s="1" t="s">
        <v>26</v>
      </c>
      <c r="M695" s="1" t="s">
        <v>27</v>
      </c>
      <c r="N695" s="1" t="s">
        <v>26</v>
      </c>
      <c r="O695" s="1" t="s">
        <v>26</v>
      </c>
      <c r="P695" s="4">
        <v>45523.58269675926</v>
      </c>
    </row>
    <row r="696" hidden="1">
      <c r="A696" s="1" t="s">
        <v>21</v>
      </c>
      <c r="B696" s="3" t="str">
        <f>HYPERLINK("https://hawk-eye.atlassian.net/browse/HWKREPORT-2876?atlOrigin=eyJpIjoiYzgwYTQ0ZjEyNzQzNGJhN2JmNjEyZTM0NmRhZWZhNjIiLCJwIjoic2hlZXRzLWppcmEifQ","HWKREPORT-2876")</f>
        <v>HWKREPORT-2876</v>
      </c>
      <c r="C696" s="1" t="s">
        <v>1887</v>
      </c>
      <c r="D696" s="1" t="s">
        <v>34</v>
      </c>
      <c r="E696" s="1" t="s">
        <v>35</v>
      </c>
      <c r="F696" s="4">
        <v>45525.60768518518</v>
      </c>
      <c r="G696" s="3" t="str">
        <f>HYPERLINK("https://hawk-eye.atlassian.net/browse/BR-1616?atlOrigin=eyJpIjoiYzgwYTQ0ZjEyNzQzNGJhN2JmNjEyZTM0NmRhZWZhNjIiLCJwIjoic2hlZXRzLWppcmEifQ","BR-1616")</f>
        <v>BR-1616</v>
      </c>
      <c r="H696" s="1" t="s">
        <v>1058</v>
      </c>
      <c r="I696" s="1" t="s">
        <v>1107</v>
      </c>
      <c r="J696" s="1" t="s">
        <v>26</v>
      </c>
      <c r="K696" s="1" t="s">
        <v>1247</v>
      </c>
      <c r="L696" s="1" t="s">
        <v>26</v>
      </c>
      <c r="M696" s="1" t="s">
        <v>27</v>
      </c>
      <c r="N696" s="1" t="s">
        <v>26</v>
      </c>
      <c r="O696" s="1" t="s">
        <v>26</v>
      </c>
      <c r="P696" s="4">
        <v>45546.588692129626</v>
      </c>
    </row>
    <row r="697">
      <c r="A697" s="1" t="s">
        <v>21</v>
      </c>
      <c r="B697" s="3" t="str">
        <f>HYPERLINK("https://hawk-eye.atlassian.net/browse/HWKREPORT-2877?atlOrigin=eyJpIjoiYzgwYTQ0ZjEyNzQzNGJhN2JmNjEyZTM0NmRhZWZhNjIiLCJwIjoic2hlZXRzLWppcmEifQ","HWKREPORT-2877")</f>
        <v>HWKREPORT-2877</v>
      </c>
      <c r="C697" s="1" t="s">
        <v>1888</v>
      </c>
      <c r="D697" s="1" t="s">
        <v>34</v>
      </c>
      <c r="E697" s="1" t="s">
        <v>1057</v>
      </c>
      <c r="F697" s="4">
        <v>45525.614652777775</v>
      </c>
      <c r="G697" s="3" t="str">
        <f>HYPERLINK("https://hawk-eye.atlassian.net/browse/AL-1174?atlOrigin=eyJpIjoiYzgwYTQ0ZjEyNzQzNGJhN2JmNjEyZTM0NmRhZWZhNjIiLCJwIjoic2hlZXRzLWppcmEifQ","AL-1174")</f>
        <v>AL-1174</v>
      </c>
      <c r="H697" s="1" t="s">
        <v>1058</v>
      </c>
      <c r="I697" s="1" t="s">
        <v>28</v>
      </c>
      <c r="J697" s="1" t="s">
        <v>26</v>
      </c>
      <c r="K697" s="1" t="s">
        <v>1219</v>
      </c>
      <c r="L697" s="1" t="s">
        <v>26</v>
      </c>
      <c r="M697" s="1" t="s">
        <v>27</v>
      </c>
      <c r="N697" s="1" t="s">
        <v>26</v>
      </c>
      <c r="O697" s="1" t="s">
        <v>26</v>
      </c>
      <c r="P697" s="4">
        <v>45525.614652777775</v>
      </c>
    </row>
    <row r="698" hidden="1">
      <c r="A698" s="1" t="s">
        <v>1055</v>
      </c>
      <c r="B698" s="3" t="str">
        <f>HYPERLINK("https://hawk-eye.atlassian.net/browse/HWKREPORT-2878?atlOrigin=eyJpIjoiYzgwYTQ0ZjEyNzQzNGJhN2JmNjEyZTM0NmRhZWZhNjIiLCJwIjoic2hlZXRzLWppcmEifQ","HWKREPORT-2878")</f>
        <v>HWKREPORT-2878</v>
      </c>
      <c r="C698" s="1" t="s">
        <v>1889</v>
      </c>
      <c r="D698" s="1" t="s">
        <v>48</v>
      </c>
      <c r="E698" s="1" t="s">
        <v>1057</v>
      </c>
      <c r="F698" s="4">
        <v>45525.61680555555</v>
      </c>
      <c r="G698" s="3" t="str">
        <f>HYPERLINK("https://hawk-eye.atlassian.net/browse/AL-1175?atlOrigin=eyJpIjoiYzgwYTQ0ZjEyNzQzNGJhN2JmNjEyZTM0NmRhZWZhNjIiLCJwIjoic2hlZXRzLWppcmEifQ","AL-1175")</f>
        <v>AL-1175</v>
      </c>
      <c r="H698" s="1" t="s">
        <v>1058</v>
      </c>
      <c r="I698" s="1" t="s">
        <v>28</v>
      </c>
      <c r="J698" s="1" t="s">
        <v>26</v>
      </c>
      <c r="K698" s="1" t="s">
        <v>1890</v>
      </c>
      <c r="L698" s="1" t="s">
        <v>26</v>
      </c>
      <c r="M698" s="1" t="s">
        <v>27</v>
      </c>
      <c r="N698" s="1" t="s">
        <v>26</v>
      </c>
      <c r="O698" s="1" t="s">
        <v>26</v>
      </c>
      <c r="P698" s="4">
        <v>45525.61681712963</v>
      </c>
    </row>
    <row r="699" hidden="1">
      <c r="A699" s="1" t="s">
        <v>21</v>
      </c>
      <c r="B699" s="3" t="str">
        <f>HYPERLINK("https://hawk-eye.atlassian.net/browse/HWKREPORT-2879?atlOrigin=eyJpIjoiYzgwYTQ0ZjEyNzQzNGJhN2JmNjEyZTM0NmRhZWZhNjIiLCJwIjoic2hlZXRzLWppcmEifQ","HWKREPORT-2879")</f>
        <v>HWKREPORT-2879</v>
      </c>
      <c r="C699" s="1" t="s">
        <v>1891</v>
      </c>
      <c r="D699" s="1" t="s">
        <v>83</v>
      </c>
      <c r="E699" s="1" t="s">
        <v>35</v>
      </c>
      <c r="F699" s="4">
        <v>45526.50372685185</v>
      </c>
      <c r="G699" s="3" t="str">
        <f>HYPERLINK("https://hawk-eye.atlassian.net/browse/RTT-9045?atlOrigin=eyJpIjoiYzgwYTQ0ZjEyNzQzNGJhN2JmNjEyZTM0NmRhZWZhNjIiLCJwIjoic2hlZXRzLWppcmEifQ","RTT-9045")</f>
        <v>RTT-9045</v>
      </c>
      <c r="H699" s="1" t="s">
        <v>1058</v>
      </c>
      <c r="I699" s="1" t="s">
        <v>1085</v>
      </c>
      <c r="J699" s="1" t="s">
        <v>26</v>
      </c>
      <c r="K699" s="1" t="s">
        <v>1072</v>
      </c>
      <c r="L699" s="1" t="s">
        <v>26</v>
      </c>
      <c r="M699" s="1" t="s">
        <v>27</v>
      </c>
      <c r="N699" s="1" t="s">
        <v>26</v>
      </c>
      <c r="O699" s="1" t="s">
        <v>26</v>
      </c>
      <c r="P699" s="4">
        <v>45531.648668981485</v>
      </c>
    </row>
    <row r="700" hidden="1">
      <c r="A700" s="1" t="s">
        <v>21</v>
      </c>
      <c r="B700" s="3" t="str">
        <f>HYPERLINK("https://hawk-eye.atlassian.net/browse/HWKREPORT-2880?atlOrigin=eyJpIjoiYzgwYTQ0ZjEyNzQzNGJhN2JmNjEyZTM0NmRhZWZhNjIiLCJwIjoic2hlZXRzLWppcmEifQ","HWKREPORT-2880")</f>
        <v>HWKREPORT-2880</v>
      </c>
      <c r="C700" s="1" t="s">
        <v>1892</v>
      </c>
      <c r="D700" s="1" t="s">
        <v>23</v>
      </c>
      <c r="E700" s="1" t="s">
        <v>35</v>
      </c>
      <c r="F700" s="4">
        <v>45526.860034722224</v>
      </c>
      <c r="G700" s="3" t="str">
        <f>HYPERLINK("https://hawk-eye.atlassian.net/browse/BR-1617?atlOrigin=eyJpIjoiYzgwYTQ0ZjEyNzQzNGJhN2JmNjEyZTM0NmRhZWZhNjIiLCJwIjoic2hlZXRzLWppcmEifQ","BR-1617")</f>
        <v>BR-1617</v>
      </c>
      <c r="H700" s="1" t="s">
        <v>1058</v>
      </c>
      <c r="I700" s="1" t="s">
        <v>1107</v>
      </c>
      <c r="J700" s="1" t="s">
        <v>26</v>
      </c>
      <c r="K700" s="1" t="s">
        <v>1786</v>
      </c>
      <c r="L700" s="1" t="s">
        <v>26</v>
      </c>
      <c r="M700" s="1" t="s">
        <v>27</v>
      </c>
      <c r="N700" s="1" t="s">
        <v>26</v>
      </c>
      <c r="O700" s="1" t="s">
        <v>26</v>
      </c>
      <c r="P700" s="4">
        <v>45642.61982638889</v>
      </c>
    </row>
    <row r="701" hidden="1">
      <c r="A701" s="1" t="s">
        <v>21</v>
      </c>
      <c r="B701" s="3" t="str">
        <f>HYPERLINK("https://hawk-eye.atlassian.net/browse/HWKREPORT-2881?atlOrigin=eyJpIjoiYzgwYTQ0ZjEyNzQzNGJhN2JmNjEyZTM0NmRhZWZhNjIiLCJwIjoic2hlZXRzLWppcmEifQ","HWKREPORT-2881")</f>
        <v>HWKREPORT-2881</v>
      </c>
      <c r="C701" s="1" t="s">
        <v>1893</v>
      </c>
      <c r="D701" s="1" t="s">
        <v>34</v>
      </c>
      <c r="E701" s="1" t="s">
        <v>35</v>
      </c>
      <c r="F701" s="4">
        <v>45526.9090162037</v>
      </c>
      <c r="G701" s="3" t="str">
        <f>HYPERLINK("https://hawk-eye.atlassian.net/browse/BR-1618?atlOrigin=eyJpIjoiYzgwYTQ0ZjEyNzQzNGJhN2JmNjEyZTM0NmRhZWZhNjIiLCJwIjoic2hlZXRzLWppcmEifQ","BR-1618")</f>
        <v>BR-1618</v>
      </c>
      <c r="H701" s="1" t="s">
        <v>1058</v>
      </c>
      <c r="I701" s="1" t="s">
        <v>1107</v>
      </c>
      <c r="J701" s="1" t="s">
        <v>26</v>
      </c>
      <c r="K701" s="1" t="s">
        <v>1786</v>
      </c>
      <c r="L701" s="1" t="s">
        <v>26</v>
      </c>
      <c r="M701" s="1" t="s">
        <v>27</v>
      </c>
      <c r="N701" s="1" t="s">
        <v>26</v>
      </c>
      <c r="O701" s="1" t="s">
        <v>26</v>
      </c>
      <c r="P701" s="4">
        <v>45573.40739583333</v>
      </c>
    </row>
    <row r="702" hidden="1">
      <c r="A702" s="1" t="s">
        <v>1055</v>
      </c>
      <c r="B702" s="3" t="str">
        <f>HYPERLINK("https://hawk-eye.atlassian.net/browse/HWKREPORT-2682?atlOrigin=eyJpIjoiYzgwYTQ0ZjEyNzQzNGJhN2JmNjEyZTM0NmRhZWZhNjIiLCJwIjoic2hlZXRzLWppcmEifQ","HWKREPORT-2682")</f>
        <v>HWKREPORT-2682</v>
      </c>
      <c r="C702" s="1" t="s">
        <v>1894</v>
      </c>
      <c r="D702" s="1" t="s">
        <v>48</v>
      </c>
      <c r="E702" s="1" t="s">
        <v>1057</v>
      </c>
      <c r="F702" s="4">
        <v>45384.642175925925</v>
      </c>
      <c r="G702" s="3" t="str">
        <f>HYPERLINK("https://hawk-eye.atlassian.net/browse/?atlOrigin=eyJpIjoiYzgwYTQ0ZjEyNzQzNGJhN2JmNjEyZTM0NmRhZWZhNjIiLCJwIjoic2hlZXRzLWppcmEifQ","")</f>
        <v/>
      </c>
      <c r="H702" s="1" t="s">
        <v>1058</v>
      </c>
      <c r="I702" s="1" t="s">
        <v>1082</v>
      </c>
      <c r="J702" s="1" t="s">
        <v>26</v>
      </c>
      <c r="K702" s="1" t="s">
        <v>1148</v>
      </c>
      <c r="L702" s="1" t="s">
        <v>26</v>
      </c>
      <c r="M702" s="1" t="s">
        <v>27</v>
      </c>
      <c r="N702" s="1" t="s">
        <v>26</v>
      </c>
      <c r="O702" s="1" t="s">
        <v>26</v>
      </c>
      <c r="P702" s="4">
        <v>45384.642175925925</v>
      </c>
    </row>
    <row r="703" hidden="1">
      <c r="A703" s="1" t="s">
        <v>21</v>
      </c>
      <c r="B703" s="3" t="str">
        <f>HYPERLINK("https://hawk-eye.atlassian.net/browse/HWKREPORT-2683?atlOrigin=eyJpIjoiYzgwYTQ0ZjEyNzQzNGJhN2JmNjEyZTM0NmRhZWZhNjIiLCJwIjoic2hlZXRzLWppcmEifQ","HWKREPORT-2683")</f>
        <v>HWKREPORT-2683</v>
      </c>
      <c r="C703" s="1" t="s">
        <v>1895</v>
      </c>
      <c r="D703" s="1" t="s">
        <v>48</v>
      </c>
      <c r="E703" s="1" t="s">
        <v>1074</v>
      </c>
      <c r="F703" s="4">
        <v>45384.665717592594</v>
      </c>
      <c r="G703" s="3" t="str">
        <f>HYPERLINK("https://hawk-eye.atlassian.net/browse/TOOL-204?atlOrigin=eyJpIjoiYzgwYTQ0ZjEyNzQzNGJhN2JmNjEyZTM0NmRhZWZhNjIiLCJwIjoic2hlZXRzLWppcmEifQ","TOOL-204")</f>
        <v>TOOL-204</v>
      </c>
      <c r="H703" s="1" t="s">
        <v>1058</v>
      </c>
      <c r="I703" s="1" t="s">
        <v>1082</v>
      </c>
      <c r="J703" s="1" t="s">
        <v>26</v>
      </c>
      <c r="K703" s="1" t="s">
        <v>1134</v>
      </c>
      <c r="L703" s="1" t="s">
        <v>26</v>
      </c>
      <c r="M703" s="1" t="s">
        <v>27</v>
      </c>
      <c r="N703" s="1" t="s">
        <v>26</v>
      </c>
      <c r="O703" s="1" t="s">
        <v>26</v>
      </c>
      <c r="P703" s="4">
        <v>45771.65828703704</v>
      </c>
    </row>
    <row r="704" hidden="1">
      <c r="A704" s="1" t="s">
        <v>1055</v>
      </c>
      <c r="B704" s="3" t="str">
        <f>HYPERLINK("https://hawk-eye.atlassian.net/browse/HWKREPORT-2684?atlOrigin=eyJpIjoiYzgwYTQ0ZjEyNzQzNGJhN2JmNjEyZTM0NmRhZWZhNjIiLCJwIjoic2hlZXRzLWppcmEifQ","HWKREPORT-2684")</f>
        <v>HWKREPORT-2684</v>
      </c>
      <c r="C704" s="1" t="s">
        <v>1896</v>
      </c>
      <c r="D704" s="1" t="s">
        <v>48</v>
      </c>
      <c r="E704" s="1" t="s">
        <v>1057</v>
      </c>
      <c r="F704" s="4">
        <v>45385.52378472222</v>
      </c>
      <c r="G704" s="3" t="str">
        <f t="shared" ref="G704:G705" si="68">HYPERLINK("https://hawk-eye.atlassian.net/browse/?atlOrigin=eyJpIjoiYzgwYTQ0ZjEyNzQzNGJhN2JmNjEyZTM0NmRhZWZhNjIiLCJwIjoic2hlZXRzLWppcmEifQ","")</f>
        <v/>
      </c>
      <c r="H704" s="1" t="s">
        <v>1058</v>
      </c>
      <c r="I704" s="1" t="s">
        <v>1085</v>
      </c>
      <c r="J704" s="1" t="s">
        <v>26</v>
      </c>
      <c r="K704" s="1" t="s">
        <v>1219</v>
      </c>
      <c r="L704" s="1" t="s">
        <v>26</v>
      </c>
      <c r="M704" s="1" t="s">
        <v>27</v>
      </c>
      <c r="N704" s="1" t="s">
        <v>26</v>
      </c>
      <c r="O704" s="1" t="s">
        <v>26</v>
      </c>
      <c r="P704" s="4">
        <v>45385.52379629629</v>
      </c>
    </row>
    <row r="705" hidden="1">
      <c r="A705" s="1" t="s">
        <v>21</v>
      </c>
      <c r="B705" s="3" t="str">
        <f>HYPERLINK("https://hawk-eye.atlassian.net/browse/HWKREPORT-2685?atlOrigin=eyJpIjoiYzgwYTQ0ZjEyNzQzNGJhN2JmNjEyZTM0NmRhZWZhNjIiLCJwIjoic2hlZXRzLWppcmEifQ","HWKREPORT-2685")</f>
        <v>HWKREPORT-2685</v>
      </c>
      <c r="C705" s="1" t="s">
        <v>1897</v>
      </c>
      <c r="D705" s="1" t="s">
        <v>40</v>
      </c>
      <c r="E705" s="1" t="s">
        <v>1057</v>
      </c>
      <c r="F705" s="4">
        <v>45385.62849537037</v>
      </c>
      <c r="G705" s="3" t="str">
        <f t="shared" si="68"/>
        <v/>
      </c>
      <c r="H705" s="1" t="s">
        <v>1058</v>
      </c>
      <c r="I705" s="1" t="s">
        <v>1071</v>
      </c>
      <c r="J705" s="1" t="s">
        <v>26</v>
      </c>
      <c r="K705" s="1" t="s">
        <v>1898</v>
      </c>
      <c r="L705" s="1" t="s">
        <v>26</v>
      </c>
      <c r="M705" s="1" t="s">
        <v>27</v>
      </c>
      <c r="N705" s="1" t="s">
        <v>26</v>
      </c>
      <c r="O705" s="1" t="s">
        <v>26</v>
      </c>
      <c r="P705" s="4">
        <v>45385.62850694444</v>
      </c>
    </row>
    <row r="706" hidden="1">
      <c r="A706" s="1" t="s">
        <v>1055</v>
      </c>
      <c r="B706" s="3" t="str">
        <f>HYPERLINK("https://hawk-eye.atlassian.net/browse/HWKREPORT-2686?atlOrigin=eyJpIjoiYzgwYTQ0ZjEyNzQzNGJhN2JmNjEyZTM0NmRhZWZhNjIiLCJwIjoic2hlZXRzLWppcmEifQ","HWKREPORT-2686")</f>
        <v>HWKREPORT-2686</v>
      </c>
      <c r="C706" s="1" t="s">
        <v>1899</v>
      </c>
      <c r="D706" s="1" t="s">
        <v>48</v>
      </c>
      <c r="E706" s="1" t="s">
        <v>1057</v>
      </c>
      <c r="F706" s="4">
        <v>45385.66554398148</v>
      </c>
      <c r="G706" s="3" t="str">
        <f>HYPERLINK("https://hawk-eye.atlassian.net/browse/AL-1156?atlOrigin=eyJpIjoiYzgwYTQ0ZjEyNzQzNGJhN2JmNjEyZTM0NmRhZWZhNjIiLCJwIjoic2hlZXRzLWppcmEifQ","AL-1156")</f>
        <v>AL-1156</v>
      </c>
      <c r="H706" s="1" t="s">
        <v>1058</v>
      </c>
      <c r="I706" s="1" t="s">
        <v>1085</v>
      </c>
      <c r="J706" s="1" t="s">
        <v>26</v>
      </c>
      <c r="K706" s="1" t="s">
        <v>1219</v>
      </c>
      <c r="L706" s="1" t="s">
        <v>26</v>
      </c>
      <c r="M706" s="1" t="s">
        <v>27</v>
      </c>
      <c r="N706" s="1" t="s">
        <v>26</v>
      </c>
      <c r="O706" s="1" t="s">
        <v>26</v>
      </c>
      <c r="P706" s="4">
        <v>45385.66554398148</v>
      </c>
    </row>
    <row r="707" hidden="1">
      <c r="A707" s="1" t="s">
        <v>21</v>
      </c>
      <c r="B707" s="3" t="str">
        <f>HYPERLINK("https://hawk-eye.atlassian.net/browse/HWKREPORT-2687?atlOrigin=eyJpIjoiYzgwYTQ0ZjEyNzQzNGJhN2JmNjEyZTM0NmRhZWZhNjIiLCJwIjoic2hlZXRzLWppcmEifQ","HWKREPORT-2687")</f>
        <v>HWKREPORT-2687</v>
      </c>
      <c r="C707" s="1" t="s">
        <v>1900</v>
      </c>
      <c r="D707" s="1" t="s">
        <v>83</v>
      </c>
      <c r="E707" s="1" t="s">
        <v>35</v>
      </c>
      <c r="F707" s="4">
        <v>45385.676412037035</v>
      </c>
      <c r="G707" s="3" t="str">
        <f>HYPERLINK("https://hawk-eye.atlassian.net/browse/RTT-8201?atlOrigin=eyJpIjoiYzgwYTQ0ZjEyNzQzNGJhN2JmNjEyZTM0NmRhZWZhNjIiLCJwIjoic2hlZXRzLWppcmEifQ","RTT-8201")</f>
        <v>RTT-8201</v>
      </c>
      <c r="H707" s="1" t="s">
        <v>1058</v>
      </c>
      <c r="I707" s="1" t="s">
        <v>1085</v>
      </c>
      <c r="J707" s="1" t="s">
        <v>26</v>
      </c>
      <c r="K707" s="1" t="s">
        <v>1072</v>
      </c>
      <c r="L707" s="1" t="s">
        <v>26</v>
      </c>
      <c r="M707" s="1" t="s">
        <v>27</v>
      </c>
      <c r="N707" s="1" t="s">
        <v>26</v>
      </c>
      <c r="O707" s="1" t="s">
        <v>26</v>
      </c>
      <c r="P707" s="4">
        <v>45433.47436342593</v>
      </c>
    </row>
    <row r="708" hidden="1">
      <c r="A708" s="1" t="s">
        <v>1055</v>
      </c>
      <c r="B708" s="3" t="str">
        <f>HYPERLINK("https://hawk-eye.atlassian.net/browse/HWKREPORT-2688?atlOrigin=eyJpIjoiYzgwYTQ0ZjEyNzQzNGJhN2JmNjEyZTM0NmRhZWZhNjIiLCJwIjoic2hlZXRzLWppcmEifQ","HWKREPORT-2688")</f>
        <v>HWKREPORT-2688</v>
      </c>
      <c r="C708" s="1" t="s">
        <v>1901</v>
      </c>
      <c r="D708" s="1" t="s">
        <v>48</v>
      </c>
      <c r="E708" s="1" t="s">
        <v>35</v>
      </c>
      <c r="F708" s="4">
        <v>45385.916817129626</v>
      </c>
      <c r="G708" s="3" t="str">
        <f>HYPERLINK("https://hawk-eye.atlassian.net/browse/RTT-8199?atlOrigin=eyJpIjoiYzgwYTQ0ZjEyNzQzNGJhN2JmNjEyZTM0NmRhZWZhNjIiLCJwIjoic2hlZXRzLWppcmEifQ","RTT-8199")</f>
        <v>RTT-8199</v>
      </c>
      <c r="H708" s="1" t="s">
        <v>1058</v>
      </c>
      <c r="I708" s="1" t="s">
        <v>28</v>
      </c>
      <c r="J708" s="1" t="s">
        <v>26</v>
      </c>
      <c r="K708" s="1" t="s">
        <v>1072</v>
      </c>
      <c r="L708" s="1" t="s">
        <v>26</v>
      </c>
      <c r="M708" s="1" t="s">
        <v>27</v>
      </c>
      <c r="N708" s="1" t="s">
        <v>26</v>
      </c>
      <c r="O708" s="1" t="s">
        <v>26</v>
      </c>
      <c r="P708" s="4">
        <v>45524.72827546296</v>
      </c>
    </row>
    <row r="709" hidden="1">
      <c r="A709" s="1" t="s">
        <v>1055</v>
      </c>
      <c r="B709" s="3" t="str">
        <f>HYPERLINK("https://hawk-eye.atlassian.net/browse/HWKREPORT-2689?atlOrigin=eyJpIjoiYzgwYTQ0ZjEyNzQzNGJhN2JmNjEyZTM0NmRhZWZhNjIiLCJwIjoic2hlZXRzLWppcmEifQ","HWKREPORT-2689")</f>
        <v>HWKREPORT-2689</v>
      </c>
      <c r="C709" s="1" t="s">
        <v>1902</v>
      </c>
      <c r="D709" s="1" t="s">
        <v>48</v>
      </c>
      <c r="E709" s="1" t="s">
        <v>1057</v>
      </c>
      <c r="F709" s="4">
        <v>45385.92559027778</v>
      </c>
      <c r="G709" s="3" t="str">
        <f t="shared" ref="G709:G710" si="69">HYPERLINK("https://hawk-eye.atlassian.net/browse/?atlOrigin=eyJpIjoiYzgwYTQ0ZjEyNzQzNGJhN2JmNjEyZTM0NmRhZWZhNjIiLCJwIjoic2hlZXRzLWppcmEifQ","")</f>
        <v/>
      </c>
      <c r="H709" s="1" t="s">
        <v>1058</v>
      </c>
      <c r="I709" s="1" t="s">
        <v>28</v>
      </c>
      <c r="J709" s="1" t="s">
        <v>26</v>
      </c>
      <c r="K709" s="1" t="s">
        <v>1072</v>
      </c>
      <c r="L709" s="1" t="s">
        <v>26</v>
      </c>
      <c r="M709" s="1" t="s">
        <v>27</v>
      </c>
      <c r="N709" s="1" t="s">
        <v>26</v>
      </c>
      <c r="O709" s="1" t="s">
        <v>26</v>
      </c>
      <c r="P709" s="4">
        <v>45385.92560185185</v>
      </c>
    </row>
    <row r="710" hidden="1">
      <c r="A710" s="1" t="s">
        <v>21</v>
      </c>
      <c r="B710" s="3" t="str">
        <f>HYPERLINK("https://hawk-eye.atlassian.net/browse/HWKREPORT-2690?atlOrigin=eyJpIjoiYzgwYTQ0ZjEyNzQzNGJhN2JmNjEyZTM0NmRhZWZhNjIiLCJwIjoic2hlZXRzLWppcmEifQ","HWKREPORT-2690")</f>
        <v>HWKREPORT-2690</v>
      </c>
      <c r="C710" s="1" t="s">
        <v>1903</v>
      </c>
      <c r="D710" s="1" t="s">
        <v>48</v>
      </c>
      <c r="E710" s="1" t="s">
        <v>1057</v>
      </c>
      <c r="F710" s="4">
        <v>45386.43262731482</v>
      </c>
      <c r="G710" s="3" t="str">
        <f t="shared" si="69"/>
        <v/>
      </c>
      <c r="H710" s="1" t="s">
        <v>1058</v>
      </c>
      <c r="I710" s="1" t="s">
        <v>1082</v>
      </c>
      <c r="J710" s="1" t="s">
        <v>26</v>
      </c>
      <c r="K710" s="1" t="s">
        <v>1904</v>
      </c>
      <c r="L710" s="1" t="s">
        <v>26</v>
      </c>
      <c r="M710" s="1" t="s">
        <v>27</v>
      </c>
      <c r="N710" s="1" t="s">
        <v>26</v>
      </c>
      <c r="O710" s="1" t="s">
        <v>26</v>
      </c>
      <c r="P710" s="4">
        <v>45386.43263888889</v>
      </c>
    </row>
    <row r="711" hidden="1">
      <c r="A711" s="1" t="s">
        <v>21</v>
      </c>
      <c r="B711" s="3" t="str">
        <f>HYPERLINK("https://hawk-eye.atlassian.net/browse/HWKREPORT-2691?atlOrigin=eyJpIjoiYzgwYTQ0ZjEyNzQzNGJhN2JmNjEyZTM0NmRhZWZhNjIiLCJwIjoic2hlZXRzLWppcmEifQ","HWKREPORT-2691")</f>
        <v>HWKREPORT-2691</v>
      </c>
      <c r="C711" s="1" t="s">
        <v>1905</v>
      </c>
      <c r="D711" s="1" t="s">
        <v>83</v>
      </c>
      <c r="E711" s="1" t="s">
        <v>1057</v>
      </c>
      <c r="F711" s="4">
        <v>45386.476122685184</v>
      </c>
      <c r="G711" s="3" t="str">
        <f>HYPERLINK("https://hawk-eye.atlassian.net/browse/RTT-8318?atlOrigin=eyJpIjoiYzgwYTQ0ZjEyNzQzNGJhN2JmNjEyZTM0NmRhZWZhNjIiLCJwIjoic2hlZXRzLWppcmEifQ","RTT-8318")</f>
        <v>RTT-8318</v>
      </c>
      <c r="H711" s="1" t="s">
        <v>1058</v>
      </c>
      <c r="I711" s="1" t="s">
        <v>1082</v>
      </c>
      <c r="J711" s="1" t="s">
        <v>26</v>
      </c>
      <c r="K711" s="1" t="s">
        <v>1072</v>
      </c>
      <c r="L711" s="1" t="s">
        <v>26</v>
      </c>
      <c r="M711" s="1" t="s">
        <v>27</v>
      </c>
      <c r="N711" s="1" t="s">
        <v>26</v>
      </c>
      <c r="O711" s="1" t="s">
        <v>26</v>
      </c>
      <c r="P711" s="4">
        <v>45386.47613425926</v>
      </c>
    </row>
    <row r="712" hidden="1">
      <c r="A712" s="1" t="s">
        <v>21</v>
      </c>
      <c r="B712" s="3" t="str">
        <f>HYPERLINK("https://hawk-eye.atlassian.net/browse/HWKREPORT-2692?atlOrigin=eyJpIjoiYzgwYTQ0ZjEyNzQzNGJhN2JmNjEyZTM0NmRhZWZhNjIiLCJwIjoic2hlZXRzLWppcmEifQ","HWKREPORT-2692")</f>
        <v>HWKREPORT-2692</v>
      </c>
      <c r="C712" s="1" t="s">
        <v>1906</v>
      </c>
      <c r="D712" s="1" t="s">
        <v>83</v>
      </c>
      <c r="E712" s="1" t="s">
        <v>1057</v>
      </c>
      <c r="F712" s="4">
        <v>45386.686215277776</v>
      </c>
      <c r="G712" s="3" t="str">
        <f>HYPERLINK("https://hawk-eye.atlassian.net/browse/SO-1383?atlOrigin=eyJpIjoiYzgwYTQ0ZjEyNzQzNGJhN2JmNjEyZTM0NmRhZWZhNjIiLCJwIjoic2hlZXRzLWppcmEifQ","SO-1383")</f>
        <v>SO-1383</v>
      </c>
      <c r="H712" s="1" t="s">
        <v>1058</v>
      </c>
      <c r="I712" s="1" t="s">
        <v>1085</v>
      </c>
      <c r="J712" s="1" t="s">
        <v>26</v>
      </c>
      <c r="K712" s="1" t="s">
        <v>1116</v>
      </c>
      <c r="L712" s="1" t="s">
        <v>26</v>
      </c>
      <c r="M712" s="1" t="s">
        <v>27</v>
      </c>
      <c r="N712" s="1" t="s">
        <v>26</v>
      </c>
      <c r="O712" s="1" t="s">
        <v>26</v>
      </c>
      <c r="P712" s="4">
        <v>45386.68622685185</v>
      </c>
    </row>
    <row r="713" hidden="1">
      <c r="A713" s="1" t="s">
        <v>1055</v>
      </c>
      <c r="B713" s="3" t="str">
        <f>HYPERLINK("https://hawk-eye.atlassian.net/browse/HWKREPORT-2693?atlOrigin=eyJpIjoiYzgwYTQ0ZjEyNzQzNGJhN2JmNjEyZTM0NmRhZWZhNjIiLCJwIjoic2hlZXRzLWppcmEifQ","HWKREPORT-2693")</f>
        <v>HWKREPORT-2693</v>
      </c>
      <c r="C713" s="1" t="s">
        <v>1907</v>
      </c>
      <c r="D713" s="1" t="s">
        <v>48</v>
      </c>
      <c r="E713" s="1" t="s">
        <v>35</v>
      </c>
      <c r="F713" s="4">
        <v>45386.69629629629</v>
      </c>
      <c r="G713" s="3" t="str">
        <f>HYPERLINK("https://hawk-eye.atlassian.net/browse/SO-1382?atlOrigin=eyJpIjoiYzgwYTQ0ZjEyNzQzNGJhN2JmNjEyZTM0NmRhZWZhNjIiLCJwIjoic2hlZXRzLWppcmEifQ","SO-1382")</f>
        <v>SO-1382</v>
      </c>
      <c r="H713" s="1" t="s">
        <v>1058</v>
      </c>
      <c r="I713" s="1" t="s">
        <v>1085</v>
      </c>
      <c r="J713" s="1" t="s">
        <v>26</v>
      </c>
      <c r="K713" s="1" t="s">
        <v>1116</v>
      </c>
      <c r="L713" s="1" t="s">
        <v>26</v>
      </c>
      <c r="M713" s="1" t="s">
        <v>27</v>
      </c>
      <c r="N713" s="1" t="s">
        <v>26</v>
      </c>
      <c r="O713" s="1" t="s">
        <v>26</v>
      </c>
      <c r="P713" s="4">
        <v>45429.4287962963</v>
      </c>
    </row>
    <row r="714" hidden="1">
      <c r="A714" s="1" t="s">
        <v>1055</v>
      </c>
      <c r="B714" s="3" t="str">
        <f>HYPERLINK("https://hawk-eye.atlassian.net/browse/HWKREPORT-2694?atlOrigin=eyJpIjoiYzgwYTQ0ZjEyNzQzNGJhN2JmNjEyZTM0NmRhZWZhNjIiLCJwIjoic2hlZXRzLWppcmEifQ","HWKREPORT-2694")</f>
        <v>HWKREPORT-2694</v>
      </c>
      <c r="C714" s="1" t="s">
        <v>1908</v>
      </c>
      <c r="D714" s="1" t="s">
        <v>48</v>
      </c>
      <c r="E714" s="1" t="s">
        <v>1057</v>
      </c>
      <c r="F714" s="4">
        <v>45386.70175925926</v>
      </c>
      <c r="G714" s="3" t="str">
        <f>HYPERLINK("https://hawk-eye.atlassian.net/browse/SO-1381?atlOrigin=eyJpIjoiYzgwYTQ0ZjEyNzQzNGJhN2JmNjEyZTM0NmRhZWZhNjIiLCJwIjoic2hlZXRzLWppcmEifQ","SO-1381")</f>
        <v>SO-1381</v>
      </c>
      <c r="H714" s="1" t="s">
        <v>1058</v>
      </c>
      <c r="I714" s="1" t="s">
        <v>1085</v>
      </c>
      <c r="J714" s="1" t="s">
        <v>26</v>
      </c>
      <c r="K714" s="1" t="s">
        <v>1116</v>
      </c>
      <c r="L714" s="1" t="s">
        <v>26</v>
      </c>
      <c r="M714" s="1" t="s">
        <v>27</v>
      </c>
      <c r="N714" s="1" t="s">
        <v>26</v>
      </c>
      <c r="O714" s="1" t="s">
        <v>26</v>
      </c>
      <c r="P714" s="4">
        <v>45386.70175925926</v>
      </c>
    </row>
    <row r="715" hidden="1">
      <c r="A715" s="1" t="s">
        <v>1055</v>
      </c>
      <c r="B715" s="3" t="str">
        <f>HYPERLINK("https://hawk-eye.atlassian.net/browse/HWKREPORT-2695?atlOrigin=eyJpIjoiYzgwYTQ0ZjEyNzQzNGJhN2JmNjEyZTM0NmRhZWZhNjIiLCJwIjoic2hlZXRzLWppcmEifQ","HWKREPORT-2695")</f>
        <v>HWKREPORT-2695</v>
      </c>
      <c r="C715" s="1" t="s">
        <v>1909</v>
      </c>
      <c r="D715" s="1" t="s">
        <v>48</v>
      </c>
      <c r="E715" s="1" t="s">
        <v>35</v>
      </c>
      <c r="F715" s="4">
        <v>45387.629525462966</v>
      </c>
      <c r="G715" s="3" t="str">
        <f>HYPERLINK("https://hawk-eye.atlassian.net/browse/RTT-8186?atlOrigin=eyJpIjoiYzgwYTQ0ZjEyNzQzNGJhN2JmNjEyZTM0NmRhZWZhNjIiLCJwIjoic2hlZXRzLWppcmEifQ","RTT-8186")</f>
        <v>RTT-8186</v>
      </c>
      <c r="H715" s="1" t="s">
        <v>1058</v>
      </c>
      <c r="I715" s="1" t="s">
        <v>28</v>
      </c>
      <c r="J715" s="1" t="s">
        <v>26</v>
      </c>
      <c r="K715" s="1" t="s">
        <v>1072</v>
      </c>
      <c r="L715" s="1" t="s">
        <v>26</v>
      </c>
      <c r="M715" s="1" t="s">
        <v>27</v>
      </c>
      <c r="N715" s="1" t="s">
        <v>26</v>
      </c>
      <c r="O715" s="1" t="s">
        <v>26</v>
      </c>
      <c r="P715" s="4">
        <v>45524.72818287037</v>
      </c>
    </row>
    <row r="716" hidden="1">
      <c r="A716" s="1" t="s">
        <v>1055</v>
      </c>
      <c r="B716" s="3" t="str">
        <f>HYPERLINK("https://hawk-eye.atlassian.net/browse/HWKREPORT-2696?atlOrigin=eyJpIjoiYzgwYTQ0ZjEyNzQzNGJhN2JmNjEyZTM0NmRhZWZhNjIiLCJwIjoic2hlZXRzLWppcmEifQ","HWKREPORT-2696")</f>
        <v>HWKREPORT-2696</v>
      </c>
      <c r="C716" s="1" t="s">
        <v>1910</v>
      </c>
      <c r="D716" s="1" t="s">
        <v>48</v>
      </c>
      <c r="E716" s="1" t="s">
        <v>1057</v>
      </c>
      <c r="F716" s="4">
        <v>45387.74009259259</v>
      </c>
      <c r="G716" s="3" t="str">
        <f>HYPERLINK("https://hawk-eye.atlassian.net/browse/?atlOrigin=eyJpIjoiYzgwYTQ0ZjEyNzQzNGJhN2JmNjEyZTM0NmRhZWZhNjIiLCJwIjoic2hlZXRzLWppcmEifQ","")</f>
        <v/>
      </c>
      <c r="H716" s="1" t="s">
        <v>1058</v>
      </c>
      <c r="I716" s="1" t="s">
        <v>1085</v>
      </c>
      <c r="J716" s="1" t="s">
        <v>26</v>
      </c>
      <c r="K716" s="1" t="s">
        <v>1114</v>
      </c>
      <c r="L716" s="1" t="s">
        <v>26</v>
      </c>
      <c r="M716" s="1" t="s">
        <v>27</v>
      </c>
      <c r="N716" s="1" t="s">
        <v>26</v>
      </c>
      <c r="O716" s="1" t="s">
        <v>26</v>
      </c>
      <c r="P716" s="4">
        <v>45387.74010416667</v>
      </c>
    </row>
    <row r="717" hidden="1">
      <c r="A717" s="1" t="s">
        <v>21</v>
      </c>
      <c r="B717" s="3" t="str">
        <f>HYPERLINK("https://hawk-eye.atlassian.net/browse/HWKREPORT-2697?atlOrigin=eyJpIjoiYzgwYTQ0ZjEyNzQzNGJhN2JmNjEyZTM0NmRhZWZhNjIiLCJwIjoic2hlZXRzLWppcmEifQ","HWKREPORT-2697")</f>
        <v>HWKREPORT-2697</v>
      </c>
      <c r="C717" s="1" t="s">
        <v>1911</v>
      </c>
      <c r="D717" s="1" t="s">
        <v>48</v>
      </c>
      <c r="E717" s="1" t="s">
        <v>1057</v>
      </c>
      <c r="F717" s="4">
        <v>45390.617581018516</v>
      </c>
      <c r="G717" s="3" t="str">
        <f>HYPERLINK("https://hawk-eye.atlassian.net/browse/RTT-8318?atlOrigin=eyJpIjoiYzgwYTQ0ZjEyNzQzNGJhN2JmNjEyZTM0NmRhZWZhNjIiLCJwIjoic2hlZXRzLWppcmEifQ","RTT-8318")</f>
        <v>RTT-8318</v>
      </c>
      <c r="H717" s="1" t="s">
        <v>1058</v>
      </c>
      <c r="I717" s="1" t="s">
        <v>1082</v>
      </c>
      <c r="J717" s="1" t="s">
        <v>26</v>
      </c>
      <c r="K717" s="1" t="s">
        <v>1904</v>
      </c>
      <c r="L717" s="1" t="s">
        <v>26</v>
      </c>
      <c r="M717" s="1" t="s">
        <v>27</v>
      </c>
      <c r="N717" s="1" t="s">
        <v>26</v>
      </c>
      <c r="O717" s="1" t="s">
        <v>26</v>
      </c>
      <c r="P717" s="4">
        <v>45390.61759259259</v>
      </c>
    </row>
    <row r="718" hidden="1">
      <c r="A718" s="1" t="s">
        <v>21</v>
      </c>
      <c r="B718" s="3" t="str">
        <f>HYPERLINK("https://hawk-eye.atlassian.net/browse/HWKREPORT-2698?atlOrigin=eyJpIjoiYzgwYTQ0ZjEyNzQzNGJhN2JmNjEyZTM0NmRhZWZhNjIiLCJwIjoic2hlZXRzLWppcmEifQ","HWKREPORT-2698")</f>
        <v>HWKREPORT-2698</v>
      </c>
      <c r="C718" s="1" t="s">
        <v>1912</v>
      </c>
      <c r="D718" s="1" t="s">
        <v>40</v>
      </c>
      <c r="E718" s="1" t="s">
        <v>35</v>
      </c>
      <c r="F718" s="4">
        <v>45390.61866898148</v>
      </c>
      <c r="G718" s="3" t="str">
        <f>HYPERLINK("https://hawk-eye.atlassian.net/browse/SO-1347?atlOrigin=eyJpIjoiYzgwYTQ0ZjEyNzQzNGJhN2JmNjEyZTM0NmRhZWZhNjIiLCJwIjoic2hlZXRzLWppcmEifQ","SO-1347")</f>
        <v>SO-1347</v>
      </c>
      <c r="H718" s="1" t="s">
        <v>1058</v>
      </c>
      <c r="I718" s="1" t="s">
        <v>1085</v>
      </c>
      <c r="J718" s="1" t="s">
        <v>26</v>
      </c>
      <c r="K718" s="1" t="s">
        <v>1134</v>
      </c>
      <c r="L718" s="1" t="s">
        <v>26</v>
      </c>
      <c r="M718" s="1" t="s">
        <v>27</v>
      </c>
      <c r="N718" s="1" t="s">
        <v>26</v>
      </c>
      <c r="O718" s="1" t="s">
        <v>26</v>
      </c>
      <c r="P718" s="4">
        <v>45392.40657407408</v>
      </c>
    </row>
    <row r="719" hidden="1">
      <c r="A719" s="1" t="s">
        <v>1055</v>
      </c>
      <c r="B719" s="3" t="str">
        <f>HYPERLINK("https://hawk-eye.atlassian.net/browse/HWKREPORT-2699?atlOrigin=eyJpIjoiYzgwYTQ0ZjEyNzQzNGJhN2JmNjEyZTM0NmRhZWZhNjIiLCJwIjoic2hlZXRzLWppcmEifQ","HWKREPORT-2699")</f>
        <v>HWKREPORT-2699</v>
      </c>
      <c r="C719" s="1" t="s">
        <v>1913</v>
      </c>
      <c r="D719" s="1" t="s">
        <v>34</v>
      </c>
      <c r="E719" s="1" t="s">
        <v>1057</v>
      </c>
      <c r="F719" s="4">
        <v>45390.81826388889</v>
      </c>
      <c r="G719" s="3" t="str">
        <f>HYPERLINK("https://hawk-eye.atlassian.net/browse/AT-1312?atlOrigin=eyJpIjoiYzgwYTQ0ZjEyNzQzNGJhN2JmNjEyZTM0NmRhZWZhNjIiLCJwIjoic2hlZXRzLWppcmEifQ","AT-1312")</f>
        <v>AT-1312</v>
      </c>
      <c r="H719" s="1" t="s">
        <v>1058</v>
      </c>
      <c r="I719" s="1" t="s">
        <v>1085</v>
      </c>
      <c r="J719" s="1" t="s">
        <v>26</v>
      </c>
      <c r="K719" s="1" t="s">
        <v>26</v>
      </c>
      <c r="L719" s="1" t="s">
        <v>26</v>
      </c>
      <c r="M719" s="1" t="s">
        <v>27</v>
      </c>
      <c r="N719" s="1" t="s">
        <v>26</v>
      </c>
      <c r="O719" s="1" t="s">
        <v>26</v>
      </c>
      <c r="P719" s="4">
        <v>45390.81827546296</v>
      </c>
    </row>
    <row r="720" hidden="1">
      <c r="A720" s="1" t="s">
        <v>21</v>
      </c>
      <c r="B720" s="3" t="str">
        <f>HYPERLINK("https://hawk-eye.atlassian.net/browse/HWKREPORT-2700?atlOrigin=eyJpIjoiYzgwYTQ0ZjEyNzQzNGJhN2JmNjEyZTM0NmRhZWZhNjIiLCJwIjoic2hlZXRzLWppcmEifQ","HWKREPORT-2700")</f>
        <v>HWKREPORT-2700</v>
      </c>
      <c r="C720" s="1" t="s">
        <v>1914</v>
      </c>
      <c r="D720" s="1" t="s">
        <v>34</v>
      </c>
      <c r="E720" s="1" t="s">
        <v>35</v>
      </c>
      <c r="F720" s="4">
        <v>45390.91273148148</v>
      </c>
      <c r="G720" s="3" t="str">
        <f>HYPERLINK("https://hawk-eye.atlassian.net/browse/?atlOrigin=eyJpIjoiYzgwYTQ0ZjEyNzQzNGJhN2JmNjEyZTM0NmRhZWZhNjIiLCJwIjoic2hlZXRzLWppcmEifQ","")</f>
        <v/>
      </c>
      <c r="H720" s="1" t="s">
        <v>1058</v>
      </c>
      <c r="I720" s="1" t="s">
        <v>1071</v>
      </c>
      <c r="J720" s="1" t="s">
        <v>26</v>
      </c>
      <c r="K720" s="1" t="s">
        <v>1130</v>
      </c>
      <c r="L720" s="1" t="s">
        <v>26</v>
      </c>
      <c r="M720" s="1" t="s">
        <v>27</v>
      </c>
      <c r="N720" s="1" t="s">
        <v>26</v>
      </c>
      <c r="O720" s="1" t="s">
        <v>26</v>
      </c>
      <c r="P720" s="4">
        <v>45440.93141203704</v>
      </c>
    </row>
    <row r="721" hidden="1">
      <c r="A721" s="1" t="s">
        <v>1055</v>
      </c>
      <c r="B721" s="3" t="str">
        <f>HYPERLINK("https://hawk-eye.atlassian.net/browse/HWKREPORT-2701?atlOrigin=eyJpIjoiYzgwYTQ0ZjEyNzQzNGJhN2JmNjEyZTM0NmRhZWZhNjIiLCJwIjoic2hlZXRzLWppcmEifQ","HWKREPORT-2701")</f>
        <v>HWKREPORT-2701</v>
      </c>
      <c r="C721" s="1" t="s">
        <v>1915</v>
      </c>
      <c r="D721" s="1" t="s">
        <v>48</v>
      </c>
      <c r="E721" s="1" t="s">
        <v>35</v>
      </c>
      <c r="F721" s="4">
        <v>45391.59701388889</v>
      </c>
      <c r="G721" s="3" t="str">
        <f>HYPERLINK("https://hawk-eye.atlassian.net/browse/RTT-8202?atlOrigin=eyJpIjoiYzgwYTQ0ZjEyNzQzNGJhN2JmNjEyZTM0NmRhZWZhNjIiLCJwIjoic2hlZXRzLWppcmEifQ","RTT-8202")</f>
        <v>RTT-8202</v>
      </c>
      <c r="H721" s="1" t="s">
        <v>1058</v>
      </c>
      <c r="I721" s="1" t="s">
        <v>1071</v>
      </c>
      <c r="J721" s="1" t="s">
        <v>26</v>
      </c>
      <c r="K721" s="1" t="s">
        <v>1072</v>
      </c>
      <c r="L721" s="1" t="s">
        <v>26</v>
      </c>
      <c r="M721" s="1" t="s">
        <v>27</v>
      </c>
      <c r="N721" s="1" t="s">
        <v>26</v>
      </c>
      <c r="O721" s="1" t="s">
        <v>26</v>
      </c>
      <c r="P721" s="4">
        <v>45670.609085648146</v>
      </c>
    </row>
    <row r="722" hidden="1">
      <c r="A722" s="1" t="s">
        <v>21</v>
      </c>
      <c r="B722" s="3" t="str">
        <f>HYPERLINK("https://hawk-eye.atlassian.net/browse/HWKREPORT-2702?atlOrigin=eyJpIjoiYzgwYTQ0ZjEyNzQzNGJhN2JmNjEyZTM0NmRhZWZhNjIiLCJwIjoic2hlZXRzLWppcmEifQ","HWKREPORT-2702")</f>
        <v>HWKREPORT-2702</v>
      </c>
      <c r="C722" s="1" t="s">
        <v>1916</v>
      </c>
      <c r="D722" s="1" t="s">
        <v>48</v>
      </c>
      <c r="E722" s="1" t="s">
        <v>35</v>
      </c>
      <c r="F722" s="4">
        <v>45391.59947916667</v>
      </c>
      <c r="G722" s="3" t="str">
        <f>HYPERLINK("https://hawk-eye.atlassian.net/browse/?atlOrigin=eyJpIjoiYzgwYTQ0ZjEyNzQzNGJhN2JmNjEyZTM0NmRhZWZhNjIiLCJwIjoic2hlZXRzLWppcmEifQ","")</f>
        <v/>
      </c>
      <c r="H722" s="1" t="s">
        <v>1058</v>
      </c>
      <c r="I722" s="1" t="s">
        <v>1071</v>
      </c>
      <c r="J722" s="1" t="s">
        <v>26</v>
      </c>
      <c r="K722" s="1" t="s">
        <v>1072</v>
      </c>
      <c r="L722" s="1" t="s">
        <v>26</v>
      </c>
      <c r="M722" s="1" t="s">
        <v>27</v>
      </c>
      <c r="N722" s="1" t="s">
        <v>26</v>
      </c>
      <c r="O722" s="1" t="s">
        <v>26</v>
      </c>
      <c r="P722" s="4">
        <v>45768.60791666667</v>
      </c>
    </row>
    <row r="723" hidden="1">
      <c r="A723" s="1" t="s">
        <v>21</v>
      </c>
      <c r="B723" s="3" t="str">
        <f>HYPERLINK("https://hawk-eye.atlassian.net/browse/HWKREPORT-2703?atlOrigin=eyJpIjoiYzgwYTQ0ZjEyNzQzNGJhN2JmNjEyZTM0NmRhZWZhNjIiLCJwIjoic2hlZXRzLWppcmEifQ","HWKREPORT-2703")</f>
        <v>HWKREPORT-2703</v>
      </c>
      <c r="C723" s="1" t="s">
        <v>1917</v>
      </c>
      <c r="D723" s="1" t="s">
        <v>23</v>
      </c>
      <c r="E723" s="1" t="s">
        <v>35</v>
      </c>
      <c r="F723" s="4">
        <v>45392.70290509259</v>
      </c>
      <c r="G723" s="3" t="str">
        <f>HYPERLINK("https://hawk-eye.atlassian.net/browse/SO-1352?atlOrigin=eyJpIjoiYzgwYTQ0ZjEyNzQzNGJhN2JmNjEyZTM0NmRhZWZhNjIiLCJwIjoic2hlZXRzLWppcmEifQ","SO-1352")</f>
        <v>SO-1352</v>
      </c>
      <c r="H723" s="1" t="s">
        <v>1058</v>
      </c>
      <c r="I723" s="1" t="s">
        <v>1082</v>
      </c>
      <c r="J723" s="1" t="s">
        <v>26</v>
      </c>
      <c r="K723" s="1" t="s">
        <v>1102</v>
      </c>
      <c r="L723" s="1" t="s">
        <v>26</v>
      </c>
      <c r="M723" s="1" t="s">
        <v>27</v>
      </c>
      <c r="N723" s="1" t="s">
        <v>26</v>
      </c>
      <c r="O723" s="1" t="s">
        <v>26</v>
      </c>
      <c r="P723" s="4">
        <v>45394.672939814816</v>
      </c>
    </row>
    <row r="724" hidden="1">
      <c r="A724" s="1" t="s">
        <v>21</v>
      </c>
      <c r="B724" s="3" t="str">
        <f>HYPERLINK("https://hawk-eye.atlassian.net/browse/HWKREPORT-2704?atlOrigin=eyJpIjoiYzgwYTQ0ZjEyNzQzNGJhN2JmNjEyZTM0NmRhZWZhNjIiLCJwIjoic2hlZXRzLWppcmEifQ","HWKREPORT-2704")</f>
        <v>HWKREPORT-2704</v>
      </c>
      <c r="C724" s="1" t="s">
        <v>1918</v>
      </c>
      <c r="D724" s="1" t="s">
        <v>23</v>
      </c>
      <c r="E724" s="1" t="s">
        <v>1057</v>
      </c>
      <c r="F724" s="4">
        <v>45392.712546296294</v>
      </c>
      <c r="G724" s="3" t="str">
        <f>HYPERLINK("https://hawk-eye.atlassian.net/browse/?atlOrigin=eyJpIjoiYzgwYTQ0ZjEyNzQzNGJhN2JmNjEyZTM0NmRhZWZhNjIiLCJwIjoic2hlZXRzLWppcmEifQ","")</f>
        <v/>
      </c>
      <c r="H724" s="1" t="s">
        <v>1058</v>
      </c>
      <c r="I724" s="1" t="s">
        <v>1085</v>
      </c>
      <c r="J724" s="1" t="s">
        <v>26</v>
      </c>
      <c r="K724" s="1" t="s">
        <v>1486</v>
      </c>
      <c r="L724" s="1" t="s">
        <v>26</v>
      </c>
      <c r="M724" s="1" t="s">
        <v>27</v>
      </c>
      <c r="N724" s="1" t="s">
        <v>26</v>
      </c>
      <c r="O724" s="1" t="s">
        <v>26</v>
      </c>
      <c r="P724" s="4">
        <v>45392.71255787037</v>
      </c>
    </row>
    <row r="725" hidden="1">
      <c r="A725" s="1" t="s">
        <v>1055</v>
      </c>
      <c r="B725" s="3" t="str">
        <f>HYPERLINK("https://hawk-eye.atlassian.net/browse/HWKREPORT-2705?atlOrigin=eyJpIjoiYzgwYTQ0ZjEyNzQzNGJhN2JmNjEyZTM0NmRhZWZhNjIiLCJwIjoic2hlZXRzLWppcmEifQ","HWKREPORT-2705")</f>
        <v>HWKREPORT-2705</v>
      </c>
      <c r="C725" s="1" t="s">
        <v>1919</v>
      </c>
      <c r="D725" s="1" t="s">
        <v>48</v>
      </c>
      <c r="E725" s="1" t="s">
        <v>35</v>
      </c>
      <c r="F725" s="4">
        <v>45392.778402777774</v>
      </c>
      <c r="G725" s="3" t="str">
        <f>HYPERLINK("https://hawk-eye.atlassian.net/browse/RTT-8239?atlOrigin=eyJpIjoiYzgwYTQ0ZjEyNzQzNGJhN2JmNjEyZTM0NmRhZWZhNjIiLCJwIjoic2hlZXRzLWppcmEifQ","RTT-8239")</f>
        <v>RTT-8239</v>
      </c>
      <c r="H725" s="1" t="s">
        <v>1058</v>
      </c>
      <c r="I725" s="1" t="s">
        <v>28</v>
      </c>
      <c r="J725" s="1" t="s">
        <v>26</v>
      </c>
      <c r="K725" s="1" t="s">
        <v>1072</v>
      </c>
      <c r="L725" s="1" t="s">
        <v>26</v>
      </c>
      <c r="M725" s="1" t="s">
        <v>27</v>
      </c>
      <c r="N725" s="1" t="s">
        <v>26</v>
      </c>
      <c r="O725" s="1" t="s">
        <v>26</v>
      </c>
      <c r="P725" s="4">
        <v>45524.72809027778</v>
      </c>
    </row>
    <row r="726" hidden="1">
      <c r="A726" s="1" t="s">
        <v>1055</v>
      </c>
      <c r="B726" s="3" t="str">
        <f>HYPERLINK("https://hawk-eye.atlassian.net/browse/HWKREPORT-2706?atlOrigin=eyJpIjoiYzgwYTQ0ZjEyNzQzNGJhN2JmNjEyZTM0NmRhZWZhNjIiLCJwIjoic2hlZXRzLWppcmEifQ","HWKREPORT-2706")</f>
        <v>HWKREPORT-2706</v>
      </c>
      <c r="C726" s="1" t="s">
        <v>1920</v>
      </c>
      <c r="D726" s="1" t="s">
        <v>48</v>
      </c>
      <c r="E726" s="1" t="s">
        <v>35</v>
      </c>
      <c r="F726" s="4">
        <v>45392.900034722225</v>
      </c>
      <c r="G726" s="3" t="str">
        <f>HYPERLINK("https://hawk-eye.atlassian.net/browse/SO-1489?atlOrigin=eyJpIjoiYzgwYTQ0ZjEyNzQzNGJhN2JmNjEyZTM0NmRhZWZhNjIiLCJwIjoic2hlZXRzLWppcmEifQ","SO-1489")</f>
        <v>SO-1489</v>
      </c>
      <c r="H726" s="1" t="s">
        <v>1058</v>
      </c>
      <c r="I726" s="1" t="s">
        <v>1071</v>
      </c>
      <c r="J726" s="1" t="s">
        <v>26</v>
      </c>
      <c r="K726" s="1" t="s">
        <v>1777</v>
      </c>
      <c r="L726" s="1" t="s">
        <v>26</v>
      </c>
      <c r="M726" s="1" t="s">
        <v>27</v>
      </c>
      <c r="N726" s="1" t="s">
        <v>26</v>
      </c>
      <c r="O726" s="1" t="s">
        <v>26</v>
      </c>
      <c r="P726" s="4">
        <v>45498.50146990741</v>
      </c>
    </row>
    <row r="727" hidden="1">
      <c r="A727" s="1" t="s">
        <v>21</v>
      </c>
      <c r="B727" s="3" t="str">
        <f>HYPERLINK("https://hawk-eye.atlassian.net/browse/HWKREPORT-2707?atlOrigin=eyJpIjoiYzgwYTQ0ZjEyNzQzNGJhN2JmNjEyZTM0NmRhZWZhNjIiLCJwIjoic2hlZXRzLWppcmEifQ","HWKREPORT-2707")</f>
        <v>HWKREPORT-2707</v>
      </c>
      <c r="C727" s="1" t="s">
        <v>1921</v>
      </c>
      <c r="D727" s="1" t="s">
        <v>23</v>
      </c>
      <c r="E727" s="1" t="s">
        <v>1057</v>
      </c>
      <c r="F727" s="4">
        <v>45393.720046296294</v>
      </c>
      <c r="G727" s="3" t="str">
        <f>HYPERLINK("https://hawk-eye.atlassian.net/browse/SO-1386?atlOrigin=eyJpIjoiYzgwYTQ0ZjEyNzQzNGJhN2JmNjEyZTM0NmRhZWZhNjIiLCJwIjoic2hlZXRzLWppcmEifQ","SO-1386")</f>
        <v>SO-1386</v>
      </c>
      <c r="H727" s="1" t="s">
        <v>1058</v>
      </c>
      <c r="I727" s="1" t="s">
        <v>1085</v>
      </c>
      <c r="J727" s="1" t="s">
        <v>26</v>
      </c>
      <c r="K727" s="1" t="s">
        <v>1116</v>
      </c>
      <c r="L727" s="1" t="s">
        <v>26</v>
      </c>
      <c r="M727" s="1" t="s">
        <v>27</v>
      </c>
      <c r="N727" s="1" t="s">
        <v>26</v>
      </c>
      <c r="O727" s="1" t="s">
        <v>26</v>
      </c>
      <c r="P727" s="4">
        <v>45393.72005787037</v>
      </c>
    </row>
    <row r="728" hidden="1">
      <c r="A728" s="1" t="s">
        <v>1055</v>
      </c>
      <c r="B728" s="3" t="str">
        <f>HYPERLINK("https://hawk-eye.atlassian.net/browse/HWKREPORT-2708?atlOrigin=eyJpIjoiYzgwYTQ0ZjEyNzQzNGJhN2JmNjEyZTM0NmRhZWZhNjIiLCJwIjoic2hlZXRzLWppcmEifQ","HWKREPORT-2708")</f>
        <v>HWKREPORT-2708</v>
      </c>
      <c r="C728" s="1" t="s">
        <v>1922</v>
      </c>
      <c r="D728" s="1" t="s">
        <v>48</v>
      </c>
      <c r="E728" s="1" t="s">
        <v>1057</v>
      </c>
      <c r="F728" s="4">
        <v>45393.731087962966</v>
      </c>
      <c r="G728" s="3" t="str">
        <f>HYPERLINK("https://hawk-eye.atlassian.net/browse/SO-1385?atlOrigin=eyJpIjoiYzgwYTQ0ZjEyNzQzNGJhN2JmNjEyZTM0NmRhZWZhNjIiLCJwIjoic2hlZXRzLWppcmEifQ","SO-1385")</f>
        <v>SO-1385</v>
      </c>
      <c r="H728" s="1" t="s">
        <v>1058</v>
      </c>
      <c r="I728" s="1" t="s">
        <v>1085</v>
      </c>
      <c r="J728" s="1" t="s">
        <v>26</v>
      </c>
      <c r="K728" s="1" t="s">
        <v>1348</v>
      </c>
      <c r="L728" s="1" t="s">
        <v>26</v>
      </c>
      <c r="M728" s="1" t="s">
        <v>27</v>
      </c>
      <c r="N728" s="1" t="s">
        <v>26</v>
      </c>
      <c r="O728" s="1" t="s">
        <v>26</v>
      </c>
      <c r="P728" s="4">
        <v>45393.731099537035</v>
      </c>
    </row>
    <row r="729" hidden="1">
      <c r="A729" s="1" t="s">
        <v>21</v>
      </c>
      <c r="B729" s="3" t="str">
        <f>HYPERLINK("https://hawk-eye.atlassian.net/browse/HWKREPORT-2709?atlOrigin=eyJpIjoiYzgwYTQ0ZjEyNzQzNGJhN2JmNjEyZTM0NmRhZWZhNjIiLCJwIjoic2hlZXRzLWppcmEifQ","HWKREPORT-2709")</f>
        <v>HWKREPORT-2709</v>
      </c>
      <c r="C729" s="1" t="s">
        <v>1923</v>
      </c>
      <c r="D729" s="1" t="s">
        <v>83</v>
      </c>
      <c r="E729" s="1" t="s">
        <v>1541</v>
      </c>
      <c r="F729" s="4">
        <v>45394.32230324074</v>
      </c>
      <c r="G729" s="3" t="str">
        <f>HYPERLINK("https://hawk-eye.atlassian.net/browse/RTT-8244?atlOrigin=eyJpIjoiYzgwYTQ0ZjEyNzQzNGJhN2JmNjEyZTM0NmRhZWZhNjIiLCJwIjoic2hlZXRzLWppcmEifQ","RTT-8244")</f>
        <v>RTT-8244</v>
      </c>
      <c r="H729" s="1" t="s">
        <v>1058</v>
      </c>
      <c r="I729" s="1" t="s">
        <v>1924</v>
      </c>
      <c r="J729" s="1" t="s">
        <v>26</v>
      </c>
      <c r="K729" s="1" t="s">
        <v>1925</v>
      </c>
      <c r="L729" s="1" t="s">
        <v>26</v>
      </c>
      <c r="M729" s="1" t="s">
        <v>27</v>
      </c>
      <c r="N729" s="1" t="s">
        <v>26</v>
      </c>
      <c r="O729" s="1" t="s">
        <v>26</v>
      </c>
      <c r="P729" s="4">
        <v>45565.476585648146</v>
      </c>
    </row>
    <row r="730" hidden="1">
      <c r="A730" s="1" t="s">
        <v>21</v>
      </c>
      <c r="B730" s="3" t="str">
        <f>HYPERLINK("https://hawk-eye.atlassian.net/browse/HWKREPORT-2710?atlOrigin=eyJpIjoiYzgwYTQ0ZjEyNzQzNGJhN2JmNjEyZTM0NmRhZWZhNjIiLCJwIjoic2hlZXRzLWppcmEifQ","HWKREPORT-2710")</f>
        <v>HWKREPORT-2710</v>
      </c>
      <c r="C730" s="1" t="s">
        <v>1926</v>
      </c>
      <c r="D730" s="1" t="s">
        <v>34</v>
      </c>
      <c r="E730" s="1" t="s">
        <v>35</v>
      </c>
      <c r="F730" s="4">
        <v>45394.606770833336</v>
      </c>
      <c r="G730" s="3" t="str">
        <f>HYPERLINK("https://hawk-eye.atlassian.net/browse/RTT-8246?atlOrigin=eyJpIjoiYzgwYTQ0ZjEyNzQzNGJhN2JmNjEyZTM0NmRhZWZhNjIiLCJwIjoic2hlZXRzLWppcmEifQ","RTT-8246")</f>
        <v>RTT-8246</v>
      </c>
      <c r="H730" s="1" t="s">
        <v>1058</v>
      </c>
      <c r="I730" s="1" t="s">
        <v>1071</v>
      </c>
      <c r="J730" s="1" t="s">
        <v>26</v>
      </c>
      <c r="K730" s="1" t="s">
        <v>1099</v>
      </c>
      <c r="L730" s="1" t="s">
        <v>26</v>
      </c>
      <c r="M730" s="1" t="s">
        <v>27</v>
      </c>
      <c r="N730" s="1" t="s">
        <v>26</v>
      </c>
      <c r="O730" s="1" t="s">
        <v>26</v>
      </c>
      <c r="P730" s="4">
        <v>45670.60920138889</v>
      </c>
    </row>
    <row r="731" hidden="1">
      <c r="A731" s="1" t="s">
        <v>21</v>
      </c>
      <c r="B731" s="3" t="str">
        <f>HYPERLINK("https://hawk-eye.atlassian.net/browse/HWKREPORT-2711?atlOrigin=eyJpIjoiYzgwYTQ0ZjEyNzQzNGJhN2JmNjEyZTM0NmRhZWZhNjIiLCJwIjoic2hlZXRzLWppcmEifQ","HWKREPORT-2711")</f>
        <v>HWKREPORT-2711</v>
      </c>
      <c r="C731" s="1" t="s">
        <v>1927</v>
      </c>
      <c r="D731" s="1" t="s">
        <v>23</v>
      </c>
      <c r="E731" s="1" t="s">
        <v>35</v>
      </c>
      <c r="F731" s="4">
        <v>45398.39381944444</v>
      </c>
      <c r="G731" s="3" t="str">
        <f>HYPERLINK("https://hawk-eye.atlassian.net/browse/GT-1469?atlOrigin=eyJpIjoiYzgwYTQ0ZjEyNzQzNGJhN2JmNjEyZTM0NmRhZWZhNjIiLCJwIjoic2hlZXRzLWppcmEifQ","GT-1469")</f>
        <v>GT-1469</v>
      </c>
      <c r="H731" s="1" t="s">
        <v>1058</v>
      </c>
      <c r="I731" s="1" t="s">
        <v>1126</v>
      </c>
      <c r="J731" s="1" t="s">
        <v>26</v>
      </c>
      <c r="K731" s="1" t="s">
        <v>1105</v>
      </c>
      <c r="L731" s="1" t="s">
        <v>26</v>
      </c>
      <c r="M731" s="1" t="s">
        <v>27</v>
      </c>
      <c r="N731" s="1" t="s">
        <v>26</v>
      </c>
      <c r="O731" s="1" t="s">
        <v>26</v>
      </c>
      <c r="P731" s="4">
        <v>45426.68818287037</v>
      </c>
    </row>
    <row r="732" hidden="1">
      <c r="A732" s="1" t="s">
        <v>1055</v>
      </c>
      <c r="B732" s="3" t="str">
        <f>HYPERLINK("https://hawk-eye.atlassian.net/browse/HWKREPORT-2712?atlOrigin=eyJpIjoiYzgwYTQ0ZjEyNzQzNGJhN2JmNjEyZTM0NmRhZWZhNjIiLCJwIjoic2hlZXRzLWppcmEifQ","HWKREPORT-2712")</f>
        <v>HWKREPORT-2712</v>
      </c>
      <c r="C732" s="1" t="s">
        <v>1928</v>
      </c>
      <c r="D732" s="1" t="s">
        <v>48</v>
      </c>
      <c r="E732" s="1" t="s">
        <v>35</v>
      </c>
      <c r="F732" s="4">
        <v>45398.77664351852</v>
      </c>
      <c r="G732" s="3" t="str">
        <f>HYPERLINK("https://hawk-eye.atlassian.net/browse/RTT-8308?atlOrigin=eyJpIjoiYzgwYTQ0ZjEyNzQzNGJhN2JmNjEyZTM0NmRhZWZhNjIiLCJwIjoic2hlZXRzLWppcmEifQ","RTT-8308")</f>
        <v>RTT-8308</v>
      </c>
      <c r="H732" s="1" t="s">
        <v>1058</v>
      </c>
      <c r="I732" s="1" t="s">
        <v>28</v>
      </c>
      <c r="J732" s="1" t="s">
        <v>26</v>
      </c>
      <c r="K732" s="1" t="s">
        <v>1072</v>
      </c>
      <c r="L732" s="1" t="s">
        <v>26</v>
      </c>
      <c r="M732" s="1" t="s">
        <v>27</v>
      </c>
      <c r="N732" s="1" t="s">
        <v>26</v>
      </c>
      <c r="O732" s="1" t="s">
        <v>26</v>
      </c>
      <c r="P732" s="4">
        <v>45411.41471064815</v>
      </c>
    </row>
    <row r="733" hidden="1">
      <c r="A733" s="1" t="s">
        <v>1055</v>
      </c>
      <c r="B733" s="3" t="str">
        <f>HYPERLINK("https://hawk-eye.atlassian.net/browse/HWKREPORT-2713?atlOrigin=eyJpIjoiYzgwYTQ0ZjEyNzQzNGJhN2JmNjEyZTM0NmRhZWZhNjIiLCJwIjoic2hlZXRzLWppcmEifQ","HWKREPORT-2713")</f>
        <v>HWKREPORT-2713</v>
      </c>
      <c r="C733" s="1" t="s">
        <v>1929</v>
      </c>
      <c r="D733" s="1" t="s">
        <v>48</v>
      </c>
      <c r="E733" s="1" t="s">
        <v>1057</v>
      </c>
      <c r="F733" s="4">
        <v>45399.406018518515</v>
      </c>
      <c r="G733" s="3" t="str">
        <f>HYPERLINK("https://hawk-eye.atlassian.net/browse/VARDICT-216?atlOrigin=eyJpIjoiYzgwYTQ0ZjEyNzQzNGJhN2JmNjEyZTM0NmRhZWZhNjIiLCJwIjoic2hlZXRzLWppcmEifQ","VARDICT-216")</f>
        <v>VARDICT-216</v>
      </c>
      <c r="H733" s="1" t="s">
        <v>1058</v>
      </c>
      <c r="I733" s="1" t="s">
        <v>1085</v>
      </c>
      <c r="J733" s="1" t="s">
        <v>26</v>
      </c>
      <c r="K733" s="1" t="s">
        <v>1290</v>
      </c>
      <c r="L733" s="1" t="s">
        <v>26</v>
      </c>
      <c r="M733" s="1" t="s">
        <v>27</v>
      </c>
      <c r="N733" s="1" t="s">
        <v>26</v>
      </c>
      <c r="O733" s="1" t="s">
        <v>26</v>
      </c>
      <c r="P733" s="4">
        <v>45399.40603009259</v>
      </c>
    </row>
    <row r="734" hidden="1">
      <c r="A734" s="1" t="s">
        <v>21</v>
      </c>
      <c r="B734" s="3" t="str">
        <f>HYPERLINK("https://hawk-eye.atlassian.net/browse/HWKREPORT-2714?atlOrigin=eyJpIjoiYzgwYTQ0ZjEyNzQzNGJhN2JmNjEyZTM0NmRhZWZhNjIiLCJwIjoic2hlZXRzLWppcmEifQ","HWKREPORT-2714")</f>
        <v>HWKREPORT-2714</v>
      </c>
      <c r="C734" s="1" t="s">
        <v>1930</v>
      </c>
      <c r="D734" s="1" t="s">
        <v>34</v>
      </c>
      <c r="E734" s="1" t="s">
        <v>1057</v>
      </c>
      <c r="F734" s="4">
        <v>45400.43715277778</v>
      </c>
      <c r="G734" s="3" t="str">
        <f t="shared" ref="G734:G736" si="70">HYPERLINK("https://hawk-eye.atlassian.net/browse/?atlOrigin=eyJpIjoiYzgwYTQ0ZjEyNzQzNGJhN2JmNjEyZTM0NmRhZWZhNjIiLCJwIjoic2hlZXRzLWppcmEifQ","")</f>
        <v/>
      </c>
      <c r="H734" s="1" t="s">
        <v>1058</v>
      </c>
      <c r="I734" s="1" t="s">
        <v>1085</v>
      </c>
      <c r="J734" s="1" t="s">
        <v>26</v>
      </c>
      <c r="K734" s="1" t="s">
        <v>1486</v>
      </c>
      <c r="L734" s="1" t="s">
        <v>26</v>
      </c>
      <c r="M734" s="1" t="s">
        <v>27</v>
      </c>
      <c r="N734" s="1" t="s">
        <v>26</v>
      </c>
      <c r="O734" s="1" t="s">
        <v>26</v>
      </c>
      <c r="P734" s="4">
        <v>45400.43716435185</v>
      </c>
    </row>
    <row r="735" hidden="1">
      <c r="A735" s="1" t="s">
        <v>1055</v>
      </c>
      <c r="B735" s="3" t="str">
        <f>HYPERLINK("https://hawk-eye.atlassian.net/browse/HWKREPORT-2715?atlOrigin=eyJpIjoiYzgwYTQ0ZjEyNzQzNGJhN2JmNjEyZTM0NmRhZWZhNjIiLCJwIjoic2hlZXRzLWppcmEifQ","HWKREPORT-2715")</f>
        <v>HWKREPORT-2715</v>
      </c>
      <c r="C735" s="1" t="s">
        <v>1931</v>
      </c>
      <c r="D735" s="1" t="s">
        <v>48</v>
      </c>
      <c r="E735" s="1" t="s">
        <v>1057</v>
      </c>
      <c r="F735" s="4">
        <v>45400.44417824074</v>
      </c>
      <c r="G735" s="3" t="str">
        <f t="shared" si="70"/>
        <v/>
      </c>
      <c r="H735" s="1" t="s">
        <v>1058</v>
      </c>
      <c r="I735" s="1" t="s">
        <v>1085</v>
      </c>
      <c r="J735" s="1" t="s">
        <v>26</v>
      </c>
      <c r="K735" s="1" t="s">
        <v>1072</v>
      </c>
      <c r="L735" s="1" t="s">
        <v>26</v>
      </c>
      <c r="M735" s="1" t="s">
        <v>27</v>
      </c>
      <c r="N735" s="1" t="s">
        <v>26</v>
      </c>
      <c r="O735" s="1" t="s">
        <v>26</v>
      </c>
      <c r="P735" s="4">
        <v>45400.444189814814</v>
      </c>
    </row>
    <row r="736" hidden="1">
      <c r="A736" s="1" t="s">
        <v>1055</v>
      </c>
      <c r="B736" s="3" t="str">
        <f>HYPERLINK("https://hawk-eye.atlassian.net/browse/HWKREPORT-2716?atlOrigin=eyJpIjoiYzgwYTQ0ZjEyNzQzNGJhN2JmNjEyZTM0NmRhZWZhNjIiLCJwIjoic2hlZXRzLWppcmEifQ","HWKREPORT-2716")</f>
        <v>HWKREPORT-2716</v>
      </c>
      <c r="C736" s="1" t="s">
        <v>1932</v>
      </c>
      <c r="D736" s="1" t="s">
        <v>48</v>
      </c>
      <c r="E736" s="1" t="s">
        <v>1057</v>
      </c>
      <c r="F736" s="4">
        <v>45400.45128472222</v>
      </c>
      <c r="G736" s="3" t="str">
        <f t="shared" si="70"/>
        <v/>
      </c>
      <c r="H736" s="1" t="s">
        <v>1058</v>
      </c>
      <c r="I736" s="1" t="s">
        <v>1085</v>
      </c>
      <c r="J736" s="1" t="s">
        <v>26</v>
      </c>
      <c r="K736" s="1" t="s">
        <v>1072</v>
      </c>
      <c r="L736" s="1" t="s">
        <v>26</v>
      </c>
      <c r="M736" s="1" t="s">
        <v>27</v>
      </c>
      <c r="N736" s="1" t="s">
        <v>26</v>
      </c>
      <c r="O736" s="1" t="s">
        <v>26</v>
      </c>
      <c r="P736" s="4">
        <v>45400.45130787037</v>
      </c>
    </row>
    <row r="737" hidden="1">
      <c r="A737" s="1" t="s">
        <v>21</v>
      </c>
      <c r="B737" s="3" t="str">
        <f>HYPERLINK("https://hawk-eye.atlassian.net/browse/HWKREPORT-2717?atlOrigin=eyJpIjoiYzgwYTQ0ZjEyNzQzNGJhN2JmNjEyZTM0NmRhZWZhNjIiLCJwIjoic2hlZXRzLWppcmEifQ","HWKREPORT-2717")</f>
        <v>HWKREPORT-2717</v>
      </c>
      <c r="C737" s="1" t="s">
        <v>1933</v>
      </c>
      <c r="D737" s="1" t="s">
        <v>40</v>
      </c>
      <c r="E737" s="1" t="s">
        <v>1207</v>
      </c>
      <c r="F737" s="4">
        <v>45401.62453703704</v>
      </c>
      <c r="G737" s="3" t="str">
        <f>HYPERLINK("https://hawk-eye.atlassian.net/browse/RTT-8262?atlOrigin=eyJpIjoiYzgwYTQ0ZjEyNzQzNGJhN2JmNjEyZTM0NmRhZWZhNjIiLCJwIjoic2hlZXRzLWppcmEifQ","RTT-8262")</f>
        <v>RTT-8262</v>
      </c>
      <c r="H737" s="1" t="s">
        <v>1058</v>
      </c>
      <c r="I737" s="1" t="s">
        <v>1085</v>
      </c>
      <c r="J737" s="1" t="s">
        <v>26</v>
      </c>
      <c r="K737" s="1" t="s">
        <v>1134</v>
      </c>
      <c r="L737" s="1" t="s">
        <v>26</v>
      </c>
      <c r="M737" s="1" t="s">
        <v>27</v>
      </c>
      <c r="N737" s="1" t="s">
        <v>26</v>
      </c>
      <c r="O737" s="1" t="s">
        <v>26</v>
      </c>
      <c r="P737" s="4">
        <v>45407.418657407405</v>
      </c>
    </row>
    <row r="738" hidden="1">
      <c r="A738" s="1" t="s">
        <v>21</v>
      </c>
      <c r="B738" s="3" t="str">
        <f>HYPERLINK("https://hawk-eye.atlassian.net/browse/HWKREPORT-2718?atlOrigin=eyJpIjoiYzgwYTQ0ZjEyNzQzNGJhN2JmNjEyZTM0NmRhZWZhNjIiLCJwIjoic2hlZXRzLWppcmEifQ","HWKREPORT-2718")</f>
        <v>HWKREPORT-2718</v>
      </c>
      <c r="C738" s="1" t="s">
        <v>1934</v>
      </c>
      <c r="D738" s="1" t="s">
        <v>83</v>
      </c>
      <c r="E738" s="1" t="s">
        <v>35</v>
      </c>
      <c r="F738" s="4">
        <v>45401.680659722224</v>
      </c>
      <c r="G738" s="3" t="str">
        <f>HYPERLINK("https://hawk-eye.atlassian.net/browse/TDP-2055?atlOrigin=eyJpIjoiYzgwYTQ0ZjEyNzQzNGJhN2JmNjEyZTM0NmRhZWZhNjIiLCJwIjoic2hlZXRzLWppcmEifQ","TDP-2055")</f>
        <v>TDP-2055</v>
      </c>
      <c r="H738" s="1" t="s">
        <v>1058</v>
      </c>
      <c r="I738" s="1" t="s">
        <v>1126</v>
      </c>
      <c r="J738" s="1" t="s">
        <v>26</v>
      </c>
      <c r="K738" s="1" t="s">
        <v>1211</v>
      </c>
      <c r="L738" s="1" t="s">
        <v>26</v>
      </c>
      <c r="M738" s="1" t="s">
        <v>27</v>
      </c>
      <c r="N738" s="1" t="s">
        <v>26</v>
      </c>
      <c r="O738" s="1" t="s">
        <v>26</v>
      </c>
      <c r="P738" s="4">
        <v>45447.74318287037</v>
      </c>
    </row>
    <row r="739" hidden="1">
      <c r="A739" s="1" t="s">
        <v>21</v>
      </c>
      <c r="B739" s="3" t="str">
        <f>HYPERLINK("https://hawk-eye.atlassian.net/browse/HWKREPORT-2719?atlOrigin=eyJpIjoiYzgwYTQ0ZjEyNzQzNGJhN2JmNjEyZTM0NmRhZWZhNjIiLCJwIjoic2hlZXRzLWppcmEifQ","HWKREPORT-2719")</f>
        <v>HWKREPORT-2719</v>
      </c>
      <c r="C739" s="1" t="s">
        <v>1935</v>
      </c>
      <c r="D739" s="1" t="s">
        <v>34</v>
      </c>
      <c r="E739" s="1" t="s">
        <v>35</v>
      </c>
      <c r="F739" s="4">
        <v>45401.76584490741</v>
      </c>
      <c r="G739" s="3" t="str">
        <f>HYPERLINK("https://hawk-eye.atlassian.net/browse/RTT-8274?atlOrigin=eyJpIjoiYzgwYTQ0ZjEyNzQzNGJhN2JmNjEyZTM0NmRhZWZhNjIiLCJwIjoic2hlZXRzLWppcmEifQ","RTT-8274")</f>
        <v>RTT-8274</v>
      </c>
      <c r="H739" s="1" t="s">
        <v>1058</v>
      </c>
      <c r="I739" s="1" t="s">
        <v>1071</v>
      </c>
      <c r="J739" s="1" t="s">
        <v>26</v>
      </c>
      <c r="K739" s="1" t="s">
        <v>1072</v>
      </c>
      <c r="L739" s="1" t="s">
        <v>26</v>
      </c>
      <c r="M739" s="1" t="s">
        <v>27</v>
      </c>
      <c r="N739" s="1" t="s">
        <v>26</v>
      </c>
      <c r="O739" s="1" t="s">
        <v>26</v>
      </c>
      <c r="P739" s="4">
        <v>45670.63570601852</v>
      </c>
    </row>
    <row r="740" hidden="1">
      <c r="A740" s="1" t="s">
        <v>21</v>
      </c>
      <c r="B740" s="3" t="str">
        <f>HYPERLINK("https://hawk-eye.atlassian.net/browse/HWKREPORT-2720?atlOrigin=eyJpIjoiYzgwYTQ0ZjEyNzQzNGJhN2JmNjEyZTM0NmRhZWZhNjIiLCJwIjoic2hlZXRzLWppcmEifQ","HWKREPORT-2720")</f>
        <v>HWKREPORT-2720</v>
      </c>
      <c r="C740" s="1" t="s">
        <v>1936</v>
      </c>
      <c r="D740" s="1" t="s">
        <v>40</v>
      </c>
      <c r="E740" s="1" t="s">
        <v>35</v>
      </c>
      <c r="F740" s="4">
        <v>45401.81783564815</v>
      </c>
      <c r="G740" s="3" t="str">
        <f>HYPERLINK("https://hawk-eye.atlassian.net/browse/CTF-427?atlOrigin=eyJpIjoiYzgwYTQ0ZjEyNzQzNGJhN2JmNjEyZTM0NmRhZWZhNjIiLCJwIjoic2hlZXRzLWppcmEifQ","CTF-427")</f>
        <v>CTF-427</v>
      </c>
      <c r="H740" s="1" t="s">
        <v>1058</v>
      </c>
      <c r="I740" s="1" t="s">
        <v>1071</v>
      </c>
      <c r="J740" s="1" t="s">
        <v>26</v>
      </c>
      <c r="K740" s="1" t="s">
        <v>1095</v>
      </c>
      <c r="L740" s="1" t="s">
        <v>26</v>
      </c>
      <c r="M740" s="1" t="s">
        <v>27</v>
      </c>
      <c r="N740" s="1" t="s">
        <v>26</v>
      </c>
      <c r="O740" s="1" t="s">
        <v>26</v>
      </c>
      <c r="P740" s="4">
        <v>45670.634571759256</v>
      </c>
    </row>
    <row r="741" hidden="1">
      <c r="A741" s="1" t="s">
        <v>1055</v>
      </c>
      <c r="B741" s="3" t="str">
        <f>HYPERLINK("https://hawk-eye.atlassian.net/browse/HWKREPORT-2721?atlOrigin=eyJpIjoiYzgwYTQ0ZjEyNzQzNGJhN2JmNjEyZTM0NmRhZWZhNjIiLCJwIjoic2hlZXRzLWppcmEifQ","HWKREPORT-2721")</f>
        <v>HWKREPORT-2721</v>
      </c>
      <c r="C741" s="1" t="s">
        <v>1937</v>
      </c>
      <c r="D741" s="1" t="s">
        <v>48</v>
      </c>
      <c r="E741" s="1" t="s">
        <v>1057</v>
      </c>
      <c r="F741" s="4">
        <v>45401.82892361111</v>
      </c>
      <c r="G741" s="3" t="str">
        <f>HYPERLINK("https://hawk-eye.atlassian.net/browse/?atlOrigin=eyJpIjoiYzgwYTQ0ZjEyNzQzNGJhN2JmNjEyZTM0NmRhZWZhNjIiLCJwIjoic2hlZXRzLWppcmEifQ","")</f>
        <v/>
      </c>
      <c r="H741" s="1" t="s">
        <v>1058</v>
      </c>
      <c r="I741" s="1" t="s">
        <v>1071</v>
      </c>
      <c r="J741" s="1" t="s">
        <v>26</v>
      </c>
      <c r="K741" s="1" t="s">
        <v>1095</v>
      </c>
      <c r="L741" s="1" t="s">
        <v>26</v>
      </c>
      <c r="M741" s="1" t="s">
        <v>27</v>
      </c>
      <c r="N741" s="1" t="s">
        <v>26</v>
      </c>
      <c r="O741" s="1" t="s">
        <v>26</v>
      </c>
      <c r="P741" s="4">
        <v>45401.828935185185</v>
      </c>
    </row>
    <row r="742" hidden="1">
      <c r="A742" s="1" t="s">
        <v>1055</v>
      </c>
      <c r="B742" s="3" t="str">
        <f>HYPERLINK("https://hawk-eye.atlassian.net/browse/HWKREPORT-2722?atlOrigin=eyJpIjoiYzgwYTQ0ZjEyNzQzNGJhN2JmNjEyZTM0NmRhZWZhNjIiLCJwIjoic2hlZXRzLWppcmEifQ","HWKREPORT-2722")</f>
        <v>HWKREPORT-2722</v>
      </c>
      <c r="C742" s="1" t="s">
        <v>1938</v>
      </c>
      <c r="D742" s="1" t="s">
        <v>48</v>
      </c>
      <c r="E742" s="1" t="s">
        <v>1207</v>
      </c>
      <c r="F742" s="4">
        <v>45401.829409722224</v>
      </c>
      <c r="G742" s="3" t="str">
        <f>HYPERLINK("https://hawk-eye.atlassian.net/browse/RTT-8257?atlOrigin=eyJpIjoiYzgwYTQ0ZjEyNzQzNGJhN2JmNjEyZTM0NmRhZWZhNjIiLCJwIjoic2hlZXRzLWppcmEifQ","RTT-8257")</f>
        <v>RTT-8257</v>
      </c>
      <c r="H742" s="1" t="s">
        <v>1058</v>
      </c>
      <c r="I742" s="1" t="s">
        <v>1085</v>
      </c>
      <c r="J742" s="1" t="s">
        <v>26</v>
      </c>
      <c r="K742" s="1" t="s">
        <v>1072</v>
      </c>
      <c r="L742" s="1" t="s">
        <v>26</v>
      </c>
      <c r="M742" s="1" t="s">
        <v>27</v>
      </c>
      <c r="N742" s="1" t="s">
        <v>26</v>
      </c>
      <c r="O742" s="1" t="s">
        <v>26</v>
      </c>
      <c r="P742" s="4">
        <v>45437.38613425926</v>
      </c>
    </row>
    <row r="743" hidden="1">
      <c r="A743" s="1" t="s">
        <v>21</v>
      </c>
      <c r="B743" s="3" t="str">
        <f>HYPERLINK("https://hawk-eye.atlassian.net/browse/HWKREPORT-2723?atlOrigin=eyJpIjoiYzgwYTQ0ZjEyNzQzNGJhN2JmNjEyZTM0NmRhZWZhNjIiLCJwIjoic2hlZXRzLWppcmEifQ","HWKREPORT-2723")</f>
        <v>HWKREPORT-2723</v>
      </c>
      <c r="C743" s="1" t="s">
        <v>1939</v>
      </c>
      <c r="D743" s="1" t="s">
        <v>23</v>
      </c>
      <c r="E743" s="1" t="s">
        <v>35</v>
      </c>
      <c r="F743" s="4">
        <v>45401.86672453704</v>
      </c>
      <c r="G743" s="3" t="str">
        <f>HYPERLINK("https://hawk-eye.atlassian.net/browse/?atlOrigin=eyJpIjoiYzgwYTQ0ZjEyNzQzNGJhN2JmNjEyZTM0NmRhZWZhNjIiLCJwIjoic2hlZXRzLWppcmEifQ","")</f>
        <v/>
      </c>
      <c r="H743" s="1" t="s">
        <v>1058</v>
      </c>
      <c r="I743" s="1" t="s">
        <v>1085</v>
      </c>
      <c r="J743" s="1" t="s">
        <v>26</v>
      </c>
      <c r="K743" s="1" t="s">
        <v>1834</v>
      </c>
      <c r="L743" s="1" t="s">
        <v>26</v>
      </c>
      <c r="M743" s="1" t="s">
        <v>27</v>
      </c>
      <c r="N743" s="1" t="s">
        <v>26</v>
      </c>
      <c r="O743" s="1" t="s">
        <v>26</v>
      </c>
      <c r="P743" s="4">
        <v>45611.46807870371</v>
      </c>
    </row>
    <row r="744" hidden="1">
      <c r="A744" s="1" t="s">
        <v>1055</v>
      </c>
      <c r="B744" s="3" t="str">
        <f>HYPERLINK("https://hawk-eye.atlassian.net/browse/HWKREPORT-2724?atlOrigin=eyJpIjoiYzgwYTQ0ZjEyNzQzNGJhN2JmNjEyZTM0NmRhZWZhNjIiLCJwIjoic2hlZXRzLWppcmEifQ","HWKREPORT-2724")</f>
        <v>HWKREPORT-2724</v>
      </c>
      <c r="C744" s="1" t="s">
        <v>1940</v>
      </c>
      <c r="D744" s="1" t="s">
        <v>48</v>
      </c>
      <c r="E744" s="1" t="s">
        <v>35</v>
      </c>
      <c r="F744" s="4">
        <v>45404.62304398148</v>
      </c>
      <c r="G744" s="3" t="str">
        <f>HYPERLINK("https://hawk-eye.atlassian.net/browse/RTT-8370?atlOrigin=eyJpIjoiYzgwYTQ0ZjEyNzQzNGJhN2JmNjEyZTM0NmRhZWZhNjIiLCJwIjoic2hlZXRzLWppcmEifQ","RTT-8370")</f>
        <v>RTT-8370</v>
      </c>
      <c r="H744" s="1" t="s">
        <v>1058</v>
      </c>
      <c r="I744" s="1" t="s">
        <v>1071</v>
      </c>
      <c r="J744" s="1" t="s">
        <v>26</v>
      </c>
      <c r="K744" s="1" t="s">
        <v>1143</v>
      </c>
      <c r="L744" s="1" t="s">
        <v>26</v>
      </c>
      <c r="M744" s="1" t="s">
        <v>27</v>
      </c>
      <c r="N744" s="1" t="s">
        <v>26</v>
      </c>
      <c r="O744" s="1" t="s">
        <v>26</v>
      </c>
      <c r="P744" s="4">
        <v>45670.60931712963</v>
      </c>
    </row>
    <row r="745" hidden="1">
      <c r="A745" s="1" t="s">
        <v>1055</v>
      </c>
      <c r="B745" s="3" t="str">
        <f>HYPERLINK("https://hawk-eye.atlassian.net/browse/HWKREPORT-2725?atlOrigin=eyJpIjoiYzgwYTQ0ZjEyNzQzNGJhN2JmNjEyZTM0NmRhZWZhNjIiLCJwIjoic2hlZXRzLWppcmEifQ","HWKREPORT-2725")</f>
        <v>HWKREPORT-2725</v>
      </c>
      <c r="C745" s="1" t="s">
        <v>1941</v>
      </c>
      <c r="D745" s="1" t="s">
        <v>48</v>
      </c>
      <c r="E745" s="1" t="s">
        <v>35</v>
      </c>
      <c r="F745" s="4">
        <v>45404.68456018518</v>
      </c>
      <c r="G745" s="3" t="str">
        <f>HYPERLINK("https://hawk-eye.atlassian.net/browse/RTT-8275?atlOrigin=eyJpIjoiYzgwYTQ0ZjEyNzQzNGJhN2JmNjEyZTM0NmRhZWZhNjIiLCJwIjoic2hlZXRzLWppcmEifQ","RTT-8275")</f>
        <v>RTT-8275</v>
      </c>
      <c r="H745" s="1" t="s">
        <v>1058</v>
      </c>
      <c r="I745" s="1" t="s">
        <v>1071</v>
      </c>
      <c r="J745" s="1" t="s">
        <v>26</v>
      </c>
      <c r="K745" s="1" t="s">
        <v>1072</v>
      </c>
      <c r="L745" s="1" t="s">
        <v>26</v>
      </c>
      <c r="M745" s="1" t="s">
        <v>27</v>
      </c>
      <c r="N745" s="1" t="s">
        <v>26</v>
      </c>
      <c r="O745" s="1" t="s">
        <v>26</v>
      </c>
      <c r="P745" s="4">
        <v>45670.64114583333</v>
      </c>
    </row>
    <row r="746" hidden="1">
      <c r="A746" s="1" t="s">
        <v>21</v>
      </c>
      <c r="B746" s="3" t="str">
        <f>HYPERLINK("https://hawk-eye.atlassian.net/browse/HWKREPORT-2726?atlOrigin=eyJpIjoiYzgwYTQ0ZjEyNzQzNGJhN2JmNjEyZTM0NmRhZWZhNjIiLCJwIjoic2hlZXRzLWppcmEifQ","HWKREPORT-2726")</f>
        <v>HWKREPORT-2726</v>
      </c>
      <c r="C746" s="1" t="s">
        <v>1942</v>
      </c>
      <c r="D746" s="1" t="s">
        <v>23</v>
      </c>
      <c r="E746" s="1" t="s">
        <v>1207</v>
      </c>
      <c r="F746" s="4">
        <v>45404.715787037036</v>
      </c>
      <c r="G746" s="3" t="str">
        <f>HYPERLINK("https://hawk-eye.atlassian.net/browse/RTT-8282?atlOrigin=eyJpIjoiYzgwYTQ0ZjEyNzQzNGJhN2JmNjEyZTM0NmRhZWZhNjIiLCJwIjoic2hlZXRzLWppcmEifQ","RTT-8282")</f>
        <v>RTT-8282</v>
      </c>
      <c r="H746" s="1" t="s">
        <v>1058</v>
      </c>
      <c r="I746" s="1" t="s">
        <v>1377</v>
      </c>
      <c r="J746" s="1" t="s">
        <v>26</v>
      </c>
      <c r="K746" s="1" t="s">
        <v>1241</v>
      </c>
      <c r="L746" s="1" t="s">
        <v>26</v>
      </c>
      <c r="M746" s="1" t="s">
        <v>27</v>
      </c>
      <c r="N746" s="1" t="s">
        <v>26</v>
      </c>
      <c r="O746" s="1" t="s">
        <v>26</v>
      </c>
      <c r="P746" s="4">
        <v>45492.72225694444</v>
      </c>
    </row>
    <row r="747" hidden="1">
      <c r="A747" s="1" t="s">
        <v>21</v>
      </c>
      <c r="B747" s="3" t="str">
        <f>HYPERLINK("https://hawk-eye.atlassian.net/browse/HWKREPORT-2727?atlOrigin=eyJpIjoiYzgwYTQ0ZjEyNzQzNGJhN2JmNjEyZTM0NmRhZWZhNjIiLCJwIjoic2hlZXRzLWppcmEifQ","HWKREPORT-2727")</f>
        <v>HWKREPORT-2727</v>
      </c>
      <c r="C747" s="1" t="s">
        <v>1943</v>
      </c>
      <c r="D747" s="1" t="s">
        <v>23</v>
      </c>
      <c r="E747" s="1" t="s">
        <v>1207</v>
      </c>
      <c r="F747" s="4">
        <v>45404.7284375</v>
      </c>
      <c r="G747" s="3" t="str">
        <f>HYPERLINK("https://hawk-eye.atlassian.net/browse/RTT-8281?atlOrigin=eyJpIjoiYzgwYTQ0ZjEyNzQzNGJhN2JmNjEyZTM0NmRhZWZhNjIiLCJwIjoic2hlZXRzLWppcmEifQ","RTT-8281")</f>
        <v>RTT-8281</v>
      </c>
      <c r="H747" s="1" t="s">
        <v>1058</v>
      </c>
      <c r="I747" s="1" t="s">
        <v>1377</v>
      </c>
      <c r="J747" s="1" t="s">
        <v>26</v>
      </c>
      <c r="K747" s="1" t="s">
        <v>1312</v>
      </c>
      <c r="L747" s="1" t="s">
        <v>26</v>
      </c>
      <c r="M747" s="1" t="s">
        <v>27</v>
      </c>
      <c r="N747" s="1" t="s">
        <v>26</v>
      </c>
      <c r="O747" s="1" t="s">
        <v>26</v>
      </c>
      <c r="P747" s="4">
        <v>45492.72341435185</v>
      </c>
    </row>
    <row r="748" hidden="1">
      <c r="A748" s="1" t="s">
        <v>21</v>
      </c>
      <c r="B748" s="3" t="str">
        <f>HYPERLINK("https://hawk-eye.atlassian.net/browse/HWKREPORT-2728?atlOrigin=eyJpIjoiYzgwYTQ0ZjEyNzQzNGJhN2JmNjEyZTM0NmRhZWZhNjIiLCJwIjoic2hlZXRzLWppcmEifQ","HWKREPORT-2728")</f>
        <v>HWKREPORT-2728</v>
      </c>
      <c r="C748" s="1" t="s">
        <v>1944</v>
      </c>
      <c r="D748" s="1" t="s">
        <v>23</v>
      </c>
      <c r="E748" s="1" t="s">
        <v>1057</v>
      </c>
      <c r="F748" s="4">
        <v>45404.74008101852</v>
      </c>
      <c r="G748" s="3" t="str">
        <f>HYPERLINK("https://hawk-eye.atlassian.net/browse/RTT-8280?atlOrigin=eyJpIjoiYzgwYTQ0ZjEyNzQzNGJhN2JmNjEyZTM0NmRhZWZhNjIiLCJwIjoic2hlZXRzLWppcmEifQ","RTT-8280")</f>
        <v>RTT-8280</v>
      </c>
      <c r="H748" s="1" t="s">
        <v>1058</v>
      </c>
      <c r="I748" s="1" t="s">
        <v>1377</v>
      </c>
      <c r="J748" s="1" t="s">
        <v>26</v>
      </c>
      <c r="K748" s="1" t="s">
        <v>1312</v>
      </c>
      <c r="L748" s="1" t="s">
        <v>26</v>
      </c>
      <c r="M748" s="1" t="s">
        <v>27</v>
      </c>
      <c r="N748" s="1" t="s">
        <v>26</v>
      </c>
      <c r="O748" s="1" t="s">
        <v>26</v>
      </c>
      <c r="P748" s="4">
        <v>45404.740115740744</v>
      </c>
    </row>
    <row r="749" hidden="1">
      <c r="A749" s="1" t="s">
        <v>21</v>
      </c>
      <c r="B749" s="3" t="str">
        <f>HYPERLINK("https://hawk-eye.atlassian.net/browse/HWKREPORT-2729?atlOrigin=eyJpIjoiYzgwYTQ0ZjEyNzQzNGJhN2JmNjEyZTM0NmRhZWZhNjIiLCJwIjoic2hlZXRzLWppcmEifQ","HWKREPORT-2729")</f>
        <v>HWKREPORT-2729</v>
      </c>
      <c r="C749" s="1" t="s">
        <v>1945</v>
      </c>
      <c r="D749" s="1" t="s">
        <v>23</v>
      </c>
      <c r="E749" s="1" t="s">
        <v>1057</v>
      </c>
      <c r="F749" s="4">
        <v>45404.74936342592</v>
      </c>
      <c r="G749" s="3" t="str">
        <f>HYPERLINK("https://hawk-eye.atlassian.net/browse/RTT-8279?atlOrigin=eyJpIjoiYzgwYTQ0ZjEyNzQzNGJhN2JmNjEyZTM0NmRhZWZhNjIiLCJwIjoic2hlZXRzLWppcmEifQ","RTT-8279")</f>
        <v>RTT-8279</v>
      </c>
      <c r="H749" s="1" t="s">
        <v>1058</v>
      </c>
      <c r="I749" s="1" t="s">
        <v>1377</v>
      </c>
      <c r="J749" s="1" t="s">
        <v>26</v>
      </c>
      <c r="K749" s="1" t="s">
        <v>1312</v>
      </c>
      <c r="L749" s="1" t="s">
        <v>26</v>
      </c>
      <c r="M749" s="1" t="s">
        <v>27</v>
      </c>
      <c r="N749" s="1" t="s">
        <v>26</v>
      </c>
      <c r="O749" s="1" t="s">
        <v>26</v>
      </c>
      <c r="P749" s="4">
        <v>45404.749375</v>
      </c>
    </row>
    <row r="750" hidden="1">
      <c r="A750" s="1" t="s">
        <v>1055</v>
      </c>
      <c r="B750" s="3" t="str">
        <f>HYPERLINK("https://hawk-eye.atlassian.net/browse/HWKREPORT-2730?atlOrigin=eyJpIjoiYzgwYTQ0ZjEyNzQzNGJhN2JmNjEyZTM0NmRhZWZhNjIiLCJwIjoic2hlZXRzLWppcmEifQ","HWKREPORT-2730")</f>
        <v>HWKREPORT-2730</v>
      </c>
      <c r="C750" s="1" t="s">
        <v>1946</v>
      </c>
      <c r="D750" s="1" t="s">
        <v>48</v>
      </c>
      <c r="E750" s="1" t="s">
        <v>1057</v>
      </c>
      <c r="F750" s="4">
        <v>45404.797685185185</v>
      </c>
      <c r="G750" s="3" t="str">
        <f t="shared" ref="G750:G751" si="71">HYPERLINK("https://hawk-eye.atlassian.net/browse/?atlOrigin=eyJpIjoiYzgwYTQ0ZjEyNzQzNGJhN2JmNjEyZTM0NmRhZWZhNjIiLCJwIjoic2hlZXRzLWppcmEifQ","")</f>
        <v/>
      </c>
      <c r="H750" s="1" t="s">
        <v>1058</v>
      </c>
      <c r="I750" s="1" t="s">
        <v>1085</v>
      </c>
      <c r="J750" s="1" t="s">
        <v>26</v>
      </c>
      <c r="K750" s="1" t="s">
        <v>1143</v>
      </c>
      <c r="L750" s="1" t="s">
        <v>26</v>
      </c>
      <c r="M750" s="1" t="s">
        <v>27</v>
      </c>
      <c r="N750" s="1" t="s">
        <v>26</v>
      </c>
      <c r="O750" s="1" t="s">
        <v>26</v>
      </c>
      <c r="P750" s="4">
        <v>45404.79769675926</v>
      </c>
    </row>
    <row r="751" hidden="1">
      <c r="A751" s="1" t="s">
        <v>21</v>
      </c>
      <c r="B751" s="3" t="str">
        <f>HYPERLINK("https://hawk-eye.atlassian.net/browse/HWKREPORT-2731?atlOrigin=eyJpIjoiYzgwYTQ0ZjEyNzQzNGJhN2JmNjEyZTM0NmRhZWZhNjIiLCJwIjoic2hlZXRzLWppcmEifQ","HWKREPORT-2731")</f>
        <v>HWKREPORT-2731</v>
      </c>
      <c r="C751" s="1" t="s">
        <v>1947</v>
      </c>
      <c r="D751" s="1" t="s">
        <v>34</v>
      </c>
      <c r="E751" s="1" t="s">
        <v>1057</v>
      </c>
      <c r="F751" s="4">
        <v>45405.561261574076</v>
      </c>
      <c r="G751" s="3" t="str">
        <f t="shared" si="71"/>
        <v/>
      </c>
      <c r="H751" s="1" t="s">
        <v>1058</v>
      </c>
      <c r="I751" s="1" t="s">
        <v>1126</v>
      </c>
      <c r="J751" s="1" t="s">
        <v>26</v>
      </c>
      <c r="K751" s="1" t="s">
        <v>1127</v>
      </c>
      <c r="L751" s="1" t="s">
        <v>26</v>
      </c>
      <c r="M751" s="1" t="s">
        <v>27</v>
      </c>
      <c r="N751" s="1" t="s">
        <v>26</v>
      </c>
      <c r="O751" s="1" t="s">
        <v>26</v>
      </c>
      <c r="P751" s="4">
        <v>45405.561261574076</v>
      </c>
    </row>
    <row r="752" hidden="1">
      <c r="A752" s="1" t="s">
        <v>1055</v>
      </c>
      <c r="B752" s="3" t="str">
        <f>HYPERLINK("https://hawk-eye.atlassian.net/browse/HWKREPORT-2732?atlOrigin=eyJpIjoiYzgwYTQ0ZjEyNzQzNGJhN2JmNjEyZTM0NmRhZWZhNjIiLCJwIjoic2hlZXRzLWppcmEifQ","HWKREPORT-2732")</f>
        <v>HWKREPORT-2732</v>
      </c>
      <c r="C752" s="1" t="s">
        <v>1948</v>
      </c>
      <c r="D752" s="1" t="s">
        <v>48</v>
      </c>
      <c r="E752" s="1" t="s">
        <v>35</v>
      </c>
      <c r="F752" s="4">
        <v>45408.42597222222</v>
      </c>
      <c r="G752" s="3" t="str">
        <f>HYPERLINK("https://hawk-eye.atlassian.net/browse/TDP-2050?atlOrigin=eyJpIjoiYzgwYTQ0ZjEyNzQzNGJhN2JmNjEyZTM0NmRhZWZhNjIiLCJwIjoic2hlZXRzLWppcmEifQ","TDP-2050")</f>
        <v>TDP-2050</v>
      </c>
      <c r="H752" s="1" t="s">
        <v>1058</v>
      </c>
      <c r="I752" s="1" t="s">
        <v>1126</v>
      </c>
      <c r="J752" s="1" t="s">
        <v>26</v>
      </c>
      <c r="K752" s="1" t="s">
        <v>1211</v>
      </c>
      <c r="L752" s="1" t="s">
        <v>26</v>
      </c>
      <c r="M752" s="1" t="s">
        <v>27</v>
      </c>
      <c r="N752" s="1" t="s">
        <v>26</v>
      </c>
      <c r="O752" s="1" t="s">
        <v>26</v>
      </c>
      <c r="P752" s="4">
        <v>45544.578738425924</v>
      </c>
    </row>
    <row r="753" hidden="1">
      <c r="A753" s="1" t="s">
        <v>21</v>
      </c>
      <c r="B753" s="3" t="str">
        <f>HYPERLINK("https://hawk-eye.atlassian.net/browse/HWKREPORT-2733?atlOrigin=eyJpIjoiYzgwYTQ0ZjEyNzQzNGJhN2JmNjEyZTM0NmRhZWZhNjIiLCJwIjoic2hlZXRzLWppcmEifQ","HWKREPORT-2733")</f>
        <v>HWKREPORT-2733</v>
      </c>
      <c r="C753" s="1" t="s">
        <v>1949</v>
      </c>
      <c r="D753" s="1" t="s">
        <v>83</v>
      </c>
      <c r="E753" s="1" t="s">
        <v>35</v>
      </c>
      <c r="F753" s="4">
        <v>45408.751875</v>
      </c>
      <c r="G753" s="3" t="str">
        <f>HYPERLINK("https://hawk-eye.atlassian.net/browse/?atlOrigin=eyJpIjoiYzgwYTQ0ZjEyNzQzNGJhN2JmNjEyZTM0NmRhZWZhNjIiLCJwIjoic2hlZXRzLWppcmEifQ","")</f>
        <v/>
      </c>
      <c r="H753" s="1" t="s">
        <v>1058</v>
      </c>
      <c r="I753" s="1" t="s">
        <v>1071</v>
      </c>
      <c r="J753" s="1" t="s">
        <v>26</v>
      </c>
      <c r="K753" s="1" t="s">
        <v>1355</v>
      </c>
      <c r="L753" s="1" t="s">
        <v>26</v>
      </c>
      <c r="M753" s="1" t="s">
        <v>27</v>
      </c>
      <c r="N753" s="1" t="s">
        <v>26</v>
      </c>
      <c r="O753" s="1" t="s">
        <v>26</v>
      </c>
      <c r="P753" s="4">
        <v>45768.60519675926</v>
      </c>
    </row>
    <row r="754" hidden="1">
      <c r="A754" s="1" t="s">
        <v>21</v>
      </c>
      <c r="B754" s="3" t="str">
        <f>HYPERLINK("https://hawk-eye.atlassian.net/browse/HWKREPORT-2734?atlOrigin=eyJpIjoiYzgwYTQ0ZjEyNzQzNGJhN2JmNjEyZTM0NmRhZWZhNjIiLCJwIjoic2hlZXRzLWppcmEifQ","HWKREPORT-2734")</f>
        <v>HWKREPORT-2734</v>
      </c>
      <c r="C754" s="1" t="s">
        <v>1950</v>
      </c>
      <c r="D754" s="1" t="s">
        <v>23</v>
      </c>
      <c r="E754" s="1" t="s">
        <v>35</v>
      </c>
      <c r="F754" s="4">
        <v>45411.73556712963</v>
      </c>
      <c r="G754" s="3" t="str">
        <f>HYPERLINK("https://hawk-eye.atlassian.net/browse/TMP-137?atlOrigin=eyJpIjoiYzgwYTQ0ZjEyNzQzNGJhN2JmNjEyZTM0NmRhZWZhNjIiLCJwIjoic2hlZXRzLWppcmEifQ","TMP-137")</f>
        <v>TMP-137</v>
      </c>
      <c r="H754" s="1" t="s">
        <v>1058</v>
      </c>
      <c r="I754" s="1" t="s">
        <v>1126</v>
      </c>
      <c r="J754" s="1" t="s">
        <v>26</v>
      </c>
      <c r="K754" s="1" t="s">
        <v>1211</v>
      </c>
      <c r="L754" s="1" t="s">
        <v>26</v>
      </c>
      <c r="M754" s="1" t="s">
        <v>27</v>
      </c>
      <c r="N754" s="1" t="s">
        <v>26</v>
      </c>
      <c r="O754" s="1" t="s">
        <v>26</v>
      </c>
      <c r="P754" s="4">
        <v>45436.47175925926</v>
      </c>
    </row>
    <row r="755" hidden="1">
      <c r="A755" s="1" t="s">
        <v>21</v>
      </c>
      <c r="B755" s="3" t="str">
        <f>HYPERLINK("https://hawk-eye.atlassian.net/browse/HWKREPORT-2735?atlOrigin=eyJpIjoiYzgwYTQ0ZjEyNzQzNGJhN2JmNjEyZTM0NmRhZWZhNjIiLCJwIjoic2hlZXRzLWppcmEifQ","HWKREPORT-2735")</f>
        <v>HWKREPORT-2735</v>
      </c>
      <c r="C755" s="1" t="s">
        <v>1951</v>
      </c>
      <c r="D755" s="1" t="s">
        <v>40</v>
      </c>
      <c r="E755" s="1" t="s">
        <v>35</v>
      </c>
      <c r="F755" s="4">
        <v>45411.748136574075</v>
      </c>
      <c r="G755" s="3" t="str">
        <f>HYPERLINK("https://hawk-eye.atlassian.net/browse/BDP-1855?atlOrigin=eyJpIjoiYzgwYTQ0ZjEyNzQzNGJhN2JmNjEyZTM0NmRhZWZhNjIiLCJwIjoic2hlZXRzLWppcmEifQ","BDP-1855")</f>
        <v>BDP-1855</v>
      </c>
      <c r="H755" s="1" t="s">
        <v>1058</v>
      </c>
      <c r="I755" s="1" t="s">
        <v>1071</v>
      </c>
      <c r="J755" s="1" t="s">
        <v>26</v>
      </c>
      <c r="K755" s="1" t="s">
        <v>1095</v>
      </c>
      <c r="L755" s="1" t="s">
        <v>26</v>
      </c>
      <c r="M755" s="1" t="s">
        <v>27</v>
      </c>
      <c r="N755" s="1" t="s">
        <v>26</v>
      </c>
      <c r="O755" s="1" t="s">
        <v>26</v>
      </c>
      <c r="P755" s="4">
        <v>45670.68693287037</v>
      </c>
    </row>
    <row r="756" hidden="1">
      <c r="A756" s="1" t="s">
        <v>21</v>
      </c>
      <c r="B756" s="3" t="str">
        <f>HYPERLINK("https://hawk-eye.atlassian.net/browse/HWKREPORT-2736?atlOrigin=eyJpIjoiYzgwYTQ0ZjEyNzQzNGJhN2JmNjEyZTM0NmRhZWZhNjIiLCJwIjoic2hlZXRzLWppcmEifQ","HWKREPORT-2736")</f>
        <v>HWKREPORT-2736</v>
      </c>
      <c r="C756" s="1" t="s">
        <v>1952</v>
      </c>
      <c r="D756" s="1" t="s">
        <v>40</v>
      </c>
      <c r="E756" s="1" t="s">
        <v>35</v>
      </c>
      <c r="F756" s="4">
        <v>45411.748460648145</v>
      </c>
      <c r="G756" s="3" t="str">
        <f t="shared" ref="G756:G757" si="72">HYPERLINK("https://hawk-eye.atlassian.net/browse/?atlOrigin=eyJpIjoiYzgwYTQ0ZjEyNzQzNGJhN2JmNjEyZTM0NmRhZWZhNjIiLCJwIjoic2hlZXRzLWppcmEifQ","")</f>
        <v/>
      </c>
      <c r="H756" s="1" t="s">
        <v>1058</v>
      </c>
      <c r="I756" s="1" t="s">
        <v>1085</v>
      </c>
      <c r="J756" s="1" t="s">
        <v>26</v>
      </c>
      <c r="K756" s="1" t="s">
        <v>1134</v>
      </c>
      <c r="L756" s="1" t="s">
        <v>26</v>
      </c>
      <c r="M756" s="1" t="s">
        <v>27</v>
      </c>
      <c r="N756" s="1" t="s">
        <v>26</v>
      </c>
      <c r="O756" s="1" t="s">
        <v>26</v>
      </c>
      <c r="P756" s="4">
        <v>45727.54912037037</v>
      </c>
    </row>
    <row r="757" hidden="1">
      <c r="A757" s="1" t="s">
        <v>21</v>
      </c>
      <c r="B757" s="3" t="str">
        <f>HYPERLINK("https://hawk-eye.atlassian.net/browse/HWKREPORT-2737?atlOrigin=eyJpIjoiYzgwYTQ0ZjEyNzQzNGJhN2JmNjEyZTM0NmRhZWZhNjIiLCJwIjoic2hlZXRzLWppcmEifQ","HWKREPORT-2737")</f>
        <v>HWKREPORT-2737</v>
      </c>
      <c r="C757" s="1" t="s">
        <v>1953</v>
      </c>
      <c r="D757" s="1" t="s">
        <v>48</v>
      </c>
      <c r="E757" s="1" t="s">
        <v>1057</v>
      </c>
      <c r="F757" s="4">
        <v>45411.79613425926</v>
      </c>
      <c r="G757" s="3" t="str">
        <f t="shared" si="72"/>
        <v/>
      </c>
      <c r="H757" s="1" t="s">
        <v>1058</v>
      </c>
      <c r="I757" s="1" t="s">
        <v>1126</v>
      </c>
      <c r="J757" s="1" t="s">
        <v>26</v>
      </c>
      <c r="K757" s="1" t="s">
        <v>1211</v>
      </c>
      <c r="L757" s="1" t="s">
        <v>26</v>
      </c>
      <c r="M757" s="1" t="s">
        <v>27</v>
      </c>
      <c r="N757" s="1" t="s">
        <v>26</v>
      </c>
      <c r="O757" s="1" t="s">
        <v>26</v>
      </c>
      <c r="P757" s="4">
        <v>45411.79614583333</v>
      </c>
    </row>
    <row r="758" hidden="1">
      <c r="A758" s="1" t="s">
        <v>21</v>
      </c>
      <c r="B758" s="3" t="str">
        <f>HYPERLINK("https://hawk-eye.atlassian.net/browse/HWKREPORT-2738?atlOrigin=eyJpIjoiYzgwYTQ0ZjEyNzQzNGJhN2JmNjEyZTM0NmRhZWZhNjIiLCJwIjoic2hlZXRzLWppcmEifQ","HWKREPORT-2738")</f>
        <v>HWKREPORT-2738</v>
      </c>
      <c r="C758" s="1" t="s">
        <v>1954</v>
      </c>
      <c r="D758" s="1" t="s">
        <v>23</v>
      </c>
      <c r="E758" s="1" t="s">
        <v>35</v>
      </c>
      <c r="F758" s="4">
        <v>45412.62888888889</v>
      </c>
      <c r="G758" s="3" t="str">
        <f>HYPERLINK("https://hawk-eye.atlassian.net/browse/SO-1416?atlOrigin=eyJpIjoiYzgwYTQ0ZjEyNzQzNGJhN2JmNjEyZTM0NmRhZWZhNjIiLCJwIjoic2hlZXRzLWppcmEifQ","SO-1416")</f>
        <v>SO-1416</v>
      </c>
      <c r="H758" s="1" t="s">
        <v>1058</v>
      </c>
      <c r="I758" s="1" t="s">
        <v>1085</v>
      </c>
      <c r="J758" s="1" t="s">
        <v>26</v>
      </c>
      <c r="K758" s="1" t="s">
        <v>1116</v>
      </c>
      <c r="L758" s="1" t="s">
        <v>26</v>
      </c>
      <c r="M758" s="1" t="s">
        <v>27</v>
      </c>
      <c r="N758" s="1" t="s">
        <v>26</v>
      </c>
      <c r="O758" s="1" t="s">
        <v>26</v>
      </c>
      <c r="P758" s="4">
        <v>45680.581828703704</v>
      </c>
    </row>
    <row r="759" hidden="1">
      <c r="A759" s="1" t="s">
        <v>21</v>
      </c>
      <c r="B759" s="3" t="str">
        <f>HYPERLINK("https://hawk-eye.atlassian.net/browse/HWKREPORT-2739?atlOrigin=eyJpIjoiYzgwYTQ0ZjEyNzQzNGJhN2JmNjEyZTM0NmRhZWZhNjIiLCJwIjoic2hlZXRzLWppcmEifQ","HWKREPORT-2739")</f>
        <v>HWKREPORT-2739</v>
      </c>
      <c r="C759" s="1" t="s">
        <v>1955</v>
      </c>
      <c r="D759" s="1" t="s">
        <v>83</v>
      </c>
      <c r="E759" s="1" t="s">
        <v>35</v>
      </c>
      <c r="F759" s="4">
        <v>45412.72858796296</v>
      </c>
      <c r="G759" s="3" t="str">
        <f>HYPERLINK("https://hawk-eye.atlassian.net/browse/TDP-2030?atlOrigin=eyJpIjoiYzgwYTQ0ZjEyNzQzNGJhN2JmNjEyZTM0NmRhZWZhNjIiLCJwIjoic2hlZXRzLWppcmEifQ","TDP-2030")</f>
        <v>TDP-2030</v>
      </c>
      <c r="H759" s="1" t="s">
        <v>1058</v>
      </c>
      <c r="I759" s="1" t="s">
        <v>1126</v>
      </c>
      <c r="J759" s="1" t="s">
        <v>26</v>
      </c>
      <c r="K759" s="1" t="s">
        <v>1211</v>
      </c>
      <c r="L759" s="1" t="s">
        <v>26</v>
      </c>
      <c r="M759" s="1" t="s">
        <v>27</v>
      </c>
      <c r="N759" s="1" t="s">
        <v>26</v>
      </c>
      <c r="O759" s="1" t="s">
        <v>26</v>
      </c>
      <c r="P759" s="4">
        <v>45436.472337962965</v>
      </c>
    </row>
    <row r="760" hidden="1">
      <c r="A760" s="1" t="s">
        <v>21</v>
      </c>
      <c r="B760" s="3" t="str">
        <f>HYPERLINK("https://hawk-eye.atlassian.net/browse/HWKREPORT-2740?atlOrigin=eyJpIjoiYzgwYTQ0ZjEyNzQzNGJhN2JmNjEyZTM0NmRhZWZhNjIiLCJwIjoic2hlZXRzLWppcmEifQ","HWKREPORT-2740")</f>
        <v>HWKREPORT-2740</v>
      </c>
      <c r="C760" s="1" t="s">
        <v>1956</v>
      </c>
      <c r="D760" s="1" t="s">
        <v>40</v>
      </c>
      <c r="E760" s="1" t="s">
        <v>1057</v>
      </c>
      <c r="F760" s="4">
        <v>45413.311111111114</v>
      </c>
      <c r="G760" s="3" t="str">
        <f>HYPERLINK("https://hawk-eye.atlassian.net/browse/RTT-8319?atlOrigin=eyJpIjoiYzgwYTQ0ZjEyNzQzNGJhN2JmNjEyZTM0NmRhZWZhNjIiLCJwIjoic2hlZXRzLWppcmEifQ","RTT-8319")</f>
        <v>RTT-8319</v>
      </c>
      <c r="H760" s="1" t="s">
        <v>1058</v>
      </c>
      <c r="I760" s="1" t="s">
        <v>1377</v>
      </c>
      <c r="J760" s="1" t="s">
        <v>26</v>
      </c>
      <c r="K760" s="1" t="s">
        <v>1312</v>
      </c>
      <c r="L760" s="1" t="s">
        <v>26</v>
      </c>
      <c r="M760" s="1" t="s">
        <v>27</v>
      </c>
      <c r="N760" s="1" t="s">
        <v>26</v>
      </c>
      <c r="O760" s="1" t="s">
        <v>26</v>
      </c>
      <c r="P760" s="4">
        <v>45413.31112268518</v>
      </c>
    </row>
    <row r="761" hidden="1">
      <c r="A761" s="1" t="s">
        <v>21</v>
      </c>
      <c r="B761" s="3" t="str">
        <f>HYPERLINK("https://hawk-eye.atlassian.net/browse/HWKREPORT-2741?atlOrigin=eyJpIjoiYzgwYTQ0ZjEyNzQzNGJhN2JmNjEyZTM0NmRhZWZhNjIiLCJwIjoic2hlZXRzLWppcmEifQ","HWKREPORT-2741")</f>
        <v>HWKREPORT-2741</v>
      </c>
      <c r="C761" s="1" t="s">
        <v>1957</v>
      </c>
      <c r="D761" s="1" t="s">
        <v>34</v>
      </c>
      <c r="E761" s="1" t="s">
        <v>35</v>
      </c>
      <c r="F761" s="4">
        <v>45414.39745370371</v>
      </c>
      <c r="G761" s="3" t="str">
        <f t="shared" ref="G761:G763" si="73">HYPERLINK("https://hawk-eye.atlassian.net/browse/?atlOrigin=eyJpIjoiYzgwYTQ0ZjEyNzQzNGJhN2JmNjEyZTM0NmRhZWZhNjIiLCJwIjoic2hlZXRzLWppcmEifQ","")</f>
        <v/>
      </c>
      <c r="H761" s="1" t="s">
        <v>1058</v>
      </c>
      <c r="I761" s="1" t="s">
        <v>1126</v>
      </c>
      <c r="J761" s="1" t="s">
        <v>26</v>
      </c>
      <c r="K761" s="1" t="s">
        <v>1211</v>
      </c>
      <c r="L761" s="1" t="s">
        <v>26</v>
      </c>
      <c r="M761" s="1" t="s">
        <v>27</v>
      </c>
      <c r="N761" s="1" t="s">
        <v>26</v>
      </c>
      <c r="O761" s="1" t="s">
        <v>26</v>
      </c>
      <c r="P761" s="4">
        <v>45436.472280092596</v>
      </c>
    </row>
    <row r="762" hidden="1">
      <c r="A762" s="1" t="s">
        <v>21</v>
      </c>
      <c r="B762" s="3" t="str">
        <f>HYPERLINK("https://hawk-eye.atlassian.net/browse/HWKREPORT-2742?atlOrigin=eyJpIjoiYzgwYTQ0ZjEyNzQzNGJhN2JmNjEyZTM0NmRhZWZhNjIiLCJwIjoic2hlZXRzLWppcmEifQ","HWKREPORT-2742")</f>
        <v>HWKREPORT-2742</v>
      </c>
      <c r="C762" s="1" t="s">
        <v>1958</v>
      </c>
      <c r="D762" s="1" t="s">
        <v>23</v>
      </c>
      <c r="E762" s="1" t="s">
        <v>1057</v>
      </c>
      <c r="F762" s="4">
        <v>45414.403703703705</v>
      </c>
      <c r="G762" s="3" t="str">
        <f t="shared" si="73"/>
        <v/>
      </c>
      <c r="H762" s="1" t="s">
        <v>1058</v>
      </c>
      <c r="I762" s="1" t="s">
        <v>1082</v>
      </c>
      <c r="J762" s="1" t="s">
        <v>26</v>
      </c>
      <c r="K762" s="1" t="s">
        <v>1105</v>
      </c>
      <c r="L762" s="1" t="s">
        <v>26</v>
      </c>
      <c r="M762" s="1" t="s">
        <v>27</v>
      </c>
      <c r="N762" s="1" t="s">
        <v>26</v>
      </c>
      <c r="O762" s="1" t="s">
        <v>26</v>
      </c>
      <c r="P762" s="4">
        <v>45414.403703703705</v>
      </c>
    </row>
    <row r="763" hidden="1">
      <c r="A763" s="1" t="s">
        <v>21</v>
      </c>
      <c r="B763" s="3" t="str">
        <f>HYPERLINK("https://hawk-eye.atlassian.net/browse/HWKREPORT-2743?atlOrigin=eyJpIjoiYzgwYTQ0ZjEyNzQzNGJhN2JmNjEyZTM0NmRhZWZhNjIiLCJwIjoic2hlZXRzLWppcmEifQ","HWKREPORT-2743")</f>
        <v>HWKREPORT-2743</v>
      </c>
      <c r="C763" s="1" t="s">
        <v>1959</v>
      </c>
      <c r="D763" s="1" t="s">
        <v>34</v>
      </c>
      <c r="E763" s="1" t="s">
        <v>35</v>
      </c>
      <c r="F763" s="4">
        <v>45414.45274305555</v>
      </c>
      <c r="G763" s="3" t="str">
        <f t="shared" si="73"/>
        <v/>
      </c>
      <c r="H763" s="1" t="s">
        <v>1058</v>
      </c>
      <c r="I763" s="1" t="s">
        <v>1126</v>
      </c>
      <c r="J763" s="1" t="s">
        <v>26</v>
      </c>
      <c r="K763" s="1" t="s">
        <v>1211</v>
      </c>
      <c r="L763" s="1" t="s">
        <v>26</v>
      </c>
      <c r="M763" s="1" t="s">
        <v>27</v>
      </c>
      <c r="N763" s="1" t="s">
        <v>26</v>
      </c>
      <c r="O763" s="1" t="s">
        <v>26</v>
      </c>
      <c r="P763" s="4">
        <v>45436.4721875</v>
      </c>
    </row>
    <row r="764" hidden="1">
      <c r="A764" s="1" t="s">
        <v>21</v>
      </c>
      <c r="B764" s="3" t="str">
        <f>HYPERLINK("https://hawk-eye.atlassian.net/browse/HWKREPORT-2744?atlOrigin=eyJpIjoiYzgwYTQ0ZjEyNzQzNGJhN2JmNjEyZTM0NmRhZWZhNjIiLCJwIjoic2hlZXRzLWppcmEifQ","HWKREPORT-2744")</f>
        <v>HWKREPORT-2744</v>
      </c>
      <c r="C764" s="1" t="s">
        <v>1960</v>
      </c>
      <c r="D764" s="1" t="s">
        <v>48</v>
      </c>
      <c r="E764" s="1" t="s">
        <v>35</v>
      </c>
      <c r="F764" s="4">
        <v>45414.45704861111</v>
      </c>
      <c r="G764" s="3" t="str">
        <f>HYPERLINK("https://hawk-eye.atlassian.net/browse/TDP-2068?atlOrigin=eyJpIjoiYzgwYTQ0ZjEyNzQzNGJhN2JmNjEyZTM0NmRhZWZhNjIiLCJwIjoic2hlZXRzLWppcmEifQ","TDP-2068")</f>
        <v>TDP-2068</v>
      </c>
      <c r="H764" s="1" t="s">
        <v>1058</v>
      </c>
      <c r="I764" s="1" t="s">
        <v>1126</v>
      </c>
      <c r="J764" s="1" t="s">
        <v>26</v>
      </c>
      <c r="K764" s="1" t="s">
        <v>1211</v>
      </c>
      <c r="L764" s="1" t="s">
        <v>26</v>
      </c>
      <c r="M764" s="1" t="s">
        <v>27</v>
      </c>
      <c r="N764" s="1" t="s">
        <v>26</v>
      </c>
      <c r="O764" s="1" t="s">
        <v>26</v>
      </c>
      <c r="P764" s="4">
        <v>45457.44179398148</v>
      </c>
    </row>
    <row r="765" hidden="1">
      <c r="A765" s="1" t="s">
        <v>21</v>
      </c>
      <c r="B765" s="3" t="str">
        <f>HYPERLINK("https://hawk-eye.atlassian.net/browse/HWKREPORT-2745?atlOrigin=eyJpIjoiYzgwYTQ0ZjEyNzQzNGJhN2JmNjEyZTM0NmRhZWZhNjIiLCJwIjoic2hlZXRzLWppcmEifQ","HWKREPORT-2745")</f>
        <v>HWKREPORT-2745</v>
      </c>
      <c r="C765" s="1" t="s">
        <v>1961</v>
      </c>
      <c r="D765" s="1" t="s">
        <v>34</v>
      </c>
      <c r="E765" s="1" t="s">
        <v>35</v>
      </c>
      <c r="F765" s="4">
        <v>45414.45920138889</v>
      </c>
      <c r="G765" s="3" t="str">
        <f t="shared" ref="G765:G770" si="74">HYPERLINK("https://hawk-eye.atlassian.net/browse/?atlOrigin=eyJpIjoiYzgwYTQ0ZjEyNzQzNGJhN2JmNjEyZTM0NmRhZWZhNjIiLCJwIjoic2hlZXRzLWppcmEifQ","")</f>
        <v/>
      </c>
      <c r="H765" s="1" t="s">
        <v>1058</v>
      </c>
      <c r="I765" s="1" t="s">
        <v>1126</v>
      </c>
      <c r="J765" s="1" t="s">
        <v>26</v>
      </c>
      <c r="K765" s="1" t="s">
        <v>1211</v>
      </c>
      <c r="L765" s="1" t="s">
        <v>26</v>
      </c>
      <c r="M765" s="1" t="s">
        <v>27</v>
      </c>
      <c r="N765" s="1" t="s">
        <v>26</v>
      </c>
      <c r="O765" s="1" t="s">
        <v>26</v>
      </c>
      <c r="P765" s="4">
        <v>45420.6883912037</v>
      </c>
    </row>
    <row r="766" hidden="1">
      <c r="A766" s="1" t="s">
        <v>21</v>
      </c>
      <c r="B766" s="3" t="str">
        <f>HYPERLINK("https://hawk-eye.atlassian.net/browse/HWKREPORT-2746?atlOrigin=eyJpIjoiYzgwYTQ0ZjEyNzQzNGJhN2JmNjEyZTM0NmRhZWZhNjIiLCJwIjoic2hlZXRzLWppcmEifQ","HWKREPORT-2746")</f>
        <v>HWKREPORT-2746</v>
      </c>
      <c r="C766" s="1" t="s">
        <v>1962</v>
      </c>
      <c r="D766" s="1" t="s">
        <v>34</v>
      </c>
      <c r="E766" s="1" t="s">
        <v>35</v>
      </c>
      <c r="F766" s="4">
        <v>45414.465162037035</v>
      </c>
      <c r="G766" s="3" t="str">
        <f t="shared" si="74"/>
        <v/>
      </c>
      <c r="H766" s="1" t="s">
        <v>1058</v>
      </c>
      <c r="I766" s="1" t="s">
        <v>1126</v>
      </c>
      <c r="J766" s="1" t="s">
        <v>26</v>
      </c>
      <c r="K766" s="1" t="s">
        <v>1211</v>
      </c>
      <c r="L766" s="1" t="s">
        <v>26</v>
      </c>
      <c r="M766" s="1" t="s">
        <v>27</v>
      </c>
      <c r="N766" s="1" t="s">
        <v>26</v>
      </c>
      <c r="O766" s="1" t="s">
        <v>26</v>
      </c>
      <c r="P766" s="4">
        <v>45436.47157407407</v>
      </c>
    </row>
    <row r="767" hidden="1">
      <c r="A767" s="1" t="s">
        <v>21</v>
      </c>
      <c r="B767" s="3" t="str">
        <f>HYPERLINK("https://hawk-eye.atlassian.net/browse/HWKREPORT-2747?atlOrigin=eyJpIjoiYzgwYTQ0ZjEyNzQzNGJhN2JmNjEyZTM0NmRhZWZhNjIiLCJwIjoic2hlZXRzLWppcmEifQ","HWKREPORT-2747")</f>
        <v>HWKREPORT-2747</v>
      </c>
      <c r="C767" s="1" t="s">
        <v>1963</v>
      </c>
      <c r="D767" s="1" t="s">
        <v>23</v>
      </c>
      <c r="E767" s="1" t="s">
        <v>35</v>
      </c>
      <c r="F767" s="4">
        <v>45414.49082175926</v>
      </c>
      <c r="G767" s="3" t="str">
        <f t="shared" si="74"/>
        <v/>
      </c>
      <c r="H767" s="1" t="s">
        <v>1058</v>
      </c>
      <c r="I767" s="1" t="s">
        <v>1126</v>
      </c>
      <c r="J767" s="1" t="s">
        <v>26</v>
      </c>
      <c r="K767" s="1" t="s">
        <v>1211</v>
      </c>
      <c r="L767" s="1" t="s">
        <v>26</v>
      </c>
      <c r="M767" s="1" t="s">
        <v>27</v>
      </c>
      <c r="N767" s="1" t="s">
        <v>26</v>
      </c>
      <c r="O767" s="1" t="s">
        <v>26</v>
      </c>
      <c r="P767" s="4">
        <v>45436.47145833333</v>
      </c>
    </row>
    <row r="768" hidden="1">
      <c r="A768" s="1" t="s">
        <v>21</v>
      </c>
      <c r="B768" s="3" t="str">
        <f>HYPERLINK("https://hawk-eye.atlassian.net/browse/HWKREPORT-2748?atlOrigin=eyJpIjoiYzgwYTQ0ZjEyNzQzNGJhN2JmNjEyZTM0NmRhZWZhNjIiLCJwIjoic2hlZXRzLWppcmEifQ","HWKREPORT-2748")</f>
        <v>HWKREPORT-2748</v>
      </c>
      <c r="C768" s="1" t="s">
        <v>1964</v>
      </c>
      <c r="D768" s="1" t="s">
        <v>83</v>
      </c>
      <c r="E768" s="1" t="s">
        <v>1057</v>
      </c>
      <c r="F768" s="4">
        <v>45414.73810185185</v>
      </c>
      <c r="G768" s="3" t="str">
        <f t="shared" si="74"/>
        <v/>
      </c>
      <c r="H768" s="1" t="s">
        <v>1058</v>
      </c>
      <c r="I768" s="1" t="s">
        <v>1126</v>
      </c>
      <c r="J768" s="1" t="s">
        <v>26</v>
      </c>
      <c r="K768" s="1" t="s">
        <v>1114</v>
      </c>
      <c r="L768" s="1" t="s">
        <v>26</v>
      </c>
      <c r="M768" s="1" t="s">
        <v>27</v>
      </c>
      <c r="N768" s="1" t="s">
        <v>26</v>
      </c>
      <c r="O768" s="1" t="s">
        <v>26</v>
      </c>
      <c r="P768" s="4">
        <v>45414.73811342593</v>
      </c>
    </row>
    <row r="769" hidden="1">
      <c r="A769" s="1" t="s">
        <v>21</v>
      </c>
      <c r="B769" s="3" t="str">
        <f>HYPERLINK("https://hawk-eye.atlassian.net/browse/HWKREPORT-2749?atlOrigin=eyJpIjoiYzgwYTQ0ZjEyNzQzNGJhN2JmNjEyZTM0NmRhZWZhNjIiLCJwIjoic2hlZXRzLWppcmEifQ","HWKREPORT-2749")</f>
        <v>HWKREPORT-2749</v>
      </c>
      <c r="C769" s="1" t="s">
        <v>1965</v>
      </c>
      <c r="D769" s="1" t="s">
        <v>48</v>
      </c>
      <c r="E769" s="1" t="s">
        <v>1057</v>
      </c>
      <c r="F769" s="4">
        <v>45415.43981481482</v>
      </c>
      <c r="G769" s="3" t="str">
        <f t="shared" si="74"/>
        <v/>
      </c>
      <c r="H769" s="1" t="s">
        <v>1058</v>
      </c>
      <c r="I769" s="1" t="s">
        <v>1085</v>
      </c>
      <c r="J769" s="1" t="s">
        <v>26</v>
      </c>
      <c r="K769" s="1" t="s">
        <v>1116</v>
      </c>
      <c r="L769" s="1" t="s">
        <v>26</v>
      </c>
      <c r="M769" s="1" t="s">
        <v>27</v>
      </c>
      <c r="N769" s="1" t="s">
        <v>26</v>
      </c>
      <c r="O769" s="1" t="s">
        <v>26</v>
      </c>
      <c r="P769" s="4">
        <v>45415.43982638889</v>
      </c>
    </row>
    <row r="770" hidden="1">
      <c r="A770" s="1" t="s">
        <v>1055</v>
      </c>
      <c r="B770" s="3" t="str">
        <f>HYPERLINK("https://hawk-eye.atlassian.net/browse/HWKREPORT-2750?atlOrigin=eyJpIjoiYzgwYTQ0ZjEyNzQzNGJhN2JmNjEyZTM0NmRhZWZhNjIiLCJwIjoic2hlZXRzLWppcmEifQ","HWKREPORT-2750")</f>
        <v>HWKREPORT-2750</v>
      </c>
      <c r="C770" s="1" t="s">
        <v>1966</v>
      </c>
      <c r="D770" s="1" t="s">
        <v>48</v>
      </c>
      <c r="E770" s="1" t="s">
        <v>1057</v>
      </c>
      <c r="F770" s="4">
        <v>45415.752916666665</v>
      </c>
      <c r="G770" s="3" t="str">
        <f t="shared" si="74"/>
        <v/>
      </c>
      <c r="H770" s="1" t="s">
        <v>1058</v>
      </c>
      <c r="I770" s="1" t="s">
        <v>1085</v>
      </c>
      <c r="J770" s="1" t="s">
        <v>26</v>
      </c>
      <c r="K770" s="1" t="s">
        <v>1116</v>
      </c>
      <c r="L770" s="1" t="s">
        <v>26</v>
      </c>
      <c r="M770" s="1" t="s">
        <v>27</v>
      </c>
      <c r="N770" s="1" t="s">
        <v>26</v>
      </c>
      <c r="O770" s="1" t="s">
        <v>26</v>
      </c>
      <c r="P770" s="4">
        <v>45415.75292824074</v>
      </c>
    </row>
    <row r="771" hidden="1">
      <c r="A771" s="1" t="s">
        <v>21</v>
      </c>
      <c r="B771" s="3" t="str">
        <f>HYPERLINK("https://hawk-eye.atlassian.net/browse/HWKREPORT-2751?atlOrigin=eyJpIjoiYzgwYTQ0ZjEyNzQzNGJhN2JmNjEyZTM0NmRhZWZhNjIiLCJwIjoic2hlZXRzLWppcmEifQ","HWKREPORT-2751")</f>
        <v>HWKREPORT-2751</v>
      </c>
      <c r="C771" s="1" t="s">
        <v>1967</v>
      </c>
      <c r="D771" s="1" t="s">
        <v>23</v>
      </c>
      <c r="E771" s="1" t="s">
        <v>35</v>
      </c>
      <c r="F771" s="4">
        <v>45418.668541666666</v>
      </c>
      <c r="G771" s="3" t="str">
        <f>HYPERLINK("https://hawk-eye.atlassian.net/browse/TDP-2036?atlOrigin=eyJpIjoiYzgwYTQ0ZjEyNzQzNGJhN2JmNjEyZTM0NmRhZWZhNjIiLCJwIjoic2hlZXRzLWppcmEifQ","TDP-2036")</f>
        <v>TDP-2036</v>
      </c>
      <c r="H771" s="1" t="s">
        <v>1058</v>
      </c>
      <c r="I771" s="1" t="s">
        <v>1126</v>
      </c>
      <c r="J771" s="1" t="s">
        <v>26</v>
      </c>
      <c r="K771" s="1" t="s">
        <v>1211</v>
      </c>
      <c r="L771" s="1" t="s">
        <v>26</v>
      </c>
      <c r="M771" s="1" t="s">
        <v>27</v>
      </c>
      <c r="N771" s="1" t="s">
        <v>26</v>
      </c>
      <c r="O771" s="1" t="s">
        <v>26</v>
      </c>
      <c r="P771" s="4">
        <v>45460.470046296294</v>
      </c>
    </row>
    <row r="772" hidden="1">
      <c r="A772" s="1" t="s">
        <v>21</v>
      </c>
      <c r="B772" s="3" t="str">
        <f>HYPERLINK("https://hawk-eye.atlassian.net/browse/HWKREPORT-2752?atlOrigin=eyJpIjoiYzgwYTQ0ZjEyNzQzNGJhN2JmNjEyZTM0NmRhZWZhNjIiLCJwIjoic2hlZXRzLWppcmEifQ","HWKREPORT-2752")</f>
        <v>HWKREPORT-2752</v>
      </c>
      <c r="C772" s="1" t="s">
        <v>1968</v>
      </c>
      <c r="D772" s="1" t="s">
        <v>83</v>
      </c>
      <c r="E772" s="1" t="s">
        <v>1057</v>
      </c>
      <c r="F772" s="4">
        <v>45419.59508101852</v>
      </c>
      <c r="G772" s="3" t="str">
        <f>HYPERLINK("https://hawk-eye.atlassian.net/browse/?atlOrigin=eyJpIjoiYzgwYTQ0ZjEyNzQzNGJhN2JmNjEyZTM0NmRhZWZhNjIiLCJwIjoic2hlZXRzLWppcmEifQ","")</f>
        <v/>
      </c>
      <c r="H772" s="1" t="s">
        <v>1058</v>
      </c>
      <c r="I772" s="1" t="s">
        <v>1126</v>
      </c>
      <c r="J772" s="1" t="s">
        <v>26</v>
      </c>
      <c r="K772" s="1" t="s">
        <v>1211</v>
      </c>
      <c r="L772" s="1" t="s">
        <v>26</v>
      </c>
      <c r="M772" s="1" t="s">
        <v>27</v>
      </c>
      <c r="N772" s="1" t="s">
        <v>26</v>
      </c>
      <c r="O772" s="1" t="s">
        <v>26</v>
      </c>
      <c r="P772" s="4">
        <v>45419.59509259259</v>
      </c>
    </row>
    <row r="773" hidden="1">
      <c r="A773" s="1" t="s">
        <v>21</v>
      </c>
      <c r="B773" s="3" t="str">
        <f>HYPERLINK("https://hawk-eye.atlassian.net/browse/HWKREPORT-2753?atlOrigin=eyJpIjoiYzgwYTQ0ZjEyNzQzNGJhN2JmNjEyZTM0NmRhZWZhNjIiLCJwIjoic2hlZXRzLWppcmEifQ","HWKREPORT-2753")</f>
        <v>HWKREPORT-2753</v>
      </c>
      <c r="C773" s="1" t="s">
        <v>1969</v>
      </c>
      <c r="D773" s="1" t="s">
        <v>23</v>
      </c>
      <c r="E773" s="1" t="s">
        <v>35</v>
      </c>
      <c r="F773" s="4">
        <v>45419.69778935185</v>
      </c>
      <c r="G773" s="3" t="str">
        <f>HYPERLINK("https://hawk-eye.atlassian.net/browse/TDP-2038?atlOrigin=eyJpIjoiYzgwYTQ0ZjEyNzQzNGJhN2JmNjEyZTM0NmRhZWZhNjIiLCJwIjoic2hlZXRzLWppcmEifQ","TDP-2038")</f>
        <v>TDP-2038</v>
      </c>
      <c r="H773" s="1" t="s">
        <v>1058</v>
      </c>
      <c r="I773" s="1" t="s">
        <v>1126</v>
      </c>
      <c r="J773" s="1" t="s">
        <v>26</v>
      </c>
      <c r="K773" s="1" t="s">
        <v>1211</v>
      </c>
      <c r="L773" s="1" t="s">
        <v>26</v>
      </c>
      <c r="M773" s="1" t="s">
        <v>27</v>
      </c>
      <c r="N773" s="1" t="s">
        <v>26</v>
      </c>
      <c r="O773" s="1" t="s">
        <v>26</v>
      </c>
      <c r="P773" s="4">
        <v>45436.4709375</v>
      </c>
    </row>
    <row r="774" hidden="1">
      <c r="A774" s="1" t="s">
        <v>21</v>
      </c>
      <c r="B774" s="3" t="str">
        <f>HYPERLINK("https://hawk-eye.atlassian.net/browse/HWKREPORT-2754?atlOrigin=eyJpIjoiYzgwYTQ0ZjEyNzQzNGJhN2JmNjEyZTM0NmRhZWZhNjIiLCJwIjoic2hlZXRzLWppcmEifQ","HWKREPORT-2754")</f>
        <v>HWKREPORT-2754</v>
      </c>
      <c r="C774" s="1" t="s">
        <v>1970</v>
      </c>
      <c r="D774" s="1" t="s">
        <v>34</v>
      </c>
      <c r="E774" s="1" t="s">
        <v>35</v>
      </c>
      <c r="F774" s="4">
        <v>45419.71083333333</v>
      </c>
      <c r="G774" s="3" t="str">
        <f>HYPERLINK("https://hawk-eye.atlassian.net/browse/RTT-8361?atlOrigin=eyJpIjoiYzgwYTQ0ZjEyNzQzNGJhN2JmNjEyZTM0NmRhZWZhNjIiLCJwIjoic2hlZXRzLWppcmEifQ","RTT-8361")</f>
        <v>RTT-8361</v>
      </c>
      <c r="H774" s="1" t="s">
        <v>1058</v>
      </c>
      <c r="I774" s="1" t="s">
        <v>1071</v>
      </c>
      <c r="J774" s="1" t="s">
        <v>26</v>
      </c>
      <c r="K774" s="1" t="s">
        <v>1099</v>
      </c>
      <c r="L774" s="1" t="s">
        <v>26</v>
      </c>
      <c r="M774" s="1" t="s">
        <v>27</v>
      </c>
      <c r="N774" s="1" t="s">
        <v>26</v>
      </c>
      <c r="O774" s="1" t="s">
        <v>26</v>
      </c>
      <c r="P774" s="4">
        <v>45532.593506944446</v>
      </c>
    </row>
    <row r="775" hidden="1">
      <c r="A775" s="1" t="s">
        <v>21</v>
      </c>
      <c r="B775" s="3" t="str">
        <f>HYPERLINK("https://hawk-eye.atlassian.net/browse/HWKREPORT-2755?atlOrigin=eyJpIjoiYzgwYTQ0ZjEyNzQzNGJhN2JmNjEyZTM0NmRhZWZhNjIiLCJwIjoic2hlZXRzLWppcmEifQ","HWKREPORT-2755")</f>
        <v>HWKREPORT-2755</v>
      </c>
      <c r="C775" s="1" t="s">
        <v>1971</v>
      </c>
      <c r="D775" s="1" t="s">
        <v>23</v>
      </c>
      <c r="E775" s="1" t="s">
        <v>1074</v>
      </c>
      <c r="F775" s="4">
        <v>45421.51640046296</v>
      </c>
      <c r="G775" s="3" t="str">
        <f>HYPERLINK("https://hawk-eye.atlassian.net/browse/GT-1535?atlOrigin=eyJpIjoiYzgwYTQ0ZjEyNzQzNGJhN2JmNjEyZTM0NmRhZWZhNjIiLCJwIjoic2hlZXRzLWppcmEifQ","GT-1535")</f>
        <v>GT-1535</v>
      </c>
      <c r="H775" s="1" t="s">
        <v>1058</v>
      </c>
      <c r="I775" s="1" t="s">
        <v>1082</v>
      </c>
      <c r="J775" s="1" t="s">
        <v>26</v>
      </c>
      <c r="K775" s="1" t="s">
        <v>1105</v>
      </c>
      <c r="L775" s="1" t="s">
        <v>26</v>
      </c>
      <c r="M775" s="1" t="s">
        <v>27</v>
      </c>
      <c r="N775" s="1" t="s">
        <v>26</v>
      </c>
      <c r="O775" s="1" t="s">
        <v>26</v>
      </c>
      <c r="P775" s="4">
        <v>45496.56804398148</v>
      </c>
    </row>
    <row r="776" hidden="1">
      <c r="A776" s="1" t="s">
        <v>21</v>
      </c>
      <c r="B776" s="3" t="str">
        <f>HYPERLINK("https://hawk-eye.atlassian.net/browse/HWKREPORT-2756?atlOrigin=eyJpIjoiYzgwYTQ0ZjEyNzQzNGJhN2JmNjEyZTM0NmRhZWZhNjIiLCJwIjoic2hlZXRzLWppcmEifQ","HWKREPORT-2756")</f>
        <v>HWKREPORT-2756</v>
      </c>
      <c r="C776" s="1" t="s">
        <v>1972</v>
      </c>
      <c r="D776" s="1" t="s">
        <v>23</v>
      </c>
      <c r="E776" s="1" t="s">
        <v>35</v>
      </c>
      <c r="F776" s="4">
        <v>45421.603321759256</v>
      </c>
      <c r="G776" s="3" t="str">
        <f>HYPERLINK("https://hawk-eye.atlassian.net/browse/BDP-1862?atlOrigin=eyJpIjoiYzgwYTQ0ZjEyNzQzNGJhN2JmNjEyZTM0NmRhZWZhNjIiLCJwIjoic2hlZXRzLWppcmEifQ","BDP-1862")</f>
        <v>BDP-1862</v>
      </c>
      <c r="H776" s="1" t="s">
        <v>1058</v>
      </c>
      <c r="I776" s="1" t="s">
        <v>1071</v>
      </c>
      <c r="J776" s="1" t="s">
        <v>26</v>
      </c>
      <c r="K776" s="1" t="s">
        <v>1523</v>
      </c>
      <c r="L776" s="1" t="s">
        <v>26</v>
      </c>
      <c r="M776" s="1" t="s">
        <v>27</v>
      </c>
      <c r="N776" s="1" t="s">
        <v>26</v>
      </c>
      <c r="O776" s="1" t="s">
        <v>26</v>
      </c>
      <c r="P776" s="4">
        <v>45670.636828703704</v>
      </c>
    </row>
    <row r="777">
      <c r="A777" s="1" t="s">
        <v>21</v>
      </c>
      <c r="B777" s="3" t="str">
        <f>HYPERLINK("https://hawk-eye.atlassian.net/browse/HWKREPORT-2757?atlOrigin=eyJpIjoiYzgwYTQ0ZjEyNzQzNGJhN2JmNjEyZTM0NmRhZWZhNjIiLCJwIjoic2hlZXRzLWppcmEifQ","HWKREPORT-2757")</f>
        <v>HWKREPORT-2757</v>
      </c>
      <c r="C777" s="1" t="s">
        <v>1973</v>
      </c>
      <c r="D777" s="1" t="s">
        <v>48</v>
      </c>
      <c r="E777" s="1" t="s">
        <v>35</v>
      </c>
      <c r="F777" s="4">
        <v>45421.69755787037</v>
      </c>
      <c r="G777" s="3" t="str">
        <f t="shared" ref="G777:G778" si="75">HYPERLINK("https://hawk-eye.atlassian.net/browse/?atlOrigin=eyJpIjoiYzgwYTQ0ZjEyNzQzNGJhN2JmNjEyZTM0NmRhZWZhNjIiLCJwIjoic2hlZXRzLWppcmEifQ","")</f>
        <v/>
      </c>
      <c r="H777" s="1" t="s">
        <v>1058</v>
      </c>
      <c r="I777" s="1" t="s">
        <v>28</v>
      </c>
      <c r="J777" s="1" t="s">
        <v>26</v>
      </c>
      <c r="K777" s="1" t="s">
        <v>1116</v>
      </c>
      <c r="L777" s="1" t="s">
        <v>26</v>
      </c>
      <c r="M777" s="1" t="s">
        <v>27</v>
      </c>
      <c r="N777" s="1" t="s">
        <v>26</v>
      </c>
      <c r="O777" s="1" t="s">
        <v>26</v>
      </c>
      <c r="P777" s="4">
        <v>45422.62045138889</v>
      </c>
    </row>
    <row r="778" hidden="1">
      <c r="A778" s="1" t="s">
        <v>1055</v>
      </c>
      <c r="B778" s="3" t="str">
        <f>HYPERLINK("https://hawk-eye.atlassian.net/browse/HWKREPORT-2758?atlOrigin=eyJpIjoiYzgwYTQ0ZjEyNzQzNGJhN2JmNjEyZTM0NmRhZWZhNjIiLCJwIjoic2hlZXRzLWppcmEifQ","HWKREPORT-2758")</f>
        <v>HWKREPORT-2758</v>
      </c>
      <c r="C778" s="1" t="s">
        <v>1974</v>
      </c>
      <c r="D778" s="1" t="s">
        <v>48</v>
      </c>
      <c r="E778" s="1" t="s">
        <v>35</v>
      </c>
      <c r="F778" s="4">
        <v>45422.47300925926</v>
      </c>
      <c r="G778" s="3" t="str">
        <f t="shared" si="75"/>
        <v/>
      </c>
      <c r="H778" s="1" t="s">
        <v>1058</v>
      </c>
      <c r="I778" s="1" t="s">
        <v>1082</v>
      </c>
      <c r="J778" s="1" t="s">
        <v>26</v>
      </c>
      <c r="K778" s="1" t="s">
        <v>1083</v>
      </c>
      <c r="L778" s="1" t="s">
        <v>26</v>
      </c>
      <c r="M778" s="1" t="s">
        <v>27</v>
      </c>
      <c r="N778" s="1" t="s">
        <v>26</v>
      </c>
      <c r="O778" s="1" t="s">
        <v>26</v>
      </c>
      <c r="P778" s="4">
        <v>45433.716412037036</v>
      </c>
    </row>
    <row r="779" hidden="1">
      <c r="A779" s="1" t="s">
        <v>21</v>
      </c>
      <c r="B779" s="3" t="str">
        <f>HYPERLINK("https://hawk-eye.atlassian.net/browse/HWKREPORT-2759?atlOrigin=eyJpIjoiYzgwYTQ0ZjEyNzQzNGJhN2JmNjEyZTM0NmRhZWZhNjIiLCJwIjoic2hlZXRzLWppcmEifQ","HWKREPORT-2759")</f>
        <v>HWKREPORT-2759</v>
      </c>
      <c r="C779" s="1" t="s">
        <v>1975</v>
      </c>
      <c r="D779" s="1" t="s">
        <v>40</v>
      </c>
      <c r="E779" s="1" t="s">
        <v>35</v>
      </c>
      <c r="F779" s="4">
        <v>45425.41186342593</v>
      </c>
      <c r="G779" s="3" t="str">
        <f>HYPERLINK("https://hawk-eye.atlassian.net/browse/GT-1527?atlOrigin=eyJpIjoiYzgwYTQ0ZjEyNzQzNGJhN2JmNjEyZTM0NmRhZWZhNjIiLCJwIjoic2hlZXRzLWppcmEifQ","GT-1527")</f>
        <v>GT-1527</v>
      </c>
      <c r="H779" s="1" t="s">
        <v>1058</v>
      </c>
      <c r="I779" s="1" t="s">
        <v>1085</v>
      </c>
      <c r="J779" s="1" t="s">
        <v>26</v>
      </c>
      <c r="K779" s="1" t="s">
        <v>1105</v>
      </c>
      <c r="L779" s="1" t="s">
        <v>26</v>
      </c>
      <c r="M779" s="1" t="s">
        <v>27</v>
      </c>
      <c r="N779" s="1" t="s">
        <v>26</v>
      </c>
      <c r="O779" s="1" t="s">
        <v>26</v>
      </c>
      <c r="P779" s="4">
        <v>45453.686006944445</v>
      </c>
    </row>
    <row r="780" hidden="1">
      <c r="A780" s="1" t="s">
        <v>21</v>
      </c>
      <c r="B780" s="3" t="str">
        <f>HYPERLINK("https://hawk-eye.atlassian.net/browse/HWKREPORT-2760?atlOrigin=eyJpIjoiYzgwYTQ0ZjEyNzQzNGJhN2JmNjEyZTM0NmRhZWZhNjIiLCJwIjoic2hlZXRzLWppcmEifQ","HWKREPORT-2760")</f>
        <v>HWKREPORT-2760</v>
      </c>
      <c r="C780" s="1" t="s">
        <v>1976</v>
      </c>
      <c r="D780" s="1" t="s">
        <v>23</v>
      </c>
      <c r="E780" s="1" t="s">
        <v>1207</v>
      </c>
      <c r="F780" s="4">
        <v>45425.434166666666</v>
      </c>
      <c r="G780" s="3" t="str">
        <f>HYPERLINK("https://hawk-eye.atlassian.net/browse/RTT-8383?atlOrigin=eyJpIjoiYzgwYTQ0ZjEyNzQzNGJhN2JmNjEyZTM0NmRhZWZhNjIiLCJwIjoic2hlZXRzLWppcmEifQ","RTT-8383")</f>
        <v>RTT-8383</v>
      </c>
      <c r="H780" s="1" t="s">
        <v>1058</v>
      </c>
      <c r="I780" s="1" t="s">
        <v>1085</v>
      </c>
      <c r="J780" s="1" t="s">
        <v>26</v>
      </c>
      <c r="K780" s="1" t="s">
        <v>1072</v>
      </c>
      <c r="L780" s="1" t="s">
        <v>26</v>
      </c>
      <c r="M780" s="1" t="s">
        <v>27</v>
      </c>
      <c r="N780" s="1" t="s">
        <v>26</v>
      </c>
      <c r="O780" s="1" t="s">
        <v>26</v>
      </c>
      <c r="P780" s="4">
        <v>45441.62384259259</v>
      </c>
    </row>
    <row r="781" hidden="1">
      <c r="A781" s="1" t="s">
        <v>1055</v>
      </c>
      <c r="B781" s="3" t="str">
        <f>HYPERLINK("https://hawk-eye.atlassian.net/browse/HWKREPORT-2761?atlOrigin=eyJpIjoiYzgwYTQ0ZjEyNzQzNGJhN2JmNjEyZTM0NmRhZWZhNjIiLCJwIjoic2hlZXRzLWppcmEifQ","HWKREPORT-2761")</f>
        <v>HWKREPORT-2761</v>
      </c>
      <c r="C781" s="1" t="s">
        <v>1977</v>
      </c>
      <c r="D781" s="1" t="s">
        <v>40</v>
      </c>
      <c r="E781" s="1" t="s">
        <v>35</v>
      </c>
      <c r="F781" s="4">
        <v>45427.530960648146</v>
      </c>
      <c r="G781" s="3" t="str">
        <f>HYPERLINK("https://hawk-eye.atlassian.net/browse/AT-1363?atlOrigin=eyJpIjoiYzgwYTQ0ZjEyNzQzNGJhN2JmNjEyZTM0NmRhZWZhNjIiLCJwIjoic2hlZXRzLWppcmEifQ","AT-1363")</f>
        <v>AT-1363</v>
      </c>
      <c r="H781" s="1" t="s">
        <v>1058</v>
      </c>
      <c r="I781" s="1" t="s">
        <v>1085</v>
      </c>
      <c r="J781" s="1" t="s">
        <v>26</v>
      </c>
      <c r="K781" s="1" t="s">
        <v>26</v>
      </c>
      <c r="L781" s="1" t="s">
        <v>26</v>
      </c>
      <c r="M781" s="1" t="s">
        <v>27</v>
      </c>
      <c r="N781" s="1" t="s">
        <v>26</v>
      </c>
      <c r="O781" s="1" t="s">
        <v>26</v>
      </c>
      <c r="P781" s="4">
        <v>45537.64734953704</v>
      </c>
    </row>
    <row r="782" hidden="1">
      <c r="A782" s="1" t="s">
        <v>1055</v>
      </c>
      <c r="B782" s="3" t="str">
        <f>HYPERLINK("https://hawk-eye.atlassian.net/browse/HWKREPORT-2762?atlOrigin=eyJpIjoiYzgwYTQ0ZjEyNzQzNGJhN2JmNjEyZTM0NmRhZWZhNjIiLCJwIjoic2hlZXRzLWppcmEifQ","HWKREPORT-2762")</f>
        <v>HWKREPORT-2762</v>
      </c>
      <c r="C782" s="1" t="s">
        <v>1978</v>
      </c>
      <c r="D782" s="1" t="s">
        <v>48</v>
      </c>
      <c r="E782" s="1" t="s">
        <v>35</v>
      </c>
      <c r="F782" s="4">
        <v>45428.61329861111</v>
      </c>
      <c r="G782" s="3" t="str">
        <f>HYPERLINK("https://hawk-eye.atlassian.net/browse/SO-1800?atlOrigin=eyJpIjoiYzgwYTQ0ZjEyNzQzNGJhN2JmNjEyZTM0NmRhZWZhNjIiLCJwIjoic2hlZXRzLWppcmEifQ","SO-1800")</f>
        <v>SO-1800</v>
      </c>
      <c r="H782" s="1" t="s">
        <v>1058</v>
      </c>
      <c r="I782" s="1" t="s">
        <v>1085</v>
      </c>
      <c r="J782" s="1" t="s">
        <v>26</v>
      </c>
      <c r="K782" s="1" t="s">
        <v>1979</v>
      </c>
      <c r="L782" s="1" t="s">
        <v>26</v>
      </c>
      <c r="M782" s="1" t="s">
        <v>27</v>
      </c>
      <c r="N782" s="1" t="s">
        <v>26</v>
      </c>
      <c r="O782" s="1" t="s">
        <v>26</v>
      </c>
      <c r="P782" s="4">
        <v>45617.7596875</v>
      </c>
    </row>
    <row r="783" hidden="1">
      <c r="A783" s="1" t="s">
        <v>21</v>
      </c>
      <c r="B783" s="3" t="str">
        <f>HYPERLINK("https://hawk-eye.atlassian.net/browse/HWKREPORT-2763?atlOrigin=eyJpIjoiYzgwYTQ0ZjEyNzQzNGJhN2JmNjEyZTM0NmRhZWZhNjIiLCJwIjoic2hlZXRzLWppcmEifQ","HWKREPORT-2763")</f>
        <v>HWKREPORT-2763</v>
      </c>
      <c r="C783" s="1" t="s">
        <v>1980</v>
      </c>
      <c r="D783" s="1" t="s">
        <v>23</v>
      </c>
      <c r="E783" s="1" t="s">
        <v>35</v>
      </c>
      <c r="F783" s="4">
        <v>45429.519641203704</v>
      </c>
      <c r="G783" s="3" t="str">
        <f>HYPERLINK("https://hawk-eye.atlassian.net/browse/BR-1466?atlOrigin=eyJpIjoiYzgwYTQ0ZjEyNzQzNGJhN2JmNjEyZTM0NmRhZWZhNjIiLCJwIjoic2hlZXRzLWppcmEifQ","BR-1466")</f>
        <v>BR-1466</v>
      </c>
      <c r="H783" s="1" t="s">
        <v>1058</v>
      </c>
      <c r="I783" s="1" t="s">
        <v>1676</v>
      </c>
      <c r="J783" s="1" t="s">
        <v>26</v>
      </c>
      <c r="K783" s="1" t="s">
        <v>1116</v>
      </c>
      <c r="L783" s="1" t="s">
        <v>26</v>
      </c>
      <c r="M783" s="1" t="s">
        <v>27</v>
      </c>
      <c r="N783" s="1" t="s">
        <v>26</v>
      </c>
      <c r="O783" s="1" t="s">
        <v>26</v>
      </c>
      <c r="P783" s="4">
        <v>45455.414675925924</v>
      </c>
    </row>
    <row r="784" hidden="1">
      <c r="A784" s="1" t="s">
        <v>21</v>
      </c>
      <c r="B784" s="3" t="str">
        <f>HYPERLINK("https://hawk-eye.atlassian.net/browse/HWKREPORT-2764?atlOrigin=eyJpIjoiYzgwYTQ0ZjEyNzQzNGJhN2JmNjEyZTM0NmRhZWZhNjIiLCJwIjoic2hlZXRzLWppcmEifQ","HWKREPORT-2764")</f>
        <v>HWKREPORT-2764</v>
      </c>
      <c r="C784" s="1" t="s">
        <v>1981</v>
      </c>
      <c r="D784" s="1" t="s">
        <v>83</v>
      </c>
      <c r="E784" s="1" t="s">
        <v>35</v>
      </c>
      <c r="F784" s="4">
        <v>45429.59548611111</v>
      </c>
      <c r="G784" s="3" t="str">
        <f>HYPERLINK("https://hawk-eye.atlassian.net/browse/BR-1454?atlOrigin=eyJpIjoiYzgwYTQ0ZjEyNzQzNGJhN2JmNjEyZTM0NmRhZWZhNjIiLCJwIjoic2hlZXRzLWppcmEifQ","BR-1454")</f>
        <v>BR-1454</v>
      </c>
      <c r="H784" s="1" t="s">
        <v>1058</v>
      </c>
      <c r="I784" s="1" t="s">
        <v>1107</v>
      </c>
      <c r="J784" s="1" t="s">
        <v>26</v>
      </c>
      <c r="K784" s="1" t="s">
        <v>1108</v>
      </c>
      <c r="L784" s="1" t="s">
        <v>26</v>
      </c>
      <c r="M784" s="1" t="s">
        <v>27</v>
      </c>
      <c r="N784" s="1" t="s">
        <v>26</v>
      </c>
      <c r="O784" s="1" t="s">
        <v>26</v>
      </c>
      <c r="P784" s="4">
        <v>45460.476377314815</v>
      </c>
    </row>
    <row r="785" hidden="1">
      <c r="A785" s="1" t="s">
        <v>1055</v>
      </c>
      <c r="B785" s="3" t="str">
        <f>HYPERLINK("https://hawk-eye.atlassian.net/browse/HWKREPORT-2765?atlOrigin=eyJpIjoiYzgwYTQ0ZjEyNzQzNGJhN2JmNjEyZTM0NmRhZWZhNjIiLCJwIjoic2hlZXRzLWppcmEifQ","HWKREPORT-2765")</f>
        <v>HWKREPORT-2765</v>
      </c>
      <c r="C785" s="1" t="s">
        <v>1982</v>
      </c>
      <c r="D785" s="1" t="s">
        <v>48</v>
      </c>
      <c r="E785" s="1" t="s">
        <v>1057</v>
      </c>
      <c r="F785" s="4">
        <v>45432.44694444445</v>
      </c>
      <c r="G785" s="3" t="str">
        <f>HYPERLINK("https://hawk-eye.atlassian.net/browse/?atlOrigin=eyJpIjoiYzgwYTQ0ZjEyNzQzNGJhN2JmNjEyZTM0NmRhZWZhNjIiLCJwIjoic2hlZXRzLWppcmEifQ","")</f>
        <v/>
      </c>
      <c r="H785" s="1" t="s">
        <v>1058</v>
      </c>
      <c r="I785" s="1" t="s">
        <v>1085</v>
      </c>
      <c r="J785" s="1" t="s">
        <v>26</v>
      </c>
      <c r="K785" s="1" t="s">
        <v>1114</v>
      </c>
      <c r="L785" s="1" t="s">
        <v>26</v>
      </c>
      <c r="M785" s="1" t="s">
        <v>27</v>
      </c>
      <c r="N785" s="1" t="s">
        <v>26</v>
      </c>
      <c r="O785" s="1" t="s">
        <v>26</v>
      </c>
      <c r="P785" s="4">
        <v>45432.44695601852</v>
      </c>
    </row>
    <row r="786" hidden="1">
      <c r="A786" s="1" t="s">
        <v>1055</v>
      </c>
      <c r="B786" s="3" t="str">
        <f>HYPERLINK("https://hawk-eye.atlassian.net/browse/HWKREPORT-2766?atlOrigin=eyJpIjoiYzgwYTQ0ZjEyNzQzNGJhN2JmNjEyZTM0NmRhZWZhNjIiLCJwIjoic2hlZXRzLWppcmEifQ","HWKREPORT-2766")</f>
        <v>HWKREPORT-2766</v>
      </c>
      <c r="C786" s="1" t="s">
        <v>1983</v>
      </c>
      <c r="D786" s="1" t="s">
        <v>48</v>
      </c>
      <c r="E786" s="1" t="s">
        <v>1057</v>
      </c>
      <c r="F786" s="4">
        <v>45432.904270833336</v>
      </c>
      <c r="G786" s="3" t="str">
        <f>HYPERLINK("https://hawk-eye.atlassian.net/browse/BR-1479?atlOrigin=eyJpIjoiYzgwYTQ0ZjEyNzQzNGJhN2JmNjEyZTM0NmRhZWZhNjIiLCJwIjoic2hlZXRzLWppcmEifQ","BR-1479")</f>
        <v>BR-1479</v>
      </c>
      <c r="H786" s="1" t="s">
        <v>1058</v>
      </c>
      <c r="I786" s="1" t="s">
        <v>1107</v>
      </c>
      <c r="J786" s="1" t="s">
        <v>26</v>
      </c>
      <c r="K786" s="1" t="s">
        <v>1984</v>
      </c>
      <c r="L786" s="1" t="s">
        <v>26</v>
      </c>
      <c r="M786" s="1" t="s">
        <v>27</v>
      </c>
      <c r="N786" s="1" t="s">
        <v>26</v>
      </c>
      <c r="O786" s="1" t="s">
        <v>26</v>
      </c>
      <c r="P786" s="4">
        <v>45432.904282407406</v>
      </c>
    </row>
    <row r="787" hidden="1">
      <c r="A787" s="1" t="s">
        <v>1055</v>
      </c>
      <c r="B787" s="3" t="str">
        <f>HYPERLINK("https://hawk-eye.atlassian.net/browse/HWKREPORT-2767?atlOrigin=eyJpIjoiYzgwYTQ0ZjEyNzQzNGJhN2JmNjEyZTM0NmRhZWZhNjIiLCJwIjoic2hlZXRzLWppcmEifQ","HWKREPORT-2767")</f>
        <v>HWKREPORT-2767</v>
      </c>
      <c r="C787" s="1" t="s">
        <v>1985</v>
      </c>
      <c r="D787" s="1" t="s">
        <v>48</v>
      </c>
      <c r="E787" s="1" t="s">
        <v>1207</v>
      </c>
      <c r="F787" s="4">
        <v>45434.61665509259</v>
      </c>
      <c r="G787" s="3" t="str">
        <f>HYPERLINK("https://hawk-eye.atlassian.net/browse/RTT-8463?atlOrigin=eyJpIjoiYzgwYTQ0ZjEyNzQzNGJhN2JmNjEyZTM0NmRhZWZhNjIiLCJwIjoic2hlZXRzLWppcmEifQ","RTT-8463")</f>
        <v>RTT-8463</v>
      </c>
      <c r="H787" s="1" t="s">
        <v>1058</v>
      </c>
      <c r="I787" s="1" t="s">
        <v>1085</v>
      </c>
      <c r="J787" s="1" t="s">
        <v>26</v>
      </c>
      <c r="K787" s="1" t="s">
        <v>1372</v>
      </c>
      <c r="L787" s="1" t="s">
        <v>26</v>
      </c>
      <c r="M787" s="1" t="s">
        <v>27</v>
      </c>
      <c r="N787" s="1" t="s">
        <v>26</v>
      </c>
      <c r="O787" s="1" t="s">
        <v>26</v>
      </c>
      <c r="P787" s="4">
        <v>45471.620034722226</v>
      </c>
    </row>
    <row r="788" hidden="1">
      <c r="A788" s="1" t="s">
        <v>21</v>
      </c>
      <c r="B788" s="3" t="str">
        <f>HYPERLINK("https://hawk-eye.atlassian.net/browse/HWKREPORT-2768?atlOrigin=eyJpIjoiYzgwYTQ0ZjEyNzQzNGJhN2JmNjEyZTM0NmRhZWZhNjIiLCJwIjoic2hlZXRzLWppcmEifQ","HWKREPORT-2768")</f>
        <v>HWKREPORT-2768</v>
      </c>
      <c r="C788" s="1" t="s">
        <v>1986</v>
      </c>
      <c r="D788" s="1" t="s">
        <v>23</v>
      </c>
      <c r="E788" s="1" t="s">
        <v>35</v>
      </c>
      <c r="F788" s="4">
        <v>45437.73997685185</v>
      </c>
      <c r="G788" s="3" t="str">
        <f>HYPERLINK("https://hawk-eye.atlassian.net/browse/TDP-2062?atlOrigin=eyJpIjoiYzgwYTQ0ZjEyNzQzNGJhN2JmNjEyZTM0NmRhZWZhNjIiLCJwIjoic2hlZXRzLWppcmEifQ","TDP-2062")</f>
        <v>TDP-2062</v>
      </c>
      <c r="H788" s="1" t="s">
        <v>1058</v>
      </c>
      <c r="I788" s="1" t="s">
        <v>1126</v>
      </c>
      <c r="J788" s="1" t="s">
        <v>26</v>
      </c>
      <c r="K788" s="1" t="s">
        <v>1211</v>
      </c>
      <c r="L788" s="1" t="s">
        <v>26</v>
      </c>
      <c r="M788" s="1" t="s">
        <v>27</v>
      </c>
      <c r="N788" s="1" t="s">
        <v>26</v>
      </c>
      <c r="O788" s="1" t="s">
        <v>26</v>
      </c>
      <c r="P788" s="4">
        <v>45460.50141203704</v>
      </c>
    </row>
    <row r="789" hidden="1">
      <c r="A789" s="1" t="s">
        <v>21</v>
      </c>
      <c r="B789" s="3" t="str">
        <f>HYPERLINK("https://hawk-eye.atlassian.net/browse/HWKREPORT-2769?atlOrigin=eyJpIjoiYzgwYTQ0ZjEyNzQzNGJhN2JmNjEyZTM0NmRhZWZhNjIiLCJwIjoic2hlZXRzLWppcmEifQ","HWKREPORT-2769")</f>
        <v>HWKREPORT-2769</v>
      </c>
      <c r="C789" s="1" t="s">
        <v>1987</v>
      </c>
      <c r="D789" s="1" t="s">
        <v>23</v>
      </c>
      <c r="E789" s="1" t="s">
        <v>1057</v>
      </c>
      <c r="F789" s="4">
        <v>45439.40491898148</v>
      </c>
      <c r="G789" s="3" t="str">
        <f>HYPERLINK("https://hawk-eye.atlassian.net/browse/AT-1367?atlOrigin=eyJpIjoiYzgwYTQ0ZjEyNzQzNGJhN2JmNjEyZTM0NmRhZWZhNjIiLCJwIjoic2hlZXRzLWppcmEifQ","AT-1367")</f>
        <v>AT-1367</v>
      </c>
      <c r="H789" s="1" t="s">
        <v>1058</v>
      </c>
      <c r="I789" s="1" t="s">
        <v>1126</v>
      </c>
      <c r="J789" s="1" t="s">
        <v>26</v>
      </c>
      <c r="K789" s="1" t="s">
        <v>1105</v>
      </c>
      <c r="L789" s="1" t="s">
        <v>26</v>
      </c>
      <c r="M789" s="1" t="s">
        <v>27</v>
      </c>
      <c r="N789" s="1" t="s">
        <v>26</v>
      </c>
      <c r="O789" s="1" t="s">
        <v>26</v>
      </c>
      <c r="P789" s="4">
        <v>45439.40491898148</v>
      </c>
    </row>
    <row r="790" hidden="1">
      <c r="A790" s="1" t="s">
        <v>21</v>
      </c>
      <c r="B790" s="3" t="str">
        <f>HYPERLINK("https://hawk-eye.atlassian.net/browse/HWKREPORT-2770?atlOrigin=eyJpIjoiYzgwYTQ0ZjEyNzQzNGJhN2JmNjEyZTM0NmRhZWZhNjIiLCJwIjoic2hlZXRzLWppcmEifQ","HWKREPORT-2770")</f>
        <v>HWKREPORT-2770</v>
      </c>
      <c r="C790" s="1" t="s">
        <v>1988</v>
      </c>
      <c r="D790" s="1" t="s">
        <v>40</v>
      </c>
      <c r="E790" s="1" t="s">
        <v>1057</v>
      </c>
      <c r="F790" s="4">
        <v>45441.44188657407</v>
      </c>
      <c r="G790" s="3" t="str">
        <f>HYPERLINK("https://hawk-eye.atlassian.net/browse/AL-1157?atlOrigin=eyJpIjoiYzgwYTQ0ZjEyNzQzNGJhN2JmNjEyZTM0NmRhZWZhNjIiLCJwIjoic2hlZXRzLWppcmEifQ","AL-1157")</f>
        <v>AL-1157</v>
      </c>
      <c r="H790" s="1" t="s">
        <v>1058</v>
      </c>
      <c r="I790" s="1" t="s">
        <v>1085</v>
      </c>
      <c r="J790" s="1" t="s">
        <v>26</v>
      </c>
      <c r="K790" s="1" t="s">
        <v>1219</v>
      </c>
      <c r="L790" s="1" t="s">
        <v>26</v>
      </c>
      <c r="M790" s="1" t="s">
        <v>27</v>
      </c>
      <c r="N790" s="1" t="s">
        <v>26</v>
      </c>
      <c r="O790" s="1" t="s">
        <v>26</v>
      </c>
      <c r="P790" s="4">
        <v>45441.44189814815</v>
      </c>
    </row>
    <row r="791" hidden="1">
      <c r="A791" s="1" t="s">
        <v>21</v>
      </c>
      <c r="B791" s="3" t="str">
        <f>HYPERLINK("https://hawk-eye.atlassian.net/browse/HWKREPORT-2771?atlOrigin=eyJpIjoiYzgwYTQ0ZjEyNzQzNGJhN2JmNjEyZTM0NmRhZWZhNjIiLCJwIjoic2hlZXRzLWppcmEifQ","HWKREPORT-2771")</f>
        <v>HWKREPORT-2771</v>
      </c>
      <c r="C791" s="1" t="s">
        <v>1989</v>
      </c>
      <c r="D791" s="1" t="s">
        <v>40</v>
      </c>
      <c r="E791" s="1" t="s">
        <v>35</v>
      </c>
      <c r="F791" s="4">
        <v>45441.64184027778</v>
      </c>
      <c r="G791" s="3" t="str">
        <f>HYPERLINK("https://hawk-eye.atlassian.net/browse/GT-1541?atlOrigin=eyJpIjoiYzgwYTQ0ZjEyNzQzNGJhN2JmNjEyZTM0NmRhZWZhNjIiLCJwIjoic2hlZXRzLWppcmEifQ","GT-1541")</f>
        <v>GT-1541</v>
      </c>
      <c r="H791" s="1" t="s">
        <v>1058</v>
      </c>
      <c r="I791" s="1" t="s">
        <v>1082</v>
      </c>
      <c r="J791" s="1" t="s">
        <v>26</v>
      </c>
      <c r="K791" s="1" t="s">
        <v>1148</v>
      </c>
      <c r="L791" s="1" t="s">
        <v>26</v>
      </c>
      <c r="M791" s="1" t="s">
        <v>27</v>
      </c>
      <c r="N791" s="1" t="s">
        <v>26</v>
      </c>
      <c r="O791" s="1" t="s">
        <v>26</v>
      </c>
      <c r="P791" s="4">
        <v>45481.43716435185</v>
      </c>
    </row>
    <row r="792" hidden="1">
      <c r="A792" s="1" t="s">
        <v>1055</v>
      </c>
      <c r="B792" s="3" t="str">
        <f>HYPERLINK("https://hawk-eye.atlassian.net/browse/HWKREPORT-2772?atlOrigin=eyJpIjoiYzgwYTQ0ZjEyNzQzNGJhN2JmNjEyZTM0NmRhZWZhNjIiLCJwIjoic2hlZXRzLWppcmEifQ","HWKREPORT-2772")</f>
        <v>HWKREPORT-2772</v>
      </c>
      <c r="C792" s="1" t="s">
        <v>1990</v>
      </c>
      <c r="D792" s="1" t="s">
        <v>83</v>
      </c>
      <c r="E792" s="1" t="s">
        <v>1057</v>
      </c>
      <c r="F792" s="4">
        <v>45441.834386574075</v>
      </c>
      <c r="G792" s="3" t="str">
        <f>HYPERLINK("https://hawk-eye.atlassian.net/browse/?atlOrigin=eyJpIjoiYzgwYTQ0ZjEyNzQzNGJhN2JmNjEyZTM0NmRhZWZhNjIiLCJwIjoic2hlZXRzLWppcmEifQ","")</f>
        <v/>
      </c>
      <c r="H792" s="1" t="s">
        <v>1058</v>
      </c>
      <c r="I792" s="1" t="s">
        <v>1071</v>
      </c>
      <c r="J792" s="1" t="s">
        <v>26</v>
      </c>
      <c r="K792" s="1" t="s">
        <v>1523</v>
      </c>
      <c r="L792" s="1" t="s">
        <v>26</v>
      </c>
      <c r="M792" s="1" t="s">
        <v>27</v>
      </c>
      <c r="N792" s="1" t="s">
        <v>26</v>
      </c>
      <c r="O792" s="1" t="s">
        <v>26</v>
      </c>
      <c r="P792" s="4">
        <v>45441.834398148145</v>
      </c>
    </row>
    <row r="793" hidden="1">
      <c r="A793" s="1" t="s">
        <v>1055</v>
      </c>
      <c r="B793" s="3" t="str">
        <f>HYPERLINK("https://hawk-eye.atlassian.net/browse/HWKREPORT-2773?atlOrigin=eyJpIjoiYzgwYTQ0ZjEyNzQzNGJhN2JmNjEyZTM0NmRhZWZhNjIiLCJwIjoic2hlZXRzLWppcmEifQ","HWKREPORT-2773")</f>
        <v>HWKREPORT-2773</v>
      </c>
      <c r="C793" s="1" t="s">
        <v>1991</v>
      </c>
      <c r="D793" s="1" t="s">
        <v>48</v>
      </c>
      <c r="E793" s="1" t="s">
        <v>35</v>
      </c>
      <c r="F793" s="4">
        <v>45442.65337962963</v>
      </c>
      <c r="G793" s="3" t="str">
        <f>HYPERLINK("https://hawk-eye.atlassian.net/browse/RTT-8630?atlOrigin=eyJpIjoiYzgwYTQ0ZjEyNzQzNGJhN2JmNjEyZTM0NmRhZWZhNjIiLCJwIjoic2hlZXRzLWppcmEifQ","RTT-8630")</f>
        <v>RTT-8630</v>
      </c>
      <c r="H793" s="1" t="s">
        <v>1058</v>
      </c>
      <c r="I793" s="1" t="s">
        <v>1071</v>
      </c>
      <c r="J793" s="1" t="s">
        <v>26</v>
      </c>
      <c r="K793" s="1" t="s">
        <v>1099</v>
      </c>
      <c r="L793" s="1" t="s">
        <v>26</v>
      </c>
      <c r="M793" s="1" t="s">
        <v>27</v>
      </c>
      <c r="N793" s="1" t="s">
        <v>26</v>
      </c>
      <c r="O793" s="1" t="s">
        <v>26</v>
      </c>
      <c r="P793" s="4">
        <v>45498.43565972222</v>
      </c>
    </row>
    <row r="794" hidden="1">
      <c r="A794" s="1" t="s">
        <v>1055</v>
      </c>
      <c r="B794" s="3" t="str">
        <f>HYPERLINK("https://hawk-eye.atlassian.net/browse/HWKREPORT-2774?atlOrigin=eyJpIjoiYzgwYTQ0ZjEyNzQzNGJhN2JmNjEyZTM0NmRhZWZhNjIiLCJwIjoic2hlZXRzLWppcmEifQ","HWKREPORT-2774")</f>
        <v>HWKREPORT-2774</v>
      </c>
      <c r="C794" s="1" t="s">
        <v>1992</v>
      </c>
      <c r="D794" s="1" t="s">
        <v>48</v>
      </c>
      <c r="E794" s="1" t="s">
        <v>1057</v>
      </c>
      <c r="F794" s="4">
        <v>45442.70982638889</v>
      </c>
      <c r="G794" s="3" t="str">
        <f t="shared" ref="G794:G797" si="76">HYPERLINK("https://hawk-eye.atlassian.net/browse/?atlOrigin=eyJpIjoiYzgwYTQ0ZjEyNzQzNGJhN2JmNjEyZTM0NmRhZWZhNjIiLCJwIjoic2hlZXRzLWppcmEifQ","")</f>
        <v/>
      </c>
      <c r="H794" s="1" t="s">
        <v>1058</v>
      </c>
      <c r="I794" s="1" t="s">
        <v>1071</v>
      </c>
      <c r="J794" s="1" t="s">
        <v>26</v>
      </c>
      <c r="K794" s="1" t="s">
        <v>1095</v>
      </c>
      <c r="L794" s="1" t="s">
        <v>26</v>
      </c>
      <c r="M794" s="1" t="s">
        <v>27</v>
      </c>
      <c r="N794" s="1" t="s">
        <v>26</v>
      </c>
      <c r="O794" s="1" t="s">
        <v>26</v>
      </c>
      <c r="P794" s="4">
        <v>45442.70983796296</v>
      </c>
    </row>
    <row r="795" hidden="1">
      <c r="A795" s="1" t="s">
        <v>1055</v>
      </c>
      <c r="B795" s="3" t="str">
        <f>HYPERLINK("https://hawk-eye.atlassian.net/browse/HWKREPORT-2775?atlOrigin=eyJpIjoiYzgwYTQ0ZjEyNzQzNGJhN2JmNjEyZTM0NmRhZWZhNjIiLCJwIjoic2hlZXRzLWppcmEifQ","HWKREPORT-2775")</f>
        <v>HWKREPORT-2775</v>
      </c>
      <c r="C795" s="1" t="s">
        <v>1993</v>
      </c>
      <c r="D795" s="1" t="s">
        <v>34</v>
      </c>
      <c r="E795" s="1" t="s">
        <v>35</v>
      </c>
      <c r="F795" s="4">
        <v>45442.715891203705</v>
      </c>
      <c r="G795" s="3" t="str">
        <f t="shared" si="76"/>
        <v/>
      </c>
      <c r="H795" s="1" t="s">
        <v>1058</v>
      </c>
      <c r="I795" s="1" t="s">
        <v>1071</v>
      </c>
      <c r="J795" s="1" t="s">
        <v>26</v>
      </c>
      <c r="K795" s="1" t="s">
        <v>1095</v>
      </c>
      <c r="L795" s="1" t="s">
        <v>26</v>
      </c>
      <c r="M795" s="1" t="s">
        <v>27</v>
      </c>
      <c r="N795" s="1" t="s">
        <v>26</v>
      </c>
      <c r="O795" s="1" t="s">
        <v>26</v>
      </c>
      <c r="P795" s="4">
        <v>45728.71576388889</v>
      </c>
    </row>
    <row r="796" hidden="1">
      <c r="A796" s="1" t="s">
        <v>1055</v>
      </c>
      <c r="B796" s="3" t="str">
        <f>HYPERLINK("https://hawk-eye.atlassian.net/browse/HWKREPORT-2776?atlOrigin=eyJpIjoiYzgwYTQ0ZjEyNzQzNGJhN2JmNjEyZTM0NmRhZWZhNjIiLCJwIjoic2hlZXRzLWppcmEifQ","HWKREPORT-2776")</f>
        <v>HWKREPORT-2776</v>
      </c>
      <c r="C796" s="1" t="s">
        <v>1994</v>
      </c>
      <c r="D796" s="1" t="s">
        <v>83</v>
      </c>
      <c r="E796" s="1" t="s">
        <v>35</v>
      </c>
      <c r="F796" s="4">
        <v>45442.71832175926</v>
      </c>
      <c r="G796" s="3" t="str">
        <f t="shared" si="76"/>
        <v/>
      </c>
      <c r="H796" s="1" t="s">
        <v>1058</v>
      </c>
      <c r="I796" s="1" t="s">
        <v>1071</v>
      </c>
      <c r="J796" s="1" t="s">
        <v>26</v>
      </c>
      <c r="K796" s="1" t="s">
        <v>1072</v>
      </c>
      <c r="L796" s="1" t="s">
        <v>26</v>
      </c>
      <c r="M796" s="1" t="s">
        <v>27</v>
      </c>
      <c r="N796" s="1" t="s">
        <v>26</v>
      </c>
      <c r="O796" s="1" t="s">
        <v>26</v>
      </c>
      <c r="P796" s="4">
        <v>45713.632268518515</v>
      </c>
    </row>
    <row r="797" hidden="1">
      <c r="A797" s="1" t="s">
        <v>21</v>
      </c>
      <c r="B797" s="3" t="str">
        <f>HYPERLINK("https://hawk-eye.atlassian.net/browse/HWKREPORT-2777?atlOrigin=eyJpIjoiYzgwYTQ0ZjEyNzQzNGJhN2JmNjEyZTM0NmRhZWZhNjIiLCJwIjoic2hlZXRzLWppcmEifQ","HWKREPORT-2777")</f>
        <v>HWKREPORT-2777</v>
      </c>
      <c r="C797" s="1" t="s">
        <v>1995</v>
      </c>
      <c r="D797" s="1" t="s">
        <v>23</v>
      </c>
      <c r="E797" s="1" t="s">
        <v>35</v>
      </c>
      <c r="F797" s="4">
        <v>45442.746145833335</v>
      </c>
      <c r="G797" s="3" t="str">
        <f t="shared" si="76"/>
        <v/>
      </c>
      <c r="H797" s="1" t="s">
        <v>1058</v>
      </c>
      <c r="I797" s="1" t="s">
        <v>1071</v>
      </c>
      <c r="J797" s="1" t="s">
        <v>26</v>
      </c>
      <c r="K797" s="1" t="s">
        <v>1095</v>
      </c>
      <c r="L797" s="1" t="s">
        <v>26</v>
      </c>
      <c r="M797" s="1" t="s">
        <v>27</v>
      </c>
      <c r="N797" s="1" t="s">
        <v>26</v>
      </c>
      <c r="O797" s="1" t="s">
        <v>26</v>
      </c>
      <c r="P797" s="4">
        <v>45737.51766203704</v>
      </c>
    </row>
    <row r="798" hidden="1">
      <c r="A798" s="1" t="s">
        <v>21</v>
      </c>
      <c r="B798" s="3" t="str">
        <f>HYPERLINK("https://hawk-eye.atlassian.net/browse/HWKREPORT-2778?atlOrigin=eyJpIjoiYzgwYTQ0ZjEyNzQzNGJhN2JmNjEyZTM0NmRhZWZhNjIiLCJwIjoic2hlZXRzLWppcmEifQ","HWKREPORT-2778")</f>
        <v>HWKREPORT-2778</v>
      </c>
      <c r="C798" s="1" t="s">
        <v>1996</v>
      </c>
      <c r="D798" s="1" t="s">
        <v>48</v>
      </c>
      <c r="E798" s="1" t="s">
        <v>35</v>
      </c>
      <c r="F798" s="4">
        <v>45443.445752314816</v>
      </c>
      <c r="G798" s="3" t="str">
        <f>HYPERLINK("https://hawk-eye.atlassian.net/browse/SO-2266?atlOrigin=eyJpIjoiYzgwYTQ0ZjEyNzQzNGJhN2JmNjEyZTM0NmRhZWZhNjIiLCJwIjoic2hlZXRzLWppcmEifQ","SO-2266")</f>
        <v>SO-2266</v>
      </c>
      <c r="H798" s="1" t="s">
        <v>1058</v>
      </c>
      <c r="I798" s="1" t="s">
        <v>1514</v>
      </c>
      <c r="J798" s="1" t="s">
        <v>26</v>
      </c>
      <c r="K798" s="1" t="s">
        <v>1116</v>
      </c>
      <c r="L798" s="1" t="s">
        <v>26</v>
      </c>
      <c r="M798" s="1" t="s">
        <v>27</v>
      </c>
      <c r="N798" s="1" t="s">
        <v>26</v>
      </c>
      <c r="O798" s="1" t="s">
        <v>26</v>
      </c>
      <c r="P798" s="4">
        <v>45719.49797453704</v>
      </c>
    </row>
    <row r="799" hidden="1">
      <c r="A799" s="1" t="s">
        <v>21</v>
      </c>
      <c r="B799" s="3" t="str">
        <f>HYPERLINK("https://hawk-eye.atlassian.net/browse/HWKREPORT-2779?atlOrigin=eyJpIjoiYzgwYTQ0ZjEyNzQzNGJhN2JmNjEyZTM0NmRhZWZhNjIiLCJwIjoic2hlZXRzLWppcmEifQ","HWKREPORT-2779")</f>
        <v>HWKREPORT-2779</v>
      </c>
      <c r="C799" s="1" t="s">
        <v>1997</v>
      </c>
      <c r="D799" s="1" t="s">
        <v>34</v>
      </c>
      <c r="E799" s="1" t="s">
        <v>1057</v>
      </c>
      <c r="F799" s="4">
        <v>45447.763240740744</v>
      </c>
      <c r="G799" s="3" t="str">
        <f>HYPERLINK("https://hawk-eye.atlassian.net/browse/AL-1115?atlOrigin=eyJpIjoiYzgwYTQ0ZjEyNzQzNGJhN2JmNjEyZTM0NmRhZWZhNjIiLCJwIjoic2hlZXRzLWppcmEifQ","AL-1115")</f>
        <v>AL-1115</v>
      </c>
      <c r="H799" s="1" t="s">
        <v>1058</v>
      </c>
      <c r="I799" s="1" t="s">
        <v>1085</v>
      </c>
      <c r="J799" s="1" t="s">
        <v>26</v>
      </c>
      <c r="K799" s="1" t="s">
        <v>1219</v>
      </c>
      <c r="L799" s="1" t="s">
        <v>26</v>
      </c>
      <c r="M799" s="1" t="s">
        <v>27</v>
      </c>
      <c r="N799" s="1" t="s">
        <v>26</v>
      </c>
      <c r="O799" s="1" t="s">
        <v>26</v>
      </c>
      <c r="P799" s="4">
        <v>45447.76325231481</v>
      </c>
    </row>
    <row r="800" hidden="1">
      <c r="A800" s="1" t="s">
        <v>1055</v>
      </c>
      <c r="B800" s="3" t="str">
        <f>HYPERLINK("https://hawk-eye.atlassian.net/browse/HWKREPORT-2780?atlOrigin=eyJpIjoiYzgwYTQ0ZjEyNzQzNGJhN2JmNjEyZTM0NmRhZWZhNjIiLCJwIjoic2hlZXRzLWppcmEifQ","HWKREPORT-2780")</f>
        <v>HWKREPORT-2780</v>
      </c>
      <c r="C800" s="1" t="s">
        <v>1998</v>
      </c>
      <c r="D800" s="1" t="s">
        <v>34</v>
      </c>
      <c r="E800" s="1" t="s">
        <v>35</v>
      </c>
      <c r="F800" s="4">
        <v>45447.85928240741</v>
      </c>
      <c r="G800" s="3" t="str">
        <f>HYPERLINK("https://hawk-eye.atlassian.net/browse/AT-1372?atlOrigin=eyJpIjoiYzgwYTQ0ZjEyNzQzNGJhN2JmNjEyZTM0NmRhZWZhNjIiLCJwIjoic2hlZXRzLWppcmEifQ","AT-1372")</f>
        <v>AT-1372</v>
      </c>
      <c r="H800" s="1" t="s">
        <v>1058</v>
      </c>
      <c r="I800" s="1" t="s">
        <v>1085</v>
      </c>
      <c r="J800" s="1" t="s">
        <v>26</v>
      </c>
      <c r="K800" s="1" t="s">
        <v>26</v>
      </c>
      <c r="L800" s="1" t="s">
        <v>26</v>
      </c>
      <c r="M800" s="1" t="s">
        <v>27</v>
      </c>
      <c r="N800" s="1" t="s">
        <v>26</v>
      </c>
      <c r="O800" s="1" t="s">
        <v>26</v>
      </c>
      <c r="P800" s="4">
        <v>45537.63715277778</v>
      </c>
    </row>
    <row r="801" hidden="1">
      <c r="A801" s="1" t="s">
        <v>1055</v>
      </c>
      <c r="B801" s="3" t="str">
        <f>HYPERLINK("https://hawk-eye.atlassian.net/browse/HWKREPORT-2781?atlOrigin=eyJpIjoiYzgwYTQ0ZjEyNzQzNGJhN2JmNjEyZTM0NmRhZWZhNjIiLCJwIjoic2hlZXRzLWppcmEifQ","HWKREPORT-2781")</f>
        <v>HWKREPORT-2781</v>
      </c>
      <c r="C801" s="1" t="s">
        <v>1999</v>
      </c>
      <c r="D801" s="1" t="s">
        <v>48</v>
      </c>
      <c r="E801" s="1" t="s">
        <v>35</v>
      </c>
      <c r="F801" s="4">
        <v>45448.4203125</v>
      </c>
      <c r="G801" s="3" t="str">
        <f>HYPERLINK("https://hawk-eye.atlassian.net/browse/SO-1799?atlOrigin=eyJpIjoiYzgwYTQ0ZjEyNzQzNGJhN2JmNjEyZTM0NmRhZWZhNjIiLCJwIjoic2hlZXRzLWppcmEifQ","SO-1799")</f>
        <v>SO-1799</v>
      </c>
      <c r="H801" s="1" t="s">
        <v>1058</v>
      </c>
      <c r="I801" s="1" t="s">
        <v>1085</v>
      </c>
      <c r="J801" s="1" t="s">
        <v>26</v>
      </c>
      <c r="K801" s="1" t="s">
        <v>1134</v>
      </c>
      <c r="L801" s="1" t="s">
        <v>26</v>
      </c>
      <c r="M801" s="1" t="s">
        <v>27</v>
      </c>
      <c r="N801" s="1" t="s">
        <v>26</v>
      </c>
      <c r="O801" s="1" t="s">
        <v>26</v>
      </c>
      <c r="P801" s="4">
        <v>45596.65106481482</v>
      </c>
    </row>
    <row r="802" hidden="1">
      <c r="A802" s="1" t="s">
        <v>1055</v>
      </c>
      <c r="B802" s="3" t="str">
        <f>HYPERLINK("https://hawk-eye.atlassian.net/browse/HWKREPORT-2581?atlOrigin=eyJpIjoiYzgwYTQ0ZjEyNzQzNGJhN2JmNjEyZTM0NmRhZWZhNjIiLCJwIjoic2hlZXRzLWppcmEifQ","HWKREPORT-2581")</f>
        <v>HWKREPORT-2581</v>
      </c>
      <c r="C802" s="1" t="s">
        <v>2000</v>
      </c>
      <c r="D802" s="1" t="s">
        <v>83</v>
      </c>
      <c r="E802" s="1" t="s">
        <v>35</v>
      </c>
      <c r="F802" s="4">
        <v>45327.49202546296</v>
      </c>
      <c r="G802" s="3" t="str">
        <f>HYPERLINK("https://hawk-eye.atlassian.net/issues/?atlOrigin=eyJpIjoiYzgwYTQ0ZjEyNzQzNGJhN2JmNjEyZTM0NmRhZWZhNjIiLCJwIjoic2hlZXRzLWppcmEifQ&amp;jql=key+in+%28HWKREPORT-787%2CSO-1205%29","HWKREPORT-787;SO-1205")</f>
        <v>HWKREPORT-787;SO-1205</v>
      </c>
      <c r="H802" s="1" t="s">
        <v>1058</v>
      </c>
      <c r="I802" s="1" t="s">
        <v>2001</v>
      </c>
      <c r="J802" s="1" t="s">
        <v>26</v>
      </c>
      <c r="K802" s="1" t="s">
        <v>1116</v>
      </c>
      <c r="L802" s="1" t="s">
        <v>26</v>
      </c>
      <c r="M802" s="1" t="s">
        <v>27</v>
      </c>
      <c r="N802" s="1" t="s">
        <v>26</v>
      </c>
      <c r="O802" s="1" t="s">
        <v>26</v>
      </c>
      <c r="P802" s="4">
        <v>45327.49267361111</v>
      </c>
    </row>
    <row r="803" hidden="1">
      <c r="A803" s="1" t="s">
        <v>1055</v>
      </c>
      <c r="B803" s="3" t="str">
        <f>HYPERLINK("https://hawk-eye.atlassian.net/browse/HWKREPORT-2582?atlOrigin=eyJpIjoiYzgwYTQ0ZjEyNzQzNGJhN2JmNjEyZTM0NmRhZWZhNjIiLCJwIjoic2hlZXRzLWppcmEifQ","HWKREPORT-2582")</f>
        <v>HWKREPORT-2582</v>
      </c>
      <c r="C803" s="1" t="s">
        <v>2002</v>
      </c>
      <c r="D803" s="1" t="s">
        <v>48</v>
      </c>
      <c r="E803" s="1" t="s">
        <v>35</v>
      </c>
      <c r="F803" s="4">
        <v>45327.57672453704</v>
      </c>
      <c r="G803" s="3" t="str">
        <f>HYPERLINK("https://hawk-eye.atlassian.net/browse/?atlOrigin=eyJpIjoiYzgwYTQ0ZjEyNzQzNGJhN2JmNjEyZTM0NmRhZWZhNjIiLCJwIjoic2hlZXRzLWppcmEifQ","")</f>
        <v/>
      </c>
      <c r="H803" s="1" t="s">
        <v>1058</v>
      </c>
      <c r="I803" s="1" t="s">
        <v>1059</v>
      </c>
      <c r="J803" s="1" t="s">
        <v>26</v>
      </c>
      <c r="K803" s="1" t="s">
        <v>1072</v>
      </c>
      <c r="L803" s="1" t="s">
        <v>26</v>
      </c>
      <c r="M803" s="1" t="s">
        <v>27</v>
      </c>
      <c r="N803" s="1" t="s">
        <v>26</v>
      </c>
      <c r="O803" s="1" t="s">
        <v>26</v>
      </c>
      <c r="P803" s="4">
        <v>45700.6333912037</v>
      </c>
    </row>
    <row r="804" hidden="1">
      <c r="A804" s="1" t="s">
        <v>1055</v>
      </c>
      <c r="B804" s="3" t="str">
        <f>HYPERLINK("https://hawk-eye.atlassian.net/browse/HWKREPORT-2583?atlOrigin=eyJpIjoiYzgwYTQ0ZjEyNzQzNGJhN2JmNjEyZTM0NmRhZWZhNjIiLCJwIjoic2hlZXRzLWppcmEifQ","HWKREPORT-2583")</f>
        <v>HWKREPORT-2583</v>
      </c>
      <c r="C804" s="1" t="s">
        <v>2003</v>
      </c>
      <c r="D804" s="1" t="s">
        <v>48</v>
      </c>
      <c r="E804" s="1" t="s">
        <v>1207</v>
      </c>
      <c r="F804" s="4">
        <v>45327.90109953703</v>
      </c>
      <c r="G804" s="3" t="str">
        <f>HYPERLINK("https://hawk-eye.atlassian.net/browse/RTT-7881?atlOrigin=eyJpIjoiYzgwYTQ0ZjEyNzQzNGJhN2JmNjEyZTM0NmRhZWZhNjIiLCJwIjoic2hlZXRzLWppcmEifQ","RTT-7881")</f>
        <v>RTT-7881</v>
      </c>
      <c r="H804" s="1" t="s">
        <v>1058</v>
      </c>
      <c r="I804" s="1" t="s">
        <v>1085</v>
      </c>
      <c r="J804" s="1" t="s">
        <v>26</v>
      </c>
      <c r="K804" s="1" t="s">
        <v>1072</v>
      </c>
      <c r="L804" s="1" t="s">
        <v>26</v>
      </c>
      <c r="M804" s="1" t="s">
        <v>27</v>
      </c>
      <c r="N804" s="1" t="s">
        <v>26</v>
      </c>
      <c r="O804" s="1" t="s">
        <v>26</v>
      </c>
      <c r="P804" s="4">
        <v>45588.644212962965</v>
      </c>
    </row>
    <row r="805" hidden="1">
      <c r="A805" s="1" t="s">
        <v>1055</v>
      </c>
      <c r="B805" s="3" t="str">
        <f>HYPERLINK("https://hawk-eye.atlassian.net/browse/HWKREPORT-2584?atlOrigin=eyJpIjoiYzgwYTQ0ZjEyNzQzNGJhN2JmNjEyZTM0NmRhZWZhNjIiLCJwIjoic2hlZXRzLWppcmEifQ","HWKREPORT-2584")</f>
        <v>HWKREPORT-2584</v>
      </c>
      <c r="C805" s="1" t="s">
        <v>2004</v>
      </c>
      <c r="D805" s="1" t="s">
        <v>48</v>
      </c>
      <c r="E805" s="1" t="s">
        <v>35</v>
      </c>
      <c r="F805" s="4">
        <v>45327.90892361111</v>
      </c>
      <c r="G805" s="3" t="str">
        <f>HYPERLINK("https://hawk-eye.atlassian.net/browse/RTT-7882?atlOrigin=eyJpIjoiYzgwYTQ0ZjEyNzQzNGJhN2JmNjEyZTM0NmRhZWZhNjIiLCJwIjoic2hlZXRzLWppcmEifQ","RTT-7882")</f>
        <v>RTT-7882</v>
      </c>
      <c r="H805" s="1" t="s">
        <v>1058</v>
      </c>
      <c r="I805" s="1" t="s">
        <v>1085</v>
      </c>
      <c r="J805" s="1" t="s">
        <v>26</v>
      </c>
      <c r="K805" s="1" t="s">
        <v>1072</v>
      </c>
      <c r="L805" s="1" t="s">
        <v>26</v>
      </c>
      <c r="M805" s="1" t="s">
        <v>27</v>
      </c>
      <c r="N805" s="1" t="s">
        <v>26</v>
      </c>
      <c r="O805" s="1" t="s">
        <v>26</v>
      </c>
      <c r="P805" s="4">
        <v>45434.387349537035</v>
      </c>
    </row>
    <row r="806" hidden="1">
      <c r="A806" s="1" t="s">
        <v>1055</v>
      </c>
      <c r="B806" s="3" t="str">
        <f>HYPERLINK("https://hawk-eye.atlassian.net/browse/HWKREPORT-2585?atlOrigin=eyJpIjoiYzgwYTQ0ZjEyNzQzNGJhN2JmNjEyZTM0NmRhZWZhNjIiLCJwIjoic2hlZXRzLWppcmEifQ","HWKREPORT-2585")</f>
        <v>HWKREPORT-2585</v>
      </c>
      <c r="C806" s="1" t="s">
        <v>2005</v>
      </c>
      <c r="D806" s="1" t="s">
        <v>48</v>
      </c>
      <c r="E806" s="1" t="s">
        <v>35</v>
      </c>
      <c r="F806" s="4">
        <v>45329.69363425926</v>
      </c>
      <c r="G806" s="3" t="str">
        <f t="shared" ref="G806:G807" si="77">HYPERLINK("https://hawk-eye.atlassian.net/browse/AL-1045?atlOrigin=eyJpIjoiYzgwYTQ0ZjEyNzQzNGJhN2JmNjEyZTM0NmRhZWZhNjIiLCJwIjoic2hlZXRzLWppcmEifQ","AL-1045")</f>
        <v>AL-1045</v>
      </c>
      <c r="H806" s="1" t="s">
        <v>1058</v>
      </c>
      <c r="I806" s="1" t="s">
        <v>1071</v>
      </c>
      <c r="J806" s="1" t="s">
        <v>26</v>
      </c>
      <c r="K806" s="1" t="s">
        <v>1717</v>
      </c>
      <c r="L806" s="1" t="s">
        <v>26</v>
      </c>
      <c r="M806" s="1" t="s">
        <v>27</v>
      </c>
      <c r="N806" s="1" t="s">
        <v>26</v>
      </c>
      <c r="O806" s="1" t="s">
        <v>26</v>
      </c>
      <c r="P806" s="4">
        <v>45670.60791666667</v>
      </c>
    </row>
    <row r="807" hidden="1">
      <c r="A807" s="1" t="s">
        <v>21</v>
      </c>
      <c r="B807" s="3" t="str">
        <f>HYPERLINK("https://hawk-eye.atlassian.net/browse/HWKREPORT-2586?atlOrigin=eyJpIjoiYzgwYTQ0ZjEyNzQzNGJhN2JmNjEyZTM0NmRhZWZhNjIiLCJwIjoic2hlZXRzLWppcmEifQ","HWKREPORT-2586")</f>
        <v>HWKREPORT-2586</v>
      </c>
      <c r="C807" s="1" t="s">
        <v>2006</v>
      </c>
      <c r="D807" s="1" t="s">
        <v>34</v>
      </c>
      <c r="E807" s="1" t="s">
        <v>35</v>
      </c>
      <c r="F807" s="4">
        <v>45329.697858796295</v>
      </c>
      <c r="G807" s="3" t="str">
        <f t="shared" si="77"/>
        <v>AL-1045</v>
      </c>
      <c r="H807" s="1" t="s">
        <v>1058</v>
      </c>
      <c r="I807" s="1" t="s">
        <v>1071</v>
      </c>
      <c r="J807" s="1" t="s">
        <v>26</v>
      </c>
      <c r="K807" s="1" t="s">
        <v>1717</v>
      </c>
      <c r="L807" s="1" t="s">
        <v>26</v>
      </c>
      <c r="M807" s="1" t="s">
        <v>27</v>
      </c>
      <c r="N807" s="1" t="s">
        <v>26</v>
      </c>
      <c r="O807" s="1" t="s">
        <v>26</v>
      </c>
      <c r="P807" s="4">
        <v>45670.60770833334</v>
      </c>
    </row>
    <row r="808" hidden="1">
      <c r="A808" s="1" t="s">
        <v>21</v>
      </c>
      <c r="B808" s="3" t="str">
        <f>HYPERLINK("https://hawk-eye.atlassian.net/browse/HWKREPORT-2587?atlOrigin=eyJpIjoiYzgwYTQ0ZjEyNzQzNGJhN2JmNjEyZTM0NmRhZWZhNjIiLCJwIjoic2hlZXRzLWppcmEifQ","HWKREPORT-2587")</f>
        <v>HWKREPORT-2587</v>
      </c>
      <c r="C808" s="1" t="s">
        <v>2007</v>
      </c>
      <c r="D808" s="1" t="s">
        <v>23</v>
      </c>
      <c r="E808" s="1" t="s">
        <v>35</v>
      </c>
      <c r="F808" s="4">
        <v>45330.453877314816</v>
      </c>
      <c r="G808" s="3" t="str">
        <f>HYPERLINK("https://hawk-eye.atlassian.net/browse/TDP-2051?atlOrigin=eyJpIjoiYzgwYTQ0ZjEyNzQzNGJhN2JmNjEyZTM0NmRhZWZhNjIiLCJwIjoic2hlZXRzLWppcmEifQ","TDP-2051")</f>
        <v>TDP-2051</v>
      </c>
      <c r="H808" s="1" t="s">
        <v>1058</v>
      </c>
      <c r="I808" s="1" t="s">
        <v>1126</v>
      </c>
      <c r="J808" s="1" t="s">
        <v>26</v>
      </c>
      <c r="K808" s="1" t="s">
        <v>1211</v>
      </c>
      <c r="L808" s="1" t="s">
        <v>26</v>
      </c>
      <c r="M808" s="1" t="s">
        <v>27</v>
      </c>
      <c r="N808" s="1" t="s">
        <v>26</v>
      </c>
      <c r="O808" s="1" t="s">
        <v>26</v>
      </c>
      <c r="P808" s="4">
        <v>45460.501759259256</v>
      </c>
    </row>
    <row r="809" hidden="1">
      <c r="A809" s="1" t="s">
        <v>21</v>
      </c>
      <c r="B809" s="3" t="str">
        <f>HYPERLINK("https://hawk-eye.atlassian.net/browse/HWKREPORT-2588?atlOrigin=eyJpIjoiYzgwYTQ0ZjEyNzQzNGJhN2JmNjEyZTM0NmRhZWZhNjIiLCJwIjoic2hlZXRzLWppcmEifQ","HWKREPORT-2588")</f>
        <v>HWKREPORT-2588</v>
      </c>
      <c r="C809" s="1" t="s">
        <v>2008</v>
      </c>
      <c r="D809" s="1" t="s">
        <v>83</v>
      </c>
      <c r="E809" s="1" t="s">
        <v>35</v>
      </c>
      <c r="F809" s="4">
        <v>45330.481469907405</v>
      </c>
      <c r="G809" s="3" t="str">
        <f>HYPERLINK("https://hawk-eye.atlassian.net/issues/?atlOrigin=eyJpIjoiYzgwYTQ0ZjEyNzQzNGJhN2JmNjEyZTM0NmRhZWZhNjIiLCJwIjoic2hlZXRzLWppcmEifQ&amp;jql=key+in+%28TMP-129%2CTMP-129%29","TMP-129;TMP-129")</f>
        <v>TMP-129;TMP-129</v>
      </c>
      <c r="H809" s="1" t="s">
        <v>1058</v>
      </c>
      <c r="I809" s="1" t="s">
        <v>1126</v>
      </c>
      <c r="J809" s="1" t="s">
        <v>26</v>
      </c>
      <c r="K809" s="1" t="s">
        <v>1211</v>
      </c>
      <c r="L809" s="1" t="s">
        <v>26</v>
      </c>
      <c r="M809" s="1" t="s">
        <v>27</v>
      </c>
      <c r="N809" s="1" t="s">
        <v>26</v>
      </c>
      <c r="O809" s="1" t="s">
        <v>26</v>
      </c>
      <c r="P809" s="4">
        <v>45369.77108796296</v>
      </c>
    </row>
    <row r="810" hidden="1">
      <c r="A810" s="1" t="s">
        <v>1055</v>
      </c>
      <c r="B810" s="3" t="str">
        <f>HYPERLINK("https://hawk-eye.atlassian.net/browse/HWKREPORT-2589?atlOrigin=eyJpIjoiYzgwYTQ0ZjEyNzQzNGJhN2JmNjEyZTM0NmRhZWZhNjIiLCJwIjoic2hlZXRzLWppcmEifQ","HWKREPORT-2589")</f>
        <v>HWKREPORT-2589</v>
      </c>
      <c r="C810" s="1" t="s">
        <v>2009</v>
      </c>
      <c r="D810" s="1" t="s">
        <v>48</v>
      </c>
      <c r="E810" s="1" t="s">
        <v>1074</v>
      </c>
      <c r="F810" s="4">
        <v>45330.49349537037</v>
      </c>
      <c r="G810" s="3" t="str">
        <f>HYPERLINK("https://hawk-eye.atlassian.net/browse/RTT-8226?atlOrigin=eyJpIjoiYzgwYTQ0ZjEyNzQzNGJhN2JmNjEyZTM0NmRhZWZhNjIiLCJwIjoic2hlZXRzLWppcmEifQ","RTT-8226")</f>
        <v>RTT-8226</v>
      </c>
      <c r="H810" s="1" t="s">
        <v>1058</v>
      </c>
      <c r="I810" s="1" t="s">
        <v>1085</v>
      </c>
      <c r="J810" s="1" t="s">
        <v>26</v>
      </c>
      <c r="K810" s="1" t="s">
        <v>1072</v>
      </c>
      <c r="L810" s="1" t="s">
        <v>26</v>
      </c>
      <c r="M810" s="1" t="s">
        <v>27</v>
      </c>
      <c r="N810" s="1" t="s">
        <v>26</v>
      </c>
      <c r="O810" s="1" t="s">
        <v>26</v>
      </c>
      <c r="P810" s="4">
        <v>45764.68152777778</v>
      </c>
    </row>
    <row r="811" hidden="1">
      <c r="A811" s="1" t="s">
        <v>21</v>
      </c>
      <c r="B811" s="3" t="str">
        <f>HYPERLINK("https://hawk-eye.atlassian.net/browse/HWKREPORT-2590?atlOrigin=eyJpIjoiYzgwYTQ0ZjEyNzQzNGJhN2JmNjEyZTM0NmRhZWZhNjIiLCJwIjoic2hlZXRzLWppcmEifQ","HWKREPORT-2590")</f>
        <v>HWKREPORT-2590</v>
      </c>
      <c r="C811" s="1" t="s">
        <v>2010</v>
      </c>
      <c r="D811" s="1" t="s">
        <v>48</v>
      </c>
      <c r="E811" s="1" t="s">
        <v>1057</v>
      </c>
      <c r="F811" s="4">
        <v>45330.72167824074</v>
      </c>
      <c r="G811" s="3" t="str">
        <f t="shared" ref="G811:G812" si="78">HYPERLINK("https://hawk-eye.atlassian.net/browse/?atlOrigin=eyJpIjoiYzgwYTQ0ZjEyNzQzNGJhN2JmNjEyZTM0NmRhZWZhNjIiLCJwIjoic2hlZXRzLWppcmEifQ","")</f>
        <v/>
      </c>
      <c r="H811" s="1" t="s">
        <v>1058</v>
      </c>
      <c r="I811" s="1" t="s">
        <v>1071</v>
      </c>
      <c r="J811" s="1" t="s">
        <v>26</v>
      </c>
      <c r="K811" s="1" t="s">
        <v>1813</v>
      </c>
      <c r="L811" s="1" t="s">
        <v>26</v>
      </c>
      <c r="M811" s="1" t="s">
        <v>27</v>
      </c>
      <c r="N811" s="1" t="s">
        <v>26</v>
      </c>
      <c r="O811" s="1" t="s">
        <v>26</v>
      </c>
      <c r="P811" s="4">
        <v>45330.72168981482</v>
      </c>
    </row>
    <row r="812" hidden="1">
      <c r="A812" s="1" t="s">
        <v>1055</v>
      </c>
      <c r="B812" s="3" t="str">
        <f>HYPERLINK("https://hawk-eye.atlassian.net/browse/HWKREPORT-2591?atlOrigin=eyJpIjoiYzgwYTQ0ZjEyNzQzNGJhN2JmNjEyZTM0NmRhZWZhNjIiLCJwIjoic2hlZXRzLWppcmEifQ","HWKREPORT-2591")</f>
        <v>HWKREPORT-2591</v>
      </c>
      <c r="C812" s="1" t="s">
        <v>2011</v>
      </c>
      <c r="D812" s="1" t="s">
        <v>83</v>
      </c>
      <c r="E812" s="1" t="s">
        <v>1057</v>
      </c>
      <c r="F812" s="4">
        <v>45331.638657407406</v>
      </c>
      <c r="G812" s="3" t="str">
        <f t="shared" si="78"/>
        <v/>
      </c>
      <c r="H812" s="1" t="s">
        <v>1058</v>
      </c>
      <c r="I812" s="1" t="s">
        <v>1071</v>
      </c>
      <c r="J812" s="1" t="s">
        <v>26</v>
      </c>
      <c r="K812" s="1" t="s">
        <v>1813</v>
      </c>
      <c r="L812" s="1" t="s">
        <v>26</v>
      </c>
      <c r="M812" s="1" t="s">
        <v>27</v>
      </c>
      <c r="N812" s="1" t="s">
        <v>26</v>
      </c>
      <c r="O812" s="1" t="s">
        <v>26</v>
      </c>
      <c r="P812" s="4">
        <v>45331.63866898148</v>
      </c>
    </row>
    <row r="813" hidden="1">
      <c r="A813" s="1" t="s">
        <v>21</v>
      </c>
      <c r="B813" s="3" t="str">
        <f>HYPERLINK("https://hawk-eye.atlassian.net/browse/HWKREPORT-2592?atlOrigin=eyJpIjoiYzgwYTQ0ZjEyNzQzNGJhN2JmNjEyZTM0NmRhZWZhNjIiLCJwIjoic2hlZXRzLWppcmEifQ","HWKREPORT-2592")</f>
        <v>HWKREPORT-2592</v>
      </c>
      <c r="C813" s="1" t="s">
        <v>2012</v>
      </c>
      <c r="D813" s="1" t="s">
        <v>23</v>
      </c>
      <c r="E813" s="1" t="s">
        <v>1541</v>
      </c>
      <c r="F813" s="4">
        <v>45333.766747685186</v>
      </c>
      <c r="G813" s="3" t="str">
        <f>HYPERLINK("https://hawk-eye.atlassian.net/browse/TDP-2035?atlOrigin=eyJpIjoiYzgwYTQ0ZjEyNzQzNGJhN2JmNjEyZTM0NmRhZWZhNjIiLCJwIjoic2hlZXRzLWppcmEifQ","TDP-2035")</f>
        <v>TDP-2035</v>
      </c>
      <c r="H813" s="1" t="s">
        <v>1058</v>
      </c>
      <c r="I813" s="1" t="s">
        <v>1126</v>
      </c>
      <c r="J813" s="1" t="s">
        <v>26</v>
      </c>
      <c r="K813" s="1" t="s">
        <v>1211</v>
      </c>
      <c r="L813" s="1" t="s">
        <v>26</v>
      </c>
      <c r="M813" s="1" t="s">
        <v>27</v>
      </c>
      <c r="N813" s="1" t="s">
        <v>26</v>
      </c>
      <c r="O813" s="1" t="s">
        <v>26</v>
      </c>
      <c r="P813" s="4">
        <v>45561.68150462963</v>
      </c>
    </row>
    <row r="814" hidden="1">
      <c r="A814" s="1" t="s">
        <v>1055</v>
      </c>
      <c r="B814" s="3" t="str">
        <f>HYPERLINK("https://hawk-eye.atlassian.net/browse/HWKREPORT-2593?atlOrigin=eyJpIjoiYzgwYTQ0ZjEyNzQzNGJhN2JmNjEyZTM0NmRhZWZhNjIiLCJwIjoic2hlZXRzLWppcmEifQ","HWKREPORT-2593")</f>
        <v>HWKREPORT-2593</v>
      </c>
      <c r="C814" s="1" t="s">
        <v>2013</v>
      </c>
      <c r="D814" s="1" t="s">
        <v>48</v>
      </c>
      <c r="E814" s="1" t="s">
        <v>1057</v>
      </c>
      <c r="F814" s="4">
        <v>45334.53542824074</v>
      </c>
      <c r="G814" s="3" t="str">
        <f>HYPERLINK("https://hawk-eye.atlassian.net/browse/?atlOrigin=eyJpIjoiYzgwYTQ0ZjEyNzQzNGJhN2JmNjEyZTM0NmRhZWZhNjIiLCJwIjoic2hlZXRzLWppcmEifQ","")</f>
        <v/>
      </c>
      <c r="H814" s="1" t="s">
        <v>1058</v>
      </c>
      <c r="I814" s="1" t="s">
        <v>1085</v>
      </c>
      <c r="J814" s="1" t="s">
        <v>26</v>
      </c>
      <c r="K814" s="1" t="s">
        <v>1717</v>
      </c>
      <c r="L814" s="1" t="s">
        <v>26</v>
      </c>
      <c r="M814" s="1" t="s">
        <v>27</v>
      </c>
      <c r="N814" s="1" t="s">
        <v>26</v>
      </c>
      <c r="O814" s="1" t="s">
        <v>26</v>
      </c>
      <c r="P814" s="4">
        <v>45334.53543981481</v>
      </c>
    </row>
    <row r="815" hidden="1">
      <c r="A815" s="1" t="s">
        <v>1055</v>
      </c>
      <c r="B815" s="3" t="str">
        <f>HYPERLINK("https://hawk-eye.atlassian.net/browse/HWKREPORT-2594?atlOrigin=eyJpIjoiYzgwYTQ0ZjEyNzQzNGJhN2JmNjEyZTM0NmRhZWZhNjIiLCJwIjoic2hlZXRzLWppcmEifQ","HWKREPORT-2594")</f>
        <v>HWKREPORT-2594</v>
      </c>
      <c r="C815" s="1" t="s">
        <v>1342</v>
      </c>
      <c r="D815" s="1" t="s">
        <v>34</v>
      </c>
      <c r="E815" s="1" t="s">
        <v>1057</v>
      </c>
      <c r="F815" s="4">
        <v>45334.58644675926</v>
      </c>
      <c r="G815" s="3" t="str">
        <f>HYPERLINK("https://hawk-eye.atlassian.net/browse/HWKREPORT-2595?atlOrigin=eyJpIjoiYzgwYTQ0ZjEyNzQzNGJhN2JmNjEyZTM0NmRhZWZhNjIiLCJwIjoic2hlZXRzLWppcmEifQ","HWKREPORT-2595")</f>
        <v>HWKREPORT-2595</v>
      </c>
      <c r="H815" s="1" t="s">
        <v>1058</v>
      </c>
      <c r="I815" s="1" t="s">
        <v>1085</v>
      </c>
      <c r="J815" s="1" t="s">
        <v>26</v>
      </c>
      <c r="K815" s="1" t="s">
        <v>26</v>
      </c>
      <c r="L815" s="1" t="s">
        <v>26</v>
      </c>
      <c r="M815" s="1" t="s">
        <v>27</v>
      </c>
      <c r="N815" s="1" t="s">
        <v>26</v>
      </c>
      <c r="O815" s="1" t="s">
        <v>26</v>
      </c>
      <c r="P815" s="4">
        <v>45334.58645833333</v>
      </c>
    </row>
    <row r="816" hidden="1">
      <c r="A816" s="1" t="s">
        <v>1055</v>
      </c>
      <c r="B816" s="3" t="str">
        <f>HYPERLINK("https://hawk-eye.atlassian.net/browse/HWKREPORT-2595?atlOrigin=eyJpIjoiYzgwYTQ0ZjEyNzQzNGJhN2JmNjEyZTM0NmRhZWZhNjIiLCJwIjoic2hlZXRzLWppcmEifQ","HWKREPORT-2595")</f>
        <v>HWKREPORT-2595</v>
      </c>
      <c r="C816" s="1" t="s">
        <v>1342</v>
      </c>
      <c r="D816" s="1" t="s">
        <v>34</v>
      </c>
      <c r="E816" s="1" t="s">
        <v>1057</v>
      </c>
      <c r="F816" s="4">
        <v>45335.3683912037</v>
      </c>
      <c r="G816" s="3" t="str">
        <f>HYPERLINK("https://hawk-eye.atlassian.net/browse/HWKREPORT-2594?atlOrigin=eyJpIjoiYzgwYTQ0ZjEyNzQzNGJhN2JmNjEyZTM0NmRhZWZhNjIiLCJwIjoic2hlZXRzLWppcmEifQ","HWKREPORT-2594")</f>
        <v>HWKREPORT-2594</v>
      </c>
      <c r="H816" s="1" t="s">
        <v>1058</v>
      </c>
      <c r="I816" s="1" t="s">
        <v>1085</v>
      </c>
      <c r="J816" s="1" t="s">
        <v>26</v>
      </c>
      <c r="K816" s="1" t="s">
        <v>26</v>
      </c>
      <c r="L816" s="1" t="s">
        <v>26</v>
      </c>
      <c r="M816" s="1" t="s">
        <v>27</v>
      </c>
      <c r="N816" s="1" t="s">
        <v>26</v>
      </c>
      <c r="O816" s="1" t="s">
        <v>26</v>
      </c>
      <c r="P816" s="4">
        <v>45335.36840277778</v>
      </c>
    </row>
    <row r="817" hidden="1">
      <c r="A817" s="1" t="s">
        <v>1055</v>
      </c>
      <c r="B817" s="3" t="str">
        <f>HYPERLINK("https://hawk-eye.atlassian.net/browse/HWKREPORT-2596?atlOrigin=eyJpIjoiYzgwYTQ0ZjEyNzQzNGJhN2JmNjEyZTM0NmRhZWZhNjIiLCJwIjoic2hlZXRzLWppcmEifQ","HWKREPORT-2596")</f>
        <v>HWKREPORT-2596</v>
      </c>
      <c r="C817" s="1" t="s">
        <v>2014</v>
      </c>
      <c r="D817" s="1" t="s">
        <v>48</v>
      </c>
      <c r="E817" s="1" t="s">
        <v>1057</v>
      </c>
      <c r="F817" s="4">
        <v>45335.42135416667</v>
      </c>
      <c r="G817" s="3" t="str">
        <f t="shared" ref="G817:G818" si="79">HYPERLINK("https://hawk-eye.atlassian.net/browse/?atlOrigin=eyJpIjoiYzgwYTQ0ZjEyNzQzNGJhN2JmNjEyZTM0NmRhZWZhNjIiLCJwIjoic2hlZXRzLWppcmEifQ","")</f>
        <v/>
      </c>
      <c r="H817" s="1" t="s">
        <v>1058</v>
      </c>
      <c r="I817" s="1" t="s">
        <v>1085</v>
      </c>
      <c r="J817" s="1" t="s">
        <v>26</v>
      </c>
      <c r="K817" s="1" t="s">
        <v>1219</v>
      </c>
      <c r="L817" s="1" t="s">
        <v>26</v>
      </c>
      <c r="M817" s="1" t="s">
        <v>27</v>
      </c>
      <c r="N817" s="1" t="s">
        <v>26</v>
      </c>
      <c r="O817" s="1" t="s">
        <v>26</v>
      </c>
      <c r="P817" s="4">
        <v>45335.42136574074</v>
      </c>
    </row>
    <row r="818" hidden="1">
      <c r="A818" s="1" t="s">
        <v>21</v>
      </c>
      <c r="B818" s="3" t="str">
        <f>HYPERLINK("https://hawk-eye.atlassian.net/browse/HWKREPORT-2597?atlOrigin=eyJpIjoiYzgwYTQ0ZjEyNzQzNGJhN2JmNjEyZTM0NmRhZWZhNjIiLCJwIjoic2hlZXRzLWppcmEifQ","HWKREPORT-2597")</f>
        <v>HWKREPORT-2597</v>
      </c>
      <c r="C818" s="1" t="s">
        <v>2015</v>
      </c>
      <c r="D818" s="1" t="s">
        <v>23</v>
      </c>
      <c r="E818" s="1" t="s">
        <v>1057</v>
      </c>
      <c r="F818" s="4">
        <v>45335.46803240741</v>
      </c>
      <c r="G818" s="3" t="str">
        <f t="shared" si="79"/>
        <v/>
      </c>
      <c r="H818" s="1" t="s">
        <v>1058</v>
      </c>
      <c r="I818" s="1" t="s">
        <v>1085</v>
      </c>
      <c r="J818" s="1" t="s">
        <v>26</v>
      </c>
      <c r="K818" s="1" t="s">
        <v>1072</v>
      </c>
      <c r="L818" s="1" t="s">
        <v>26</v>
      </c>
      <c r="M818" s="1" t="s">
        <v>27</v>
      </c>
      <c r="N818" s="1" t="s">
        <v>26</v>
      </c>
      <c r="O818" s="1" t="s">
        <v>26</v>
      </c>
      <c r="P818" s="4">
        <v>45335.468043981484</v>
      </c>
    </row>
    <row r="819" hidden="1">
      <c r="A819" s="1" t="s">
        <v>1055</v>
      </c>
      <c r="B819" s="3" t="str">
        <f>HYPERLINK("https://hawk-eye.atlassian.net/browse/HWKREPORT-2598?atlOrigin=eyJpIjoiYzgwYTQ0ZjEyNzQzNGJhN2JmNjEyZTM0NmRhZWZhNjIiLCJwIjoic2hlZXRzLWppcmEifQ","HWKREPORT-2598")</f>
        <v>HWKREPORT-2598</v>
      </c>
      <c r="C819" s="1" t="s">
        <v>2016</v>
      </c>
      <c r="D819" s="1" t="s">
        <v>48</v>
      </c>
      <c r="E819" s="1" t="s">
        <v>35</v>
      </c>
      <c r="F819" s="4">
        <v>45335.47965277778</v>
      </c>
      <c r="G819" s="3" t="str">
        <f>HYPERLINK("https://hawk-eye.atlassian.net/browse/SO-1252?atlOrigin=eyJpIjoiYzgwYTQ0ZjEyNzQzNGJhN2JmNjEyZTM0NmRhZWZhNjIiLCJwIjoic2hlZXRzLWppcmEifQ","SO-1252")</f>
        <v>SO-1252</v>
      </c>
      <c r="H819" s="1" t="s">
        <v>1058</v>
      </c>
      <c r="I819" s="1" t="s">
        <v>1085</v>
      </c>
      <c r="J819" s="1" t="s">
        <v>26</v>
      </c>
      <c r="K819" s="1" t="s">
        <v>1134</v>
      </c>
      <c r="L819" s="1" t="s">
        <v>26</v>
      </c>
      <c r="M819" s="1" t="s">
        <v>27</v>
      </c>
      <c r="N819" s="1" t="s">
        <v>26</v>
      </c>
      <c r="O819" s="1" t="s">
        <v>26</v>
      </c>
      <c r="P819" s="4">
        <v>45358.638657407406</v>
      </c>
    </row>
    <row r="820" hidden="1">
      <c r="A820" s="1" t="s">
        <v>1055</v>
      </c>
      <c r="B820" s="3" t="str">
        <f>HYPERLINK("https://hawk-eye.atlassian.net/browse/HWKREPORT-2599?atlOrigin=eyJpIjoiYzgwYTQ0ZjEyNzQzNGJhN2JmNjEyZTM0NmRhZWZhNjIiLCJwIjoic2hlZXRzLWppcmEifQ","HWKREPORT-2599")</f>
        <v>HWKREPORT-2599</v>
      </c>
      <c r="C820" s="1" t="s">
        <v>2017</v>
      </c>
      <c r="D820" s="1" t="s">
        <v>48</v>
      </c>
      <c r="E820" s="1" t="s">
        <v>1057</v>
      </c>
      <c r="F820" s="4">
        <v>45335.486805555556</v>
      </c>
      <c r="G820" s="3" t="str">
        <f t="shared" ref="G820:G821" si="80">HYPERLINK("https://hawk-eye.atlassian.net/browse/?atlOrigin=eyJpIjoiYzgwYTQ0ZjEyNzQzNGJhN2JmNjEyZTM0NmRhZWZhNjIiLCJwIjoic2hlZXRzLWppcmEifQ","")</f>
        <v/>
      </c>
      <c r="H820" s="1" t="s">
        <v>1058</v>
      </c>
      <c r="I820" s="1" t="s">
        <v>1085</v>
      </c>
      <c r="J820" s="1" t="s">
        <v>26</v>
      </c>
      <c r="K820" s="1" t="s">
        <v>1372</v>
      </c>
      <c r="L820" s="1" t="s">
        <v>26</v>
      </c>
      <c r="M820" s="1" t="s">
        <v>27</v>
      </c>
      <c r="N820" s="1" t="s">
        <v>26</v>
      </c>
      <c r="O820" s="1" t="s">
        <v>26</v>
      </c>
      <c r="P820" s="4">
        <v>45335.48681712963</v>
      </c>
    </row>
    <row r="821" hidden="1">
      <c r="A821" s="1" t="s">
        <v>1055</v>
      </c>
      <c r="B821" s="3" t="str">
        <f>HYPERLINK("https://hawk-eye.atlassian.net/browse/HWKREPORT-2600?atlOrigin=eyJpIjoiYzgwYTQ0ZjEyNzQzNGJhN2JmNjEyZTM0NmRhZWZhNjIiLCJwIjoic2hlZXRzLWppcmEifQ","HWKREPORT-2600")</f>
        <v>HWKREPORT-2600</v>
      </c>
      <c r="C821" s="1" t="s">
        <v>2018</v>
      </c>
      <c r="D821" s="1" t="s">
        <v>48</v>
      </c>
      <c r="E821" s="1" t="s">
        <v>35</v>
      </c>
      <c r="F821" s="4">
        <v>45335.67884259259</v>
      </c>
      <c r="G821" s="3" t="str">
        <f t="shared" si="80"/>
        <v/>
      </c>
      <c r="H821" s="1" t="s">
        <v>1058</v>
      </c>
      <c r="I821" s="1" t="s">
        <v>1082</v>
      </c>
      <c r="J821" s="1" t="s">
        <v>26</v>
      </c>
      <c r="K821" s="1" t="s">
        <v>1148</v>
      </c>
      <c r="L821" s="1" t="s">
        <v>26</v>
      </c>
      <c r="M821" s="1" t="s">
        <v>27</v>
      </c>
      <c r="N821" s="1" t="s">
        <v>26</v>
      </c>
      <c r="O821" s="1" t="s">
        <v>26</v>
      </c>
      <c r="P821" s="4">
        <v>45338.68010416667</v>
      </c>
    </row>
    <row r="822" hidden="1">
      <c r="A822" s="1" t="s">
        <v>21</v>
      </c>
      <c r="B822" s="3" t="str">
        <f>HYPERLINK("https://hawk-eye.atlassian.net/browse/HWKREPORT-2601?atlOrigin=eyJpIjoiYzgwYTQ0ZjEyNzQzNGJhN2JmNjEyZTM0NmRhZWZhNjIiLCJwIjoic2hlZXRzLWppcmEifQ","HWKREPORT-2601")</f>
        <v>HWKREPORT-2601</v>
      </c>
      <c r="C822" s="1" t="s">
        <v>2019</v>
      </c>
      <c r="D822" s="1" t="s">
        <v>48</v>
      </c>
      <c r="E822" s="1" t="s">
        <v>35</v>
      </c>
      <c r="F822" s="4">
        <v>45336.63972222222</v>
      </c>
      <c r="G822" s="3" t="str">
        <f>HYPERLINK("https://hawk-eye.atlassian.net/browse/RTT-7941?atlOrigin=eyJpIjoiYzgwYTQ0ZjEyNzQzNGJhN2JmNjEyZTM0NmRhZWZhNjIiLCJwIjoic2hlZXRzLWppcmEifQ","RTT-7941")</f>
        <v>RTT-7941</v>
      </c>
      <c r="H822" s="1" t="s">
        <v>1058</v>
      </c>
      <c r="I822" s="1" t="s">
        <v>1082</v>
      </c>
      <c r="J822" s="1" t="s">
        <v>26</v>
      </c>
      <c r="K822" s="1" t="s">
        <v>1247</v>
      </c>
      <c r="L822" s="1" t="s">
        <v>26</v>
      </c>
      <c r="M822" s="1" t="s">
        <v>27</v>
      </c>
      <c r="N822" s="1" t="s">
        <v>26</v>
      </c>
      <c r="O822" s="1" t="s">
        <v>26</v>
      </c>
      <c r="P822" s="4">
        <v>45406.620625</v>
      </c>
    </row>
    <row r="823" hidden="1">
      <c r="A823" s="1" t="s">
        <v>21</v>
      </c>
      <c r="B823" s="3" t="str">
        <f>HYPERLINK("https://hawk-eye.atlassian.net/browse/HWKREPORT-2602?atlOrigin=eyJpIjoiYzgwYTQ0ZjEyNzQzNGJhN2JmNjEyZTM0NmRhZWZhNjIiLCJwIjoic2hlZXRzLWppcmEifQ","HWKREPORT-2602")</f>
        <v>HWKREPORT-2602</v>
      </c>
      <c r="C823" s="1" t="s">
        <v>2020</v>
      </c>
      <c r="D823" s="1" t="s">
        <v>23</v>
      </c>
      <c r="E823" s="1" t="s">
        <v>35</v>
      </c>
      <c r="F823" s="4">
        <v>45336.70991898148</v>
      </c>
      <c r="G823" s="3" t="str">
        <f>HYPERLINK("https://hawk-eye.atlassian.net/browse/SO-1224?atlOrigin=eyJpIjoiYzgwYTQ0ZjEyNzQzNGJhN2JmNjEyZTM0NmRhZWZhNjIiLCJwIjoic2hlZXRzLWppcmEifQ","SO-1224")</f>
        <v>SO-1224</v>
      </c>
      <c r="H823" s="1" t="s">
        <v>1058</v>
      </c>
      <c r="I823" s="1" t="s">
        <v>1514</v>
      </c>
      <c r="J823" s="1" t="s">
        <v>26</v>
      </c>
      <c r="K823" s="1" t="s">
        <v>1247</v>
      </c>
      <c r="L823" s="1" t="s">
        <v>26</v>
      </c>
      <c r="M823" s="1" t="s">
        <v>27</v>
      </c>
      <c r="N823" s="1" t="s">
        <v>26</v>
      </c>
      <c r="O823" s="1" t="s">
        <v>26</v>
      </c>
      <c r="P823" s="4">
        <v>45341.43173611111</v>
      </c>
    </row>
    <row r="824" hidden="1">
      <c r="A824" s="1" t="s">
        <v>21</v>
      </c>
      <c r="B824" s="3" t="str">
        <f>HYPERLINK("https://hawk-eye.atlassian.net/browse/HWKREPORT-2603?atlOrigin=eyJpIjoiYzgwYTQ0ZjEyNzQzNGJhN2JmNjEyZTM0NmRhZWZhNjIiLCJwIjoic2hlZXRzLWppcmEifQ","HWKREPORT-2603")</f>
        <v>HWKREPORT-2603</v>
      </c>
      <c r="C824" s="1" t="s">
        <v>2021</v>
      </c>
      <c r="D824" s="1" t="s">
        <v>48</v>
      </c>
      <c r="E824" s="1" t="s">
        <v>35</v>
      </c>
      <c r="F824" s="4">
        <v>45336.75548611111</v>
      </c>
      <c r="G824" s="3" t="str">
        <f>HYPERLINK("https://hawk-eye.atlassian.net/browse/SO-1229?atlOrigin=eyJpIjoiYzgwYTQ0ZjEyNzQzNGJhN2JmNjEyZTM0NmRhZWZhNjIiLCJwIjoic2hlZXRzLWppcmEifQ","SO-1229")</f>
        <v>SO-1229</v>
      </c>
      <c r="H824" s="1" t="s">
        <v>1058</v>
      </c>
      <c r="I824" s="1" t="s">
        <v>1085</v>
      </c>
      <c r="J824" s="1" t="s">
        <v>26</v>
      </c>
      <c r="K824" s="1" t="s">
        <v>2022</v>
      </c>
      <c r="L824" s="1" t="s">
        <v>26</v>
      </c>
      <c r="M824" s="1" t="s">
        <v>27</v>
      </c>
      <c r="N824" s="1" t="s">
        <v>26</v>
      </c>
      <c r="O824" s="1" t="s">
        <v>26</v>
      </c>
      <c r="P824" s="4">
        <v>45372.610810185186</v>
      </c>
    </row>
    <row r="825" hidden="1">
      <c r="A825" s="1" t="s">
        <v>21</v>
      </c>
      <c r="B825" s="3" t="str">
        <f>HYPERLINK("https://hawk-eye.atlassian.net/browse/HWKREPORT-2604?atlOrigin=eyJpIjoiYzgwYTQ0ZjEyNzQzNGJhN2JmNjEyZTM0NmRhZWZhNjIiLCJwIjoic2hlZXRzLWppcmEifQ","HWKREPORT-2604")</f>
        <v>HWKREPORT-2604</v>
      </c>
      <c r="C825" s="1" t="s">
        <v>2023</v>
      </c>
      <c r="D825" s="1" t="s">
        <v>34</v>
      </c>
      <c r="E825" s="1" t="s">
        <v>35</v>
      </c>
      <c r="F825" s="4">
        <v>45338.6534375</v>
      </c>
      <c r="G825" s="3" t="str">
        <f>HYPERLINK("https://hawk-eye.atlassian.net/browse/SO-1236?atlOrigin=eyJpIjoiYzgwYTQ0ZjEyNzQzNGJhN2JmNjEyZTM0NmRhZWZhNjIiLCJwIjoic2hlZXRzLWppcmEifQ","SO-1236")</f>
        <v>SO-1236</v>
      </c>
      <c r="H825" s="1" t="s">
        <v>1058</v>
      </c>
      <c r="I825" s="1" t="s">
        <v>1085</v>
      </c>
      <c r="J825" s="1" t="s">
        <v>26</v>
      </c>
      <c r="K825" s="1" t="s">
        <v>1385</v>
      </c>
      <c r="L825" s="1" t="s">
        <v>26</v>
      </c>
      <c r="M825" s="1" t="s">
        <v>27</v>
      </c>
      <c r="N825" s="1" t="s">
        <v>26</v>
      </c>
      <c r="O825" s="1" t="s">
        <v>26</v>
      </c>
      <c r="P825" s="4">
        <v>45356.37263888889</v>
      </c>
    </row>
    <row r="826" hidden="1">
      <c r="A826" s="1" t="s">
        <v>21</v>
      </c>
      <c r="B826" s="3" t="str">
        <f>HYPERLINK("https://hawk-eye.atlassian.net/browse/HWKREPORT-2605?atlOrigin=eyJpIjoiYzgwYTQ0ZjEyNzQzNGJhN2JmNjEyZTM0NmRhZWZhNjIiLCJwIjoic2hlZXRzLWppcmEifQ","HWKREPORT-2605")</f>
        <v>HWKREPORT-2605</v>
      </c>
      <c r="C826" s="1" t="s">
        <v>2024</v>
      </c>
      <c r="D826" s="1" t="s">
        <v>34</v>
      </c>
      <c r="E826" s="1" t="s">
        <v>1091</v>
      </c>
      <c r="F826" s="4">
        <v>45338.66431712963</v>
      </c>
      <c r="G826" s="3" t="str">
        <f>HYPERLINK("https://hawk-eye.atlassian.net/browse/RTT-7944?atlOrigin=eyJpIjoiYzgwYTQ0ZjEyNzQzNGJhN2JmNjEyZTM0NmRhZWZhNjIiLCJwIjoic2hlZXRzLWppcmEifQ","RTT-7944")</f>
        <v>RTT-7944</v>
      </c>
      <c r="H826" s="1" t="s">
        <v>1058</v>
      </c>
      <c r="I826" s="1" t="s">
        <v>1082</v>
      </c>
      <c r="J826" s="1" t="s">
        <v>26</v>
      </c>
      <c r="K826" s="1" t="s">
        <v>1173</v>
      </c>
      <c r="L826" s="1" t="s">
        <v>26</v>
      </c>
      <c r="M826" s="1" t="s">
        <v>27</v>
      </c>
      <c r="N826" s="1" t="s">
        <v>26</v>
      </c>
      <c r="O826" s="1" t="s">
        <v>26</v>
      </c>
      <c r="P826" s="4">
        <v>45378.3749537037</v>
      </c>
    </row>
    <row r="827" hidden="1">
      <c r="A827" s="1" t="s">
        <v>1055</v>
      </c>
      <c r="B827" s="3" t="str">
        <f>HYPERLINK("https://hawk-eye.atlassian.net/browse/HWKREPORT-2606?atlOrigin=eyJpIjoiYzgwYTQ0ZjEyNzQzNGJhN2JmNjEyZTM0NmRhZWZhNjIiLCJwIjoic2hlZXRzLWppcmEifQ","HWKREPORT-2606")</f>
        <v>HWKREPORT-2606</v>
      </c>
      <c r="C827" s="1" t="s">
        <v>2025</v>
      </c>
      <c r="D827" s="1" t="s">
        <v>48</v>
      </c>
      <c r="E827" s="1" t="s">
        <v>1057</v>
      </c>
      <c r="F827" s="4">
        <v>45338.666134259256</v>
      </c>
      <c r="G827" s="3" t="str">
        <f>HYPERLINK("https://hawk-eye.atlassian.net/browse/TTS-37?atlOrigin=eyJpIjoiYzgwYTQ0ZjEyNzQzNGJhN2JmNjEyZTM0NmRhZWZhNjIiLCJwIjoic2hlZXRzLWppcmEifQ","TTS-37")</f>
        <v>TTS-37</v>
      </c>
      <c r="H827" s="1" t="s">
        <v>1058</v>
      </c>
      <c r="I827" s="1" t="s">
        <v>1085</v>
      </c>
      <c r="J827" s="1" t="s">
        <v>26</v>
      </c>
      <c r="K827" s="1" t="s">
        <v>1219</v>
      </c>
      <c r="L827" s="1" t="s">
        <v>26</v>
      </c>
      <c r="M827" s="1" t="s">
        <v>27</v>
      </c>
      <c r="N827" s="1" t="s">
        <v>26</v>
      </c>
      <c r="O827" s="1" t="s">
        <v>26</v>
      </c>
      <c r="P827" s="4">
        <v>45338.66614583333</v>
      </c>
    </row>
    <row r="828" hidden="1">
      <c r="A828" s="1" t="s">
        <v>21</v>
      </c>
      <c r="B828" s="3" t="str">
        <f>HYPERLINK("https://hawk-eye.atlassian.net/browse/HWKREPORT-2607?atlOrigin=eyJpIjoiYzgwYTQ0ZjEyNzQzNGJhN2JmNjEyZTM0NmRhZWZhNjIiLCJwIjoic2hlZXRzLWppcmEifQ","HWKREPORT-2607")</f>
        <v>HWKREPORT-2607</v>
      </c>
      <c r="C828" s="1" t="s">
        <v>2026</v>
      </c>
      <c r="D828" s="1" t="s">
        <v>83</v>
      </c>
      <c r="E828" s="1" t="s">
        <v>1057</v>
      </c>
      <c r="F828" s="4">
        <v>45338.730092592596</v>
      </c>
      <c r="G828" s="3" t="str">
        <f>HYPERLINK("https://hawk-eye.atlassian.net/browse/GT-1399?atlOrigin=eyJpIjoiYzgwYTQ0ZjEyNzQzNGJhN2JmNjEyZTM0NmRhZWZhNjIiLCJwIjoic2hlZXRzLWppcmEifQ","GT-1399")</f>
        <v>GT-1399</v>
      </c>
      <c r="H828" s="1" t="s">
        <v>1058</v>
      </c>
      <c r="I828" s="1" t="s">
        <v>1085</v>
      </c>
      <c r="J828" s="1" t="s">
        <v>26</v>
      </c>
      <c r="K828" s="1" t="s">
        <v>1105</v>
      </c>
      <c r="L828" s="1" t="s">
        <v>26</v>
      </c>
      <c r="M828" s="1" t="s">
        <v>27</v>
      </c>
      <c r="N828" s="1" t="s">
        <v>26</v>
      </c>
      <c r="O828" s="1" t="s">
        <v>26</v>
      </c>
      <c r="P828" s="4">
        <v>45338.73011574074</v>
      </c>
    </row>
    <row r="829" hidden="1">
      <c r="A829" s="1" t="s">
        <v>1055</v>
      </c>
      <c r="B829" s="3" t="str">
        <f>HYPERLINK("https://hawk-eye.atlassian.net/browse/HWKREPORT-2608?atlOrigin=eyJpIjoiYzgwYTQ0ZjEyNzQzNGJhN2JmNjEyZTM0NmRhZWZhNjIiLCJwIjoic2hlZXRzLWppcmEifQ","HWKREPORT-2608")</f>
        <v>HWKREPORT-2608</v>
      </c>
      <c r="C829" s="1" t="s">
        <v>2027</v>
      </c>
      <c r="D829" s="1" t="s">
        <v>48</v>
      </c>
      <c r="E829" s="1" t="s">
        <v>1057</v>
      </c>
      <c r="F829" s="4">
        <v>45338.738391203704</v>
      </c>
      <c r="G829" s="3" t="str">
        <f>HYPERLINK("https://hawk-eye.atlassian.net/browse/GT-1406?atlOrigin=eyJpIjoiYzgwYTQ0ZjEyNzQzNGJhN2JmNjEyZTM0NmRhZWZhNjIiLCJwIjoic2hlZXRzLWppcmEifQ","GT-1406")</f>
        <v>GT-1406</v>
      </c>
      <c r="H829" s="1" t="s">
        <v>1058</v>
      </c>
      <c r="I829" s="1" t="s">
        <v>1085</v>
      </c>
      <c r="J829" s="1" t="s">
        <v>26</v>
      </c>
      <c r="K829" s="1" t="s">
        <v>1105</v>
      </c>
      <c r="L829" s="1" t="s">
        <v>26</v>
      </c>
      <c r="M829" s="1" t="s">
        <v>27</v>
      </c>
      <c r="N829" s="1" t="s">
        <v>26</v>
      </c>
      <c r="O829" s="1" t="s">
        <v>26</v>
      </c>
      <c r="P829" s="4">
        <v>45338.73840277778</v>
      </c>
    </row>
    <row r="830" hidden="1">
      <c r="A830" s="1" t="s">
        <v>21</v>
      </c>
      <c r="B830" s="3" t="str">
        <f>HYPERLINK("https://hawk-eye.atlassian.net/browse/HWKREPORT-2609?atlOrigin=eyJpIjoiYzgwYTQ0ZjEyNzQzNGJhN2JmNjEyZTM0NmRhZWZhNjIiLCJwIjoic2hlZXRzLWppcmEifQ","HWKREPORT-2609")</f>
        <v>HWKREPORT-2609</v>
      </c>
      <c r="C830" s="1" t="s">
        <v>2028</v>
      </c>
      <c r="D830" s="1" t="s">
        <v>40</v>
      </c>
      <c r="E830" s="1" t="s">
        <v>35</v>
      </c>
      <c r="F830" s="4">
        <v>45338.76219907407</v>
      </c>
      <c r="G830" s="3" t="str">
        <f>HYPERLINK("https://hawk-eye.atlassian.net/browse/?atlOrigin=eyJpIjoiYzgwYTQ0ZjEyNzQzNGJhN2JmNjEyZTM0NmRhZWZhNjIiLCJwIjoic2hlZXRzLWppcmEifQ","")</f>
        <v/>
      </c>
      <c r="H830" s="1" t="s">
        <v>1058</v>
      </c>
      <c r="I830" s="1" t="s">
        <v>1085</v>
      </c>
      <c r="J830" s="1" t="s">
        <v>26</v>
      </c>
      <c r="K830" s="1" t="s">
        <v>1072</v>
      </c>
      <c r="L830" s="1" t="s">
        <v>26</v>
      </c>
      <c r="M830" s="1" t="s">
        <v>27</v>
      </c>
      <c r="N830" s="1" t="s">
        <v>26</v>
      </c>
      <c r="O830" s="1" t="s">
        <v>26</v>
      </c>
      <c r="P830" s="4">
        <v>45357.65881944444</v>
      </c>
    </row>
    <row r="831" hidden="1">
      <c r="A831" s="1" t="s">
        <v>21</v>
      </c>
      <c r="B831" s="3" t="str">
        <f>HYPERLINK("https://hawk-eye.atlassian.net/browse/HWKREPORT-2610?atlOrigin=eyJpIjoiYzgwYTQ0ZjEyNzQzNGJhN2JmNjEyZTM0NmRhZWZhNjIiLCJwIjoic2hlZXRzLWppcmEifQ","HWKREPORT-2610")</f>
        <v>HWKREPORT-2610</v>
      </c>
      <c r="C831" s="1" t="s">
        <v>2029</v>
      </c>
      <c r="D831" s="1" t="s">
        <v>23</v>
      </c>
      <c r="E831" s="1" t="s">
        <v>1057</v>
      </c>
      <c r="F831" s="4">
        <v>45341.68576388889</v>
      </c>
      <c r="G831" s="3" t="str">
        <f>HYPERLINK("https://hawk-eye.atlassian.net/browse/AT-1276?atlOrigin=eyJpIjoiYzgwYTQ0ZjEyNzQzNGJhN2JmNjEyZTM0NmRhZWZhNjIiLCJwIjoic2hlZXRzLWppcmEifQ","AT-1276")</f>
        <v>AT-1276</v>
      </c>
      <c r="H831" s="1" t="s">
        <v>1058</v>
      </c>
      <c r="I831" s="1" t="s">
        <v>1082</v>
      </c>
      <c r="J831" s="1" t="s">
        <v>26</v>
      </c>
      <c r="K831" s="1" t="s">
        <v>1105</v>
      </c>
      <c r="L831" s="1" t="s">
        <v>26</v>
      </c>
      <c r="M831" s="1" t="s">
        <v>27</v>
      </c>
      <c r="N831" s="1" t="s">
        <v>26</v>
      </c>
      <c r="O831" s="1" t="s">
        <v>26</v>
      </c>
      <c r="P831" s="4">
        <v>45341.68577546296</v>
      </c>
    </row>
    <row r="832" hidden="1">
      <c r="A832" s="1" t="s">
        <v>21</v>
      </c>
      <c r="B832" s="3" t="str">
        <f>HYPERLINK("https://hawk-eye.atlassian.net/browse/HWKREPORT-2611?atlOrigin=eyJpIjoiYzgwYTQ0ZjEyNzQzNGJhN2JmNjEyZTM0NmRhZWZhNjIiLCJwIjoic2hlZXRzLWppcmEifQ","HWKREPORT-2611")</f>
        <v>HWKREPORT-2611</v>
      </c>
      <c r="C832" s="1" t="s">
        <v>2030</v>
      </c>
      <c r="D832" s="1" t="s">
        <v>34</v>
      </c>
      <c r="E832" s="1" t="s">
        <v>35</v>
      </c>
      <c r="F832" s="4">
        <v>45342.492638888885</v>
      </c>
      <c r="G832" s="3" t="str">
        <f>HYPERLINK("https://hawk-eye.atlassian.net/browse/CTK-175?atlOrigin=eyJpIjoiYzgwYTQ0ZjEyNzQzNGJhN2JmNjEyZTM0NmRhZWZhNjIiLCJwIjoic2hlZXRzLWppcmEifQ","CTK-175")</f>
        <v>CTK-175</v>
      </c>
      <c r="H832" s="1" t="s">
        <v>1058</v>
      </c>
      <c r="I832" s="1" t="s">
        <v>1082</v>
      </c>
      <c r="J832" s="1" t="s">
        <v>26</v>
      </c>
      <c r="K832" s="1" t="s">
        <v>1083</v>
      </c>
      <c r="L832" s="1" t="s">
        <v>26</v>
      </c>
      <c r="M832" s="1" t="s">
        <v>27</v>
      </c>
      <c r="N832" s="1" t="s">
        <v>26</v>
      </c>
      <c r="O832" s="1" t="s">
        <v>26</v>
      </c>
      <c r="P832" s="4">
        <v>45436.473715277774</v>
      </c>
    </row>
    <row r="833" hidden="1">
      <c r="A833" s="1" t="s">
        <v>21</v>
      </c>
      <c r="B833" s="3" t="str">
        <f>HYPERLINK("https://hawk-eye.atlassian.net/browse/HWKREPORT-2612?atlOrigin=eyJpIjoiYzgwYTQ0ZjEyNzQzNGJhN2JmNjEyZTM0NmRhZWZhNjIiLCJwIjoic2hlZXRzLWppcmEifQ","HWKREPORT-2612")</f>
        <v>HWKREPORT-2612</v>
      </c>
      <c r="C833" s="1" t="s">
        <v>2031</v>
      </c>
      <c r="D833" s="1" t="s">
        <v>34</v>
      </c>
      <c r="E833" s="1" t="s">
        <v>35</v>
      </c>
      <c r="F833" s="4">
        <v>45342.50423611111</v>
      </c>
      <c r="G833" s="3" t="str">
        <f>HYPERLINK("https://hawk-eye.atlassian.net/browse/CTK-174?atlOrigin=eyJpIjoiYzgwYTQ0ZjEyNzQzNGJhN2JmNjEyZTM0NmRhZWZhNjIiLCJwIjoic2hlZXRzLWppcmEifQ","CTK-174")</f>
        <v>CTK-174</v>
      </c>
      <c r="H833" s="1" t="s">
        <v>1058</v>
      </c>
      <c r="I833" s="1" t="s">
        <v>1082</v>
      </c>
      <c r="J833" s="1" t="s">
        <v>26</v>
      </c>
      <c r="K833" s="1" t="s">
        <v>1083</v>
      </c>
      <c r="L833" s="1" t="s">
        <v>26</v>
      </c>
      <c r="M833" s="1" t="s">
        <v>27</v>
      </c>
      <c r="N833" s="1" t="s">
        <v>26</v>
      </c>
      <c r="O833" s="1" t="s">
        <v>26</v>
      </c>
      <c r="P833" s="4">
        <v>45436.4662962963</v>
      </c>
    </row>
    <row r="834" hidden="1">
      <c r="A834" s="1" t="s">
        <v>21</v>
      </c>
      <c r="B834" s="3" t="str">
        <f>HYPERLINK("https://hawk-eye.atlassian.net/browse/HWKREPORT-2613?atlOrigin=eyJpIjoiYzgwYTQ0ZjEyNzQzNGJhN2JmNjEyZTM0NmRhZWZhNjIiLCJwIjoic2hlZXRzLWppcmEifQ","HWKREPORT-2613")</f>
        <v>HWKREPORT-2613</v>
      </c>
      <c r="C834" s="1" t="s">
        <v>2032</v>
      </c>
      <c r="D834" s="1" t="s">
        <v>48</v>
      </c>
      <c r="E834" s="1" t="s">
        <v>1057</v>
      </c>
      <c r="F834" s="4">
        <v>45342.55504629629</v>
      </c>
      <c r="G834" s="3" t="str">
        <f t="shared" ref="G834:G835" si="81">HYPERLINK("https://hawk-eye.atlassian.net/browse/?atlOrigin=eyJpIjoiYzgwYTQ0ZjEyNzQzNGJhN2JmNjEyZTM0NmRhZWZhNjIiLCJwIjoic2hlZXRzLWppcmEifQ","")</f>
        <v/>
      </c>
      <c r="H834" s="1" t="s">
        <v>1058</v>
      </c>
      <c r="I834" s="1" t="s">
        <v>1126</v>
      </c>
      <c r="J834" s="1" t="s">
        <v>26</v>
      </c>
      <c r="K834" s="1" t="s">
        <v>1211</v>
      </c>
      <c r="L834" s="1" t="s">
        <v>26</v>
      </c>
      <c r="M834" s="1" t="s">
        <v>27</v>
      </c>
      <c r="N834" s="1" t="s">
        <v>26</v>
      </c>
      <c r="O834" s="1" t="s">
        <v>26</v>
      </c>
      <c r="P834" s="4">
        <v>45342.55505787037</v>
      </c>
    </row>
    <row r="835" hidden="1">
      <c r="A835" s="1" t="s">
        <v>21</v>
      </c>
      <c r="B835" s="3" t="str">
        <f>HYPERLINK("https://hawk-eye.atlassian.net/browse/HWKREPORT-2614?atlOrigin=eyJpIjoiYzgwYTQ0ZjEyNzQzNGJhN2JmNjEyZTM0NmRhZWZhNjIiLCJwIjoic2hlZXRzLWppcmEifQ","HWKREPORT-2614")</f>
        <v>HWKREPORT-2614</v>
      </c>
      <c r="C835" s="1" t="s">
        <v>2033</v>
      </c>
      <c r="D835" s="1" t="s">
        <v>23</v>
      </c>
      <c r="E835" s="1" t="s">
        <v>1057</v>
      </c>
      <c r="F835" s="4">
        <v>45342.77111111111</v>
      </c>
      <c r="G835" s="3" t="str">
        <f t="shared" si="81"/>
        <v/>
      </c>
      <c r="H835" s="1" t="s">
        <v>1058</v>
      </c>
      <c r="I835" s="1" t="s">
        <v>1085</v>
      </c>
      <c r="J835" s="1" t="s">
        <v>26</v>
      </c>
      <c r="K835" s="1" t="s">
        <v>1804</v>
      </c>
      <c r="L835" s="1" t="s">
        <v>26</v>
      </c>
      <c r="M835" s="1" t="s">
        <v>27</v>
      </c>
      <c r="N835" s="1" t="s">
        <v>26</v>
      </c>
      <c r="O835" s="1" t="s">
        <v>26</v>
      </c>
      <c r="P835" s="4">
        <v>45342.77112268518</v>
      </c>
    </row>
    <row r="836" hidden="1">
      <c r="A836" s="1" t="s">
        <v>21</v>
      </c>
      <c r="B836" s="3" t="str">
        <f>HYPERLINK("https://hawk-eye.atlassian.net/browse/HWKREPORT-2615?atlOrigin=eyJpIjoiYzgwYTQ0ZjEyNzQzNGJhN2JmNjEyZTM0NmRhZWZhNjIiLCJwIjoic2hlZXRzLWppcmEifQ","HWKREPORT-2615")</f>
        <v>HWKREPORT-2615</v>
      </c>
      <c r="C836" s="1" t="s">
        <v>2034</v>
      </c>
      <c r="D836" s="1" t="s">
        <v>23</v>
      </c>
      <c r="E836" s="1" t="s">
        <v>1207</v>
      </c>
      <c r="F836" s="4">
        <v>45342.77425925926</v>
      </c>
      <c r="G836" s="3" t="str">
        <f>HYPERLINK("https://hawk-eye.atlassian.net/browse/RTT-7969?atlOrigin=eyJpIjoiYzgwYTQ0ZjEyNzQzNGJhN2JmNjEyZTM0NmRhZWZhNjIiLCJwIjoic2hlZXRzLWppcmEifQ","RTT-7969")</f>
        <v>RTT-7969</v>
      </c>
      <c r="H836" s="1" t="s">
        <v>1058</v>
      </c>
      <c r="I836" s="1" t="s">
        <v>1085</v>
      </c>
      <c r="J836" s="1" t="s">
        <v>26</v>
      </c>
      <c r="K836" s="1" t="s">
        <v>1072</v>
      </c>
      <c r="L836" s="1" t="s">
        <v>26</v>
      </c>
      <c r="M836" s="1" t="s">
        <v>27</v>
      </c>
      <c r="N836" s="1" t="s">
        <v>26</v>
      </c>
      <c r="O836" s="1" t="s">
        <v>26</v>
      </c>
      <c r="P836" s="4">
        <v>45358.38318287037</v>
      </c>
    </row>
    <row r="837" hidden="1">
      <c r="A837" s="1" t="s">
        <v>21</v>
      </c>
      <c r="B837" s="3" t="str">
        <f>HYPERLINK("https://hawk-eye.atlassian.net/browse/HWKREPORT-2616?atlOrigin=eyJpIjoiYzgwYTQ0ZjEyNzQzNGJhN2JmNjEyZTM0NmRhZWZhNjIiLCJwIjoic2hlZXRzLWppcmEifQ","HWKREPORT-2616")</f>
        <v>HWKREPORT-2616</v>
      </c>
      <c r="C837" s="1" t="s">
        <v>2035</v>
      </c>
      <c r="D837" s="1" t="s">
        <v>23</v>
      </c>
      <c r="E837" s="1" t="s">
        <v>35</v>
      </c>
      <c r="F837" s="4">
        <v>45342.797627314816</v>
      </c>
      <c r="G837" s="3" t="str">
        <f>HYPERLINK("https://hawk-eye.atlassian.net/browse/SO-1251?atlOrigin=eyJpIjoiYzgwYTQ0ZjEyNzQzNGJhN2JmNjEyZTM0NmRhZWZhNjIiLCJwIjoic2hlZXRzLWppcmEifQ","SO-1251")</f>
        <v>SO-1251</v>
      </c>
      <c r="H837" s="1" t="s">
        <v>1058</v>
      </c>
      <c r="I837" s="1" t="s">
        <v>1085</v>
      </c>
      <c r="J837" s="1" t="s">
        <v>26</v>
      </c>
      <c r="K837" s="1" t="s">
        <v>1804</v>
      </c>
      <c r="L837" s="1" t="s">
        <v>26</v>
      </c>
      <c r="M837" s="1" t="s">
        <v>27</v>
      </c>
      <c r="N837" s="1" t="s">
        <v>26</v>
      </c>
      <c r="O837" s="1" t="s">
        <v>26</v>
      </c>
      <c r="P837" s="4">
        <v>45386.652719907404</v>
      </c>
    </row>
    <row r="838" hidden="1">
      <c r="A838" s="1" t="s">
        <v>1055</v>
      </c>
      <c r="B838" s="3" t="str">
        <f>HYPERLINK("https://hawk-eye.atlassian.net/browse/HWKREPORT-2617?atlOrigin=eyJpIjoiYzgwYTQ0ZjEyNzQzNGJhN2JmNjEyZTM0NmRhZWZhNjIiLCJwIjoic2hlZXRzLWppcmEifQ","HWKREPORT-2617")</f>
        <v>HWKREPORT-2617</v>
      </c>
      <c r="C838" s="1" t="s">
        <v>2036</v>
      </c>
      <c r="D838" s="1" t="s">
        <v>48</v>
      </c>
      <c r="E838" s="1" t="s">
        <v>1057</v>
      </c>
      <c r="F838" s="4">
        <v>45342.80207175926</v>
      </c>
      <c r="G838" s="3" t="str">
        <f>HYPERLINK("https://hawk-eye.atlassian.net/browse/SO-1376?atlOrigin=eyJpIjoiYzgwYTQ0ZjEyNzQzNGJhN2JmNjEyZTM0NmRhZWZhNjIiLCJwIjoic2hlZXRzLWppcmEifQ","SO-1376")</f>
        <v>SO-1376</v>
      </c>
      <c r="H838" s="1" t="s">
        <v>1058</v>
      </c>
      <c r="I838" s="1" t="s">
        <v>1085</v>
      </c>
      <c r="J838" s="1" t="s">
        <v>26</v>
      </c>
      <c r="K838" s="1" t="s">
        <v>1116</v>
      </c>
      <c r="L838" s="1" t="s">
        <v>26</v>
      </c>
      <c r="M838" s="1" t="s">
        <v>27</v>
      </c>
      <c r="N838" s="1" t="s">
        <v>26</v>
      </c>
      <c r="O838" s="1" t="s">
        <v>26</v>
      </c>
      <c r="P838" s="4">
        <v>45342.802083333336</v>
      </c>
    </row>
    <row r="839" hidden="1">
      <c r="A839" s="1" t="s">
        <v>21</v>
      </c>
      <c r="B839" s="3" t="str">
        <f>HYPERLINK("https://hawk-eye.atlassian.net/browse/HWKREPORT-2618?atlOrigin=eyJpIjoiYzgwYTQ0ZjEyNzQzNGJhN2JmNjEyZTM0NmRhZWZhNjIiLCJwIjoic2hlZXRzLWppcmEifQ","HWKREPORT-2618")</f>
        <v>HWKREPORT-2618</v>
      </c>
      <c r="C839" s="1" t="s">
        <v>2037</v>
      </c>
      <c r="D839" s="1" t="s">
        <v>40</v>
      </c>
      <c r="E839" s="1" t="s">
        <v>35</v>
      </c>
      <c r="F839" s="4">
        <v>45343.755740740744</v>
      </c>
      <c r="G839" s="3" t="str">
        <f>HYPERLINK("https://hawk-eye.atlassian.net/browse/?atlOrigin=eyJpIjoiYzgwYTQ0ZjEyNzQzNGJhN2JmNjEyZTM0NmRhZWZhNjIiLCJwIjoic2hlZXRzLWppcmEifQ","")</f>
        <v/>
      </c>
      <c r="H839" s="1" t="s">
        <v>1058</v>
      </c>
      <c r="I839" s="1" t="s">
        <v>1071</v>
      </c>
      <c r="J839" s="1" t="s">
        <v>26</v>
      </c>
      <c r="K839" s="1" t="s">
        <v>1134</v>
      </c>
      <c r="L839" s="1" t="s">
        <v>26</v>
      </c>
      <c r="M839" s="1" t="s">
        <v>27</v>
      </c>
      <c r="N839" s="1" t="s">
        <v>26</v>
      </c>
      <c r="O839" s="1" t="s">
        <v>26</v>
      </c>
      <c r="P839" s="4">
        <v>45344.35472222222</v>
      </c>
    </row>
    <row r="840" hidden="1">
      <c r="A840" s="1" t="s">
        <v>21</v>
      </c>
      <c r="B840" s="3" t="str">
        <f>HYPERLINK("https://hawk-eye.atlassian.net/browse/HWKREPORT-2619?atlOrigin=eyJpIjoiYzgwYTQ0ZjEyNzQzNGJhN2JmNjEyZTM0NmRhZWZhNjIiLCJwIjoic2hlZXRzLWppcmEifQ","HWKREPORT-2619")</f>
        <v>HWKREPORT-2619</v>
      </c>
      <c r="C840" s="1" t="s">
        <v>2038</v>
      </c>
      <c r="D840" s="1" t="s">
        <v>40</v>
      </c>
      <c r="E840" s="1" t="s">
        <v>35</v>
      </c>
      <c r="F840" s="4">
        <v>45343.79019675926</v>
      </c>
      <c r="G840" s="3" t="str">
        <f>HYPERLINK("https://hawk-eye.atlassian.net/browse/CORE-269?atlOrigin=eyJpIjoiYzgwYTQ0ZjEyNzQzNGJhN2JmNjEyZTM0NmRhZWZhNjIiLCJwIjoic2hlZXRzLWppcmEifQ","CORE-269")</f>
        <v>CORE-269</v>
      </c>
      <c r="H840" s="1" t="s">
        <v>1058</v>
      </c>
      <c r="I840" s="1" t="s">
        <v>1071</v>
      </c>
      <c r="J840" s="1" t="s">
        <v>26</v>
      </c>
      <c r="K840" s="1" t="s">
        <v>1134</v>
      </c>
      <c r="L840" s="1" t="s">
        <v>26</v>
      </c>
      <c r="M840" s="1" t="s">
        <v>27</v>
      </c>
      <c r="N840" s="1" t="s">
        <v>26</v>
      </c>
      <c r="O840" s="1" t="s">
        <v>26</v>
      </c>
      <c r="P840" s="4">
        <v>45351.61760416667</v>
      </c>
    </row>
    <row r="841" hidden="1">
      <c r="A841" s="1" t="s">
        <v>1055</v>
      </c>
      <c r="B841" s="3" t="str">
        <f>HYPERLINK("https://hawk-eye.atlassian.net/browse/HWKREPORT-2620?atlOrigin=eyJpIjoiYzgwYTQ0ZjEyNzQzNGJhN2JmNjEyZTM0NmRhZWZhNjIiLCJwIjoic2hlZXRzLWppcmEifQ","HWKREPORT-2620")</f>
        <v>HWKREPORT-2620</v>
      </c>
      <c r="C841" s="1" t="s">
        <v>2039</v>
      </c>
      <c r="D841" s="1" t="s">
        <v>48</v>
      </c>
      <c r="E841" s="1" t="s">
        <v>1057</v>
      </c>
      <c r="F841" s="4">
        <v>45344.527083333334</v>
      </c>
      <c r="G841" s="3" t="str">
        <f t="shared" ref="G841:G842" si="82">HYPERLINK("https://hawk-eye.atlassian.net/browse/?atlOrigin=eyJpIjoiYzgwYTQ0ZjEyNzQzNGJhN2JmNjEyZTM0NmRhZWZhNjIiLCJwIjoic2hlZXRzLWppcmEifQ","")</f>
        <v/>
      </c>
      <c r="H841" s="1" t="s">
        <v>1058</v>
      </c>
      <c r="I841" s="1" t="s">
        <v>1085</v>
      </c>
      <c r="J841" s="1" t="s">
        <v>26</v>
      </c>
      <c r="K841" s="1" t="s">
        <v>1072</v>
      </c>
      <c r="L841" s="1" t="s">
        <v>26</v>
      </c>
      <c r="M841" s="1" t="s">
        <v>27</v>
      </c>
      <c r="N841" s="1" t="s">
        <v>26</v>
      </c>
      <c r="O841" s="1" t="s">
        <v>26</v>
      </c>
      <c r="P841" s="4">
        <v>45344.527083333334</v>
      </c>
    </row>
    <row r="842" hidden="1">
      <c r="A842" s="1" t="s">
        <v>21</v>
      </c>
      <c r="B842" s="3" t="str">
        <f>HYPERLINK("https://hawk-eye.atlassian.net/browse/HWKREPORT-2621?atlOrigin=eyJpIjoiYzgwYTQ0ZjEyNzQzNGJhN2JmNjEyZTM0NmRhZWZhNjIiLCJwIjoic2hlZXRzLWppcmEifQ","HWKREPORT-2621")</f>
        <v>HWKREPORT-2621</v>
      </c>
      <c r="C842" s="1" t="s">
        <v>2040</v>
      </c>
      <c r="D842" s="1" t="s">
        <v>48</v>
      </c>
      <c r="E842" s="1" t="s">
        <v>1057</v>
      </c>
      <c r="F842" s="4">
        <v>45344.53271990741</v>
      </c>
      <c r="G842" s="3" t="str">
        <f t="shared" si="82"/>
        <v/>
      </c>
      <c r="H842" s="1" t="s">
        <v>1058</v>
      </c>
      <c r="I842" s="1" t="s">
        <v>1085</v>
      </c>
      <c r="J842" s="1" t="s">
        <v>26</v>
      </c>
      <c r="K842" s="1" t="s">
        <v>1157</v>
      </c>
      <c r="L842" s="1" t="s">
        <v>26</v>
      </c>
      <c r="M842" s="1" t="s">
        <v>27</v>
      </c>
      <c r="N842" s="1" t="s">
        <v>26</v>
      </c>
      <c r="O842" s="1" t="s">
        <v>26</v>
      </c>
      <c r="P842" s="4">
        <v>45344.53273148148</v>
      </c>
    </row>
    <row r="843">
      <c r="A843" s="1" t="s">
        <v>21</v>
      </c>
      <c r="B843" s="3" t="str">
        <f>HYPERLINK("https://hawk-eye.atlassian.net/browse/HWKREPORT-2622?atlOrigin=eyJpIjoiYzgwYTQ0ZjEyNzQzNGJhN2JmNjEyZTM0NmRhZWZhNjIiLCJwIjoic2hlZXRzLWppcmEifQ","HWKREPORT-2622")</f>
        <v>HWKREPORT-2622</v>
      </c>
      <c r="C843" s="1" t="s">
        <v>2041</v>
      </c>
      <c r="D843" s="1" t="s">
        <v>83</v>
      </c>
      <c r="E843" s="1" t="s">
        <v>1057</v>
      </c>
      <c r="F843" s="4">
        <v>45344.85836805555</v>
      </c>
      <c r="G843" s="3" t="str">
        <f>HYPERLINK("https://hawk-eye.atlassian.net/browse/RTT-7950?atlOrigin=eyJpIjoiYzgwYTQ0ZjEyNzQzNGJhN2JmNjEyZTM0NmRhZWZhNjIiLCJwIjoic2hlZXRzLWppcmEifQ","RTT-7950")</f>
        <v>RTT-7950</v>
      </c>
      <c r="H843" s="1" t="s">
        <v>1058</v>
      </c>
      <c r="I843" s="1" t="s">
        <v>28</v>
      </c>
      <c r="J843" s="1" t="s">
        <v>26</v>
      </c>
      <c r="K843" s="1" t="s">
        <v>1072</v>
      </c>
      <c r="L843" s="1" t="s">
        <v>26</v>
      </c>
      <c r="M843" s="1" t="s">
        <v>27</v>
      </c>
      <c r="N843" s="1" t="s">
        <v>26</v>
      </c>
      <c r="O843" s="1" t="s">
        <v>26</v>
      </c>
      <c r="P843" s="4">
        <v>45420.517175925925</v>
      </c>
    </row>
    <row r="844" hidden="1">
      <c r="A844" s="1" t="s">
        <v>21</v>
      </c>
      <c r="B844" s="3" t="str">
        <f>HYPERLINK("https://hawk-eye.atlassian.net/browse/HWKREPORT-2623?atlOrigin=eyJpIjoiYzgwYTQ0ZjEyNzQzNGJhN2JmNjEyZTM0NmRhZWZhNjIiLCJwIjoic2hlZXRzLWppcmEifQ","HWKREPORT-2623")</f>
        <v>HWKREPORT-2623</v>
      </c>
      <c r="C844" s="1" t="s">
        <v>2042</v>
      </c>
      <c r="D844" s="1" t="s">
        <v>23</v>
      </c>
      <c r="E844" s="1" t="s">
        <v>35</v>
      </c>
      <c r="F844" s="4">
        <v>45345.01261574074</v>
      </c>
      <c r="G844" s="3" t="str">
        <f>HYPERLINK("https://hawk-eye.atlassian.net/browse/SO-1277?atlOrigin=eyJpIjoiYzgwYTQ0ZjEyNzQzNGJhN2JmNjEyZTM0NmRhZWZhNjIiLCJwIjoic2hlZXRzLWppcmEifQ","SO-1277")</f>
        <v>SO-1277</v>
      </c>
      <c r="H844" s="1" t="s">
        <v>1058</v>
      </c>
      <c r="I844" s="1" t="s">
        <v>1085</v>
      </c>
      <c r="J844" s="1" t="s">
        <v>26</v>
      </c>
      <c r="K844" s="1" t="s">
        <v>2043</v>
      </c>
      <c r="L844" s="1" t="s">
        <v>26</v>
      </c>
      <c r="M844" s="1" t="s">
        <v>27</v>
      </c>
      <c r="N844" s="1" t="s">
        <v>26</v>
      </c>
      <c r="O844" s="1" t="s">
        <v>26</v>
      </c>
      <c r="P844" s="4">
        <v>45372.61785879629</v>
      </c>
    </row>
    <row r="845" hidden="1">
      <c r="A845" s="1" t="s">
        <v>21</v>
      </c>
      <c r="B845" s="3" t="str">
        <f>HYPERLINK("https://hawk-eye.atlassian.net/browse/HWKREPORT-2624?atlOrigin=eyJpIjoiYzgwYTQ0ZjEyNzQzNGJhN2JmNjEyZTM0NmRhZWZhNjIiLCJwIjoic2hlZXRzLWppcmEifQ","HWKREPORT-2624")</f>
        <v>HWKREPORT-2624</v>
      </c>
      <c r="C845" s="1" t="s">
        <v>2044</v>
      </c>
      <c r="D845" s="1" t="s">
        <v>34</v>
      </c>
      <c r="E845" s="1" t="s">
        <v>35</v>
      </c>
      <c r="F845" s="4">
        <v>45345.65011574074</v>
      </c>
      <c r="G845" s="3" t="str">
        <f>HYPERLINK("https://hawk-eye.atlassian.net/browse/RTT-7954?atlOrigin=eyJpIjoiYzgwYTQ0ZjEyNzQzNGJhN2JmNjEyZTM0NmRhZWZhNjIiLCJwIjoic2hlZXRzLWppcmEifQ","RTT-7954")</f>
        <v>RTT-7954</v>
      </c>
      <c r="H845" s="1" t="s">
        <v>1058</v>
      </c>
      <c r="I845" s="1" t="s">
        <v>1085</v>
      </c>
      <c r="J845" s="1" t="s">
        <v>26</v>
      </c>
      <c r="K845" s="1" t="s">
        <v>1072</v>
      </c>
      <c r="L845" s="1" t="s">
        <v>26</v>
      </c>
      <c r="M845" s="1" t="s">
        <v>27</v>
      </c>
      <c r="N845" s="1" t="s">
        <v>26</v>
      </c>
      <c r="O845" s="1" t="s">
        <v>26</v>
      </c>
      <c r="P845" s="4">
        <v>45348.58405092593</v>
      </c>
    </row>
    <row r="846" hidden="1">
      <c r="A846" s="1" t="s">
        <v>21</v>
      </c>
      <c r="B846" s="3" t="str">
        <f>HYPERLINK("https://hawk-eye.atlassian.net/browse/HWKREPORT-2625?atlOrigin=eyJpIjoiYzgwYTQ0ZjEyNzQzNGJhN2JmNjEyZTM0NmRhZWZhNjIiLCJwIjoic2hlZXRzLWppcmEifQ","HWKREPORT-2625")</f>
        <v>HWKREPORT-2625</v>
      </c>
      <c r="C846" s="1" t="s">
        <v>2045</v>
      </c>
      <c r="D846" s="1" t="s">
        <v>34</v>
      </c>
      <c r="E846" s="1" t="s">
        <v>1207</v>
      </c>
      <c r="F846" s="4">
        <v>45345.65273148148</v>
      </c>
      <c r="G846" s="3" t="str">
        <f>HYPERLINK("https://hawk-eye.atlassian.net/browse/RTT-7968?atlOrigin=eyJpIjoiYzgwYTQ0ZjEyNzQzNGJhN2JmNjEyZTM0NmRhZWZhNjIiLCJwIjoic2hlZXRzLWppcmEifQ","RTT-7968")</f>
        <v>RTT-7968</v>
      </c>
      <c r="H846" s="1" t="s">
        <v>1058</v>
      </c>
      <c r="I846" s="1" t="s">
        <v>1085</v>
      </c>
      <c r="J846" s="1" t="s">
        <v>26</v>
      </c>
      <c r="K846" s="1" t="s">
        <v>1072</v>
      </c>
      <c r="L846" s="1" t="s">
        <v>26</v>
      </c>
      <c r="M846" s="1" t="s">
        <v>27</v>
      </c>
      <c r="N846" s="1" t="s">
        <v>26</v>
      </c>
      <c r="O846" s="1" t="s">
        <v>26</v>
      </c>
      <c r="P846" s="4">
        <v>45355.52378472222</v>
      </c>
    </row>
    <row r="847" hidden="1">
      <c r="A847" s="1" t="s">
        <v>1055</v>
      </c>
      <c r="B847" s="3" t="str">
        <f>HYPERLINK("https://hawk-eye.atlassian.net/browse/HWKREPORT-2626?atlOrigin=eyJpIjoiYzgwYTQ0ZjEyNzQzNGJhN2JmNjEyZTM0NmRhZWZhNjIiLCJwIjoic2hlZXRzLWppcmEifQ","HWKREPORT-2626")</f>
        <v>HWKREPORT-2626</v>
      </c>
      <c r="C847" s="1" t="s">
        <v>2046</v>
      </c>
      <c r="D847" s="1" t="s">
        <v>48</v>
      </c>
      <c r="E847" s="1" t="s">
        <v>1207</v>
      </c>
      <c r="F847" s="4">
        <v>45345.65436342593</v>
      </c>
      <c r="G847" s="3" t="str">
        <f>HYPERLINK("https://hawk-eye.atlassian.net/browse/RTT-7953?atlOrigin=eyJpIjoiYzgwYTQ0ZjEyNzQzNGJhN2JmNjEyZTM0NmRhZWZhNjIiLCJwIjoic2hlZXRzLWppcmEifQ","RTT-7953")</f>
        <v>RTT-7953</v>
      </c>
      <c r="H847" s="1" t="s">
        <v>1058</v>
      </c>
      <c r="I847" s="1" t="s">
        <v>1085</v>
      </c>
      <c r="J847" s="1" t="s">
        <v>26</v>
      </c>
      <c r="K847" s="1" t="s">
        <v>1072</v>
      </c>
      <c r="L847" s="1" t="s">
        <v>26</v>
      </c>
      <c r="M847" s="1" t="s">
        <v>27</v>
      </c>
      <c r="N847" s="1" t="s">
        <v>26</v>
      </c>
      <c r="O847" s="1" t="s">
        <v>26</v>
      </c>
      <c r="P847" s="4">
        <v>45378.56756944444</v>
      </c>
    </row>
    <row r="848" hidden="1">
      <c r="A848" s="1" t="s">
        <v>1055</v>
      </c>
      <c r="B848" s="3" t="str">
        <f>HYPERLINK("https://hawk-eye.atlassian.net/browse/HWKREPORT-2627?atlOrigin=eyJpIjoiYzgwYTQ0ZjEyNzQzNGJhN2JmNjEyZTM0NmRhZWZhNjIiLCJwIjoic2hlZXRzLWppcmEifQ","HWKREPORT-2627")</f>
        <v>HWKREPORT-2627</v>
      </c>
      <c r="C848" s="1" t="s">
        <v>2047</v>
      </c>
      <c r="D848" s="1" t="s">
        <v>48</v>
      </c>
      <c r="E848" s="1" t="s">
        <v>1207</v>
      </c>
      <c r="F848" s="4">
        <v>45345.65681712963</v>
      </c>
      <c r="G848" s="3" t="str">
        <f>HYPERLINK("https://hawk-eye.atlassian.net/browse/RTT-7952?atlOrigin=eyJpIjoiYzgwYTQ0ZjEyNzQzNGJhN2JmNjEyZTM0NmRhZWZhNjIiLCJwIjoic2hlZXRzLWppcmEifQ","RTT-7952")</f>
        <v>RTT-7952</v>
      </c>
      <c r="H848" s="1" t="s">
        <v>1058</v>
      </c>
      <c r="I848" s="1" t="s">
        <v>1085</v>
      </c>
      <c r="J848" s="1" t="s">
        <v>26</v>
      </c>
      <c r="K848" s="1" t="s">
        <v>1072</v>
      </c>
      <c r="L848" s="1" t="s">
        <v>26</v>
      </c>
      <c r="M848" s="1" t="s">
        <v>27</v>
      </c>
      <c r="N848" s="1" t="s">
        <v>26</v>
      </c>
      <c r="O848" s="1" t="s">
        <v>26</v>
      </c>
      <c r="P848" s="4">
        <v>45392.43739583333</v>
      </c>
    </row>
    <row r="849" hidden="1">
      <c r="A849" s="1" t="s">
        <v>21</v>
      </c>
      <c r="B849" s="3" t="str">
        <f>HYPERLINK("https://hawk-eye.atlassian.net/browse/HWKREPORT-2628?atlOrigin=eyJpIjoiYzgwYTQ0ZjEyNzQzNGJhN2JmNjEyZTM0NmRhZWZhNjIiLCJwIjoic2hlZXRzLWppcmEifQ","HWKREPORT-2628")</f>
        <v>HWKREPORT-2628</v>
      </c>
      <c r="C849" s="1" t="s">
        <v>2048</v>
      </c>
      <c r="D849" s="1" t="s">
        <v>23</v>
      </c>
      <c r="E849" s="1" t="s">
        <v>35</v>
      </c>
      <c r="F849" s="4">
        <v>45347.78679398148</v>
      </c>
      <c r="G849" s="3" t="str">
        <f>HYPERLINK("https://hawk-eye.atlassian.net/browse/RTT-7959?atlOrigin=eyJpIjoiYzgwYTQ0ZjEyNzQzNGJhN2JmNjEyZTM0NmRhZWZhNjIiLCJwIjoic2hlZXRzLWppcmEifQ","RTT-7959")</f>
        <v>RTT-7959</v>
      </c>
      <c r="H849" s="1" t="s">
        <v>1058</v>
      </c>
      <c r="I849" s="1" t="s">
        <v>1071</v>
      </c>
      <c r="J849" s="1" t="s">
        <v>26</v>
      </c>
      <c r="K849" s="1" t="s">
        <v>1072</v>
      </c>
      <c r="L849" s="1" t="s">
        <v>26</v>
      </c>
      <c r="M849" s="1" t="s">
        <v>27</v>
      </c>
      <c r="N849" s="1" t="s">
        <v>26</v>
      </c>
      <c r="O849" s="1" t="s">
        <v>26</v>
      </c>
      <c r="P849" s="4">
        <v>45670.60824074074</v>
      </c>
    </row>
    <row r="850" hidden="1">
      <c r="A850" s="1" t="s">
        <v>1055</v>
      </c>
      <c r="B850" s="3" t="str">
        <f>HYPERLINK("https://hawk-eye.atlassian.net/browse/HWKREPORT-2629?atlOrigin=eyJpIjoiYzgwYTQ0ZjEyNzQzNGJhN2JmNjEyZTM0NmRhZWZhNjIiLCJwIjoic2hlZXRzLWppcmEifQ","HWKREPORT-2629")</f>
        <v>HWKREPORT-2629</v>
      </c>
      <c r="C850" s="1" t="s">
        <v>2049</v>
      </c>
      <c r="D850" s="1" t="s">
        <v>48</v>
      </c>
      <c r="E850" s="1" t="s">
        <v>35</v>
      </c>
      <c r="F850" s="4">
        <v>45348.79</v>
      </c>
      <c r="G850" s="3" t="str">
        <f>HYPERLINK("https://hawk-eye.atlassian.net/issues/?atlOrigin=eyJpIjoiYzgwYTQ0ZjEyNzQzNGJhN2JmNjEyZTM0NmRhZWZhNjIiLCJwIjoic2hlZXRzLWppcmEifQ&amp;jql=key+in+%28RTT-7978%2CRTT-7977%29","RTT-7978;RTT-7977")</f>
        <v>RTT-7978;RTT-7977</v>
      </c>
      <c r="H850" s="1" t="s">
        <v>1058</v>
      </c>
      <c r="I850" s="1" t="s">
        <v>28</v>
      </c>
      <c r="J850" s="1" t="s">
        <v>26</v>
      </c>
      <c r="K850" s="1" t="s">
        <v>2050</v>
      </c>
      <c r="L850" s="1" t="s">
        <v>26</v>
      </c>
      <c r="M850" s="1" t="s">
        <v>27</v>
      </c>
      <c r="N850" s="1" t="s">
        <v>26</v>
      </c>
      <c r="O850" s="1" t="s">
        <v>26</v>
      </c>
      <c r="P850" s="4">
        <v>45504.54355324074</v>
      </c>
    </row>
    <row r="851" hidden="1">
      <c r="A851" s="1" t="s">
        <v>21</v>
      </c>
      <c r="B851" s="3" t="str">
        <f>HYPERLINK("https://hawk-eye.atlassian.net/browse/HWKREPORT-2630?atlOrigin=eyJpIjoiYzgwYTQ0ZjEyNzQzNGJhN2JmNjEyZTM0NmRhZWZhNjIiLCJwIjoic2hlZXRzLWppcmEifQ","HWKREPORT-2630")</f>
        <v>HWKREPORT-2630</v>
      </c>
      <c r="C851" s="1" t="s">
        <v>2051</v>
      </c>
      <c r="D851" s="1" t="s">
        <v>23</v>
      </c>
      <c r="E851" s="1" t="s">
        <v>35</v>
      </c>
      <c r="F851" s="4">
        <v>45348.81260416667</v>
      </c>
      <c r="G851" s="3" t="str">
        <f>HYPERLINK("https://hawk-eye.atlassian.net/browse/RTT-7973?atlOrigin=eyJpIjoiYzgwYTQ0ZjEyNzQzNGJhN2JmNjEyZTM0NmRhZWZhNjIiLCJwIjoic2hlZXRzLWppcmEifQ","RTT-7973")</f>
        <v>RTT-7973</v>
      </c>
      <c r="H851" s="1" t="s">
        <v>1058</v>
      </c>
      <c r="I851" s="1" t="s">
        <v>1071</v>
      </c>
      <c r="J851" s="1" t="s">
        <v>26</v>
      </c>
      <c r="K851" s="1" t="s">
        <v>1099</v>
      </c>
      <c r="L851" s="1" t="s">
        <v>26</v>
      </c>
      <c r="M851" s="1" t="s">
        <v>27</v>
      </c>
      <c r="N851" s="1" t="s">
        <v>26</v>
      </c>
      <c r="O851" s="1" t="s">
        <v>26</v>
      </c>
      <c r="P851" s="4">
        <v>45670.6084375</v>
      </c>
    </row>
    <row r="852" hidden="1">
      <c r="A852" s="1" t="s">
        <v>1055</v>
      </c>
      <c r="B852" s="3" t="str">
        <f>HYPERLINK("https://hawk-eye.atlassian.net/browse/HWKREPORT-2631?atlOrigin=eyJpIjoiYzgwYTQ0ZjEyNzQzNGJhN2JmNjEyZTM0NmRhZWZhNjIiLCJwIjoic2hlZXRzLWppcmEifQ","HWKREPORT-2631")</f>
        <v>HWKREPORT-2631</v>
      </c>
      <c r="C852" s="1" t="s">
        <v>2052</v>
      </c>
      <c r="D852" s="1" t="s">
        <v>48</v>
      </c>
      <c r="E852" s="1" t="s">
        <v>35</v>
      </c>
      <c r="F852" s="4">
        <v>45348.87422453704</v>
      </c>
      <c r="G852" s="3" t="str">
        <f>HYPERLINK("https://hawk-eye.atlassian.net/browse/RTT-7976?atlOrigin=eyJpIjoiYzgwYTQ0ZjEyNzQzNGJhN2JmNjEyZTM0NmRhZWZhNjIiLCJwIjoic2hlZXRzLWppcmEifQ","RTT-7976")</f>
        <v>RTT-7976</v>
      </c>
      <c r="H852" s="1" t="s">
        <v>1058</v>
      </c>
      <c r="I852" s="1" t="s">
        <v>28</v>
      </c>
      <c r="J852" s="1" t="s">
        <v>26</v>
      </c>
      <c r="K852" s="1" t="s">
        <v>1072</v>
      </c>
      <c r="L852" s="1" t="s">
        <v>26</v>
      </c>
      <c r="M852" s="1" t="s">
        <v>27</v>
      </c>
      <c r="N852" s="1" t="s">
        <v>26</v>
      </c>
      <c r="O852" s="1" t="s">
        <v>26</v>
      </c>
      <c r="P852" s="4">
        <v>45357.542129629626</v>
      </c>
    </row>
    <row r="853" hidden="1">
      <c r="A853" s="1" t="s">
        <v>1055</v>
      </c>
      <c r="B853" s="3" t="str">
        <f>HYPERLINK("https://hawk-eye.atlassian.net/browse/HWKREPORT-2632?atlOrigin=eyJpIjoiYzgwYTQ0ZjEyNzQzNGJhN2JmNjEyZTM0NmRhZWZhNjIiLCJwIjoic2hlZXRzLWppcmEifQ","HWKREPORT-2632")</f>
        <v>HWKREPORT-2632</v>
      </c>
      <c r="C853" s="1" t="s">
        <v>2053</v>
      </c>
      <c r="D853" s="1" t="s">
        <v>48</v>
      </c>
      <c r="E853" s="1" t="s">
        <v>1057</v>
      </c>
      <c r="F853" s="4">
        <v>45349.47429398148</v>
      </c>
      <c r="G853" s="3" t="str">
        <f>HYPERLINK("https://hawk-eye.atlassian.net/browse/?atlOrigin=eyJpIjoiYzgwYTQ0ZjEyNzQzNGJhN2JmNjEyZTM0NmRhZWZhNjIiLCJwIjoic2hlZXRzLWppcmEifQ","")</f>
        <v/>
      </c>
      <c r="H853" s="1" t="s">
        <v>1058</v>
      </c>
      <c r="I853" s="1" t="s">
        <v>1082</v>
      </c>
      <c r="J853" s="1" t="s">
        <v>26</v>
      </c>
      <c r="K853" s="1" t="s">
        <v>1148</v>
      </c>
      <c r="L853" s="1" t="s">
        <v>26</v>
      </c>
      <c r="M853" s="1" t="s">
        <v>27</v>
      </c>
      <c r="N853" s="1" t="s">
        <v>26</v>
      </c>
      <c r="O853" s="1" t="s">
        <v>26</v>
      </c>
      <c r="P853" s="4">
        <v>45349.47430555556</v>
      </c>
    </row>
    <row r="854" hidden="1">
      <c r="A854" s="1" t="s">
        <v>21</v>
      </c>
      <c r="B854" s="3" t="str">
        <f>HYPERLINK("https://hawk-eye.atlassian.net/browse/HWKREPORT-2633?atlOrigin=eyJpIjoiYzgwYTQ0ZjEyNzQzNGJhN2JmNjEyZTM0NmRhZWZhNjIiLCJwIjoic2hlZXRzLWppcmEifQ","HWKREPORT-2633")</f>
        <v>HWKREPORT-2633</v>
      </c>
      <c r="C854" s="1" t="s">
        <v>2054</v>
      </c>
      <c r="D854" s="1" t="s">
        <v>34</v>
      </c>
      <c r="E854" s="1" t="s">
        <v>35</v>
      </c>
      <c r="F854" s="4">
        <v>45349.47607638889</v>
      </c>
      <c r="G854" s="3" t="str">
        <f>HYPERLINK("https://hawk-eye.atlassian.net/browse/GT-1400?atlOrigin=eyJpIjoiYzgwYTQ0ZjEyNzQzNGJhN2JmNjEyZTM0NmRhZWZhNjIiLCJwIjoic2hlZXRzLWppcmEifQ","GT-1400")</f>
        <v>GT-1400</v>
      </c>
      <c r="H854" s="1" t="s">
        <v>1058</v>
      </c>
      <c r="I854" s="1" t="s">
        <v>1082</v>
      </c>
      <c r="J854" s="1" t="s">
        <v>26</v>
      </c>
      <c r="K854" s="1" t="s">
        <v>1148</v>
      </c>
      <c r="L854" s="1" t="s">
        <v>26</v>
      </c>
      <c r="M854" s="1" t="s">
        <v>27</v>
      </c>
      <c r="N854" s="1" t="s">
        <v>26</v>
      </c>
      <c r="O854" s="1" t="s">
        <v>26</v>
      </c>
      <c r="P854" s="4">
        <v>45357.43288194444</v>
      </c>
    </row>
    <row r="855" hidden="1">
      <c r="A855" s="1" t="s">
        <v>21</v>
      </c>
      <c r="B855" s="3" t="str">
        <f>HYPERLINK("https://hawk-eye.atlassian.net/browse/HWKREPORT-2634?atlOrigin=eyJpIjoiYzgwYTQ0ZjEyNzQzNGJhN2JmNjEyZTM0NmRhZWZhNjIiLCJwIjoic2hlZXRzLWppcmEifQ","HWKREPORT-2634")</f>
        <v>HWKREPORT-2634</v>
      </c>
      <c r="C855" s="1" t="s">
        <v>2055</v>
      </c>
      <c r="D855" s="1" t="s">
        <v>23</v>
      </c>
      <c r="E855" s="1" t="s">
        <v>35</v>
      </c>
      <c r="F855" s="4">
        <v>45349.48403935185</v>
      </c>
      <c r="G855" s="3" t="str">
        <f>HYPERLINK("https://hawk-eye.atlassian.net/browse/SO-1236?atlOrigin=eyJpIjoiYzgwYTQ0ZjEyNzQzNGJhN2JmNjEyZTM0NmRhZWZhNjIiLCJwIjoic2hlZXRzLWppcmEifQ","SO-1236")</f>
        <v>SO-1236</v>
      </c>
      <c r="H855" s="1" t="s">
        <v>1058</v>
      </c>
      <c r="I855" s="1" t="s">
        <v>1085</v>
      </c>
      <c r="J855" s="1" t="s">
        <v>26</v>
      </c>
      <c r="K855" s="1" t="s">
        <v>1385</v>
      </c>
      <c r="L855" s="1" t="s">
        <v>26</v>
      </c>
      <c r="M855" s="1" t="s">
        <v>27</v>
      </c>
      <c r="N855" s="1" t="s">
        <v>26</v>
      </c>
      <c r="O855" s="1" t="s">
        <v>26</v>
      </c>
      <c r="P855" s="4">
        <v>45362.59101851852</v>
      </c>
    </row>
    <row r="856" hidden="1">
      <c r="A856" s="1" t="s">
        <v>1055</v>
      </c>
      <c r="B856" s="3" t="str">
        <f>HYPERLINK("https://hawk-eye.atlassian.net/browse/HWKREPORT-2635?atlOrigin=eyJpIjoiYzgwYTQ0ZjEyNzQzNGJhN2JmNjEyZTM0NmRhZWZhNjIiLCJwIjoic2hlZXRzLWppcmEifQ","HWKREPORT-2635")</f>
        <v>HWKREPORT-2635</v>
      </c>
      <c r="C856" s="1" t="s">
        <v>2056</v>
      </c>
      <c r="D856" s="1" t="s">
        <v>48</v>
      </c>
      <c r="E856" s="1" t="s">
        <v>1057</v>
      </c>
      <c r="F856" s="4">
        <v>45349.647731481484</v>
      </c>
      <c r="G856" s="3" t="str">
        <f>HYPERLINK("https://hawk-eye.atlassian.net/browse/AL-1054?atlOrigin=eyJpIjoiYzgwYTQ0ZjEyNzQzNGJhN2JmNjEyZTM0NmRhZWZhNjIiLCJwIjoic2hlZXRzLWppcmEifQ","AL-1054")</f>
        <v>AL-1054</v>
      </c>
      <c r="H856" s="1" t="s">
        <v>1058</v>
      </c>
      <c r="I856" s="1" t="s">
        <v>1085</v>
      </c>
      <c r="J856" s="1" t="s">
        <v>26</v>
      </c>
      <c r="K856" s="1" t="s">
        <v>1219</v>
      </c>
      <c r="L856" s="1" t="s">
        <v>26</v>
      </c>
      <c r="M856" s="1" t="s">
        <v>27</v>
      </c>
      <c r="N856" s="1" t="s">
        <v>26</v>
      </c>
      <c r="O856" s="1" t="s">
        <v>26</v>
      </c>
      <c r="P856" s="4">
        <v>45349.647731481484</v>
      </c>
    </row>
    <row r="857" hidden="1">
      <c r="A857" s="1" t="s">
        <v>1055</v>
      </c>
      <c r="B857" s="3" t="str">
        <f>HYPERLINK("https://hawk-eye.atlassian.net/browse/HWKREPORT-2636?atlOrigin=eyJpIjoiYzgwYTQ0ZjEyNzQzNGJhN2JmNjEyZTM0NmRhZWZhNjIiLCJwIjoic2hlZXRzLWppcmEifQ","HWKREPORT-2636")</f>
        <v>HWKREPORT-2636</v>
      </c>
      <c r="C857" s="1" t="s">
        <v>2057</v>
      </c>
      <c r="D857" s="1" t="s">
        <v>48</v>
      </c>
      <c r="E857" s="1" t="s">
        <v>1057</v>
      </c>
      <c r="F857" s="4">
        <v>45349.653865740744</v>
      </c>
      <c r="G857" s="3" t="str">
        <f t="shared" ref="G857:G858" si="83">HYPERLINK("https://hawk-eye.atlassian.net/browse/?atlOrigin=eyJpIjoiYzgwYTQ0ZjEyNzQzNGJhN2JmNjEyZTM0NmRhZWZhNjIiLCJwIjoic2hlZXRzLWppcmEifQ","")</f>
        <v/>
      </c>
      <c r="H857" s="1" t="s">
        <v>1058</v>
      </c>
      <c r="I857" s="1" t="s">
        <v>1082</v>
      </c>
      <c r="J857" s="1" t="s">
        <v>26</v>
      </c>
      <c r="K857" s="1" t="s">
        <v>1148</v>
      </c>
      <c r="L857" s="1" t="s">
        <v>26</v>
      </c>
      <c r="M857" s="1" t="s">
        <v>27</v>
      </c>
      <c r="N857" s="1" t="s">
        <v>26</v>
      </c>
      <c r="O857" s="1" t="s">
        <v>26</v>
      </c>
      <c r="P857" s="4">
        <v>45349.65387731481</v>
      </c>
    </row>
    <row r="858" hidden="1">
      <c r="A858" s="1" t="s">
        <v>1055</v>
      </c>
      <c r="B858" s="3" t="str">
        <f>HYPERLINK("https://hawk-eye.atlassian.net/browse/HWKREPORT-2637?atlOrigin=eyJpIjoiYzgwYTQ0ZjEyNzQzNGJhN2JmNjEyZTM0NmRhZWZhNjIiLCJwIjoic2hlZXRzLWppcmEifQ","HWKREPORT-2637")</f>
        <v>HWKREPORT-2637</v>
      </c>
      <c r="C858" s="1" t="s">
        <v>2058</v>
      </c>
      <c r="D858" s="1" t="s">
        <v>48</v>
      </c>
      <c r="E858" s="1" t="s">
        <v>35</v>
      </c>
      <c r="F858" s="4">
        <v>45349.73600694445</v>
      </c>
      <c r="G858" s="3" t="str">
        <f t="shared" si="83"/>
        <v/>
      </c>
      <c r="H858" s="1" t="s">
        <v>1058</v>
      </c>
      <c r="I858" s="1" t="s">
        <v>1071</v>
      </c>
      <c r="J858" s="1" t="s">
        <v>26</v>
      </c>
      <c r="K858" s="1" t="s">
        <v>1134</v>
      </c>
      <c r="L858" s="1" t="s">
        <v>26</v>
      </c>
      <c r="M858" s="1" t="s">
        <v>27</v>
      </c>
      <c r="N858" s="1" t="s">
        <v>26</v>
      </c>
      <c r="O858" s="1" t="s">
        <v>26</v>
      </c>
      <c r="P858" s="4">
        <v>45379.46878472222</v>
      </c>
    </row>
    <row r="859" hidden="1">
      <c r="A859" s="1" t="s">
        <v>21</v>
      </c>
      <c r="B859" s="3" t="str">
        <f>HYPERLINK("https://hawk-eye.atlassian.net/browse/HWKREPORT-2638?atlOrigin=eyJpIjoiYzgwYTQ0ZjEyNzQzNGJhN2JmNjEyZTM0NmRhZWZhNjIiLCJwIjoic2hlZXRzLWppcmEifQ","HWKREPORT-2638")</f>
        <v>HWKREPORT-2638</v>
      </c>
      <c r="C859" s="1" t="s">
        <v>2059</v>
      </c>
      <c r="D859" s="1" t="s">
        <v>34</v>
      </c>
      <c r="E859" s="1" t="s">
        <v>35</v>
      </c>
      <c r="F859" s="4">
        <v>45350.87756944444</v>
      </c>
      <c r="G859" s="3" t="str">
        <f>HYPERLINK("https://hawk-eye.atlassian.net/browse/CTF-286?atlOrigin=eyJpIjoiYzgwYTQ0ZjEyNzQzNGJhN2JmNjEyZTM0NmRhZWZhNjIiLCJwIjoic2hlZXRzLWppcmEifQ","CTF-286")</f>
        <v>CTF-286</v>
      </c>
      <c r="H859" s="1" t="s">
        <v>1058</v>
      </c>
      <c r="I859" s="1" t="s">
        <v>1071</v>
      </c>
      <c r="J859" s="1" t="s">
        <v>26</v>
      </c>
      <c r="K859" s="1" t="s">
        <v>1095</v>
      </c>
      <c r="L859" s="1" t="s">
        <v>26</v>
      </c>
      <c r="M859" s="1" t="s">
        <v>27</v>
      </c>
      <c r="N859" s="1" t="s">
        <v>26</v>
      </c>
      <c r="O859" s="1" t="s">
        <v>26</v>
      </c>
      <c r="P859" s="4">
        <v>45670.63537037037</v>
      </c>
    </row>
    <row r="860" hidden="1">
      <c r="A860" s="1" t="s">
        <v>21</v>
      </c>
      <c r="B860" s="3" t="str">
        <f>HYPERLINK("https://hawk-eye.atlassian.net/browse/HWKREPORT-2639?atlOrigin=eyJpIjoiYzgwYTQ0ZjEyNzQzNGJhN2JmNjEyZTM0NmRhZWZhNjIiLCJwIjoic2hlZXRzLWppcmEifQ","HWKREPORT-2639")</f>
        <v>HWKREPORT-2639</v>
      </c>
      <c r="C860" s="1" t="s">
        <v>2060</v>
      </c>
      <c r="D860" s="1" t="s">
        <v>40</v>
      </c>
      <c r="E860" s="1" t="s">
        <v>35</v>
      </c>
      <c r="F860" s="4">
        <v>45350.878530092596</v>
      </c>
      <c r="G860" s="3" t="str">
        <f>HYPERLINK("https://hawk-eye.atlassian.net/browse/CTF-284?atlOrigin=eyJpIjoiYzgwYTQ0ZjEyNzQzNGJhN2JmNjEyZTM0NmRhZWZhNjIiLCJwIjoic2hlZXRzLWppcmEifQ","CTF-284")</f>
        <v>CTF-284</v>
      </c>
      <c r="H860" s="1" t="s">
        <v>1058</v>
      </c>
      <c r="I860" s="1" t="s">
        <v>1071</v>
      </c>
      <c r="J860" s="1" t="s">
        <v>26</v>
      </c>
      <c r="K860" s="1" t="s">
        <v>1095</v>
      </c>
      <c r="L860" s="1" t="s">
        <v>26</v>
      </c>
      <c r="M860" s="1" t="s">
        <v>27</v>
      </c>
      <c r="N860" s="1" t="s">
        <v>26</v>
      </c>
      <c r="O860" s="1" t="s">
        <v>26</v>
      </c>
      <c r="P860" s="4">
        <v>45670.63303240741</v>
      </c>
    </row>
    <row r="861" hidden="1">
      <c r="A861" s="1" t="s">
        <v>1055</v>
      </c>
      <c r="B861" s="3" t="str">
        <f>HYPERLINK("https://hawk-eye.atlassian.net/browse/HWKREPORT-2640?atlOrigin=eyJpIjoiYzgwYTQ0ZjEyNzQzNGJhN2JmNjEyZTM0NmRhZWZhNjIiLCJwIjoic2hlZXRzLWppcmEifQ","HWKREPORT-2640")</f>
        <v>HWKREPORT-2640</v>
      </c>
      <c r="C861" s="1" t="s">
        <v>2061</v>
      </c>
      <c r="D861" s="1" t="s">
        <v>48</v>
      </c>
      <c r="E861" s="1" t="s">
        <v>35</v>
      </c>
      <c r="F861" s="4">
        <v>45350.87954861111</v>
      </c>
      <c r="G861" s="3" t="str">
        <f>HYPERLINK("https://hawk-eye.atlassian.net/browse/CTF-285?atlOrigin=eyJpIjoiYzgwYTQ0ZjEyNzQzNGJhN2JmNjEyZTM0NmRhZWZhNjIiLCJwIjoic2hlZXRzLWppcmEifQ","CTF-285")</f>
        <v>CTF-285</v>
      </c>
      <c r="H861" s="1" t="s">
        <v>1058</v>
      </c>
      <c r="I861" s="1" t="s">
        <v>1071</v>
      </c>
      <c r="J861" s="1" t="s">
        <v>26</v>
      </c>
      <c r="K861" s="1" t="s">
        <v>1095</v>
      </c>
      <c r="L861" s="1" t="s">
        <v>26</v>
      </c>
      <c r="M861" s="1" t="s">
        <v>27</v>
      </c>
      <c r="N861" s="1" t="s">
        <v>26</v>
      </c>
      <c r="O861" s="1" t="s">
        <v>26</v>
      </c>
      <c r="P861" s="4">
        <v>45670.64013888889</v>
      </c>
    </row>
    <row r="862" hidden="1">
      <c r="A862" s="1" t="s">
        <v>21</v>
      </c>
      <c r="B862" s="3" t="str">
        <f>HYPERLINK("https://hawk-eye.atlassian.net/browse/HWKREPORT-2641?atlOrigin=eyJpIjoiYzgwYTQ0ZjEyNzQzNGJhN2JmNjEyZTM0NmRhZWZhNjIiLCJwIjoic2hlZXRzLWppcmEifQ","HWKREPORT-2641")</f>
        <v>HWKREPORT-2641</v>
      </c>
      <c r="C862" s="1" t="s">
        <v>2062</v>
      </c>
      <c r="D862" s="1" t="s">
        <v>83</v>
      </c>
      <c r="E862" s="1" t="s">
        <v>35</v>
      </c>
      <c r="F862" s="4">
        <v>45350.88054398148</v>
      </c>
      <c r="G862" s="3" t="str">
        <f>HYPERLINK("https://hawk-eye.atlassian.net/browse/?atlOrigin=eyJpIjoiYzgwYTQ0ZjEyNzQzNGJhN2JmNjEyZTM0NmRhZWZhNjIiLCJwIjoic2hlZXRzLWppcmEifQ","")</f>
        <v/>
      </c>
      <c r="H862" s="1" t="s">
        <v>1058</v>
      </c>
      <c r="I862" s="1" t="s">
        <v>1071</v>
      </c>
      <c r="J862" s="1" t="s">
        <v>26</v>
      </c>
      <c r="K862" s="1" t="s">
        <v>1095</v>
      </c>
      <c r="L862" s="1" t="s">
        <v>26</v>
      </c>
      <c r="M862" s="1" t="s">
        <v>27</v>
      </c>
      <c r="N862" s="1" t="s">
        <v>26</v>
      </c>
      <c r="O862" s="1" t="s">
        <v>26</v>
      </c>
      <c r="P862" s="4">
        <v>45722.62800925926</v>
      </c>
    </row>
    <row r="863" hidden="1">
      <c r="A863" s="1" t="s">
        <v>21</v>
      </c>
      <c r="B863" s="3" t="str">
        <f>HYPERLINK("https://hawk-eye.atlassian.net/browse/HWKREPORT-2642?atlOrigin=eyJpIjoiYzgwYTQ0ZjEyNzQzNGJhN2JmNjEyZTM0NmRhZWZhNjIiLCJwIjoic2hlZXRzLWppcmEifQ","HWKREPORT-2642")</f>
        <v>HWKREPORT-2642</v>
      </c>
      <c r="C863" s="1" t="s">
        <v>2063</v>
      </c>
      <c r="D863" s="1" t="s">
        <v>23</v>
      </c>
      <c r="E863" s="1" t="s">
        <v>35</v>
      </c>
      <c r="F863" s="4">
        <v>45350.88260416667</v>
      </c>
      <c r="G863" s="3" t="str">
        <f t="shared" ref="G863:G864" si="84">HYPERLINK("https://hawk-eye.atlassian.net/browse/CTF-287?atlOrigin=eyJpIjoiYzgwYTQ0ZjEyNzQzNGJhN2JmNjEyZTM0NmRhZWZhNjIiLCJwIjoic2hlZXRzLWppcmEifQ","CTF-287")</f>
        <v>CTF-287</v>
      </c>
      <c r="H863" s="1" t="s">
        <v>1058</v>
      </c>
      <c r="I863" s="1" t="s">
        <v>1071</v>
      </c>
      <c r="J863" s="1" t="s">
        <v>26</v>
      </c>
      <c r="K863" s="1" t="s">
        <v>1095</v>
      </c>
      <c r="L863" s="1" t="s">
        <v>26</v>
      </c>
      <c r="M863" s="1" t="s">
        <v>27</v>
      </c>
      <c r="N863" s="1" t="s">
        <v>26</v>
      </c>
      <c r="O863" s="1" t="s">
        <v>26</v>
      </c>
      <c r="P863" s="4">
        <v>45670.63628472222</v>
      </c>
    </row>
    <row r="864" hidden="1">
      <c r="A864" s="1" t="s">
        <v>1055</v>
      </c>
      <c r="B864" s="3" t="str">
        <f>HYPERLINK("https://hawk-eye.atlassian.net/browse/HWKREPORT-2643?atlOrigin=eyJpIjoiYzgwYTQ0ZjEyNzQzNGJhN2JmNjEyZTM0NmRhZWZhNjIiLCJwIjoic2hlZXRzLWppcmEifQ","HWKREPORT-2643")</f>
        <v>HWKREPORT-2643</v>
      </c>
      <c r="C864" s="1" t="s">
        <v>2064</v>
      </c>
      <c r="D864" s="1" t="s">
        <v>48</v>
      </c>
      <c r="E864" s="1" t="s">
        <v>35</v>
      </c>
      <c r="F864" s="4">
        <v>45350.883576388886</v>
      </c>
      <c r="G864" s="3" t="str">
        <f t="shared" si="84"/>
        <v>CTF-287</v>
      </c>
      <c r="H864" s="1" t="s">
        <v>1058</v>
      </c>
      <c r="I864" s="1" t="s">
        <v>1071</v>
      </c>
      <c r="J864" s="1" t="s">
        <v>26</v>
      </c>
      <c r="K864" s="1" t="s">
        <v>1095</v>
      </c>
      <c r="L864" s="1" t="s">
        <v>26</v>
      </c>
      <c r="M864" s="1" t="s">
        <v>27</v>
      </c>
      <c r="N864" s="1" t="s">
        <v>26</v>
      </c>
      <c r="O864" s="1" t="s">
        <v>26</v>
      </c>
      <c r="P864" s="4">
        <v>45670.64034722222</v>
      </c>
    </row>
    <row r="865" hidden="1">
      <c r="A865" s="1" t="s">
        <v>21</v>
      </c>
      <c r="B865" s="3" t="str">
        <f>HYPERLINK("https://hawk-eye.atlassian.net/browse/HWKREPORT-2644?atlOrigin=eyJpIjoiYzgwYTQ0ZjEyNzQzNGJhN2JmNjEyZTM0NmRhZWZhNjIiLCJwIjoic2hlZXRzLWppcmEifQ","HWKREPORT-2644")</f>
        <v>HWKREPORT-2644</v>
      </c>
      <c r="C865" s="1" t="s">
        <v>2065</v>
      </c>
      <c r="D865" s="1" t="s">
        <v>40</v>
      </c>
      <c r="E865" s="1" t="s">
        <v>35</v>
      </c>
      <c r="F865" s="4">
        <v>45352.609976851854</v>
      </c>
      <c r="G865" s="3" t="str">
        <f>HYPERLINK("https://hawk-eye.atlassian.net/browse/RTT-8017?atlOrigin=eyJpIjoiYzgwYTQ0ZjEyNzQzNGJhN2JmNjEyZTM0NmRhZWZhNjIiLCJwIjoic2hlZXRzLWppcmEifQ","RTT-8017")</f>
        <v>RTT-8017</v>
      </c>
      <c r="H865" s="1" t="s">
        <v>1058</v>
      </c>
      <c r="I865" s="1" t="s">
        <v>1071</v>
      </c>
      <c r="J865" s="1" t="s">
        <v>26</v>
      </c>
      <c r="K865" s="1" t="s">
        <v>1099</v>
      </c>
      <c r="L865" s="1" t="s">
        <v>26</v>
      </c>
      <c r="M865" s="1" t="s">
        <v>27</v>
      </c>
      <c r="N865" s="1" t="s">
        <v>26</v>
      </c>
      <c r="O865" s="1" t="s">
        <v>26</v>
      </c>
      <c r="P865" s="4">
        <v>45670.60853009259</v>
      </c>
    </row>
    <row r="866" hidden="1">
      <c r="A866" s="1" t="s">
        <v>1055</v>
      </c>
      <c r="B866" s="3" t="str">
        <f>HYPERLINK("https://hawk-eye.atlassian.net/browse/HWKREPORT-2645?atlOrigin=eyJpIjoiYzgwYTQ0ZjEyNzQzNGJhN2JmNjEyZTM0NmRhZWZhNjIiLCJwIjoic2hlZXRzLWppcmEifQ","HWKREPORT-2645")</f>
        <v>HWKREPORT-2645</v>
      </c>
      <c r="C866" s="1" t="s">
        <v>2066</v>
      </c>
      <c r="D866" s="1" t="s">
        <v>48</v>
      </c>
      <c r="E866" s="1" t="s">
        <v>35</v>
      </c>
      <c r="F866" s="4">
        <v>45352.679375</v>
      </c>
      <c r="G866" s="3" t="str">
        <f>HYPERLINK("https://hawk-eye.atlassian.net/browse/RTT-8021?atlOrigin=eyJpIjoiYzgwYTQ0ZjEyNzQzNGJhN2JmNjEyZTM0NmRhZWZhNjIiLCJwIjoic2hlZXRzLWppcmEifQ","RTT-8021")</f>
        <v>RTT-8021</v>
      </c>
      <c r="H866" s="1" t="s">
        <v>1058</v>
      </c>
      <c r="I866" s="1" t="s">
        <v>1280</v>
      </c>
      <c r="J866" s="1" t="s">
        <v>26</v>
      </c>
      <c r="K866" s="1" t="s">
        <v>2067</v>
      </c>
      <c r="L866" s="1" t="s">
        <v>26</v>
      </c>
      <c r="M866" s="1" t="s">
        <v>27</v>
      </c>
      <c r="N866" s="1" t="s">
        <v>26</v>
      </c>
      <c r="O866" s="1" t="s">
        <v>26</v>
      </c>
      <c r="P866" s="4">
        <v>45364.596863425926</v>
      </c>
    </row>
    <row r="867" hidden="1">
      <c r="A867" s="1" t="s">
        <v>1055</v>
      </c>
      <c r="B867" s="3" t="str">
        <f>HYPERLINK("https://hawk-eye.atlassian.net/browse/HWKREPORT-2646?atlOrigin=eyJpIjoiYzgwYTQ0ZjEyNzQzNGJhN2JmNjEyZTM0NmRhZWZhNjIiLCJwIjoic2hlZXRzLWppcmEifQ","HWKREPORT-2646")</f>
        <v>HWKREPORT-2646</v>
      </c>
      <c r="C867" s="1" t="s">
        <v>2068</v>
      </c>
      <c r="D867" s="1" t="s">
        <v>48</v>
      </c>
      <c r="E867" s="1" t="s">
        <v>1057</v>
      </c>
      <c r="F867" s="4">
        <v>45352.723958333336</v>
      </c>
      <c r="G867" s="3" t="str">
        <f>HYPERLINK("https://hawk-eye.atlassian.net/browse/AL-1173?atlOrigin=eyJpIjoiYzgwYTQ0ZjEyNzQzNGJhN2JmNjEyZTM0NmRhZWZhNjIiLCJwIjoic2hlZXRzLWppcmEifQ","AL-1173")</f>
        <v>AL-1173</v>
      </c>
      <c r="H867" s="1" t="s">
        <v>1058</v>
      </c>
      <c r="I867" s="1" t="s">
        <v>28</v>
      </c>
      <c r="J867" s="1" t="s">
        <v>26</v>
      </c>
      <c r="K867" s="1" t="s">
        <v>1219</v>
      </c>
      <c r="L867" s="1" t="s">
        <v>26</v>
      </c>
      <c r="M867" s="1" t="s">
        <v>27</v>
      </c>
      <c r="N867" s="1" t="s">
        <v>26</v>
      </c>
      <c r="O867" s="1" t="s">
        <v>26</v>
      </c>
      <c r="P867" s="4">
        <v>45352.723969907405</v>
      </c>
    </row>
    <row r="868" hidden="1">
      <c r="A868" s="1" t="s">
        <v>21</v>
      </c>
      <c r="B868" s="3" t="str">
        <f>HYPERLINK("https://hawk-eye.atlassian.net/browse/HWKREPORT-2647?atlOrigin=eyJpIjoiYzgwYTQ0ZjEyNzQzNGJhN2JmNjEyZTM0NmRhZWZhNjIiLCJwIjoic2hlZXRzLWppcmEifQ","HWKREPORT-2647")</f>
        <v>HWKREPORT-2647</v>
      </c>
      <c r="C868" s="1" t="s">
        <v>2069</v>
      </c>
      <c r="D868" s="1" t="s">
        <v>23</v>
      </c>
      <c r="E868" s="1" t="s">
        <v>35</v>
      </c>
      <c r="F868" s="4">
        <v>45352.743738425925</v>
      </c>
      <c r="G868" s="3" t="str">
        <f>HYPERLINK("https://hawk-eye.atlassian.net/browse/SO-1265?atlOrigin=eyJpIjoiYzgwYTQ0ZjEyNzQzNGJhN2JmNjEyZTM0NmRhZWZhNjIiLCJwIjoic2hlZXRzLWppcmEifQ","SO-1265")</f>
        <v>SO-1265</v>
      </c>
      <c r="H868" s="1" t="s">
        <v>1058</v>
      </c>
      <c r="I868" s="1" t="s">
        <v>1502</v>
      </c>
      <c r="J868" s="1" t="s">
        <v>26</v>
      </c>
      <c r="K868" s="1" t="s">
        <v>1673</v>
      </c>
      <c r="L868" s="1" t="s">
        <v>26</v>
      </c>
      <c r="M868" s="1" t="s">
        <v>27</v>
      </c>
      <c r="N868" s="1" t="s">
        <v>26</v>
      </c>
      <c r="O868" s="1" t="s">
        <v>26</v>
      </c>
      <c r="P868" s="4">
        <v>45369.75226851852</v>
      </c>
    </row>
    <row r="869" hidden="1">
      <c r="A869" s="1" t="s">
        <v>21</v>
      </c>
      <c r="B869" s="3" t="str">
        <f>HYPERLINK("https://hawk-eye.atlassian.net/browse/HWKREPORT-2648?atlOrigin=eyJpIjoiYzgwYTQ0ZjEyNzQzNGJhN2JmNjEyZTM0NmRhZWZhNjIiLCJwIjoic2hlZXRzLWppcmEifQ","HWKREPORT-2648")</f>
        <v>HWKREPORT-2648</v>
      </c>
      <c r="C869" s="1" t="s">
        <v>2070</v>
      </c>
      <c r="D869" s="1" t="s">
        <v>40</v>
      </c>
      <c r="E869" s="1" t="s">
        <v>35</v>
      </c>
      <c r="F869" s="4">
        <v>45355.2509375</v>
      </c>
      <c r="G869" s="3" t="str">
        <f>HYPERLINK("https://hawk-eye.atlassian.net/browse/?atlOrigin=eyJpIjoiYzgwYTQ0ZjEyNzQzNGJhN2JmNjEyZTM0NmRhZWZhNjIiLCJwIjoic2hlZXRzLWppcmEifQ","")</f>
        <v/>
      </c>
      <c r="H869" s="1" t="s">
        <v>1058</v>
      </c>
      <c r="I869" s="1" t="s">
        <v>1126</v>
      </c>
      <c r="J869" s="1" t="s">
        <v>26</v>
      </c>
      <c r="K869" s="1" t="s">
        <v>1148</v>
      </c>
      <c r="L869" s="1" t="s">
        <v>26</v>
      </c>
      <c r="M869" s="1" t="s">
        <v>27</v>
      </c>
      <c r="N869" s="1" t="s">
        <v>26</v>
      </c>
      <c r="O869" s="1" t="s">
        <v>26</v>
      </c>
      <c r="P869" s="4">
        <v>45393.69799768519</v>
      </c>
    </row>
    <row r="870" hidden="1">
      <c r="A870" s="1" t="s">
        <v>1055</v>
      </c>
      <c r="B870" s="3" t="str">
        <f>HYPERLINK("https://hawk-eye.atlassian.net/browse/HWKREPORT-2649?atlOrigin=eyJpIjoiYzgwYTQ0ZjEyNzQzNGJhN2JmNjEyZTM0NmRhZWZhNjIiLCJwIjoic2hlZXRzLWppcmEifQ","HWKREPORT-2649")</f>
        <v>HWKREPORT-2649</v>
      </c>
      <c r="C870" s="1" t="s">
        <v>2071</v>
      </c>
      <c r="D870" s="1" t="s">
        <v>48</v>
      </c>
      <c r="E870" s="1" t="s">
        <v>1057</v>
      </c>
      <c r="F870" s="4">
        <v>45355.444560185184</v>
      </c>
      <c r="G870" s="3" t="str">
        <f>HYPERLINK("https://hawk-eye.atlassian.net/browse/SO-1262?atlOrigin=eyJpIjoiYzgwYTQ0ZjEyNzQzNGJhN2JmNjEyZTM0NmRhZWZhNjIiLCJwIjoic2hlZXRzLWppcmEifQ","SO-1262")</f>
        <v>SO-1262</v>
      </c>
      <c r="H870" s="1" t="s">
        <v>1058</v>
      </c>
      <c r="I870" s="1" t="s">
        <v>1085</v>
      </c>
      <c r="J870" s="1" t="s">
        <v>26</v>
      </c>
      <c r="K870" s="1" t="s">
        <v>1116</v>
      </c>
      <c r="L870" s="1" t="s">
        <v>26</v>
      </c>
      <c r="M870" s="1" t="s">
        <v>27</v>
      </c>
      <c r="N870" s="1" t="s">
        <v>26</v>
      </c>
      <c r="O870" s="1" t="s">
        <v>26</v>
      </c>
      <c r="P870" s="4">
        <v>45355.44457175926</v>
      </c>
    </row>
    <row r="871" hidden="1">
      <c r="A871" s="1" t="s">
        <v>1055</v>
      </c>
      <c r="B871" s="3" t="str">
        <f>HYPERLINK("https://hawk-eye.atlassian.net/browse/HWKREPORT-2650?atlOrigin=eyJpIjoiYzgwYTQ0ZjEyNzQzNGJhN2JmNjEyZTM0NmRhZWZhNjIiLCJwIjoic2hlZXRzLWppcmEifQ","HWKREPORT-2650")</f>
        <v>HWKREPORT-2650</v>
      </c>
      <c r="C871" s="1" t="s">
        <v>2072</v>
      </c>
      <c r="D871" s="1" t="s">
        <v>48</v>
      </c>
      <c r="E871" s="1" t="s">
        <v>1057</v>
      </c>
      <c r="F871" s="4">
        <v>45355.45226851852</v>
      </c>
      <c r="G871" s="3" t="str">
        <f>HYPERLINK("https://hawk-eye.atlassian.net/browse/SO-1264?atlOrigin=eyJpIjoiYzgwYTQ0ZjEyNzQzNGJhN2JmNjEyZTM0NmRhZWZhNjIiLCJwIjoic2hlZXRzLWppcmEifQ","SO-1264")</f>
        <v>SO-1264</v>
      </c>
      <c r="H871" s="1" t="s">
        <v>1058</v>
      </c>
      <c r="I871" s="1" t="s">
        <v>1085</v>
      </c>
      <c r="J871" s="1" t="s">
        <v>26</v>
      </c>
      <c r="K871" s="1" t="s">
        <v>1116</v>
      </c>
      <c r="L871" s="1" t="s">
        <v>26</v>
      </c>
      <c r="M871" s="1" t="s">
        <v>27</v>
      </c>
      <c r="N871" s="1" t="s">
        <v>26</v>
      </c>
      <c r="O871" s="1" t="s">
        <v>26</v>
      </c>
      <c r="P871" s="4">
        <v>45355.45228009259</v>
      </c>
    </row>
    <row r="872" hidden="1">
      <c r="A872" s="1" t="s">
        <v>21</v>
      </c>
      <c r="B872" s="3" t="str">
        <f>HYPERLINK("https://hawk-eye.atlassian.net/browse/HWKREPORT-2651?atlOrigin=eyJpIjoiYzgwYTQ0ZjEyNzQzNGJhN2JmNjEyZTM0NmRhZWZhNjIiLCJwIjoic2hlZXRzLWppcmEifQ","HWKREPORT-2651")</f>
        <v>HWKREPORT-2651</v>
      </c>
      <c r="C872" s="1" t="s">
        <v>2073</v>
      </c>
      <c r="D872" s="1" t="s">
        <v>34</v>
      </c>
      <c r="E872" s="1" t="s">
        <v>35</v>
      </c>
      <c r="F872" s="4">
        <v>45356.65571759259</v>
      </c>
      <c r="G872" s="3" t="str">
        <f>HYPERLINK("https://hawk-eye.atlassian.net/browse/AL-1056?atlOrigin=eyJpIjoiYzgwYTQ0ZjEyNzQzNGJhN2JmNjEyZTM0NmRhZWZhNjIiLCJwIjoic2hlZXRzLWppcmEifQ","AL-1056")</f>
        <v>AL-1056</v>
      </c>
      <c r="H872" s="1" t="s">
        <v>1058</v>
      </c>
      <c r="I872" s="1" t="s">
        <v>1071</v>
      </c>
      <c r="J872" s="1" t="s">
        <v>26</v>
      </c>
      <c r="K872" s="1" t="s">
        <v>1898</v>
      </c>
      <c r="L872" s="1" t="s">
        <v>26</v>
      </c>
      <c r="M872" s="1" t="s">
        <v>27</v>
      </c>
      <c r="N872" s="1" t="s">
        <v>26</v>
      </c>
      <c r="O872" s="1" t="s">
        <v>26</v>
      </c>
      <c r="P872" s="4">
        <v>45670.61924768519</v>
      </c>
    </row>
    <row r="873" hidden="1">
      <c r="A873" s="1" t="s">
        <v>1055</v>
      </c>
      <c r="B873" s="3" t="str">
        <f>HYPERLINK("https://hawk-eye.atlassian.net/browse/HWKREPORT-2652?atlOrigin=eyJpIjoiYzgwYTQ0ZjEyNzQzNGJhN2JmNjEyZTM0NmRhZWZhNjIiLCJwIjoic2hlZXRzLWppcmEifQ","HWKREPORT-2652")</f>
        <v>HWKREPORT-2652</v>
      </c>
      <c r="C873" s="1" t="s">
        <v>2074</v>
      </c>
      <c r="D873" s="1" t="s">
        <v>48</v>
      </c>
      <c r="E873" s="1" t="s">
        <v>35</v>
      </c>
      <c r="F873" s="4">
        <v>45356.70353009259</v>
      </c>
      <c r="G873" s="3" t="str">
        <f>HYPERLINK("https://hawk-eye.atlassian.net/browse/RTT-8027?atlOrigin=eyJpIjoiYzgwYTQ0ZjEyNzQzNGJhN2JmNjEyZTM0NmRhZWZhNjIiLCJwIjoic2hlZXRzLWppcmEifQ","RTT-8027")</f>
        <v>RTT-8027</v>
      </c>
      <c r="H873" s="1" t="s">
        <v>1058</v>
      </c>
      <c r="I873" s="1" t="s">
        <v>28</v>
      </c>
      <c r="J873" s="1" t="s">
        <v>26</v>
      </c>
      <c r="K873" s="1" t="s">
        <v>1072</v>
      </c>
      <c r="L873" s="1" t="s">
        <v>26</v>
      </c>
      <c r="M873" s="1" t="s">
        <v>27</v>
      </c>
      <c r="N873" s="1" t="s">
        <v>26</v>
      </c>
      <c r="O873" s="1" t="s">
        <v>26</v>
      </c>
      <c r="P873" s="4">
        <v>45392.438738425924</v>
      </c>
    </row>
    <row r="874" hidden="1">
      <c r="A874" s="1" t="s">
        <v>21</v>
      </c>
      <c r="B874" s="3" t="str">
        <f>HYPERLINK("https://hawk-eye.atlassian.net/browse/HWKREPORT-2653?atlOrigin=eyJpIjoiYzgwYTQ0ZjEyNzQzNGJhN2JmNjEyZTM0NmRhZWZhNjIiLCJwIjoic2hlZXRzLWppcmEifQ","HWKREPORT-2653")</f>
        <v>HWKREPORT-2653</v>
      </c>
      <c r="C874" s="1" t="s">
        <v>2075</v>
      </c>
      <c r="D874" s="1" t="s">
        <v>40</v>
      </c>
      <c r="E874" s="1" t="s">
        <v>1057</v>
      </c>
      <c r="F874" s="4">
        <v>45357.73158564815</v>
      </c>
      <c r="G874" s="3" t="str">
        <f t="shared" ref="G874:G876" si="85">HYPERLINK("https://hawk-eye.atlassian.net/browse/?atlOrigin=eyJpIjoiYzgwYTQ0ZjEyNzQzNGJhN2JmNjEyZTM0NmRhZWZhNjIiLCJwIjoic2hlZXRzLWppcmEifQ","")</f>
        <v/>
      </c>
      <c r="H874" s="1" t="s">
        <v>1058</v>
      </c>
      <c r="I874" s="1" t="s">
        <v>1085</v>
      </c>
      <c r="J874" s="1" t="s">
        <v>26</v>
      </c>
      <c r="K874" s="1" t="s">
        <v>1134</v>
      </c>
      <c r="L874" s="1" t="s">
        <v>26</v>
      </c>
      <c r="M874" s="1" t="s">
        <v>27</v>
      </c>
      <c r="N874" s="1" t="s">
        <v>26</v>
      </c>
      <c r="O874" s="1" t="s">
        <v>26</v>
      </c>
      <c r="P874" s="4">
        <v>45357.73159722222</v>
      </c>
    </row>
    <row r="875" hidden="1">
      <c r="A875" s="1" t="s">
        <v>21</v>
      </c>
      <c r="B875" s="3" t="str">
        <f>HYPERLINK("https://hawk-eye.atlassian.net/browse/HWKREPORT-2654?atlOrigin=eyJpIjoiYzgwYTQ0ZjEyNzQzNGJhN2JmNjEyZTM0NmRhZWZhNjIiLCJwIjoic2hlZXRzLWppcmEifQ","HWKREPORT-2654")</f>
        <v>HWKREPORT-2654</v>
      </c>
      <c r="C875" s="1" t="s">
        <v>2076</v>
      </c>
      <c r="D875" s="1" t="s">
        <v>34</v>
      </c>
      <c r="E875" s="1" t="s">
        <v>1057</v>
      </c>
      <c r="F875" s="4">
        <v>45357.74396990741</v>
      </c>
      <c r="G875" s="3" t="str">
        <f t="shared" si="85"/>
        <v/>
      </c>
      <c r="H875" s="1" t="s">
        <v>1058</v>
      </c>
      <c r="I875" s="1" t="s">
        <v>1085</v>
      </c>
      <c r="J875" s="1" t="s">
        <v>26</v>
      </c>
      <c r="K875" s="1" t="s">
        <v>1072</v>
      </c>
      <c r="L875" s="1" t="s">
        <v>26</v>
      </c>
      <c r="M875" s="1" t="s">
        <v>27</v>
      </c>
      <c r="N875" s="1" t="s">
        <v>26</v>
      </c>
      <c r="O875" s="1" t="s">
        <v>26</v>
      </c>
      <c r="P875" s="4">
        <v>45357.74398148148</v>
      </c>
    </row>
    <row r="876" hidden="1">
      <c r="A876" s="1" t="s">
        <v>1055</v>
      </c>
      <c r="B876" s="3" t="str">
        <f>HYPERLINK("https://hawk-eye.atlassian.net/browse/HWKREPORT-2655?atlOrigin=eyJpIjoiYzgwYTQ0ZjEyNzQzNGJhN2JmNjEyZTM0NmRhZWZhNjIiLCJwIjoic2hlZXRzLWppcmEifQ","HWKREPORT-2655")</f>
        <v>HWKREPORT-2655</v>
      </c>
      <c r="C876" s="1" t="s">
        <v>2077</v>
      </c>
      <c r="D876" s="1" t="s">
        <v>83</v>
      </c>
      <c r="E876" s="1" t="s">
        <v>1057</v>
      </c>
      <c r="F876" s="4">
        <v>45358.79101851852</v>
      </c>
      <c r="G876" s="3" t="str">
        <f t="shared" si="85"/>
        <v/>
      </c>
      <c r="H876" s="1" t="s">
        <v>1058</v>
      </c>
      <c r="I876" s="1" t="s">
        <v>1071</v>
      </c>
      <c r="J876" s="1" t="s">
        <v>26</v>
      </c>
      <c r="K876" s="1" t="s">
        <v>1130</v>
      </c>
      <c r="L876" s="1" t="s">
        <v>26</v>
      </c>
      <c r="M876" s="1" t="s">
        <v>27</v>
      </c>
      <c r="N876" s="1" t="s">
        <v>26</v>
      </c>
      <c r="O876" s="1" t="s">
        <v>26</v>
      </c>
      <c r="P876" s="4">
        <v>45358.79101851852</v>
      </c>
    </row>
    <row r="877" hidden="1">
      <c r="A877" s="1" t="s">
        <v>21</v>
      </c>
      <c r="B877" s="3" t="str">
        <f>HYPERLINK("https://hawk-eye.atlassian.net/browse/HWKREPORT-2656?atlOrigin=eyJpIjoiYzgwYTQ0ZjEyNzQzNGJhN2JmNjEyZTM0NmRhZWZhNjIiLCJwIjoic2hlZXRzLWppcmEifQ","HWKREPORT-2656")</f>
        <v>HWKREPORT-2656</v>
      </c>
      <c r="C877" s="1" t="s">
        <v>2078</v>
      </c>
      <c r="D877" s="1" t="s">
        <v>83</v>
      </c>
      <c r="E877" s="1" t="s">
        <v>35</v>
      </c>
      <c r="F877" s="4">
        <v>45358.810752314814</v>
      </c>
      <c r="G877" s="3" t="str">
        <f>HYPERLINK("https://hawk-eye.atlassian.net/browse/RTT-8094?atlOrigin=eyJpIjoiYzgwYTQ0ZjEyNzQzNGJhN2JmNjEyZTM0NmRhZWZhNjIiLCJwIjoic2hlZXRzLWppcmEifQ","RTT-8094")</f>
        <v>RTT-8094</v>
      </c>
      <c r="H877" s="1" t="s">
        <v>1058</v>
      </c>
      <c r="I877" s="1" t="s">
        <v>1071</v>
      </c>
      <c r="J877" s="1" t="s">
        <v>26</v>
      </c>
      <c r="K877" s="1" t="s">
        <v>1072</v>
      </c>
      <c r="L877" s="1" t="s">
        <v>26</v>
      </c>
      <c r="M877" s="1" t="s">
        <v>27</v>
      </c>
      <c r="N877" s="1" t="s">
        <v>26</v>
      </c>
      <c r="O877" s="1" t="s">
        <v>26</v>
      </c>
      <c r="P877" s="4">
        <v>45574.400196759256</v>
      </c>
    </row>
    <row r="878" hidden="1">
      <c r="A878" s="1" t="s">
        <v>21</v>
      </c>
      <c r="B878" s="3" t="str">
        <f>HYPERLINK("https://hawk-eye.atlassian.net/browse/HWKREPORT-2657?atlOrigin=eyJpIjoiYzgwYTQ0ZjEyNzQzNGJhN2JmNjEyZTM0NmRhZWZhNjIiLCJwIjoic2hlZXRzLWppcmEifQ","HWKREPORT-2657")</f>
        <v>HWKREPORT-2657</v>
      </c>
      <c r="C878" s="1" t="s">
        <v>2079</v>
      </c>
      <c r="D878" s="1" t="s">
        <v>83</v>
      </c>
      <c r="E878" s="1" t="s">
        <v>35</v>
      </c>
      <c r="F878" s="4">
        <v>45359.52538194445</v>
      </c>
      <c r="G878" s="3" t="str">
        <f>HYPERLINK("https://hawk-eye.atlassian.net/browse/SO-1281?atlOrigin=eyJpIjoiYzgwYTQ0ZjEyNzQzNGJhN2JmNjEyZTM0NmRhZWZhNjIiLCJwIjoic2hlZXRzLWppcmEifQ","SO-1281")</f>
        <v>SO-1281</v>
      </c>
      <c r="H878" s="1" t="s">
        <v>1058</v>
      </c>
      <c r="I878" s="1" t="s">
        <v>1085</v>
      </c>
      <c r="J878" s="1" t="s">
        <v>26</v>
      </c>
      <c r="K878" s="1" t="s">
        <v>1116</v>
      </c>
      <c r="L878" s="1" t="s">
        <v>26</v>
      </c>
      <c r="M878" s="1" t="s">
        <v>27</v>
      </c>
      <c r="N878" s="1" t="s">
        <v>26</v>
      </c>
      <c r="O878" s="1" t="s">
        <v>26</v>
      </c>
      <c r="P878" s="4">
        <v>45376.369675925926</v>
      </c>
    </row>
    <row r="879" hidden="1">
      <c r="A879" s="1" t="s">
        <v>1055</v>
      </c>
      <c r="B879" s="3" t="str">
        <f>HYPERLINK("https://hawk-eye.atlassian.net/browse/HWKREPORT-2658?atlOrigin=eyJpIjoiYzgwYTQ0ZjEyNzQzNGJhN2JmNjEyZTM0NmRhZWZhNjIiLCJwIjoic2hlZXRzLWppcmEifQ","HWKREPORT-2658")</f>
        <v>HWKREPORT-2658</v>
      </c>
      <c r="C879" s="1" t="s">
        <v>2080</v>
      </c>
      <c r="D879" s="1" t="s">
        <v>48</v>
      </c>
      <c r="E879" s="1" t="s">
        <v>1057</v>
      </c>
      <c r="F879" s="4">
        <v>45359.56854166667</v>
      </c>
      <c r="G879" s="3" t="str">
        <f t="shared" ref="G879:G880" si="86">HYPERLINK("https://hawk-eye.atlassian.net/browse/?atlOrigin=eyJpIjoiYzgwYTQ0ZjEyNzQzNGJhN2JmNjEyZTM0NmRhZWZhNjIiLCJwIjoic2hlZXRzLWppcmEifQ","")</f>
        <v/>
      </c>
      <c r="H879" s="1" t="s">
        <v>1058</v>
      </c>
      <c r="I879" s="1" t="s">
        <v>1085</v>
      </c>
      <c r="J879" s="1" t="s">
        <v>26</v>
      </c>
      <c r="K879" s="1" t="s">
        <v>1102</v>
      </c>
      <c r="L879" s="1" t="s">
        <v>26</v>
      </c>
      <c r="M879" s="1" t="s">
        <v>27</v>
      </c>
      <c r="N879" s="1" t="s">
        <v>26</v>
      </c>
      <c r="O879" s="1" t="s">
        <v>26</v>
      </c>
      <c r="P879" s="4">
        <v>45359.56854166667</v>
      </c>
    </row>
    <row r="880" hidden="1">
      <c r="A880" s="1" t="s">
        <v>21</v>
      </c>
      <c r="B880" s="3" t="str">
        <f>HYPERLINK("https://hawk-eye.atlassian.net/browse/HWKREPORT-2659?atlOrigin=eyJpIjoiYzgwYTQ0ZjEyNzQzNGJhN2JmNjEyZTM0NmRhZWZhNjIiLCJwIjoic2hlZXRzLWppcmEifQ","HWKREPORT-2659")</f>
        <v>HWKREPORT-2659</v>
      </c>
      <c r="C880" s="1" t="s">
        <v>2081</v>
      </c>
      <c r="D880" s="1" t="s">
        <v>34</v>
      </c>
      <c r="E880" s="1" t="s">
        <v>1057</v>
      </c>
      <c r="F880" s="4">
        <v>45361.10744212963</v>
      </c>
      <c r="G880" s="3" t="str">
        <f t="shared" si="86"/>
        <v/>
      </c>
      <c r="H880" s="1" t="s">
        <v>1058</v>
      </c>
      <c r="I880" s="1" t="s">
        <v>1126</v>
      </c>
      <c r="J880" s="1" t="s">
        <v>26</v>
      </c>
      <c r="K880" s="1" t="s">
        <v>1241</v>
      </c>
      <c r="L880" s="1" t="s">
        <v>26</v>
      </c>
      <c r="M880" s="1" t="s">
        <v>27</v>
      </c>
      <c r="N880" s="1" t="s">
        <v>26</v>
      </c>
      <c r="O880" s="1" t="s">
        <v>26</v>
      </c>
      <c r="P880" s="4">
        <v>45361.107453703706</v>
      </c>
    </row>
    <row r="881" hidden="1">
      <c r="A881" s="1" t="s">
        <v>1055</v>
      </c>
      <c r="B881" s="3" t="str">
        <f>HYPERLINK("https://hawk-eye.atlassian.net/browse/HWKREPORT-2661?atlOrigin=eyJpIjoiYzgwYTQ0ZjEyNzQzNGJhN2JmNjEyZTM0NmRhZWZhNjIiLCJwIjoic2hlZXRzLWppcmEifQ","HWKREPORT-2661")</f>
        <v>HWKREPORT-2661</v>
      </c>
      <c r="C881" s="1" t="s">
        <v>2082</v>
      </c>
      <c r="D881" s="1" t="s">
        <v>48</v>
      </c>
      <c r="E881" s="1" t="s">
        <v>1207</v>
      </c>
      <c r="F881" s="4">
        <v>45363.48137731481</v>
      </c>
      <c r="G881" s="3" t="str">
        <f>HYPERLINK("https://hawk-eye.atlassian.net/browse/RTT-8051?atlOrigin=eyJpIjoiYzgwYTQ0ZjEyNzQzNGJhN2JmNjEyZTM0NmRhZWZhNjIiLCJwIjoic2hlZXRzLWppcmEifQ","RTT-8051")</f>
        <v>RTT-8051</v>
      </c>
      <c r="H881" s="1" t="s">
        <v>1058</v>
      </c>
      <c r="I881" s="1" t="s">
        <v>1085</v>
      </c>
      <c r="J881" s="1" t="s">
        <v>26</v>
      </c>
      <c r="K881" s="1" t="s">
        <v>1072</v>
      </c>
      <c r="L881" s="1" t="s">
        <v>26</v>
      </c>
      <c r="M881" s="1" t="s">
        <v>27</v>
      </c>
      <c r="N881" s="1" t="s">
        <v>26</v>
      </c>
      <c r="O881" s="1" t="s">
        <v>26</v>
      </c>
      <c r="P881" s="4">
        <v>45401.66688657407</v>
      </c>
    </row>
    <row r="882" hidden="1">
      <c r="A882" s="1" t="s">
        <v>1055</v>
      </c>
      <c r="B882" s="3" t="str">
        <f>HYPERLINK("https://hawk-eye.atlassian.net/browse/HWKREPORT-2662?atlOrigin=eyJpIjoiYzgwYTQ0ZjEyNzQzNGJhN2JmNjEyZTM0NmRhZWZhNjIiLCJwIjoic2hlZXRzLWppcmEifQ","HWKREPORT-2662")</f>
        <v>HWKREPORT-2662</v>
      </c>
      <c r="C882" s="1" t="s">
        <v>2083</v>
      </c>
      <c r="D882" s="1" t="s">
        <v>48</v>
      </c>
      <c r="E882" s="1" t="s">
        <v>1207</v>
      </c>
      <c r="F882" s="4">
        <v>45363.50148148148</v>
      </c>
      <c r="G882" s="3" t="str">
        <f>HYPERLINK("https://hawk-eye.atlassian.net/browse/RTT-8393?atlOrigin=eyJpIjoiYzgwYTQ0ZjEyNzQzNGJhN2JmNjEyZTM0NmRhZWZhNjIiLCJwIjoic2hlZXRzLWppcmEifQ","RTT-8393")</f>
        <v>RTT-8393</v>
      </c>
      <c r="H882" s="1" t="s">
        <v>1058</v>
      </c>
      <c r="I882" s="1" t="s">
        <v>1085</v>
      </c>
      <c r="J882" s="1" t="s">
        <v>26</v>
      </c>
      <c r="K882" s="1" t="s">
        <v>1072</v>
      </c>
      <c r="L882" s="1" t="s">
        <v>26</v>
      </c>
      <c r="M882" s="1" t="s">
        <v>27</v>
      </c>
      <c r="N882" s="1" t="s">
        <v>26</v>
      </c>
      <c r="O882" s="1" t="s">
        <v>26</v>
      </c>
      <c r="P882" s="4">
        <v>45474.53092592592</v>
      </c>
    </row>
    <row r="883" hidden="1">
      <c r="A883" s="1" t="s">
        <v>21</v>
      </c>
      <c r="B883" s="3" t="str">
        <f>HYPERLINK("https://hawk-eye.atlassian.net/browse/HWKREPORT-2663?atlOrigin=eyJpIjoiYzgwYTQ0ZjEyNzQzNGJhN2JmNjEyZTM0NmRhZWZhNjIiLCJwIjoic2hlZXRzLWppcmEifQ","HWKREPORT-2663")</f>
        <v>HWKREPORT-2663</v>
      </c>
      <c r="C883" s="1" t="s">
        <v>2084</v>
      </c>
      <c r="D883" s="1" t="s">
        <v>40</v>
      </c>
      <c r="E883" s="1" t="s">
        <v>1207</v>
      </c>
      <c r="F883" s="4">
        <v>45364.74607638889</v>
      </c>
      <c r="G883" s="3" t="str">
        <f>HYPERLINK("https://hawk-eye.atlassian.net/browse/RTT-8080?atlOrigin=eyJpIjoiYzgwYTQ0ZjEyNzQzNGJhN2JmNjEyZTM0NmRhZWZhNjIiLCJwIjoic2hlZXRzLWppcmEifQ","RTT-8080")</f>
        <v>RTT-8080</v>
      </c>
      <c r="H883" s="1" t="s">
        <v>1058</v>
      </c>
      <c r="I883" s="1" t="s">
        <v>1085</v>
      </c>
      <c r="J883" s="1" t="s">
        <v>26</v>
      </c>
      <c r="K883" s="1" t="s">
        <v>1804</v>
      </c>
      <c r="L883" s="1" t="s">
        <v>26</v>
      </c>
      <c r="M883" s="1" t="s">
        <v>27</v>
      </c>
      <c r="N883" s="1" t="s">
        <v>26</v>
      </c>
      <c r="O883" s="1" t="s">
        <v>26</v>
      </c>
      <c r="P883" s="4">
        <v>45379.58200231481</v>
      </c>
    </row>
    <row r="884" hidden="1">
      <c r="A884" s="1" t="s">
        <v>21</v>
      </c>
      <c r="B884" s="3" t="str">
        <f>HYPERLINK("https://hawk-eye.atlassian.net/browse/HWKREPORT-2664?atlOrigin=eyJpIjoiYzgwYTQ0ZjEyNzQzNGJhN2JmNjEyZTM0NmRhZWZhNjIiLCJwIjoic2hlZXRzLWppcmEifQ","HWKREPORT-2664")</f>
        <v>HWKREPORT-2664</v>
      </c>
      <c r="C884" s="1" t="s">
        <v>2085</v>
      </c>
      <c r="D884" s="1" t="s">
        <v>23</v>
      </c>
      <c r="E884" s="1" t="s">
        <v>1057</v>
      </c>
      <c r="F884" s="4">
        <v>45368.93100694445</v>
      </c>
      <c r="G884" s="3" t="str">
        <f>HYPERLINK("https://hawk-eye.atlassian.net/browse/?atlOrigin=eyJpIjoiYzgwYTQ0ZjEyNzQzNGJhN2JmNjEyZTM0NmRhZWZhNjIiLCJwIjoic2hlZXRzLWppcmEifQ","")</f>
        <v/>
      </c>
      <c r="H884" s="1" t="s">
        <v>1058</v>
      </c>
      <c r="I884" s="1" t="s">
        <v>1126</v>
      </c>
      <c r="J884" s="1" t="s">
        <v>26</v>
      </c>
      <c r="K884" s="1" t="s">
        <v>1148</v>
      </c>
      <c r="L884" s="1" t="s">
        <v>26</v>
      </c>
      <c r="M884" s="1" t="s">
        <v>27</v>
      </c>
      <c r="N884" s="1" t="s">
        <v>26</v>
      </c>
      <c r="O884" s="1" t="s">
        <v>26</v>
      </c>
      <c r="P884" s="4">
        <v>45368.93101851852</v>
      </c>
    </row>
    <row r="885" hidden="1">
      <c r="A885" s="1" t="s">
        <v>21</v>
      </c>
      <c r="B885" s="3" t="str">
        <f>HYPERLINK("https://hawk-eye.atlassian.net/browse/HWKREPORT-2665?atlOrigin=eyJpIjoiYzgwYTQ0ZjEyNzQzNGJhN2JmNjEyZTM0NmRhZWZhNjIiLCJwIjoic2hlZXRzLWppcmEifQ","HWKREPORT-2665")</f>
        <v>HWKREPORT-2665</v>
      </c>
      <c r="C885" s="1" t="s">
        <v>2086</v>
      </c>
      <c r="D885" s="1" t="s">
        <v>83</v>
      </c>
      <c r="E885" s="1" t="s">
        <v>1057</v>
      </c>
      <c r="F885" s="4">
        <v>45369.328043981484</v>
      </c>
      <c r="G885" s="3" t="str">
        <f>HYPERLINK("https://hawk-eye.atlassian.net/browse/SO-1303?atlOrigin=eyJpIjoiYzgwYTQ0ZjEyNzQzNGJhN2JmNjEyZTM0NmRhZWZhNjIiLCJwIjoic2hlZXRzLWppcmEifQ","SO-1303")</f>
        <v>SO-1303</v>
      </c>
      <c r="H885" s="1" t="s">
        <v>1058</v>
      </c>
      <c r="I885" s="1" t="s">
        <v>1924</v>
      </c>
      <c r="J885" s="1" t="s">
        <v>26</v>
      </c>
      <c r="K885" s="1" t="s">
        <v>2087</v>
      </c>
      <c r="L885" s="1" t="s">
        <v>26</v>
      </c>
      <c r="M885" s="1" t="s">
        <v>27</v>
      </c>
      <c r="N885" s="1" t="s">
        <v>26</v>
      </c>
      <c r="O885" s="1" t="s">
        <v>26</v>
      </c>
      <c r="P885" s="4">
        <v>45369.328055555554</v>
      </c>
    </row>
    <row r="886" hidden="1">
      <c r="A886" s="1" t="s">
        <v>21</v>
      </c>
      <c r="B886" s="3" t="str">
        <f>HYPERLINK("https://hawk-eye.atlassian.net/browse/HWKREPORT-2666?atlOrigin=eyJpIjoiYzgwYTQ0ZjEyNzQzNGJhN2JmNjEyZTM0NmRhZWZhNjIiLCJwIjoic2hlZXRzLWppcmEifQ","HWKREPORT-2666")</f>
        <v>HWKREPORT-2666</v>
      </c>
      <c r="C886" s="1" t="s">
        <v>2088</v>
      </c>
      <c r="D886" s="1" t="s">
        <v>83</v>
      </c>
      <c r="E886" s="1" t="s">
        <v>1057</v>
      </c>
      <c r="F886" s="4">
        <v>45369.34427083333</v>
      </c>
      <c r="G886" s="3" t="str">
        <f>HYPERLINK("https://hawk-eye.atlassian.net/browse/SO-1384?atlOrigin=eyJpIjoiYzgwYTQ0ZjEyNzQzNGJhN2JmNjEyZTM0NmRhZWZhNjIiLCJwIjoic2hlZXRzLWppcmEifQ","SO-1384")</f>
        <v>SO-1384</v>
      </c>
      <c r="H886" s="1" t="s">
        <v>1058</v>
      </c>
      <c r="I886" s="1" t="s">
        <v>1924</v>
      </c>
      <c r="J886" s="1" t="s">
        <v>26</v>
      </c>
      <c r="K886" s="1" t="s">
        <v>2089</v>
      </c>
      <c r="L886" s="1" t="s">
        <v>26</v>
      </c>
      <c r="M886" s="1" t="s">
        <v>27</v>
      </c>
      <c r="N886" s="1" t="s">
        <v>26</v>
      </c>
      <c r="O886" s="1" t="s">
        <v>26</v>
      </c>
      <c r="P886" s="4">
        <v>45369.344293981485</v>
      </c>
    </row>
    <row r="887" hidden="1">
      <c r="A887" s="1" t="s">
        <v>1055</v>
      </c>
      <c r="B887" s="3" t="str">
        <f>HYPERLINK("https://hawk-eye.atlassian.net/browse/HWKREPORT-2667?atlOrigin=eyJpIjoiYzgwYTQ0ZjEyNzQzNGJhN2JmNjEyZTM0NmRhZWZhNjIiLCJwIjoic2hlZXRzLWppcmEifQ","HWKREPORT-2667")</f>
        <v>HWKREPORT-2667</v>
      </c>
      <c r="C887" s="1" t="s">
        <v>2090</v>
      </c>
      <c r="D887" s="1" t="s">
        <v>48</v>
      </c>
      <c r="E887" s="1" t="s">
        <v>35</v>
      </c>
      <c r="F887" s="4">
        <v>45370.38146990741</v>
      </c>
      <c r="G887" s="3" t="str">
        <f>HYPERLINK("https://hawk-eye.atlassian.net/browse/?atlOrigin=eyJpIjoiYzgwYTQ0ZjEyNzQzNGJhN2JmNjEyZTM0NmRhZWZhNjIiLCJwIjoic2hlZXRzLWppcmEifQ","")</f>
        <v/>
      </c>
      <c r="H887" s="1" t="s">
        <v>1058</v>
      </c>
      <c r="I887" s="1" t="s">
        <v>1085</v>
      </c>
      <c r="J887" s="1" t="s">
        <v>26</v>
      </c>
      <c r="K887" s="1" t="s">
        <v>1134</v>
      </c>
      <c r="L887" s="1" t="s">
        <v>26</v>
      </c>
      <c r="M887" s="1" t="s">
        <v>27</v>
      </c>
      <c r="N887" s="1" t="s">
        <v>26</v>
      </c>
      <c r="O887" s="1" t="s">
        <v>26</v>
      </c>
      <c r="P887" s="4">
        <v>45390.624340277776</v>
      </c>
    </row>
    <row r="888" hidden="1">
      <c r="A888" s="1" t="s">
        <v>1055</v>
      </c>
      <c r="B888" s="3" t="str">
        <f>HYPERLINK("https://hawk-eye.atlassian.net/browse/HWKREPORT-2668?atlOrigin=eyJpIjoiYzgwYTQ0ZjEyNzQzNGJhN2JmNjEyZTM0NmRhZWZhNjIiLCJwIjoic2hlZXRzLWppcmEifQ","HWKREPORT-2668")</f>
        <v>HWKREPORT-2668</v>
      </c>
      <c r="C888" s="1" t="s">
        <v>2091</v>
      </c>
      <c r="D888" s="1" t="s">
        <v>48</v>
      </c>
      <c r="E888" s="1" t="s">
        <v>35</v>
      </c>
      <c r="F888" s="4">
        <v>45371.58144675926</v>
      </c>
      <c r="G888" s="3" t="str">
        <f>HYPERLINK("https://hawk-eye.atlassian.net/browse/CTF-377?atlOrigin=eyJpIjoiYzgwYTQ0ZjEyNzQzNGJhN2JmNjEyZTM0NmRhZWZhNjIiLCJwIjoic2hlZXRzLWppcmEifQ","CTF-377")</f>
        <v>CTF-377</v>
      </c>
      <c r="H888" s="1" t="s">
        <v>1058</v>
      </c>
      <c r="I888" s="1" t="s">
        <v>1071</v>
      </c>
      <c r="J888" s="1" t="s">
        <v>26</v>
      </c>
      <c r="K888" s="1" t="s">
        <v>1095</v>
      </c>
      <c r="L888" s="1" t="s">
        <v>26</v>
      </c>
      <c r="M888" s="1" t="s">
        <v>27</v>
      </c>
      <c r="N888" s="1" t="s">
        <v>26</v>
      </c>
      <c r="O888" s="1" t="s">
        <v>26</v>
      </c>
      <c r="P888" s="4">
        <v>45670.690474537034</v>
      </c>
    </row>
    <row r="889" hidden="1">
      <c r="A889" s="1" t="s">
        <v>1055</v>
      </c>
      <c r="B889" s="3" t="str">
        <f>HYPERLINK("https://hawk-eye.atlassian.net/browse/HWKREPORT-2669?atlOrigin=eyJpIjoiYzgwYTQ0ZjEyNzQzNGJhN2JmNjEyZTM0NmRhZWZhNjIiLCJwIjoic2hlZXRzLWppcmEifQ","HWKREPORT-2669")</f>
        <v>HWKREPORT-2669</v>
      </c>
      <c r="C889" s="1" t="s">
        <v>2092</v>
      </c>
      <c r="D889" s="1" t="s">
        <v>48</v>
      </c>
      <c r="E889" s="1" t="s">
        <v>35</v>
      </c>
      <c r="F889" s="4">
        <v>45371.62679398148</v>
      </c>
      <c r="G889" s="3" t="str">
        <f>HYPERLINK("https://hawk-eye.atlassian.net/browse/CTK-176?atlOrigin=eyJpIjoiYzgwYTQ0ZjEyNzQzNGJhN2JmNjEyZTM0NmRhZWZhNjIiLCJwIjoic2hlZXRzLWppcmEifQ","CTK-176")</f>
        <v>CTK-176</v>
      </c>
      <c r="H889" s="1" t="s">
        <v>1058</v>
      </c>
      <c r="I889" s="1" t="s">
        <v>1082</v>
      </c>
      <c r="J889" s="1" t="s">
        <v>26</v>
      </c>
      <c r="K889" s="1" t="s">
        <v>1083</v>
      </c>
      <c r="L889" s="1" t="s">
        <v>26</v>
      </c>
      <c r="M889" s="1" t="s">
        <v>27</v>
      </c>
      <c r="N889" s="1" t="s">
        <v>26</v>
      </c>
      <c r="O889" s="1" t="s">
        <v>26</v>
      </c>
      <c r="P889" s="4">
        <v>45397.40650462963</v>
      </c>
    </row>
    <row r="890" hidden="1">
      <c r="A890" s="1" t="s">
        <v>1055</v>
      </c>
      <c r="B890" s="3" t="str">
        <f>HYPERLINK("https://hawk-eye.atlassian.net/browse/HWKREPORT-2670?atlOrigin=eyJpIjoiYzgwYTQ0ZjEyNzQzNGJhN2JmNjEyZTM0NmRhZWZhNjIiLCJwIjoic2hlZXRzLWppcmEifQ","HWKREPORT-2670")</f>
        <v>HWKREPORT-2670</v>
      </c>
      <c r="C890" s="1" t="s">
        <v>2093</v>
      </c>
      <c r="D890" s="1" t="s">
        <v>48</v>
      </c>
      <c r="E890" s="1" t="s">
        <v>35</v>
      </c>
      <c r="F890" s="4">
        <v>45372.73486111111</v>
      </c>
      <c r="G890" s="3" t="str">
        <f>HYPERLINK("https://hawk-eye.atlassian.net/browse/RTT-8508?atlOrigin=eyJpIjoiYzgwYTQ0ZjEyNzQzNGJhN2JmNjEyZTM0NmRhZWZhNjIiLCJwIjoic2hlZXRzLWppcmEifQ","RTT-8508")</f>
        <v>RTT-8508</v>
      </c>
      <c r="H890" s="1" t="s">
        <v>1058</v>
      </c>
      <c r="I890" s="1" t="s">
        <v>1071</v>
      </c>
      <c r="J890" s="1" t="s">
        <v>26</v>
      </c>
      <c r="K890" s="1" t="s">
        <v>1143</v>
      </c>
      <c r="L890" s="1" t="s">
        <v>26</v>
      </c>
      <c r="M890" s="1" t="s">
        <v>27</v>
      </c>
      <c r="N890" s="1" t="s">
        <v>26</v>
      </c>
      <c r="O890" s="1" t="s">
        <v>26</v>
      </c>
      <c r="P890" s="4">
        <v>45670.60863425926</v>
      </c>
    </row>
    <row r="891" hidden="1">
      <c r="A891" s="1" t="s">
        <v>21</v>
      </c>
      <c r="B891" s="3" t="str">
        <f>HYPERLINK("https://hawk-eye.atlassian.net/browse/HWKREPORT-2671?atlOrigin=eyJpIjoiYzgwYTQ0ZjEyNzQzNGJhN2JmNjEyZTM0NmRhZWZhNjIiLCJwIjoic2hlZXRzLWppcmEifQ","HWKREPORT-2671")</f>
        <v>HWKREPORT-2671</v>
      </c>
      <c r="C891" s="1" t="s">
        <v>2094</v>
      </c>
      <c r="D891" s="1" t="s">
        <v>40</v>
      </c>
      <c r="E891" s="1" t="s">
        <v>35</v>
      </c>
      <c r="F891" s="4">
        <v>45373.40393518518</v>
      </c>
      <c r="G891" s="3" t="str">
        <f>HYPERLINK("https://hawk-eye.atlassian.net/browse/SO-1309?atlOrigin=eyJpIjoiYzgwYTQ0ZjEyNzQzNGJhN2JmNjEyZTM0NmRhZWZhNjIiLCJwIjoic2hlZXRzLWppcmEifQ","SO-1309")</f>
        <v>SO-1309</v>
      </c>
      <c r="H891" s="1" t="s">
        <v>1058</v>
      </c>
      <c r="I891" s="1" t="s">
        <v>1085</v>
      </c>
      <c r="J891" s="1" t="s">
        <v>26</v>
      </c>
      <c r="K891" s="1" t="s">
        <v>1116</v>
      </c>
      <c r="L891" s="1" t="s">
        <v>26</v>
      </c>
      <c r="M891" s="1" t="s">
        <v>27</v>
      </c>
      <c r="N891" s="1" t="s">
        <v>26</v>
      </c>
      <c r="O891" s="1" t="s">
        <v>26</v>
      </c>
      <c r="P891" s="4">
        <v>45404.399988425925</v>
      </c>
    </row>
    <row r="892" hidden="1">
      <c r="A892" s="1" t="s">
        <v>21</v>
      </c>
      <c r="B892" s="3" t="str">
        <f>HYPERLINK("https://hawk-eye.atlassian.net/browse/HWKREPORT-2672?atlOrigin=eyJpIjoiYzgwYTQ0ZjEyNzQzNGJhN2JmNjEyZTM0NmRhZWZhNjIiLCJwIjoic2hlZXRzLWppcmEifQ","HWKREPORT-2672")</f>
        <v>HWKREPORT-2672</v>
      </c>
      <c r="C892" s="1" t="s">
        <v>2095</v>
      </c>
      <c r="D892" s="1" t="s">
        <v>34</v>
      </c>
      <c r="E892" s="1" t="s">
        <v>35</v>
      </c>
      <c r="F892" s="4">
        <v>45377.668275462966</v>
      </c>
      <c r="G892" s="3" t="str">
        <f>HYPERLINK("https://hawk-eye.atlassian.net/browse/RTT-8115?atlOrigin=eyJpIjoiYzgwYTQ0ZjEyNzQzNGJhN2JmNjEyZTM0NmRhZWZhNjIiLCJwIjoic2hlZXRzLWppcmEifQ","RTT-8115")</f>
        <v>RTT-8115</v>
      </c>
      <c r="H892" s="1" t="s">
        <v>1058</v>
      </c>
      <c r="I892" s="1" t="s">
        <v>1071</v>
      </c>
      <c r="J892" s="1" t="s">
        <v>26</v>
      </c>
      <c r="K892" s="1" t="s">
        <v>2096</v>
      </c>
      <c r="L892" s="1" t="s">
        <v>26</v>
      </c>
      <c r="M892" s="1" t="s">
        <v>27</v>
      </c>
      <c r="N892" s="1" t="s">
        <v>26</v>
      </c>
      <c r="O892" s="1" t="s">
        <v>26</v>
      </c>
      <c r="P892" s="4">
        <v>45448.393472222226</v>
      </c>
    </row>
    <row r="893" hidden="1">
      <c r="A893" s="1" t="s">
        <v>21</v>
      </c>
      <c r="B893" s="3" t="str">
        <f>HYPERLINK("https://hawk-eye.atlassian.net/browse/HWKREPORT-2673?atlOrigin=eyJpIjoiYzgwYTQ0ZjEyNzQzNGJhN2JmNjEyZTM0NmRhZWZhNjIiLCJwIjoic2hlZXRzLWppcmEifQ","HWKREPORT-2673")</f>
        <v>HWKREPORT-2673</v>
      </c>
      <c r="C893" s="1" t="s">
        <v>2097</v>
      </c>
      <c r="D893" s="1" t="s">
        <v>23</v>
      </c>
      <c r="E893" s="1" t="s">
        <v>35</v>
      </c>
      <c r="F893" s="4">
        <v>45377.676087962966</v>
      </c>
      <c r="G893" s="3" t="str">
        <f>HYPERLINK("https://hawk-eye.atlassian.net/browse/SO-1315?atlOrigin=eyJpIjoiYzgwYTQ0ZjEyNzQzNGJhN2JmNjEyZTM0NmRhZWZhNjIiLCJwIjoic2hlZXRzLWppcmEifQ","SO-1315")</f>
        <v>SO-1315</v>
      </c>
      <c r="H893" s="1" t="s">
        <v>1058</v>
      </c>
      <c r="I893" s="1" t="s">
        <v>1071</v>
      </c>
      <c r="J893" s="1" t="s">
        <v>26</v>
      </c>
      <c r="K893" s="1" t="s">
        <v>1134</v>
      </c>
      <c r="L893" s="1" t="s">
        <v>26</v>
      </c>
      <c r="M893" s="1" t="s">
        <v>27</v>
      </c>
      <c r="N893" s="1" t="s">
        <v>26</v>
      </c>
      <c r="O893" s="1" t="s">
        <v>26</v>
      </c>
      <c r="P893" s="4">
        <v>45378.6415625</v>
      </c>
    </row>
    <row r="894" hidden="1">
      <c r="A894" s="1" t="s">
        <v>1055</v>
      </c>
      <c r="B894" s="3" t="str">
        <f>HYPERLINK("https://hawk-eye.atlassian.net/browse/HWKREPORT-2674?atlOrigin=eyJpIjoiYzgwYTQ0ZjEyNzQzNGJhN2JmNjEyZTM0NmRhZWZhNjIiLCJwIjoic2hlZXRzLWppcmEifQ","HWKREPORT-2674")</f>
        <v>HWKREPORT-2674</v>
      </c>
      <c r="C894" s="1" t="s">
        <v>2098</v>
      </c>
      <c r="D894" s="1" t="s">
        <v>48</v>
      </c>
      <c r="E894" s="1" t="s">
        <v>35</v>
      </c>
      <c r="F894" s="4">
        <v>45377.68554398148</v>
      </c>
      <c r="G894" s="3" t="str">
        <f>HYPERLINK("https://hawk-eye.atlassian.net/browse/RTT-8173?atlOrigin=eyJpIjoiYzgwYTQ0ZjEyNzQzNGJhN2JmNjEyZTM0NmRhZWZhNjIiLCJwIjoic2hlZXRzLWppcmEifQ","RTT-8173")</f>
        <v>RTT-8173</v>
      </c>
      <c r="H894" s="1" t="s">
        <v>1058</v>
      </c>
      <c r="I894" s="1" t="s">
        <v>1071</v>
      </c>
      <c r="J894" s="1" t="s">
        <v>26</v>
      </c>
      <c r="K894" s="1" t="s">
        <v>1072</v>
      </c>
      <c r="L894" s="1" t="s">
        <v>26</v>
      </c>
      <c r="M894" s="1" t="s">
        <v>27</v>
      </c>
      <c r="N894" s="1" t="s">
        <v>26</v>
      </c>
      <c r="O894" s="1" t="s">
        <v>26</v>
      </c>
      <c r="P894" s="4">
        <v>45670.60875</v>
      </c>
    </row>
    <row r="895" hidden="1">
      <c r="A895" s="1" t="s">
        <v>1055</v>
      </c>
      <c r="B895" s="3" t="str">
        <f>HYPERLINK("https://hawk-eye.atlassian.net/browse/HWKREPORT-2675?atlOrigin=eyJpIjoiYzgwYTQ0ZjEyNzQzNGJhN2JmNjEyZTM0NmRhZWZhNjIiLCJwIjoic2hlZXRzLWppcmEifQ","HWKREPORT-2675")</f>
        <v>HWKREPORT-2675</v>
      </c>
      <c r="C895" s="1" t="s">
        <v>2099</v>
      </c>
      <c r="D895" s="1" t="s">
        <v>48</v>
      </c>
      <c r="E895" s="1" t="s">
        <v>35</v>
      </c>
      <c r="F895" s="4">
        <v>45377.82971064815</v>
      </c>
      <c r="G895" s="3" t="str">
        <f>HYPERLINK("https://hawk-eye.atlassian.net/browse/BDS-455?atlOrigin=eyJpIjoiYzgwYTQ0ZjEyNzQzNGJhN2JmNjEyZTM0NmRhZWZhNjIiLCJwIjoic2hlZXRzLWppcmEifQ","BDS-455")</f>
        <v>BDS-455</v>
      </c>
      <c r="H895" s="1" t="s">
        <v>1058</v>
      </c>
      <c r="I895" s="1" t="s">
        <v>1071</v>
      </c>
      <c r="J895" s="1" t="s">
        <v>26</v>
      </c>
      <c r="K895" s="1" t="s">
        <v>1762</v>
      </c>
      <c r="L895" s="1" t="s">
        <v>26</v>
      </c>
      <c r="M895" s="1" t="s">
        <v>27</v>
      </c>
      <c r="N895" s="1" t="s">
        <v>26</v>
      </c>
      <c r="O895" s="1" t="s">
        <v>26</v>
      </c>
      <c r="P895" s="4">
        <v>45670.640868055554</v>
      </c>
    </row>
    <row r="896" hidden="1">
      <c r="A896" s="1" t="s">
        <v>1055</v>
      </c>
      <c r="B896" s="3" t="str">
        <f>HYPERLINK("https://hawk-eye.atlassian.net/browse/HWKREPORT-2676?atlOrigin=eyJpIjoiYzgwYTQ0ZjEyNzQzNGJhN2JmNjEyZTM0NmRhZWZhNjIiLCJwIjoic2hlZXRzLWppcmEifQ","HWKREPORT-2676")</f>
        <v>HWKREPORT-2676</v>
      </c>
      <c r="C896" s="1" t="s">
        <v>2100</v>
      </c>
      <c r="D896" s="1" t="s">
        <v>48</v>
      </c>
      <c r="E896" s="1" t="s">
        <v>1057</v>
      </c>
      <c r="F896" s="4">
        <v>45378.62111111111</v>
      </c>
      <c r="G896" s="3" t="str">
        <f>HYPERLINK("https://hawk-eye.atlassian.net/browse/?atlOrigin=eyJpIjoiYzgwYTQ0ZjEyNzQzNGJhN2JmNjEyZTM0NmRhZWZhNjIiLCJwIjoic2hlZXRzLWppcmEifQ","")</f>
        <v/>
      </c>
      <c r="H896" s="1" t="s">
        <v>1058</v>
      </c>
      <c r="I896" s="1" t="s">
        <v>1082</v>
      </c>
      <c r="J896" s="1" t="s">
        <v>26</v>
      </c>
      <c r="K896" s="1" t="s">
        <v>1134</v>
      </c>
      <c r="L896" s="1" t="s">
        <v>26</v>
      </c>
      <c r="M896" s="1" t="s">
        <v>27</v>
      </c>
      <c r="N896" s="1" t="s">
        <v>26</v>
      </c>
      <c r="O896" s="1" t="s">
        <v>26</v>
      </c>
      <c r="P896" s="4">
        <v>45378.62112268519</v>
      </c>
    </row>
    <row r="897">
      <c r="A897" s="1" t="s">
        <v>21</v>
      </c>
      <c r="B897" s="3" t="str">
        <f>HYPERLINK("https://hawk-eye.atlassian.net/browse/HWKREPORT-2677?atlOrigin=eyJpIjoiYzgwYTQ0ZjEyNzQzNGJhN2JmNjEyZTM0NmRhZWZhNjIiLCJwIjoic2hlZXRzLWppcmEifQ","HWKREPORT-2677")</f>
        <v>HWKREPORT-2677</v>
      </c>
      <c r="C897" s="1" t="s">
        <v>2101</v>
      </c>
      <c r="D897" s="1" t="s">
        <v>34</v>
      </c>
      <c r="E897" s="1" t="s">
        <v>35</v>
      </c>
      <c r="F897" s="4">
        <v>45378.85303240741</v>
      </c>
      <c r="G897" s="3" t="str">
        <f>HYPERLINK("https://hawk-eye.atlassian.net/browse/RTT-8180?atlOrigin=eyJpIjoiYzgwYTQ0ZjEyNzQzNGJhN2JmNjEyZTM0NmRhZWZhNjIiLCJwIjoic2hlZXRzLWppcmEifQ","RTT-8180")</f>
        <v>RTT-8180</v>
      </c>
      <c r="H897" s="1" t="s">
        <v>1058</v>
      </c>
      <c r="I897" s="1" t="s">
        <v>28</v>
      </c>
      <c r="J897" s="1" t="s">
        <v>26</v>
      </c>
      <c r="K897" s="1" t="s">
        <v>1072</v>
      </c>
      <c r="L897" s="1" t="s">
        <v>26</v>
      </c>
      <c r="M897" s="1" t="s">
        <v>27</v>
      </c>
      <c r="N897" s="1" t="s">
        <v>26</v>
      </c>
      <c r="O897" s="1" t="s">
        <v>26</v>
      </c>
      <c r="P897" s="4">
        <v>45699.68806712963</v>
      </c>
    </row>
    <row r="898" hidden="1">
      <c r="A898" s="1" t="s">
        <v>21</v>
      </c>
      <c r="B898" s="3" t="str">
        <f>HYPERLINK("https://hawk-eye.atlassian.net/browse/HWKREPORT-2678?atlOrigin=eyJpIjoiYzgwYTQ0ZjEyNzQzNGJhN2JmNjEyZTM0NmRhZWZhNjIiLCJwIjoic2hlZXRzLWppcmEifQ","HWKREPORT-2678")</f>
        <v>HWKREPORT-2678</v>
      </c>
      <c r="C898" s="1" t="s">
        <v>2102</v>
      </c>
      <c r="D898" s="1" t="s">
        <v>23</v>
      </c>
      <c r="E898" s="1" t="s">
        <v>35</v>
      </c>
      <c r="F898" s="4">
        <v>45380.921956018516</v>
      </c>
      <c r="G898" s="3" t="str">
        <f>HYPERLINK("https://hawk-eye.atlassian.net/browse/RTT-8181?atlOrigin=eyJpIjoiYzgwYTQ0ZjEyNzQzNGJhN2JmNjEyZTM0NmRhZWZhNjIiLCJwIjoic2hlZXRzLWppcmEifQ","RTT-8181")</f>
        <v>RTT-8181</v>
      </c>
      <c r="H898" s="1" t="s">
        <v>1058</v>
      </c>
      <c r="I898" s="1" t="s">
        <v>1071</v>
      </c>
      <c r="J898" s="1" t="s">
        <v>26</v>
      </c>
      <c r="K898" s="1" t="s">
        <v>1072</v>
      </c>
      <c r="L898" s="1" t="s">
        <v>26</v>
      </c>
      <c r="M898" s="1" t="s">
        <v>27</v>
      </c>
      <c r="N898" s="1" t="s">
        <v>26</v>
      </c>
      <c r="O898" s="1" t="s">
        <v>26</v>
      </c>
      <c r="P898" s="4">
        <v>45670.60885416667</v>
      </c>
    </row>
    <row r="899" hidden="1">
      <c r="A899" s="1" t="s">
        <v>21</v>
      </c>
      <c r="B899" s="3" t="str">
        <f>HYPERLINK("https://hawk-eye.atlassian.net/browse/HWKREPORT-2679?atlOrigin=eyJpIjoiYzgwYTQ0ZjEyNzQzNGJhN2JmNjEyZTM0NmRhZWZhNjIiLCJwIjoic2hlZXRzLWppcmEifQ","HWKREPORT-2679")</f>
        <v>HWKREPORT-2679</v>
      </c>
      <c r="C899" s="1" t="s">
        <v>2103</v>
      </c>
      <c r="D899" s="1" t="s">
        <v>23</v>
      </c>
      <c r="E899" s="1" t="s">
        <v>35</v>
      </c>
      <c r="F899" s="4">
        <v>45380.92590277778</v>
      </c>
      <c r="G899" s="3" t="str">
        <f>HYPERLINK("https://hawk-eye.atlassian.net/browse/RTT-8176?atlOrigin=eyJpIjoiYzgwYTQ0ZjEyNzQzNGJhN2JmNjEyZTM0NmRhZWZhNjIiLCJwIjoic2hlZXRzLWppcmEifQ","RTT-8176")</f>
        <v>RTT-8176</v>
      </c>
      <c r="H899" s="1" t="s">
        <v>1058</v>
      </c>
      <c r="I899" s="1" t="s">
        <v>1071</v>
      </c>
      <c r="J899" s="1" t="s">
        <v>26</v>
      </c>
      <c r="K899" s="1" t="s">
        <v>1072</v>
      </c>
      <c r="L899" s="1" t="s">
        <v>26</v>
      </c>
      <c r="M899" s="1" t="s">
        <v>27</v>
      </c>
      <c r="N899" s="1" t="s">
        <v>26</v>
      </c>
      <c r="O899" s="1" t="s">
        <v>26</v>
      </c>
      <c r="P899" s="4">
        <v>45670.608981481484</v>
      </c>
    </row>
    <row r="900" hidden="1">
      <c r="A900" s="1" t="s">
        <v>1055</v>
      </c>
      <c r="B900" s="3" t="str">
        <f>HYPERLINK("https://hawk-eye.atlassian.net/browse/HWKREPORT-2680?atlOrigin=eyJpIjoiYzgwYTQ0ZjEyNzQzNGJhN2JmNjEyZTM0NmRhZWZhNjIiLCJwIjoic2hlZXRzLWppcmEifQ","HWKREPORT-2680")</f>
        <v>HWKREPORT-2680</v>
      </c>
      <c r="C900" s="1" t="s">
        <v>2104</v>
      </c>
      <c r="D900" s="1" t="s">
        <v>48</v>
      </c>
      <c r="E900" s="1" t="s">
        <v>1057</v>
      </c>
      <c r="F900" s="4">
        <v>45384.529282407406</v>
      </c>
      <c r="G900" s="3" t="str">
        <f>HYPERLINK("https://hawk-eye.atlassian.net/browse/GT-1473?atlOrigin=eyJpIjoiYzgwYTQ0ZjEyNzQzNGJhN2JmNjEyZTM0NmRhZWZhNjIiLCJwIjoic2hlZXRzLWppcmEifQ","GT-1473")</f>
        <v>GT-1473</v>
      </c>
      <c r="H900" s="1" t="s">
        <v>1058</v>
      </c>
      <c r="I900" s="1" t="s">
        <v>1082</v>
      </c>
      <c r="J900" s="1" t="s">
        <v>26</v>
      </c>
      <c r="K900" s="1" t="s">
        <v>1148</v>
      </c>
      <c r="L900" s="1" t="s">
        <v>26</v>
      </c>
      <c r="M900" s="1" t="s">
        <v>27</v>
      </c>
      <c r="N900" s="1" t="s">
        <v>26</v>
      </c>
      <c r="O900" s="1" t="s">
        <v>26</v>
      </c>
      <c r="P900" s="4">
        <v>45384.52929398148</v>
      </c>
    </row>
    <row r="901" hidden="1">
      <c r="A901" s="1" t="s">
        <v>21</v>
      </c>
      <c r="B901" s="3" t="str">
        <f>HYPERLINK("https://hawk-eye.atlassian.net/browse/HWKREPORT-2681?atlOrigin=eyJpIjoiYzgwYTQ0ZjEyNzQzNGJhN2JmNjEyZTM0NmRhZWZhNjIiLCJwIjoic2hlZXRzLWppcmEifQ","HWKREPORT-2681")</f>
        <v>HWKREPORT-2681</v>
      </c>
      <c r="C901" s="1" t="s">
        <v>2105</v>
      </c>
      <c r="D901" s="1" t="s">
        <v>23</v>
      </c>
      <c r="E901" s="1" t="s">
        <v>1057</v>
      </c>
      <c r="F901" s="4">
        <v>45384.58864583333</v>
      </c>
      <c r="G901" s="3" t="str">
        <f t="shared" ref="G901:G911" si="87">HYPERLINK("https://hawk-eye.atlassian.net/browse/?atlOrigin=eyJpIjoiYzgwYTQ0ZjEyNzQzNGJhN2JmNjEyZTM0NmRhZWZhNjIiLCJwIjoic2hlZXRzLWppcmEifQ","")</f>
        <v/>
      </c>
      <c r="H901" s="1" t="s">
        <v>1058</v>
      </c>
      <c r="I901" s="1" t="s">
        <v>1082</v>
      </c>
      <c r="J901" s="1" t="s">
        <v>26</v>
      </c>
      <c r="K901" s="1" t="s">
        <v>2106</v>
      </c>
      <c r="L901" s="1" t="s">
        <v>26</v>
      </c>
      <c r="M901" s="1" t="s">
        <v>27</v>
      </c>
      <c r="N901" s="1" t="s">
        <v>26</v>
      </c>
      <c r="O901" s="1" t="s">
        <v>26</v>
      </c>
      <c r="P901" s="4">
        <v>45384.58865740741</v>
      </c>
    </row>
    <row r="902" hidden="1">
      <c r="A902" s="1" t="s">
        <v>1055</v>
      </c>
      <c r="B902" s="3" t="str">
        <f>HYPERLINK("https://hawk-eye.atlassian.net/browse/HWKREPORT-2478?atlOrigin=eyJpIjoiYzgwYTQ0ZjEyNzQzNGJhN2JmNjEyZTM0NmRhZWZhNjIiLCJwIjoic2hlZXRzLWppcmEifQ","HWKREPORT-2478")</f>
        <v>HWKREPORT-2478</v>
      </c>
      <c r="C902" s="1" t="s">
        <v>2107</v>
      </c>
      <c r="D902" s="1" t="s">
        <v>48</v>
      </c>
      <c r="E902" s="1" t="s">
        <v>1057</v>
      </c>
      <c r="F902" s="4">
        <v>45239.58611111111</v>
      </c>
      <c r="G902" s="3" t="str">
        <f t="shared" si="87"/>
        <v/>
      </c>
      <c r="H902" s="1" t="s">
        <v>1058</v>
      </c>
      <c r="I902" s="1" t="s">
        <v>1082</v>
      </c>
      <c r="J902" s="1" t="s">
        <v>26</v>
      </c>
      <c r="K902" s="1" t="s">
        <v>1148</v>
      </c>
      <c r="L902" s="1" t="s">
        <v>26</v>
      </c>
      <c r="M902" s="1" t="s">
        <v>27</v>
      </c>
      <c r="N902" s="1" t="s">
        <v>26</v>
      </c>
      <c r="O902" s="1" t="s">
        <v>26</v>
      </c>
      <c r="P902" s="4">
        <v>45239.586122685185</v>
      </c>
    </row>
    <row r="903" hidden="1">
      <c r="A903" s="1" t="s">
        <v>1055</v>
      </c>
      <c r="B903" s="3" t="str">
        <f>HYPERLINK("https://hawk-eye.atlassian.net/browse/HWKREPORT-2479?atlOrigin=eyJpIjoiYzgwYTQ0ZjEyNzQzNGJhN2JmNjEyZTM0NmRhZWZhNjIiLCJwIjoic2hlZXRzLWppcmEifQ","HWKREPORT-2479")</f>
        <v>HWKREPORT-2479</v>
      </c>
      <c r="C903" s="1" t="s">
        <v>2108</v>
      </c>
      <c r="D903" s="1" t="s">
        <v>48</v>
      </c>
      <c r="E903" s="1" t="s">
        <v>35</v>
      </c>
      <c r="F903" s="4">
        <v>45239.64026620371</v>
      </c>
      <c r="G903" s="3" t="str">
        <f t="shared" si="87"/>
        <v/>
      </c>
      <c r="H903" s="1" t="s">
        <v>1058</v>
      </c>
      <c r="I903" s="1" t="s">
        <v>1082</v>
      </c>
      <c r="J903" s="1" t="s">
        <v>26</v>
      </c>
      <c r="K903" s="1" t="s">
        <v>1148</v>
      </c>
      <c r="L903" s="1" t="s">
        <v>26</v>
      </c>
      <c r="M903" s="1" t="s">
        <v>27</v>
      </c>
      <c r="N903" s="1" t="s">
        <v>26</v>
      </c>
      <c r="O903" s="1" t="s">
        <v>26</v>
      </c>
      <c r="P903" s="4">
        <v>45342.524050925924</v>
      </c>
    </row>
    <row r="904" hidden="1">
      <c r="A904" s="1" t="s">
        <v>21</v>
      </c>
      <c r="B904" s="3" t="str">
        <f>HYPERLINK("https://hawk-eye.atlassian.net/browse/HWKREPORT-2480?atlOrigin=eyJpIjoiYzgwYTQ0ZjEyNzQzNGJhN2JmNjEyZTM0NmRhZWZhNjIiLCJwIjoic2hlZXRzLWppcmEifQ","HWKREPORT-2480")</f>
        <v>HWKREPORT-2480</v>
      </c>
      <c r="C904" s="1" t="s">
        <v>2109</v>
      </c>
      <c r="D904" s="1" t="s">
        <v>83</v>
      </c>
      <c r="E904" s="1" t="s">
        <v>1057</v>
      </c>
      <c r="F904" s="4">
        <v>45239.69824074074</v>
      </c>
      <c r="G904" s="3" t="str">
        <f t="shared" si="87"/>
        <v/>
      </c>
      <c r="H904" s="1" t="s">
        <v>1058</v>
      </c>
      <c r="I904" s="1" t="s">
        <v>2110</v>
      </c>
      <c r="J904" s="1" t="s">
        <v>26</v>
      </c>
      <c r="K904" s="1" t="s">
        <v>2111</v>
      </c>
      <c r="L904" s="1" t="s">
        <v>26</v>
      </c>
      <c r="M904" s="1" t="s">
        <v>27</v>
      </c>
      <c r="N904" s="1" t="s">
        <v>26</v>
      </c>
      <c r="O904" s="1" t="s">
        <v>26</v>
      </c>
      <c r="P904" s="4">
        <v>45239.69824074074</v>
      </c>
    </row>
    <row r="905" hidden="1">
      <c r="A905" s="1" t="s">
        <v>21</v>
      </c>
      <c r="B905" s="3" t="str">
        <f>HYPERLINK("https://hawk-eye.atlassian.net/browse/HWKREPORT-2481?atlOrigin=eyJpIjoiYzgwYTQ0ZjEyNzQzNGJhN2JmNjEyZTM0NmRhZWZhNjIiLCJwIjoic2hlZXRzLWppcmEifQ","HWKREPORT-2481")</f>
        <v>HWKREPORT-2481</v>
      </c>
      <c r="C905" s="1" t="s">
        <v>2112</v>
      </c>
      <c r="D905" s="1" t="s">
        <v>23</v>
      </c>
      <c r="E905" s="1" t="s">
        <v>1057</v>
      </c>
      <c r="F905" s="4">
        <v>45239.70380787037</v>
      </c>
      <c r="G905" s="3" t="str">
        <f t="shared" si="87"/>
        <v/>
      </c>
      <c r="H905" s="1" t="s">
        <v>1058</v>
      </c>
      <c r="I905" s="1" t="s">
        <v>2110</v>
      </c>
      <c r="J905" s="1" t="s">
        <v>26</v>
      </c>
      <c r="K905" s="1" t="s">
        <v>1362</v>
      </c>
      <c r="L905" s="1" t="s">
        <v>26</v>
      </c>
      <c r="M905" s="1" t="s">
        <v>27</v>
      </c>
      <c r="N905" s="1" t="s">
        <v>26</v>
      </c>
      <c r="O905" s="1" t="s">
        <v>26</v>
      </c>
      <c r="P905" s="4">
        <v>45239.70381944445</v>
      </c>
    </row>
    <row r="906" hidden="1">
      <c r="A906" s="1" t="s">
        <v>1055</v>
      </c>
      <c r="B906" s="3" t="str">
        <f>HYPERLINK("https://hawk-eye.atlassian.net/browse/HWKREPORT-2482?atlOrigin=eyJpIjoiYzgwYTQ0ZjEyNzQzNGJhN2JmNjEyZTM0NmRhZWZhNjIiLCJwIjoic2hlZXRzLWppcmEifQ","HWKREPORT-2482")</f>
        <v>HWKREPORT-2482</v>
      </c>
      <c r="C906" s="1" t="s">
        <v>2113</v>
      </c>
      <c r="D906" s="1" t="s">
        <v>48</v>
      </c>
      <c r="E906" s="1" t="s">
        <v>35</v>
      </c>
      <c r="F906" s="4">
        <v>45240.6375462963</v>
      </c>
      <c r="G906" s="3" t="str">
        <f t="shared" si="87"/>
        <v/>
      </c>
      <c r="H906" s="1" t="s">
        <v>1058</v>
      </c>
      <c r="I906" s="1" t="s">
        <v>1071</v>
      </c>
      <c r="J906" s="1" t="s">
        <v>26</v>
      </c>
      <c r="K906" s="1" t="s">
        <v>2114</v>
      </c>
      <c r="L906" s="1" t="s">
        <v>26</v>
      </c>
      <c r="M906" s="1" t="s">
        <v>27</v>
      </c>
      <c r="N906" s="1" t="s">
        <v>26</v>
      </c>
      <c r="O906" s="1" t="s">
        <v>26</v>
      </c>
      <c r="P906" s="4">
        <v>45370.72054398148</v>
      </c>
    </row>
    <row r="907" hidden="1">
      <c r="A907" s="1" t="s">
        <v>21</v>
      </c>
      <c r="B907" s="3" t="str">
        <f>HYPERLINK("https://hawk-eye.atlassian.net/browse/HWKREPORT-2483?atlOrigin=eyJpIjoiYzgwYTQ0ZjEyNzQzNGJhN2JmNjEyZTM0NmRhZWZhNjIiLCJwIjoic2hlZXRzLWppcmEifQ","HWKREPORT-2483")</f>
        <v>HWKREPORT-2483</v>
      </c>
      <c r="C907" s="1" t="s">
        <v>2115</v>
      </c>
      <c r="D907" s="1" t="s">
        <v>48</v>
      </c>
      <c r="E907" s="1" t="s">
        <v>1057</v>
      </c>
      <c r="F907" s="4">
        <v>45245.48165509259</v>
      </c>
      <c r="G907" s="3" t="str">
        <f t="shared" si="87"/>
        <v/>
      </c>
      <c r="H907" s="1" t="s">
        <v>1058</v>
      </c>
      <c r="I907" s="1" t="s">
        <v>1082</v>
      </c>
      <c r="J907" s="1" t="s">
        <v>26</v>
      </c>
      <c r="K907" s="1" t="s">
        <v>1312</v>
      </c>
      <c r="L907" s="1" t="s">
        <v>26</v>
      </c>
      <c r="M907" s="1" t="s">
        <v>27</v>
      </c>
      <c r="N907" s="1" t="s">
        <v>26</v>
      </c>
      <c r="O907" s="1" t="s">
        <v>26</v>
      </c>
      <c r="P907" s="4">
        <v>45245.48166666667</v>
      </c>
    </row>
    <row r="908" hidden="1">
      <c r="A908" s="1" t="s">
        <v>21</v>
      </c>
      <c r="B908" s="3" t="str">
        <f>HYPERLINK("https://hawk-eye.atlassian.net/browse/HWKREPORT-2484?atlOrigin=eyJpIjoiYzgwYTQ0ZjEyNzQzNGJhN2JmNjEyZTM0NmRhZWZhNjIiLCJwIjoic2hlZXRzLWppcmEifQ","HWKREPORT-2484")</f>
        <v>HWKREPORT-2484</v>
      </c>
      <c r="C908" s="1" t="s">
        <v>2116</v>
      </c>
      <c r="D908" s="1" t="s">
        <v>34</v>
      </c>
      <c r="E908" s="1" t="s">
        <v>1057</v>
      </c>
      <c r="F908" s="4">
        <v>45252.59684027778</v>
      </c>
      <c r="G908" s="3" t="str">
        <f t="shared" si="87"/>
        <v/>
      </c>
      <c r="H908" s="1" t="s">
        <v>1058</v>
      </c>
      <c r="I908" s="1" t="s">
        <v>1071</v>
      </c>
      <c r="J908" s="1" t="s">
        <v>26</v>
      </c>
      <c r="K908" s="1" t="s">
        <v>1335</v>
      </c>
      <c r="L908" s="1" t="s">
        <v>26</v>
      </c>
      <c r="M908" s="1" t="s">
        <v>27</v>
      </c>
      <c r="N908" s="1" t="s">
        <v>26</v>
      </c>
      <c r="O908" s="1" t="s">
        <v>26</v>
      </c>
      <c r="P908" s="4">
        <v>45252.59685185185</v>
      </c>
    </row>
    <row r="909" hidden="1">
      <c r="A909" s="1" t="s">
        <v>1055</v>
      </c>
      <c r="B909" s="3" t="str">
        <f>HYPERLINK("https://hawk-eye.atlassian.net/browse/HWKREPORT-2485?atlOrigin=eyJpIjoiYzgwYTQ0ZjEyNzQzNGJhN2JmNjEyZTM0NmRhZWZhNjIiLCJwIjoic2hlZXRzLWppcmEifQ","HWKREPORT-2485")</f>
        <v>HWKREPORT-2485</v>
      </c>
      <c r="C909" s="1" t="s">
        <v>2117</v>
      </c>
      <c r="D909" s="1" t="s">
        <v>48</v>
      </c>
      <c r="E909" s="1" t="s">
        <v>1057</v>
      </c>
      <c r="F909" s="4">
        <v>45253.64795138889</v>
      </c>
      <c r="G909" s="3" t="str">
        <f t="shared" si="87"/>
        <v/>
      </c>
      <c r="H909" s="1" t="s">
        <v>1058</v>
      </c>
      <c r="I909" s="1" t="s">
        <v>1082</v>
      </c>
      <c r="J909" s="1" t="s">
        <v>26</v>
      </c>
      <c r="K909" s="1" t="s">
        <v>1105</v>
      </c>
      <c r="L909" s="1" t="s">
        <v>26</v>
      </c>
      <c r="M909" s="1" t="s">
        <v>27</v>
      </c>
      <c r="N909" s="1" t="s">
        <v>26</v>
      </c>
      <c r="O909" s="1" t="s">
        <v>26</v>
      </c>
      <c r="P909" s="4">
        <v>45253.64796296296</v>
      </c>
    </row>
    <row r="910" hidden="1">
      <c r="A910" s="1" t="s">
        <v>21</v>
      </c>
      <c r="B910" s="3" t="str">
        <f>HYPERLINK("https://hawk-eye.atlassian.net/browse/HWKREPORT-2486?atlOrigin=eyJpIjoiYzgwYTQ0ZjEyNzQzNGJhN2JmNjEyZTM0NmRhZWZhNjIiLCJwIjoic2hlZXRzLWppcmEifQ","HWKREPORT-2486")</f>
        <v>HWKREPORT-2486</v>
      </c>
      <c r="C910" s="1" t="s">
        <v>2118</v>
      </c>
      <c r="D910" s="1" t="s">
        <v>48</v>
      </c>
      <c r="E910" s="1" t="s">
        <v>35</v>
      </c>
      <c r="F910" s="4">
        <v>45254.47850694445</v>
      </c>
      <c r="G910" s="3" t="str">
        <f t="shared" si="87"/>
        <v/>
      </c>
      <c r="H910" s="1" t="s">
        <v>1058</v>
      </c>
      <c r="I910" s="1" t="s">
        <v>1085</v>
      </c>
      <c r="J910" s="1" t="s">
        <v>26</v>
      </c>
      <c r="K910" s="1" t="s">
        <v>1116</v>
      </c>
      <c r="L910" s="1" t="s">
        <v>26</v>
      </c>
      <c r="M910" s="1" t="s">
        <v>27</v>
      </c>
      <c r="N910" s="1" t="s">
        <v>26</v>
      </c>
      <c r="O910" s="1" t="s">
        <v>26</v>
      </c>
      <c r="P910" s="4">
        <v>45257.53157407408</v>
      </c>
    </row>
    <row r="911" hidden="1">
      <c r="A911" s="1" t="s">
        <v>21</v>
      </c>
      <c r="B911" s="3" t="str">
        <f>HYPERLINK("https://hawk-eye.atlassian.net/browse/HWKREPORT-2487?atlOrigin=eyJpIjoiYzgwYTQ0ZjEyNzQzNGJhN2JmNjEyZTM0NmRhZWZhNjIiLCJwIjoic2hlZXRzLWppcmEifQ","HWKREPORT-2487")</f>
        <v>HWKREPORT-2487</v>
      </c>
      <c r="C911" s="1" t="s">
        <v>2119</v>
      </c>
      <c r="D911" s="1" t="s">
        <v>23</v>
      </c>
      <c r="E911" s="1" t="s">
        <v>35</v>
      </c>
      <c r="F911" s="4">
        <v>45254.48333333333</v>
      </c>
      <c r="G911" s="3" t="str">
        <f t="shared" si="87"/>
        <v/>
      </c>
      <c r="H911" s="1" t="s">
        <v>1058</v>
      </c>
      <c r="I911" s="1" t="s">
        <v>1085</v>
      </c>
      <c r="J911" s="1" t="s">
        <v>26</v>
      </c>
      <c r="K911" s="1" t="s">
        <v>1116</v>
      </c>
      <c r="L911" s="1" t="s">
        <v>26</v>
      </c>
      <c r="M911" s="1" t="s">
        <v>27</v>
      </c>
      <c r="N911" s="1" t="s">
        <v>26</v>
      </c>
      <c r="O911" s="1" t="s">
        <v>26</v>
      </c>
      <c r="P911" s="4">
        <v>45257.53828703704</v>
      </c>
    </row>
    <row r="912" hidden="1">
      <c r="A912" s="1" t="s">
        <v>21</v>
      </c>
      <c r="B912" s="3" t="str">
        <f>HYPERLINK("https://hawk-eye.atlassian.net/browse/HWKREPORT-2488?atlOrigin=eyJpIjoiYzgwYTQ0ZjEyNzQzNGJhN2JmNjEyZTM0NmRhZWZhNjIiLCJwIjoic2hlZXRzLWppcmEifQ","HWKREPORT-2488")</f>
        <v>HWKREPORT-2488</v>
      </c>
      <c r="C912" s="1" t="s">
        <v>2120</v>
      </c>
      <c r="D912" s="1" t="s">
        <v>34</v>
      </c>
      <c r="E912" s="1" t="s">
        <v>1207</v>
      </c>
      <c r="F912" s="4">
        <v>45257.614386574074</v>
      </c>
      <c r="G912" s="3" t="str">
        <f>HYPERLINK("https://hawk-eye.atlassian.net/browse/RTT-7516?atlOrigin=eyJpIjoiYzgwYTQ0ZjEyNzQzNGJhN2JmNjEyZTM0NmRhZWZhNjIiLCJwIjoic2hlZXRzLWppcmEifQ","RTT-7516")</f>
        <v>RTT-7516</v>
      </c>
      <c r="H912" s="1" t="s">
        <v>1058</v>
      </c>
      <c r="I912" s="1" t="s">
        <v>1085</v>
      </c>
      <c r="J912" s="1" t="s">
        <v>26</v>
      </c>
      <c r="K912" s="1" t="s">
        <v>1072</v>
      </c>
      <c r="L912" s="1" t="s">
        <v>26</v>
      </c>
      <c r="M912" s="1" t="s">
        <v>27</v>
      </c>
      <c r="N912" s="1" t="s">
        <v>26</v>
      </c>
      <c r="O912" s="1" t="s">
        <v>26</v>
      </c>
      <c r="P912" s="4">
        <v>45278.385671296295</v>
      </c>
    </row>
    <row r="913" hidden="1">
      <c r="A913" s="1" t="s">
        <v>1055</v>
      </c>
      <c r="B913" s="3" t="str">
        <f>HYPERLINK("https://hawk-eye.atlassian.net/browse/HWKREPORT-2489?atlOrigin=eyJpIjoiYzgwYTQ0ZjEyNzQzNGJhN2JmNjEyZTM0NmRhZWZhNjIiLCJwIjoic2hlZXRzLWppcmEifQ","HWKREPORT-2489")</f>
        <v>HWKREPORT-2489</v>
      </c>
      <c r="C913" s="1" t="s">
        <v>2121</v>
      </c>
      <c r="D913" s="1" t="s">
        <v>48</v>
      </c>
      <c r="E913" s="1" t="s">
        <v>1057</v>
      </c>
      <c r="F913" s="4">
        <v>45258.59878472222</v>
      </c>
      <c r="G913" s="3" t="str">
        <f>HYPERLINK("https://hawk-eye.atlassian.net/browse/?atlOrigin=eyJpIjoiYzgwYTQ0ZjEyNzQzNGJhN2JmNjEyZTM0NmRhZWZhNjIiLCJwIjoic2hlZXRzLWppcmEifQ","")</f>
        <v/>
      </c>
      <c r="H913" s="1" t="s">
        <v>1058</v>
      </c>
      <c r="I913" s="1" t="s">
        <v>1071</v>
      </c>
      <c r="J913" s="1" t="s">
        <v>26</v>
      </c>
      <c r="K913" s="1" t="s">
        <v>1072</v>
      </c>
      <c r="L913" s="1" t="s">
        <v>26</v>
      </c>
      <c r="M913" s="1" t="s">
        <v>27</v>
      </c>
      <c r="N913" s="1" t="s">
        <v>26</v>
      </c>
      <c r="O913" s="1" t="s">
        <v>26</v>
      </c>
      <c r="P913" s="4">
        <v>45258.59878472222</v>
      </c>
    </row>
    <row r="914">
      <c r="A914" s="1" t="s">
        <v>21</v>
      </c>
      <c r="B914" s="3" t="str">
        <f>HYPERLINK("https://hawk-eye.atlassian.net/browse/HWKREPORT-2490?atlOrigin=eyJpIjoiYzgwYTQ0ZjEyNzQzNGJhN2JmNjEyZTM0NmRhZWZhNjIiLCJwIjoic2hlZXRzLWppcmEifQ","HWKREPORT-2490")</f>
        <v>HWKREPORT-2490</v>
      </c>
      <c r="C914" s="1" t="s">
        <v>2122</v>
      </c>
      <c r="D914" s="1" t="s">
        <v>34</v>
      </c>
      <c r="E914" s="1" t="s">
        <v>35</v>
      </c>
      <c r="F914" s="4">
        <v>45258.70690972222</v>
      </c>
      <c r="G914" s="3" t="str">
        <f>HYPERLINK("https://hawk-eye.atlassian.net/browse/RTT-7445?atlOrigin=eyJpIjoiYzgwYTQ0ZjEyNzQzNGJhN2JmNjEyZTM0NmRhZWZhNjIiLCJwIjoic2hlZXRzLWppcmEifQ","RTT-7445")</f>
        <v>RTT-7445</v>
      </c>
      <c r="H914" s="1" t="s">
        <v>1058</v>
      </c>
      <c r="I914" s="1" t="s">
        <v>28</v>
      </c>
      <c r="J914" s="1" t="s">
        <v>26</v>
      </c>
      <c r="K914" s="1" t="s">
        <v>1072</v>
      </c>
      <c r="L914" s="1" t="s">
        <v>26</v>
      </c>
      <c r="M914" s="1" t="s">
        <v>27</v>
      </c>
      <c r="N914" s="1" t="s">
        <v>26</v>
      </c>
      <c r="O914" s="1" t="s">
        <v>26</v>
      </c>
      <c r="P914" s="4">
        <v>45524.728854166664</v>
      </c>
    </row>
    <row r="915" hidden="1">
      <c r="A915" s="1" t="s">
        <v>1055</v>
      </c>
      <c r="B915" s="3" t="str">
        <f>HYPERLINK("https://hawk-eye.atlassian.net/browse/HWKREPORT-2491?atlOrigin=eyJpIjoiYzgwYTQ0ZjEyNzQzNGJhN2JmNjEyZTM0NmRhZWZhNjIiLCJwIjoic2hlZXRzLWppcmEifQ","HWKREPORT-2491")</f>
        <v>HWKREPORT-2491</v>
      </c>
      <c r="C915" s="1" t="s">
        <v>2123</v>
      </c>
      <c r="D915" s="1" t="s">
        <v>48</v>
      </c>
      <c r="E915" s="1" t="s">
        <v>35</v>
      </c>
      <c r="F915" s="4">
        <v>45258.845868055556</v>
      </c>
      <c r="G915" s="3" t="str">
        <f>HYPERLINK("https://hawk-eye.atlassian.net/browse/RTT-7527?atlOrigin=eyJpIjoiYzgwYTQ0ZjEyNzQzNGJhN2JmNjEyZTM0NmRhZWZhNjIiLCJwIjoic2hlZXRzLWppcmEifQ","RTT-7527")</f>
        <v>RTT-7527</v>
      </c>
      <c r="H915" s="1" t="s">
        <v>1058</v>
      </c>
      <c r="I915" s="1" t="s">
        <v>28</v>
      </c>
      <c r="J915" s="1" t="s">
        <v>26</v>
      </c>
      <c r="K915" s="1" t="s">
        <v>1072</v>
      </c>
      <c r="L915" s="1" t="s">
        <v>26</v>
      </c>
      <c r="M915" s="1" t="s">
        <v>27</v>
      </c>
      <c r="N915" s="1" t="s">
        <v>26</v>
      </c>
      <c r="O915" s="1" t="s">
        <v>26</v>
      </c>
      <c r="P915" s="4">
        <v>45524.728784722225</v>
      </c>
    </row>
    <row r="916" hidden="1">
      <c r="A916" s="1" t="s">
        <v>1055</v>
      </c>
      <c r="B916" s="3" t="str">
        <f>HYPERLINK("https://hawk-eye.atlassian.net/browse/HWKREPORT-2492?atlOrigin=eyJpIjoiYzgwYTQ0ZjEyNzQzNGJhN2JmNjEyZTM0NmRhZWZhNjIiLCJwIjoic2hlZXRzLWppcmEifQ","HWKREPORT-2492")</f>
        <v>HWKREPORT-2492</v>
      </c>
      <c r="C916" s="1" t="s">
        <v>2124</v>
      </c>
      <c r="D916" s="1" t="s">
        <v>48</v>
      </c>
      <c r="E916" s="1" t="s">
        <v>35</v>
      </c>
      <c r="F916" s="4">
        <v>45258.878645833334</v>
      </c>
      <c r="G916" s="3" t="str">
        <f>HYPERLINK("https://hawk-eye.atlassian.net/browse/SO-1116?atlOrigin=eyJpIjoiYzgwYTQ0ZjEyNzQzNGJhN2JmNjEyZTM0NmRhZWZhNjIiLCJwIjoic2hlZXRzLWppcmEifQ","SO-1116")</f>
        <v>SO-1116</v>
      </c>
      <c r="H916" s="1" t="s">
        <v>1058</v>
      </c>
      <c r="I916" s="1" t="s">
        <v>28</v>
      </c>
      <c r="J916" s="1" t="s">
        <v>26</v>
      </c>
      <c r="K916" s="1" t="s">
        <v>1116</v>
      </c>
      <c r="L916" s="1" t="s">
        <v>26</v>
      </c>
      <c r="M916" s="1" t="s">
        <v>27</v>
      </c>
      <c r="N916" s="1" t="s">
        <v>26</v>
      </c>
      <c r="O916" s="1" t="s">
        <v>26</v>
      </c>
      <c r="P916" s="4">
        <v>45307.4478125</v>
      </c>
    </row>
    <row r="917">
      <c r="A917" s="1" t="s">
        <v>21</v>
      </c>
      <c r="B917" s="3" t="str">
        <f>HYPERLINK("https://hawk-eye.atlassian.net/browse/HWKREPORT-2493?atlOrigin=eyJpIjoiYzgwYTQ0ZjEyNzQzNGJhN2JmNjEyZTM0NmRhZWZhNjIiLCJwIjoic2hlZXRzLWppcmEifQ","HWKREPORT-2493")</f>
        <v>HWKREPORT-2493</v>
      </c>
      <c r="C917" s="1" t="s">
        <v>2125</v>
      </c>
      <c r="D917" s="1" t="s">
        <v>40</v>
      </c>
      <c r="E917" s="1" t="s">
        <v>35</v>
      </c>
      <c r="F917" s="4">
        <v>45259.631840277776</v>
      </c>
      <c r="G917" s="3" t="str">
        <f>HYPERLINK("https://hawk-eye.atlassian.net/browse/RTT-7531?atlOrigin=eyJpIjoiYzgwYTQ0ZjEyNzQzNGJhN2JmNjEyZTM0NmRhZWZhNjIiLCJwIjoic2hlZXRzLWppcmEifQ","RTT-7531")</f>
        <v>RTT-7531</v>
      </c>
      <c r="H917" s="1" t="s">
        <v>1058</v>
      </c>
      <c r="I917" s="1" t="s">
        <v>28</v>
      </c>
      <c r="J917" s="1" t="s">
        <v>26</v>
      </c>
      <c r="K917" s="1" t="s">
        <v>1072</v>
      </c>
      <c r="L917" s="1" t="s">
        <v>26</v>
      </c>
      <c r="M917" s="1" t="s">
        <v>27</v>
      </c>
      <c r="N917" s="1" t="s">
        <v>26</v>
      </c>
      <c r="O917" s="1" t="s">
        <v>26</v>
      </c>
      <c r="P917" s="4">
        <v>45279.66233796296</v>
      </c>
    </row>
    <row r="918" hidden="1">
      <c r="A918" s="1" t="s">
        <v>21</v>
      </c>
      <c r="B918" s="3" t="str">
        <f>HYPERLINK("https://hawk-eye.atlassian.net/browse/HWKREPORT-2494?atlOrigin=eyJpIjoiYzgwYTQ0ZjEyNzQzNGJhN2JmNjEyZTM0NmRhZWZhNjIiLCJwIjoic2hlZXRzLWppcmEifQ","HWKREPORT-2494")</f>
        <v>HWKREPORT-2494</v>
      </c>
      <c r="C918" s="1" t="s">
        <v>2126</v>
      </c>
      <c r="D918" s="1" t="s">
        <v>40</v>
      </c>
      <c r="E918" s="1" t="s">
        <v>1207</v>
      </c>
      <c r="F918" s="4">
        <v>45260.285405092596</v>
      </c>
      <c r="G918" s="3" t="str">
        <f>HYPERLINK("https://hawk-eye.atlassian.net/browse/RTT-7535?atlOrigin=eyJpIjoiYzgwYTQ0ZjEyNzQzNGJhN2JmNjEyZTM0NmRhZWZhNjIiLCJwIjoic2hlZXRzLWppcmEifQ","RTT-7535")</f>
        <v>RTT-7535</v>
      </c>
      <c r="H918" s="1" t="s">
        <v>1058</v>
      </c>
      <c r="I918" s="1" t="s">
        <v>1071</v>
      </c>
      <c r="J918" s="1" t="s">
        <v>26</v>
      </c>
      <c r="K918" s="1" t="s">
        <v>1072</v>
      </c>
      <c r="L918" s="1" t="s">
        <v>26</v>
      </c>
      <c r="M918" s="1" t="s">
        <v>27</v>
      </c>
      <c r="N918" s="1" t="s">
        <v>26</v>
      </c>
      <c r="O918" s="1" t="s">
        <v>26</v>
      </c>
      <c r="P918" s="4">
        <v>45345.34947916667</v>
      </c>
    </row>
    <row r="919" hidden="1">
      <c r="A919" s="1" t="s">
        <v>21</v>
      </c>
      <c r="B919" s="3" t="str">
        <f>HYPERLINK("https://hawk-eye.atlassian.net/browse/HWKREPORT-2495?atlOrigin=eyJpIjoiYzgwYTQ0ZjEyNzQzNGJhN2JmNjEyZTM0NmRhZWZhNjIiLCJwIjoic2hlZXRzLWppcmEifQ","HWKREPORT-2495")</f>
        <v>HWKREPORT-2495</v>
      </c>
      <c r="C919" s="1" t="s">
        <v>2127</v>
      </c>
      <c r="D919" s="1" t="s">
        <v>34</v>
      </c>
      <c r="E919" s="1" t="s">
        <v>35</v>
      </c>
      <c r="F919" s="4">
        <v>45264.50511574074</v>
      </c>
      <c r="G919" s="3" t="str">
        <f>HYPERLINK("https://hawk-eye.atlassian.net/browse/SO-1134?atlOrigin=eyJpIjoiYzgwYTQ0ZjEyNzQzNGJhN2JmNjEyZTM0NmRhZWZhNjIiLCJwIjoic2hlZXRzLWppcmEifQ","SO-1134")</f>
        <v>SO-1134</v>
      </c>
      <c r="H919" s="1" t="s">
        <v>1058</v>
      </c>
      <c r="I919" s="1" t="s">
        <v>1085</v>
      </c>
      <c r="J919" s="1" t="s">
        <v>26</v>
      </c>
      <c r="K919" s="1" t="s">
        <v>2128</v>
      </c>
      <c r="L919" s="1" t="s">
        <v>26</v>
      </c>
      <c r="M919" s="1" t="s">
        <v>27</v>
      </c>
      <c r="N919" s="1" t="s">
        <v>26</v>
      </c>
      <c r="O919" s="1" t="s">
        <v>26</v>
      </c>
      <c r="P919" s="4">
        <v>45268.714212962965</v>
      </c>
    </row>
    <row r="920" hidden="1">
      <c r="A920" s="1" t="s">
        <v>21</v>
      </c>
      <c r="B920" s="3" t="str">
        <f>HYPERLINK("https://hawk-eye.atlassian.net/browse/HWKREPORT-2496?atlOrigin=eyJpIjoiYzgwYTQ0ZjEyNzQzNGJhN2JmNjEyZTM0NmRhZWZhNjIiLCJwIjoic2hlZXRzLWppcmEifQ","HWKREPORT-2496")</f>
        <v>HWKREPORT-2496</v>
      </c>
      <c r="C920" s="1" t="s">
        <v>2129</v>
      </c>
      <c r="D920" s="1" t="s">
        <v>34</v>
      </c>
      <c r="E920" s="1" t="s">
        <v>35</v>
      </c>
      <c r="F920" s="4">
        <v>45264.57517361111</v>
      </c>
      <c r="G920" s="3" t="str">
        <f>HYPERLINK("https://hawk-eye.atlassian.net/browse/SO-1125?atlOrigin=eyJpIjoiYzgwYTQ0ZjEyNzQzNGJhN2JmNjEyZTM0NmRhZWZhNjIiLCJwIjoic2hlZXRzLWppcmEifQ","SO-1125")</f>
        <v>SO-1125</v>
      </c>
      <c r="H920" s="1" t="s">
        <v>1058</v>
      </c>
      <c r="I920" s="1" t="s">
        <v>1085</v>
      </c>
      <c r="J920" s="1" t="s">
        <v>26</v>
      </c>
      <c r="K920" s="1" t="s">
        <v>1116</v>
      </c>
      <c r="L920" s="1" t="s">
        <v>26</v>
      </c>
      <c r="M920" s="1" t="s">
        <v>27</v>
      </c>
      <c r="N920" s="1" t="s">
        <v>26</v>
      </c>
      <c r="O920" s="1" t="s">
        <v>26</v>
      </c>
      <c r="P920" s="4">
        <v>45271.47361111111</v>
      </c>
    </row>
    <row r="921" hidden="1">
      <c r="A921" s="1" t="s">
        <v>21</v>
      </c>
      <c r="B921" s="3" t="str">
        <f>HYPERLINK("https://hawk-eye.atlassian.net/browse/HWKREPORT-2497?atlOrigin=eyJpIjoiYzgwYTQ0ZjEyNzQzNGJhN2JmNjEyZTM0NmRhZWZhNjIiLCJwIjoic2hlZXRzLWppcmEifQ","HWKREPORT-2497")</f>
        <v>HWKREPORT-2497</v>
      </c>
      <c r="C921" s="1" t="s">
        <v>2130</v>
      </c>
      <c r="D921" s="1" t="s">
        <v>34</v>
      </c>
      <c r="E921" s="1" t="s">
        <v>35</v>
      </c>
      <c r="F921" s="4">
        <v>45264.83634259259</v>
      </c>
      <c r="G921" s="3" t="str">
        <f>HYPERLINK("https://hawk-eye.atlassian.net/browse/GT-1351?atlOrigin=eyJpIjoiYzgwYTQ0ZjEyNzQzNGJhN2JmNjEyZTM0NmRhZWZhNjIiLCJwIjoic2hlZXRzLWppcmEifQ","GT-1351")</f>
        <v>GT-1351</v>
      </c>
      <c r="H921" s="1" t="s">
        <v>1058</v>
      </c>
      <c r="I921" s="1" t="s">
        <v>1126</v>
      </c>
      <c r="J921" s="1" t="s">
        <v>26</v>
      </c>
      <c r="K921" s="1" t="s">
        <v>1148</v>
      </c>
      <c r="L921" s="1" t="s">
        <v>26</v>
      </c>
      <c r="M921" s="1" t="s">
        <v>27</v>
      </c>
      <c r="N921" s="1" t="s">
        <v>26</v>
      </c>
      <c r="O921" s="1" t="s">
        <v>26</v>
      </c>
      <c r="P921" s="4">
        <v>45349.45715277778</v>
      </c>
    </row>
    <row r="922" hidden="1">
      <c r="A922" s="1" t="s">
        <v>1055</v>
      </c>
      <c r="B922" s="3" t="str">
        <f>HYPERLINK("https://hawk-eye.atlassian.net/browse/HWKREPORT-2498?atlOrigin=eyJpIjoiYzgwYTQ0ZjEyNzQzNGJhN2JmNjEyZTM0NmRhZWZhNjIiLCJwIjoic2hlZXRzLWppcmEifQ","HWKREPORT-2498")</f>
        <v>HWKREPORT-2498</v>
      </c>
      <c r="C922" s="1" t="s">
        <v>2131</v>
      </c>
      <c r="D922" s="1" t="s">
        <v>48</v>
      </c>
      <c r="E922" s="1" t="s">
        <v>35</v>
      </c>
      <c r="F922" s="4">
        <v>45265.67398148148</v>
      </c>
      <c r="G922" s="3" t="str">
        <f>HYPERLINK("https://hawk-eye.atlassian.net/browse/RTT-7557?atlOrigin=eyJpIjoiYzgwYTQ0ZjEyNzQzNGJhN2JmNjEyZTM0NmRhZWZhNjIiLCJwIjoic2hlZXRzLWppcmEifQ","RTT-7557")</f>
        <v>RTT-7557</v>
      </c>
      <c r="H922" s="1" t="s">
        <v>1058</v>
      </c>
      <c r="I922" s="1" t="s">
        <v>1059</v>
      </c>
      <c r="J922" s="1" t="s">
        <v>26</v>
      </c>
      <c r="K922" s="1" t="s">
        <v>1072</v>
      </c>
      <c r="L922" s="1" t="s">
        <v>26</v>
      </c>
      <c r="M922" s="1" t="s">
        <v>27</v>
      </c>
      <c r="N922" s="1" t="s">
        <v>26</v>
      </c>
      <c r="O922" s="1" t="s">
        <v>26</v>
      </c>
      <c r="P922" s="4">
        <v>45363.45055555556</v>
      </c>
    </row>
    <row r="923" hidden="1">
      <c r="A923" s="1" t="s">
        <v>1055</v>
      </c>
      <c r="B923" s="3" t="str">
        <f>HYPERLINK("https://hawk-eye.atlassian.net/browse/HWKREPORT-2499?atlOrigin=eyJpIjoiYzgwYTQ0ZjEyNzQzNGJhN2JmNjEyZTM0NmRhZWZhNjIiLCJwIjoic2hlZXRzLWppcmEifQ","HWKREPORT-2499")</f>
        <v>HWKREPORT-2499</v>
      </c>
      <c r="C923" s="1" t="s">
        <v>2132</v>
      </c>
      <c r="D923" s="1" t="s">
        <v>48</v>
      </c>
      <c r="E923" s="1" t="s">
        <v>35</v>
      </c>
      <c r="F923" s="4">
        <v>45267.37924768519</v>
      </c>
      <c r="G923" s="3" t="str">
        <f>HYPERLINK("https://hawk-eye.atlassian.net/browse/RTT-7588?atlOrigin=eyJpIjoiYzgwYTQ0ZjEyNzQzNGJhN2JmNjEyZTM0NmRhZWZhNjIiLCJwIjoic2hlZXRzLWppcmEifQ","RTT-7588")</f>
        <v>RTT-7588</v>
      </c>
      <c r="H923" s="1" t="s">
        <v>1058</v>
      </c>
      <c r="I923" s="1" t="s">
        <v>1085</v>
      </c>
      <c r="J923" s="1" t="s">
        <v>26</v>
      </c>
      <c r="K923" s="1" t="s">
        <v>1072</v>
      </c>
      <c r="L923" s="1" t="s">
        <v>26</v>
      </c>
      <c r="M923" s="1" t="s">
        <v>27</v>
      </c>
      <c r="N923" s="1" t="s">
        <v>26</v>
      </c>
      <c r="O923" s="1" t="s">
        <v>26</v>
      </c>
      <c r="P923" s="4">
        <v>45477.325902777775</v>
      </c>
    </row>
    <row r="924" hidden="1">
      <c r="A924" s="1" t="s">
        <v>1055</v>
      </c>
      <c r="B924" s="3" t="str">
        <f>HYPERLINK("https://hawk-eye.atlassian.net/browse/HWKREPORT-2500?atlOrigin=eyJpIjoiYzgwYTQ0ZjEyNzQzNGJhN2JmNjEyZTM0NmRhZWZhNjIiLCJwIjoic2hlZXRzLWppcmEifQ","HWKREPORT-2500")</f>
        <v>HWKREPORT-2500</v>
      </c>
      <c r="C924" s="1" t="s">
        <v>2133</v>
      </c>
      <c r="D924" s="1" t="s">
        <v>48</v>
      </c>
      <c r="E924" s="1" t="s">
        <v>1057</v>
      </c>
      <c r="F924" s="4">
        <v>45267.413194444445</v>
      </c>
      <c r="G924" s="3" t="str">
        <f t="shared" ref="G924:G925" si="88">HYPERLINK("https://hawk-eye.atlassian.net/browse/?atlOrigin=eyJpIjoiYzgwYTQ0ZjEyNzQzNGJhN2JmNjEyZTM0NmRhZWZhNjIiLCJwIjoic2hlZXRzLWppcmEifQ","")</f>
        <v/>
      </c>
      <c r="H924" s="1" t="s">
        <v>1058</v>
      </c>
      <c r="I924" s="1" t="s">
        <v>1085</v>
      </c>
      <c r="J924" s="1" t="s">
        <v>26</v>
      </c>
      <c r="K924" s="1" t="s">
        <v>1219</v>
      </c>
      <c r="L924" s="1" t="s">
        <v>26</v>
      </c>
      <c r="M924" s="1" t="s">
        <v>27</v>
      </c>
      <c r="N924" s="1" t="s">
        <v>26</v>
      </c>
      <c r="O924" s="1" t="s">
        <v>26</v>
      </c>
      <c r="P924" s="4">
        <v>45267.41320601852</v>
      </c>
    </row>
    <row r="925" hidden="1">
      <c r="A925" s="1" t="s">
        <v>1055</v>
      </c>
      <c r="B925" s="3" t="str">
        <f>HYPERLINK("https://hawk-eye.atlassian.net/browse/HWKREPORT-2501?atlOrigin=eyJpIjoiYzgwYTQ0ZjEyNzQzNGJhN2JmNjEyZTM0NmRhZWZhNjIiLCJwIjoic2hlZXRzLWppcmEifQ","HWKREPORT-2501")</f>
        <v>HWKREPORT-2501</v>
      </c>
      <c r="C925" s="1" t="s">
        <v>2134</v>
      </c>
      <c r="D925" s="1" t="s">
        <v>48</v>
      </c>
      <c r="E925" s="1" t="s">
        <v>1057</v>
      </c>
      <c r="F925" s="4">
        <v>45267.418287037035</v>
      </c>
      <c r="G925" s="3" t="str">
        <f t="shared" si="88"/>
        <v/>
      </c>
      <c r="H925" s="1" t="s">
        <v>1058</v>
      </c>
      <c r="I925" s="1" t="s">
        <v>1085</v>
      </c>
      <c r="J925" s="1" t="s">
        <v>26</v>
      </c>
      <c r="K925" s="1" t="s">
        <v>1219</v>
      </c>
      <c r="L925" s="1" t="s">
        <v>26</v>
      </c>
      <c r="M925" s="1" t="s">
        <v>27</v>
      </c>
      <c r="N925" s="1" t="s">
        <v>26</v>
      </c>
      <c r="O925" s="1" t="s">
        <v>26</v>
      </c>
      <c r="P925" s="4">
        <v>45267.41829861111</v>
      </c>
    </row>
    <row r="926" hidden="1">
      <c r="A926" s="1" t="s">
        <v>1055</v>
      </c>
      <c r="B926" s="3" t="str">
        <f>HYPERLINK("https://hawk-eye.atlassian.net/browse/HWKREPORT-2502?atlOrigin=eyJpIjoiYzgwYTQ0ZjEyNzQzNGJhN2JmNjEyZTM0NmRhZWZhNjIiLCJwIjoic2hlZXRzLWppcmEifQ","HWKREPORT-2502")</f>
        <v>HWKREPORT-2502</v>
      </c>
      <c r="C926" s="1" t="s">
        <v>2135</v>
      </c>
      <c r="D926" s="1" t="s">
        <v>48</v>
      </c>
      <c r="E926" s="1" t="s">
        <v>1207</v>
      </c>
      <c r="F926" s="4">
        <v>45267.457407407404</v>
      </c>
      <c r="G926" s="3" t="str">
        <f>HYPERLINK("https://hawk-eye.atlassian.net/browse/RTT-7594?atlOrigin=eyJpIjoiYzgwYTQ0ZjEyNzQzNGJhN2JmNjEyZTM0NmRhZWZhNjIiLCJwIjoic2hlZXRzLWppcmEifQ","RTT-7594")</f>
        <v>RTT-7594</v>
      </c>
      <c r="H926" s="1" t="s">
        <v>1058</v>
      </c>
      <c r="I926" s="1" t="s">
        <v>1085</v>
      </c>
      <c r="J926" s="1" t="s">
        <v>26</v>
      </c>
      <c r="K926" s="1" t="s">
        <v>1072</v>
      </c>
      <c r="L926" s="1" t="s">
        <v>26</v>
      </c>
      <c r="M926" s="1" t="s">
        <v>27</v>
      </c>
      <c r="N926" s="1" t="s">
        <v>26</v>
      </c>
      <c r="O926" s="1" t="s">
        <v>26</v>
      </c>
      <c r="P926" s="4">
        <v>45364.408125</v>
      </c>
    </row>
    <row r="927" hidden="1">
      <c r="A927" s="1" t="s">
        <v>21</v>
      </c>
      <c r="B927" s="3" t="str">
        <f>HYPERLINK("https://hawk-eye.atlassian.net/browse/HWKREPORT-2503?atlOrigin=eyJpIjoiYzgwYTQ0ZjEyNzQzNGJhN2JmNjEyZTM0NmRhZWZhNjIiLCJwIjoic2hlZXRzLWppcmEifQ","HWKREPORT-2503")</f>
        <v>HWKREPORT-2503</v>
      </c>
      <c r="C927" s="1" t="s">
        <v>2136</v>
      </c>
      <c r="D927" s="1" t="s">
        <v>34</v>
      </c>
      <c r="E927" s="1" t="s">
        <v>35</v>
      </c>
      <c r="F927" s="4">
        <v>45268.49055555555</v>
      </c>
      <c r="G927" s="3" t="str">
        <f>HYPERLINK("https://hawk-eye.atlassian.net/browse/SO-1136?atlOrigin=eyJpIjoiYzgwYTQ0ZjEyNzQzNGJhN2JmNjEyZTM0NmRhZWZhNjIiLCJwIjoic2hlZXRzLWppcmEifQ","SO-1136")</f>
        <v>SO-1136</v>
      </c>
      <c r="H927" s="1" t="s">
        <v>1058</v>
      </c>
      <c r="I927" s="1" t="s">
        <v>1085</v>
      </c>
      <c r="J927" s="1" t="s">
        <v>26</v>
      </c>
      <c r="K927" s="1" t="s">
        <v>1385</v>
      </c>
      <c r="L927" s="1" t="s">
        <v>26</v>
      </c>
      <c r="M927" s="1" t="s">
        <v>27</v>
      </c>
      <c r="N927" s="1" t="s">
        <v>26</v>
      </c>
      <c r="O927" s="1" t="s">
        <v>26</v>
      </c>
      <c r="P927" s="4">
        <v>45280.447800925926</v>
      </c>
    </row>
    <row r="928" hidden="1">
      <c r="A928" s="1" t="s">
        <v>21</v>
      </c>
      <c r="B928" s="3" t="str">
        <f>HYPERLINK("https://hawk-eye.atlassian.net/browse/HWKREPORT-2504?atlOrigin=eyJpIjoiYzgwYTQ0ZjEyNzQzNGJhN2JmNjEyZTM0NmRhZWZhNjIiLCJwIjoic2hlZXRzLWppcmEifQ","HWKREPORT-2504")</f>
        <v>HWKREPORT-2504</v>
      </c>
      <c r="C928" s="1" t="s">
        <v>2137</v>
      </c>
      <c r="D928" s="1" t="s">
        <v>34</v>
      </c>
      <c r="E928" s="1" t="s">
        <v>35</v>
      </c>
      <c r="F928" s="4">
        <v>45268.53361111111</v>
      </c>
      <c r="G928" s="3" t="str">
        <f>HYPERLINK("https://hawk-eye.atlassian.net/browse/SO-1137?atlOrigin=eyJpIjoiYzgwYTQ0ZjEyNzQzNGJhN2JmNjEyZTM0NmRhZWZhNjIiLCJwIjoic2hlZXRzLWppcmEifQ","SO-1137")</f>
        <v>SO-1137</v>
      </c>
      <c r="H928" s="1" t="s">
        <v>1058</v>
      </c>
      <c r="I928" s="1" t="s">
        <v>1085</v>
      </c>
      <c r="J928" s="1" t="s">
        <v>26</v>
      </c>
      <c r="K928" s="1" t="s">
        <v>1385</v>
      </c>
      <c r="L928" s="1" t="s">
        <v>26</v>
      </c>
      <c r="M928" s="1" t="s">
        <v>27</v>
      </c>
      <c r="N928" s="1" t="s">
        <v>26</v>
      </c>
      <c r="O928" s="1" t="s">
        <v>26</v>
      </c>
      <c r="P928" s="4">
        <v>45280.50438657407</v>
      </c>
    </row>
    <row r="929" hidden="1">
      <c r="A929" s="1" t="s">
        <v>1055</v>
      </c>
      <c r="B929" s="3" t="str">
        <f>HYPERLINK("https://hawk-eye.atlassian.net/browse/HWKREPORT-2505?atlOrigin=eyJpIjoiYzgwYTQ0ZjEyNzQzNGJhN2JmNjEyZTM0NmRhZWZhNjIiLCJwIjoic2hlZXRzLWppcmEifQ","HWKREPORT-2505")</f>
        <v>HWKREPORT-2505</v>
      </c>
      <c r="C929" s="1" t="s">
        <v>2138</v>
      </c>
      <c r="D929" s="1" t="s">
        <v>48</v>
      </c>
      <c r="E929" s="1" t="s">
        <v>1057</v>
      </c>
      <c r="F929" s="4">
        <v>45271.66376157408</v>
      </c>
      <c r="G929" s="3" t="str">
        <f>HYPERLINK("https://hawk-eye.atlassian.net/browse/AL-1042?atlOrigin=eyJpIjoiYzgwYTQ0ZjEyNzQzNGJhN2JmNjEyZTM0NmRhZWZhNjIiLCJwIjoic2hlZXRzLWppcmEifQ","AL-1042")</f>
        <v>AL-1042</v>
      </c>
      <c r="H929" s="1" t="s">
        <v>1058</v>
      </c>
      <c r="I929" s="1" t="s">
        <v>1071</v>
      </c>
      <c r="J929" s="1" t="s">
        <v>26</v>
      </c>
      <c r="K929" s="1" t="s">
        <v>1276</v>
      </c>
      <c r="L929" s="1" t="s">
        <v>26</v>
      </c>
      <c r="M929" s="1" t="s">
        <v>27</v>
      </c>
      <c r="N929" s="1" t="s">
        <v>26</v>
      </c>
      <c r="O929" s="1" t="s">
        <v>26</v>
      </c>
      <c r="P929" s="4">
        <v>45271.663773148146</v>
      </c>
    </row>
    <row r="930" hidden="1">
      <c r="A930" s="1" t="s">
        <v>1055</v>
      </c>
      <c r="B930" s="3" t="str">
        <f>HYPERLINK("https://hawk-eye.atlassian.net/browse/HWKREPORT-2506?atlOrigin=eyJpIjoiYzgwYTQ0ZjEyNzQzNGJhN2JmNjEyZTM0NmRhZWZhNjIiLCJwIjoic2hlZXRzLWppcmEifQ","HWKREPORT-2506")</f>
        <v>HWKREPORT-2506</v>
      </c>
      <c r="C930" s="1" t="s">
        <v>2139</v>
      </c>
      <c r="D930" s="1" t="s">
        <v>48</v>
      </c>
      <c r="E930" s="1" t="s">
        <v>1057</v>
      </c>
      <c r="F930" s="4">
        <v>45271.67017361111</v>
      </c>
      <c r="G930" s="3" t="str">
        <f>HYPERLINK("https://hawk-eye.atlassian.net/browse/AL-1043?atlOrigin=eyJpIjoiYzgwYTQ0ZjEyNzQzNGJhN2JmNjEyZTM0NmRhZWZhNjIiLCJwIjoic2hlZXRzLWppcmEifQ","AL-1043")</f>
        <v>AL-1043</v>
      </c>
      <c r="H930" s="1" t="s">
        <v>1058</v>
      </c>
      <c r="I930" s="1" t="s">
        <v>1071</v>
      </c>
      <c r="J930" s="1" t="s">
        <v>26</v>
      </c>
      <c r="K930" s="1" t="s">
        <v>1276</v>
      </c>
      <c r="L930" s="1" t="s">
        <v>26</v>
      </c>
      <c r="M930" s="1" t="s">
        <v>27</v>
      </c>
      <c r="N930" s="1" t="s">
        <v>26</v>
      </c>
      <c r="O930" s="1" t="s">
        <v>26</v>
      </c>
      <c r="P930" s="4">
        <v>45271.67018518518</v>
      </c>
    </row>
    <row r="931" hidden="1">
      <c r="A931" s="1" t="s">
        <v>1055</v>
      </c>
      <c r="B931" s="3" t="str">
        <f>HYPERLINK("https://hawk-eye.atlassian.net/browse/HWKREPORT-2507?atlOrigin=eyJpIjoiYzgwYTQ0ZjEyNzQzNGJhN2JmNjEyZTM0NmRhZWZhNjIiLCJwIjoic2hlZXRzLWppcmEifQ","HWKREPORT-2507")</f>
        <v>HWKREPORT-2507</v>
      </c>
      <c r="C931" s="1" t="s">
        <v>2140</v>
      </c>
      <c r="D931" s="1" t="s">
        <v>48</v>
      </c>
      <c r="E931" s="1" t="s">
        <v>1057</v>
      </c>
      <c r="F931" s="4">
        <v>45271.67605324074</v>
      </c>
      <c r="G931" s="3" t="str">
        <f>HYPERLINK("https://hawk-eye.atlassian.net/browse/AL-1041?atlOrigin=eyJpIjoiYzgwYTQ0ZjEyNzQzNGJhN2JmNjEyZTM0NmRhZWZhNjIiLCJwIjoic2hlZXRzLWppcmEifQ","AL-1041")</f>
        <v>AL-1041</v>
      </c>
      <c r="H931" s="1" t="s">
        <v>1058</v>
      </c>
      <c r="I931" s="1" t="s">
        <v>1071</v>
      </c>
      <c r="J931" s="1" t="s">
        <v>26</v>
      </c>
      <c r="K931" s="1" t="s">
        <v>1276</v>
      </c>
      <c r="L931" s="1" t="s">
        <v>26</v>
      </c>
      <c r="M931" s="1" t="s">
        <v>27</v>
      </c>
      <c r="N931" s="1" t="s">
        <v>26</v>
      </c>
      <c r="O931" s="1" t="s">
        <v>26</v>
      </c>
      <c r="P931" s="4">
        <v>45271.67606481481</v>
      </c>
    </row>
    <row r="932" hidden="1">
      <c r="A932" s="1" t="s">
        <v>21</v>
      </c>
      <c r="B932" s="3" t="str">
        <f>HYPERLINK("https://hawk-eye.atlassian.net/browse/HWKREPORT-2508?atlOrigin=eyJpIjoiYzgwYTQ0ZjEyNzQzNGJhN2JmNjEyZTM0NmRhZWZhNjIiLCJwIjoic2hlZXRzLWppcmEifQ","HWKREPORT-2508")</f>
        <v>HWKREPORT-2508</v>
      </c>
      <c r="C932" s="1" t="s">
        <v>2141</v>
      </c>
      <c r="D932" s="1" t="s">
        <v>23</v>
      </c>
      <c r="E932" s="1" t="s">
        <v>35</v>
      </c>
      <c r="F932" s="4">
        <v>45271.78631944444</v>
      </c>
      <c r="G932" s="3" t="str">
        <f>HYPERLINK("https://hawk-eye.atlassian.net/browse/RTT-7598?atlOrigin=eyJpIjoiYzgwYTQ0ZjEyNzQzNGJhN2JmNjEyZTM0NmRhZWZhNjIiLCJwIjoic2hlZXRzLWppcmEifQ","RTT-7598")</f>
        <v>RTT-7598</v>
      </c>
      <c r="H932" s="1" t="s">
        <v>1058</v>
      </c>
      <c r="I932" s="1" t="s">
        <v>1071</v>
      </c>
      <c r="J932" s="1" t="s">
        <v>26</v>
      </c>
      <c r="K932" s="1" t="s">
        <v>1099</v>
      </c>
      <c r="L932" s="1" t="s">
        <v>26</v>
      </c>
      <c r="M932" s="1" t="s">
        <v>27</v>
      </c>
      <c r="N932" s="1" t="s">
        <v>26</v>
      </c>
      <c r="O932" s="1" t="s">
        <v>26</v>
      </c>
      <c r="P932" s="4">
        <v>45709.65232638889</v>
      </c>
    </row>
    <row r="933" hidden="1">
      <c r="A933" s="1" t="s">
        <v>1055</v>
      </c>
      <c r="B933" s="3" t="str">
        <f>HYPERLINK("https://hawk-eye.atlassian.net/browse/HWKREPORT-2511?atlOrigin=eyJpIjoiYzgwYTQ0ZjEyNzQzNGJhN2JmNjEyZTM0NmRhZWZhNjIiLCJwIjoic2hlZXRzLWppcmEifQ","HWKREPORT-2511")</f>
        <v>HWKREPORT-2511</v>
      </c>
      <c r="C933" s="1" t="s">
        <v>2142</v>
      </c>
      <c r="D933" s="1" t="s">
        <v>48</v>
      </c>
      <c r="E933" s="1" t="s">
        <v>35</v>
      </c>
      <c r="F933" s="4">
        <v>45272.88076388889</v>
      </c>
      <c r="G933" s="3" t="str">
        <f>HYPERLINK("https://hawk-eye.atlassian.net/browse/RTT-7575?atlOrigin=eyJpIjoiYzgwYTQ0ZjEyNzQzNGJhN2JmNjEyZTM0NmRhZWZhNjIiLCJwIjoic2hlZXRzLWppcmEifQ","RTT-7575")</f>
        <v>RTT-7575</v>
      </c>
      <c r="H933" s="1" t="s">
        <v>1058</v>
      </c>
      <c r="I933" s="1" t="s">
        <v>28</v>
      </c>
      <c r="J933" s="1" t="s">
        <v>26</v>
      </c>
      <c r="K933" s="1" t="s">
        <v>1072</v>
      </c>
      <c r="L933" s="1" t="s">
        <v>26</v>
      </c>
      <c r="M933" s="1" t="s">
        <v>27</v>
      </c>
      <c r="N933" s="1" t="s">
        <v>26</v>
      </c>
      <c r="O933" s="1" t="s">
        <v>26</v>
      </c>
      <c r="P933" s="4">
        <v>45524.72858796296</v>
      </c>
    </row>
    <row r="934" hidden="1">
      <c r="A934" s="1" t="s">
        <v>1055</v>
      </c>
      <c r="B934" s="3" t="str">
        <f>HYPERLINK("https://hawk-eye.atlassian.net/browse/HWKREPORT-2512?atlOrigin=eyJpIjoiYzgwYTQ0ZjEyNzQzNGJhN2JmNjEyZTM0NmRhZWZhNjIiLCJwIjoic2hlZXRzLWppcmEifQ","HWKREPORT-2512")</f>
        <v>HWKREPORT-2512</v>
      </c>
      <c r="C934" s="1" t="s">
        <v>2143</v>
      </c>
      <c r="D934" s="1" t="s">
        <v>40</v>
      </c>
      <c r="E934" s="1" t="s">
        <v>1057</v>
      </c>
      <c r="F934" s="4">
        <v>45273.42256944445</v>
      </c>
      <c r="G934" s="3" t="str">
        <f t="shared" ref="G934:G937" si="89">HYPERLINK("https://hawk-eye.atlassian.net/browse/?atlOrigin=eyJpIjoiYzgwYTQ0ZjEyNzQzNGJhN2JmNjEyZTM0NmRhZWZhNjIiLCJwIjoic2hlZXRzLWppcmEifQ","")</f>
        <v/>
      </c>
      <c r="H934" s="1" t="s">
        <v>1058</v>
      </c>
      <c r="I934" s="1" t="s">
        <v>2144</v>
      </c>
      <c r="J934" s="1" t="s">
        <v>26</v>
      </c>
      <c r="K934" s="1" t="s">
        <v>26</v>
      </c>
      <c r="L934" s="1" t="s">
        <v>26</v>
      </c>
      <c r="M934" s="1" t="s">
        <v>27</v>
      </c>
      <c r="N934" s="1" t="s">
        <v>26</v>
      </c>
      <c r="O934" s="1" t="s">
        <v>26</v>
      </c>
      <c r="P934" s="4">
        <v>45273.422581018516</v>
      </c>
    </row>
    <row r="935" hidden="1">
      <c r="A935" s="1" t="s">
        <v>1055</v>
      </c>
      <c r="B935" s="3" t="str">
        <f>HYPERLINK("https://hawk-eye.atlassian.net/browse/HWKREPORT-2513?atlOrigin=eyJpIjoiYzgwYTQ0ZjEyNzQzNGJhN2JmNjEyZTM0NmRhZWZhNjIiLCJwIjoic2hlZXRzLWppcmEifQ","HWKREPORT-2513")</f>
        <v>HWKREPORT-2513</v>
      </c>
      <c r="C935" s="1" t="s">
        <v>2145</v>
      </c>
      <c r="D935" s="1" t="s">
        <v>40</v>
      </c>
      <c r="E935" s="1" t="s">
        <v>1057</v>
      </c>
      <c r="F935" s="4">
        <v>45273.43863425926</v>
      </c>
      <c r="G935" s="3" t="str">
        <f t="shared" si="89"/>
        <v/>
      </c>
      <c r="H935" s="1" t="s">
        <v>1058</v>
      </c>
      <c r="I935" s="1" t="s">
        <v>2146</v>
      </c>
      <c r="J935" s="1" t="s">
        <v>26</v>
      </c>
      <c r="K935" s="1" t="s">
        <v>26</v>
      </c>
      <c r="L935" s="1" t="s">
        <v>26</v>
      </c>
      <c r="M935" s="1" t="s">
        <v>27</v>
      </c>
      <c r="N935" s="1" t="s">
        <v>26</v>
      </c>
      <c r="O935" s="1" t="s">
        <v>26</v>
      </c>
      <c r="P935" s="4">
        <v>45273.43864583333</v>
      </c>
    </row>
    <row r="936" hidden="1">
      <c r="A936" s="1" t="s">
        <v>21</v>
      </c>
      <c r="B936" s="3" t="str">
        <f>HYPERLINK("https://hawk-eye.atlassian.net/browse/HWKREPORT-2514?atlOrigin=eyJpIjoiYzgwYTQ0ZjEyNzQzNGJhN2JmNjEyZTM0NmRhZWZhNjIiLCJwIjoic2hlZXRzLWppcmEifQ","HWKREPORT-2514")</f>
        <v>HWKREPORT-2514</v>
      </c>
      <c r="C936" s="1" t="s">
        <v>2147</v>
      </c>
      <c r="D936" s="1" t="s">
        <v>34</v>
      </c>
      <c r="E936" s="1" t="s">
        <v>35</v>
      </c>
      <c r="F936" s="4">
        <v>45278.64496527778</v>
      </c>
      <c r="G936" s="3" t="str">
        <f t="shared" si="89"/>
        <v/>
      </c>
      <c r="H936" s="1" t="s">
        <v>1058</v>
      </c>
      <c r="I936" s="1" t="s">
        <v>1085</v>
      </c>
      <c r="J936" s="1" t="s">
        <v>26</v>
      </c>
      <c r="K936" s="1" t="s">
        <v>1385</v>
      </c>
      <c r="L936" s="1" t="s">
        <v>26</v>
      </c>
      <c r="M936" s="1" t="s">
        <v>27</v>
      </c>
      <c r="N936" s="1" t="s">
        <v>26</v>
      </c>
      <c r="O936" s="1" t="s">
        <v>26</v>
      </c>
      <c r="P936" s="4">
        <v>45281.713842592595</v>
      </c>
    </row>
    <row r="937" hidden="1">
      <c r="A937" s="1" t="s">
        <v>21</v>
      </c>
      <c r="B937" s="3" t="str">
        <f>HYPERLINK("https://hawk-eye.atlassian.net/browse/HWKREPORT-2515?atlOrigin=eyJpIjoiYzgwYTQ0ZjEyNzQzNGJhN2JmNjEyZTM0NmRhZWZhNjIiLCJwIjoic2hlZXRzLWppcmEifQ","HWKREPORT-2515")</f>
        <v>HWKREPORT-2515</v>
      </c>
      <c r="C937" s="1" t="s">
        <v>2148</v>
      </c>
      <c r="D937" s="1" t="s">
        <v>48</v>
      </c>
      <c r="E937" s="1" t="s">
        <v>35</v>
      </c>
      <c r="F937" s="4">
        <v>45279.589421296296</v>
      </c>
      <c r="G937" s="3" t="str">
        <f t="shared" si="89"/>
        <v/>
      </c>
      <c r="H937" s="1" t="s">
        <v>1058</v>
      </c>
      <c r="I937" s="1" t="s">
        <v>1126</v>
      </c>
      <c r="J937" s="1" t="s">
        <v>26</v>
      </c>
      <c r="K937" s="1" t="s">
        <v>1211</v>
      </c>
      <c r="L937" s="1" t="s">
        <v>26</v>
      </c>
      <c r="M937" s="1" t="s">
        <v>27</v>
      </c>
      <c r="N937" s="1" t="s">
        <v>26</v>
      </c>
      <c r="O937" s="1" t="s">
        <v>26</v>
      </c>
      <c r="P937" s="4">
        <v>45436.47825231482</v>
      </c>
    </row>
    <row r="938" hidden="1">
      <c r="A938" s="1" t="s">
        <v>1055</v>
      </c>
      <c r="B938" s="3" t="str">
        <f>HYPERLINK("https://hawk-eye.atlassian.net/browse/HWKREPORT-2516?atlOrigin=eyJpIjoiYzgwYTQ0ZjEyNzQzNGJhN2JmNjEyZTM0NmRhZWZhNjIiLCJwIjoic2hlZXRzLWppcmEifQ","HWKREPORT-2516")</f>
        <v>HWKREPORT-2516</v>
      </c>
      <c r="C938" s="1" t="s">
        <v>2149</v>
      </c>
      <c r="D938" s="1" t="s">
        <v>48</v>
      </c>
      <c r="E938" s="1" t="s">
        <v>1057</v>
      </c>
      <c r="F938" s="4">
        <v>45279.599386574075</v>
      </c>
      <c r="G938" s="3" t="str">
        <f>HYPERLINK("https://hawk-eye.atlassian.net/browse/RTT-7613?atlOrigin=eyJpIjoiYzgwYTQ0ZjEyNzQzNGJhN2JmNjEyZTM0NmRhZWZhNjIiLCJwIjoic2hlZXRzLWppcmEifQ","RTT-7613")</f>
        <v>RTT-7613</v>
      </c>
      <c r="H938" s="1" t="s">
        <v>1058</v>
      </c>
      <c r="I938" s="1" t="s">
        <v>1085</v>
      </c>
      <c r="J938" s="1" t="s">
        <v>26</v>
      </c>
      <c r="K938" s="1" t="s">
        <v>1072</v>
      </c>
      <c r="L938" s="1" t="s">
        <v>26</v>
      </c>
      <c r="M938" s="1" t="s">
        <v>27</v>
      </c>
      <c r="N938" s="1" t="s">
        <v>26</v>
      </c>
      <c r="O938" s="1" t="s">
        <v>26</v>
      </c>
      <c r="P938" s="4">
        <v>45279.599386574075</v>
      </c>
    </row>
    <row r="939" hidden="1">
      <c r="A939" s="1" t="s">
        <v>21</v>
      </c>
      <c r="B939" s="3" t="str">
        <f>HYPERLINK("https://hawk-eye.atlassian.net/browse/HWKREPORT-2517?atlOrigin=eyJpIjoiYzgwYTQ0ZjEyNzQzNGJhN2JmNjEyZTM0NmRhZWZhNjIiLCJwIjoic2hlZXRzLWppcmEifQ","HWKREPORT-2517")</f>
        <v>HWKREPORT-2517</v>
      </c>
      <c r="C939" s="1" t="s">
        <v>2150</v>
      </c>
      <c r="D939" s="1" t="s">
        <v>34</v>
      </c>
      <c r="E939" s="1" t="s">
        <v>35</v>
      </c>
      <c r="F939" s="4">
        <v>45281.634571759256</v>
      </c>
      <c r="G939" s="3" t="str">
        <f>HYPERLINK("https://hawk-eye.atlassian.net/browse/SO-1156?atlOrigin=eyJpIjoiYzgwYTQ0ZjEyNzQzNGJhN2JmNjEyZTM0NmRhZWZhNjIiLCJwIjoic2hlZXRzLWppcmEifQ","SO-1156")</f>
        <v>SO-1156</v>
      </c>
      <c r="H939" s="1" t="s">
        <v>1058</v>
      </c>
      <c r="I939" s="1" t="s">
        <v>1085</v>
      </c>
      <c r="J939" s="1" t="s">
        <v>26</v>
      </c>
      <c r="K939" s="1" t="s">
        <v>1116</v>
      </c>
      <c r="L939" s="1" t="s">
        <v>26</v>
      </c>
      <c r="M939" s="1" t="s">
        <v>27</v>
      </c>
      <c r="N939" s="1" t="s">
        <v>26</v>
      </c>
      <c r="O939" s="1" t="s">
        <v>26</v>
      </c>
      <c r="P939" s="4">
        <v>45303.64200231482</v>
      </c>
    </row>
    <row r="940" hidden="1">
      <c r="A940" s="1" t="s">
        <v>1055</v>
      </c>
      <c r="B940" s="3" t="str">
        <f>HYPERLINK("https://hawk-eye.atlassian.net/browse/HWKREPORT-2518?atlOrigin=eyJpIjoiYzgwYTQ0ZjEyNzQzNGJhN2JmNjEyZTM0NmRhZWZhNjIiLCJwIjoic2hlZXRzLWppcmEifQ","HWKREPORT-2518")</f>
        <v>HWKREPORT-2518</v>
      </c>
      <c r="C940" s="1" t="s">
        <v>2151</v>
      </c>
      <c r="D940" s="1" t="s">
        <v>48</v>
      </c>
      <c r="E940" s="1" t="s">
        <v>1057</v>
      </c>
      <c r="F940" s="4">
        <v>45281.698599537034</v>
      </c>
      <c r="G940" s="3" t="str">
        <f>HYPERLINK("https://hawk-eye.atlassian.net/browse/?atlOrigin=eyJpIjoiYzgwYTQ0ZjEyNzQzNGJhN2JmNjEyZTM0NmRhZWZhNjIiLCJwIjoic2hlZXRzLWppcmEifQ","")</f>
        <v/>
      </c>
      <c r="H940" s="1" t="s">
        <v>1058</v>
      </c>
      <c r="I940" s="1" t="s">
        <v>1085</v>
      </c>
      <c r="J940" s="1" t="s">
        <v>26</v>
      </c>
      <c r="K940" s="1" t="s">
        <v>1072</v>
      </c>
      <c r="L940" s="1" t="s">
        <v>26</v>
      </c>
      <c r="M940" s="1" t="s">
        <v>27</v>
      </c>
      <c r="N940" s="1" t="s">
        <v>26</v>
      </c>
      <c r="O940" s="1" t="s">
        <v>26</v>
      </c>
      <c r="P940" s="4">
        <v>45281.698599537034</v>
      </c>
    </row>
    <row r="941" hidden="1">
      <c r="A941" s="1" t="s">
        <v>21</v>
      </c>
      <c r="B941" s="3" t="str">
        <f>HYPERLINK("https://hawk-eye.atlassian.net/browse/HWKREPORT-2519?atlOrigin=eyJpIjoiYzgwYTQ0ZjEyNzQzNGJhN2JmNjEyZTM0NmRhZWZhNjIiLCJwIjoic2hlZXRzLWppcmEifQ","HWKREPORT-2519")</f>
        <v>HWKREPORT-2519</v>
      </c>
      <c r="C941" s="1" t="s">
        <v>2152</v>
      </c>
      <c r="D941" s="1" t="s">
        <v>23</v>
      </c>
      <c r="E941" s="1" t="s">
        <v>35</v>
      </c>
      <c r="F941" s="4">
        <v>45282.37842592593</v>
      </c>
      <c r="G941" s="3" t="str">
        <f>HYPERLINK("https://hawk-eye.atlassian.net/browse/RTT-7627?atlOrigin=eyJpIjoiYzgwYTQ0ZjEyNzQzNGJhN2JmNjEyZTM0NmRhZWZhNjIiLCJwIjoic2hlZXRzLWppcmEifQ","RTT-7627")</f>
        <v>RTT-7627</v>
      </c>
      <c r="H941" s="1" t="s">
        <v>1058</v>
      </c>
      <c r="I941" s="1" t="s">
        <v>1924</v>
      </c>
      <c r="J941" s="1" t="s">
        <v>26</v>
      </c>
      <c r="K941" s="1" t="s">
        <v>1925</v>
      </c>
      <c r="L941" s="1" t="s">
        <v>26</v>
      </c>
      <c r="M941" s="1" t="s">
        <v>27</v>
      </c>
      <c r="N941" s="1" t="s">
        <v>26</v>
      </c>
      <c r="O941" s="1" t="s">
        <v>26</v>
      </c>
      <c r="P941" s="4">
        <v>45369.36277777778</v>
      </c>
    </row>
    <row r="942" hidden="1">
      <c r="A942" s="1" t="s">
        <v>21</v>
      </c>
      <c r="B942" s="3" t="str">
        <f>HYPERLINK("https://hawk-eye.atlassian.net/browse/HWKREPORT-2520?atlOrigin=eyJpIjoiYzgwYTQ0ZjEyNzQzNGJhN2JmNjEyZTM0NmRhZWZhNjIiLCJwIjoic2hlZXRzLWppcmEifQ","HWKREPORT-2520")</f>
        <v>HWKREPORT-2520</v>
      </c>
      <c r="C942" s="1" t="s">
        <v>2153</v>
      </c>
      <c r="D942" s="1" t="s">
        <v>34</v>
      </c>
      <c r="E942" s="1" t="s">
        <v>35</v>
      </c>
      <c r="F942" s="4">
        <v>45282.531863425924</v>
      </c>
      <c r="G942" s="3" t="str">
        <f>HYPERLINK("https://hawk-eye.atlassian.net/browse/RTT-7630?atlOrigin=eyJpIjoiYzgwYTQ0ZjEyNzQzNGJhN2JmNjEyZTM0NmRhZWZhNjIiLCJwIjoic2hlZXRzLWppcmEifQ","RTT-7630")</f>
        <v>RTT-7630</v>
      </c>
      <c r="H942" s="1" t="s">
        <v>1058</v>
      </c>
      <c r="I942" s="1" t="s">
        <v>1924</v>
      </c>
      <c r="J942" s="1" t="s">
        <v>26</v>
      </c>
      <c r="K942" s="1" t="s">
        <v>1925</v>
      </c>
      <c r="L942" s="1" t="s">
        <v>26</v>
      </c>
      <c r="M942" s="1" t="s">
        <v>27</v>
      </c>
      <c r="N942" s="1" t="s">
        <v>26</v>
      </c>
      <c r="O942" s="1" t="s">
        <v>26</v>
      </c>
      <c r="P942" s="4">
        <v>45362.35628472222</v>
      </c>
    </row>
    <row r="943" hidden="1">
      <c r="A943" s="1" t="s">
        <v>21</v>
      </c>
      <c r="B943" s="3" t="str">
        <f>HYPERLINK("https://hawk-eye.atlassian.net/browse/HWKREPORT-2521?atlOrigin=eyJpIjoiYzgwYTQ0ZjEyNzQzNGJhN2JmNjEyZTM0NmRhZWZhNjIiLCJwIjoic2hlZXRzLWppcmEifQ","HWKREPORT-2521")</f>
        <v>HWKREPORT-2521</v>
      </c>
      <c r="C943" s="1" t="s">
        <v>2154</v>
      </c>
      <c r="D943" s="1" t="s">
        <v>23</v>
      </c>
      <c r="E943" s="1" t="s">
        <v>1207</v>
      </c>
      <c r="F943" s="4">
        <v>45282.540289351855</v>
      </c>
      <c r="G943" s="3" t="str">
        <f>HYPERLINK("https://hawk-eye.atlassian.net/browse/RTT-7629?atlOrigin=eyJpIjoiYzgwYTQ0ZjEyNzQzNGJhN2JmNjEyZTM0NmRhZWZhNjIiLCJwIjoic2hlZXRzLWppcmEifQ","RTT-7629")</f>
        <v>RTT-7629</v>
      </c>
      <c r="H943" s="1" t="s">
        <v>1058</v>
      </c>
      <c r="I943" s="1" t="s">
        <v>1924</v>
      </c>
      <c r="J943" s="1" t="s">
        <v>26</v>
      </c>
      <c r="K943" s="1" t="s">
        <v>1925</v>
      </c>
      <c r="L943" s="1" t="s">
        <v>26</v>
      </c>
      <c r="M943" s="1" t="s">
        <v>27</v>
      </c>
      <c r="N943" s="1" t="s">
        <v>26</v>
      </c>
      <c r="O943" s="1" t="s">
        <v>26</v>
      </c>
      <c r="P943" s="4">
        <v>45477.40157407407</v>
      </c>
    </row>
    <row r="944" hidden="1">
      <c r="A944" s="1" t="s">
        <v>21</v>
      </c>
      <c r="B944" s="3" t="str">
        <f>HYPERLINK("https://hawk-eye.atlassian.net/browse/HWKREPORT-2522?atlOrigin=eyJpIjoiYzgwYTQ0ZjEyNzQzNGJhN2JmNjEyZTM0NmRhZWZhNjIiLCJwIjoic2hlZXRzLWppcmEifQ","HWKREPORT-2522")</f>
        <v>HWKREPORT-2522</v>
      </c>
      <c r="C944" s="1" t="s">
        <v>2155</v>
      </c>
      <c r="D944" s="1" t="s">
        <v>23</v>
      </c>
      <c r="E944" s="1" t="s">
        <v>1057</v>
      </c>
      <c r="F944" s="4">
        <v>45293.6415162037</v>
      </c>
      <c r="G944" s="3" t="str">
        <f>HYPERLINK("https://hawk-eye.atlassian.net/browse/?atlOrigin=eyJpIjoiYzgwYTQ0ZjEyNzQzNGJhN2JmNjEyZTM0NmRhZWZhNjIiLCJwIjoic2hlZXRzLWppcmEifQ","")</f>
        <v/>
      </c>
      <c r="H944" s="1" t="s">
        <v>1058</v>
      </c>
      <c r="I944" s="1" t="s">
        <v>1085</v>
      </c>
      <c r="J944" s="1" t="s">
        <v>26</v>
      </c>
      <c r="K944" s="1" t="s">
        <v>2156</v>
      </c>
      <c r="L944" s="1" t="s">
        <v>26</v>
      </c>
      <c r="M944" s="1" t="s">
        <v>27</v>
      </c>
      <c r="N944" s="1" t="s">
        <v>26</v>
      </c>
      <c r="O944" s="1" t="s">
        <v>26</v>
      </c>
      <c r="P944" s="4">
        <v>45293.64152777778</v>
      </c>
    </row>
    <row r="945" hidden="1">
      <c r="A945" s="1" t="s">
        <v>21</v>
      </c>
      <c r="B945" s="3" t="str">
        <f>HYPERLINK("https://hawk-eye.atlassian.net/browse/HWKREPORT-2523?atlOrigin=eyJpIjoiYzgwYTQ0ZjEyNzQzNGJhN2JmNjEyZTM0NmRhZWZhNjIiLCJwIjoic2hlZXRzLWppcmEifQ","HWKREPORT-2523")</f>
        <v>HWKREPORT-2523</v>
      </c>
      <c r="C945" s="1" t="s">
        <v>2157</v>
      </c>
      <c r="D945" s="1" t="s">
        <v>23</v>
      </c>
      <c r="E945" s="1" t="s">
        <v>1207</v>
      </c>
      <c r="F945" s="4">
        <v>45295.595185185186</v>
      </c>
      <c r="G945" s="3" t="str">
        <f>HYPERLINK("https://hawk-eye.atlassian.net/browse/FDP-451?atlOrigin=eyJpIjoiYzgwYTQ0ZjEyNzQzNGJhN2JmNjEyZTM0NmRhZWZhNjIiLCJwIjoic2hlZXRzLWppcmEifQ","FDP-451")</f>
        <v>FDP-451</v>
      </c>
      <c r="H945" s="1" t="s">
        <v>1058</v>
      </c>
      <c r="I945" s="1" t="s">
        <v>1085</v>
      </c>
      <c r="J945" s="1" t="s">
        <v>26</v>
      </c>
      <c r="K945" s="1" t="s">
        <v>2158</v>
      </c>
      <c r="L945" s="1" t="s">
        <v>26</v>
      </c>
      <c r="M945" s="1" t="s">
        <v>27</v>
      </c>
      <c r="N945" s="1" t="s">
        <v>26</v>
      </c>
      <c r="O945" s="1" t="s">
        <v>26</v>
      </c>
      <c r="P945" s="4">
        <v>45303.63365740741</v>
      </c>
    </row>
    <row r="946">
      <c r="A946" s="1" t="s">
        <v>21</v>
      </c>
      <c r="B946" s="3" t="str">
        <f>HYPERLINK("https://hawk-eye.atlassian.net/browse/HWKREPORT-2524?atlOrigin=eyJpIjoiYzgwYTQ0ZjEyNzQzNGJhN2JmNjEyZTM0NmRhZWZhNjIiLCJwIjoic2hlZXRzLWppcmEifQ","HWKREPORT-2524")</f>
        <v>HWKREPORT-2524</v>
      </c>
      <c r="C946" s="1" t="s">
        <v>2159</v>
      </c>
      <c r="D946" s="1" t="s">
        <v>23</v>
      </c>
      <c r="E946" s="1" t="s">
        <v>35</v>
      </c>
      <c r="F946" s="4">
        <v>45296.693402777775</v>
      </c>
      <c r="G946" s="3" t="str">
        <f>HYPERLINK("https://hawk-eye.atlassian.net/browse/RTT-7682?atlOrigin=eyJpIjoiYzgwYTQ0ZjEyNzQzNGJhN2JmNjEyZTM0NmRhZWZhNjIiLCJwIjoic2hlZXRzLWppcmEifQ","RTT-7682")</f>
        <v>RTT-7682</v>
      </c>
      <c r="H946" s="1" t="s">
        <v>1058</v>
      </c>
      <c r="I946" s="1" t="s">
        <v>28</v>
      </c>
      <c r="J946" s="1" t="s">
        <v>26</v>
      </c>
      <c r="K946" s="1" t="s">
        <v>1072</v>
      </c>
      <c r="L946" s="1" t="s">
        <v>26</v>
      </c>
      <c r="M946" s="1" t="s">
        <v>27</v>
      </c>
      <c r="N946" s="1" t="s">
        <v>26</v>
      </c>
      <c r="O946" s="1" t="s">
        <v>26</v>
      </c>
      <c r="P946" s="4">
        <v>45524.72866898148</v>
      </c>
    </row>
    <row r="947" hidden="1">
      <c r="A947" s="1" t="s">
        <v>21</v>
      </c>
      <c r="B947" s="3" t="str">
        <f>HYPERLINK("https://hawk-eye.atlassian.net/browse/HWKREPORT-2525?atlOrigin=eyJpIjoiYzgwYTQ0ZjEyNzQzNGJhN2JmNjEyZTM0NmRhZWZhNjIiLCJwIjoic2hlZXRzLWppcmEifQ","HWKREPORT-2525")</f>
        <v>HWKREPORT-2525</v>
      </c>
      <c r="C947" s="1" t="s">
        <v>2160</v>
      </c>
      <c r="D947" s="1" t="s">
        <v>23</v>
      </c>
      <c r="E947" s="1" t="s">
        <v>35</v>
      </c>
      <c r="F947" s="4">
        <v>45297.87734953704</v>
      </c>
      <c r="G947" s="3" t="str">
        <f>HYPERLINK("https://hawk-eye.atlassian.net/browse/RTT-7691?atlOrigin=eyJpIjoiYzgwYTQ0ZjEyNzQzNGJhN2JmNjEyZTM0NmRhZWZhNjIiLCJwIjoic2hlZXRzLWppcmEifQ","RTT-7691")</f>
        <v>RTT-7691</v>
      </c>
      <c r="H947" s="1" t="s">
        <v>1058</v>
      </c>
      <c r="I947" s="1" t="s">
        <v>1059</v>
      </c>
      <c r="J947" s="1" t="s">
        <v>26</v>
      </c>
      <c r="K947" s="1" t="s">
        <v>1072</v>
      </c>
      <c r="L947" s="1" t="s">
        <v>26</v>
      </c>
      <c r="M947" s="1" t="s">
        <v>27</v>
      </c>
      <c r="N947" s="1" t="s">
        <v>26</v>
      </c>
      <c r="O947" s="1" t="s">
        <v>26</v>
      </c>
      <c r="P947" s="4">
        <v>45363.45076388889</v>
      </c>
    </row>
    <row r="948" hidden="1">
      <c r="A948" s="1" t="s">
        <v>21</v>
      </c>
      <c r="B948" s="3" t="str">
        <f>HYPERLINK("https://hawk-eye.atlassian.net/browse/HWKREPORT-2526?atlOrigin=eyJpIjoiYzgwYTQ0ZjEyNzQzNGJhN2JmNjEyZTM0NmRhZWZhNjIiLCJwIjoic2hlZXRzLWppcmEifQ","HWKREPORT-2526")</f>
        <v>HWKREPORT-2526</v>
      </c>
      <c r="C948" s="1" t="s">
        <v>2161</v>
      </c>
      <c r="D948" s="1" t="s">
        <v>23</v>
      </c>
      <c r="E948" s="1" t="s">
        <v>35</v>
      </c>
      <c r="F948" s="4">
        <v>45297.88284722222</v>
      </c>
      <c r="G948" s="3" t="str">
        <f>HYPERLINK("https://hawk-eye.atlassian.net/browse/RTT-7690?atlOrigin=eyJpIjoiYzgwYTQ0ZjEyNzQzNGJhN2JmNjEyZTM0NmRhZWZhNjIiLCJwIjoic2hlZXRzLWppcmEifQ","RTT-7690")</f>
        <v>RTT-7690</v>
      </c>
      <c r="H948" s="1" t="s">
        <v>1058</v>
      </c>
      <c r="I948" s="1" t="s">
        <v>1059</v>
      </c>
      <c r="J948" s="1" t="s">
        <v>26</v>
      </c>
      <c r="K948" s="1" t="s">
        <v>1072</v>
      </c>
      <c r="L948" s="1" t="s">
        <v>26</v>
      </c>
      <c r="M948" s="1" t="s">
        <v>27</v>
      </c>
      <c r="N948" s="1" t="s">
        <v>26</v>
      </c>
      <c r="O948" s="1" t="s">
        <v>26</v>
      </c>
      <c r="P948" s="4">
        <v>45596.70434027778</v>
      </c>
    </row>
    <row r="949" hidden="1">
      <c r="A949" s="1" t="s">
        <v>1055</v>
      </c>
      <c r="B949" s="3" t="str">
        <f>HYPERLINK("https://hawk-eye.atlassian.net/browse/HWKREPORT-2527?atlOrigin=eyJpIjoiYzgwYTQ0ZjEyNzQzNGJhN2JmNjEyZTM0NmRhZWZhNjIiLCJwIjoic2hlZXRzLWppcmEifQ","HWKREPORT-2527")</f>
        <v>HWKREPORT-2527</v>
      </c>
      <c r="C949" s="1" t="s">
        <v>2162</v>
      </c>
      <c r="D949" s="1" t="s">
        <v>48</v>
      </c>
      <c r="E949" s="1" t="s">
        <v>1057</v>
      </c>
      <c r="F949" s="4">
        <v>45299.501967592594</v>
      </c>
      <c r="G949" s="3" t="str">
        <f>HYPERLINK("https://hawk-eye.atlassian.net/browse/SO-1388?atlOrigin=eyJpIjoiYzgwYTQ0ZjEyNzQzNGJhN2JmNjEyZTM0NmRhZWZhNjIiLCJwIjoic2hlZXRzLWppcmEifQ","SO-1388")</f>
        <v>SO-1388</v>
      </c>
      <c r="H949" s="1" t="s">
        <v>1058</v>
      </c>
      <c r="I949" s="1" t="s">
        <v>1085</v>
      </c>
      <c r="J949" s="1" t="s">
        <v>26</v>
      </c>
      <c r="K949" s="1" t="s">
        <v>1116</v>
      </c>
      <c r="L949" s="1" t="s">
        <v>26</v>
      </c>
      <c r="M949" s="1" t="s">
        <v>27</v>
      </c>
      <c r="N949" s="1" t="s">
        <v>26</v>
      </c>
      <c r="O949" s="1" t="s">
        <v>26</v>
      </c>
      <c r="P949" s="4">
        <v>45299.501979166664</v>
      </c>
    </row>
    <row r="950" hidden="1">
      <c r="A950" s="1" t="s">
        <v>21</v>
      </c>
      <c r="B950" s="3" t="str">
        <f>HYPERLINK("https://hawk-eye.atlassian.net/browse/HWKREPORT-2528?atlOrigin=eyJpIjoiYzgwYTQ0ZjEyNzQzNGJhN2JmNjEyZTM0NmRhZWZhNjIiLCJwIjoic2hlZXRzLWppcmEifQ","HWKREPORT-2528")</f>
        <v>HWKREPORT-2528</v>
      </c>
      <c r="C950" s="1" t="s">
        <v>2163</v>
      </c>
      <c r="D950" s="1" t="s">
        <v>23</v>
      </c>
      <c r="E950" s="1" t="s">
        <v>35</v>
      </c>
      <c r="F950" s="4">
        <v>45299.921435185184</v>
      </c>
      <c r="G950" s="3" t="str">
        <f>HYPERLINK("https://hawk-eye.atlassian.net/browse/RTT-7697?atlOrigin=eyJpIjoiYzgwYTQ0ZjEyNzQzNGJhN2JmNjEyZTM0NmRhZWZhNjIiLCJwIjoic2hlZXRzLWppcmEifQ","RTT-7697")</f>
        <v>RTT-7697</v>
      </c>
      <c r="H950" s="1" t="s">
        <v>1058</v>
      </c>
      <c r="I950" s="1" t="s">
        <v>1059</v>
      </c>
      <c r="J950" s="1" t="s">
        <v>26</v>
      </c>
      <c r="K950" s="1" t="s">
        <v>1312</v>
      </c>
      <c r="L950" s="1" t="s">
        <v>26</v>
      </c>
      <c r="M950" s="1" t="s">
        <v>27</v>
      </c>
      <c r="N950" s="1" t="s">
        <v>26</v>
      </c>
      <c r="O950" s="1" t="s">
        <v>26</v>
      </c>
      <c r="P950" s="4">
        <v>45596.70398148148</v>
      </c>
    </row>
    <row r="951" hidden="1">
      <c r="A951" s="1" t="s">
        <v>21</v>
      </c>
      <c r="B951" s="3" t="str">
        <f>HYPERLINK("https://hawk-eye.atlassian.net/browse/HWKREPORT-2529?atlOrigin=eyJpIjoiYzgwYTQ0ZjEyNzQzNGJhN2JmNjEyZTM0NmRhZWZhNjIiLCJwIjoic2hlZXRzLWppcmEifQ","HWKREPORT-2529")</f>
        <v>HWKREPORT-2529</v>
      </c>
      <c r="C951" s="1" t="s">
        <v>2164</v>
      </c>
      <c r="D951" s="1" t="s">
        <v>23</v>
      </c>
      <c r="E951" s="1" t="s">
        <v>35</v>
      </c>
      <c r="F951" s="4">
        <v>45300.02434027778</v>
      </c>
      <c r="G951" s="3" t="str">
        <f t="shared" ref="G951:G952" si="90">HYPERLINK("https://hawk-eye.atlassian.net/browse/?atlOrigin=eyJpIjoiYzgwYTQ0ZjEyNzQzNGJhN2JmNjEyZTM0NmRhZWZhNjIiLCJwIjoic2hlZXRzLWppcmEifQ","")</f>
        <v/>
      </c>
      <c r="H951" s="1" t="s">
        <v>1058</v>
      </c>
      <c r="I951" s="1" t="s">
        <v>1126</v>
      </c>
      <c r="J951" s="1" t="s">
        <v>26</v>
      </c>
      <c r="K951" s="1" t="s">
        <v>1211</v>
      </c>
      <c r="L951" s="1" t="s">
        <v>26</v>
      </c>
      <c r="M951" s="1" t="s">
        <v>27</v>
      </c>
      <c r="N951" s="1" t="s">
        <v>26</v>
      </c>
      <c r="O951" s="1" t="s">
        <v>26</v>
      </c>
      <c r="P951" s="4">
        <v>45369.77123842593</v>
      </c>
    </row>
    <row r="952" hidden="1">
      <c r="A952" s="1" t="s">
        <v>1055</v>
      </c>
      <c r="B952" s="3" t="str">
        <f>HYPERLINK("https://hawk-eye.atlassian.net/browse/HWKREPORT-2530?atlOrigin=eyJpIjoiYzgwYTQ0ZjEyNzQzNGJhN2JmNjEyZTM0NmRhZWZhNjIiLCJwIjoic2hlZXRzLWppcmEifQ","HWKREPORT-2530")</f>
        <v>HWKREPORT-2530</v>
      </c>
      <c r="C952" s="1" t="s">
        <v>2165</v>
      </c>
      <c r="D952" s="1" t="s">
        <v>48</v>
      </c>
      <c r="E952" s="1" t="s">
        <v>1057</v>
      </c>
      <c r="F952" s="4">
        <v>45300.417604166665</v>
      </c>
      <c r="G952" s="3" t="str">
        <f t="shared" si="90"/>
        <v/>
      </c>
      <c r="H952" s="1" t="s">
        <v>1058</v>
      </c>
      <c r="I952" s="1" t="s">
        <v>1082</v>
      </c>
      <c r="J952" s="1" t="s">
        <v>26</v>
      </c>
      <c r="K952" s="1" t="s">
        <v>2166</v>
      </c>
      <c r="L952" s="1" t="s">
        <v>26</v>
      </c>
      <c r="M952" s="1" t="s">
        <v>27</v>
      </c>
      <c r="N952" s="1" t="s">
        <v>26</v>
      </c>
      <c r="O952" s="1" t="s">
        <v>26</v>
      </c>
      <c r="P952" s="4">
        <v>45300.41761574074</v>
      </c>
    </row>
    <row r="953" hidden="1">
      <c r="A953" s="1" t="s">
        <v>21</v>
      </c>
      <c r="B953" s="3" t="str">
        <f>HYPERLINK("https://hawk-eye.atlassian.net/browse/HWKREPORT-2531?atlOrigin=eyJpIjoiYzgwYTQ0ZjEyNzQzNGJhN2JmNjEyZTM0NmRhZWZhNjIiLCJwIjoic2hlZXRzLWppcmEifQ","HWKREPORT-2531")</f>
        <v>HWKREPORT-2531</v>
      </c>
      <c r="C953" s="1" t="s">
        <v>2167</v>
      </c>
      <c r="D953" s="1" t="s">
        <v>40</v>
      </c>
      <c r="E953" s="1" t="s">
        <v>1207</v>
      </c>
      <c r="F953" s="4">
        <v>45300.57546296297</v>
      </c>
      <c r="G953" s="3" t="str">
        <f>HYPERLINK("https://hawk-eye.atlassian.net/browse/RTT-7702?atlOrigin=eyJpIjoiYzgwYTQ0ZjEyNzQzNGJhN2JmNjEyZTM0NmRhZWZhNjIiLCJwIjoic2hlZXRzLWppcmEifQ","RTT-7702")</f>
        <v>RTT-7702</v>
      </c>
      <c r="H953" s="1" t="s">
        <v>1058</v>
      </c>
      <c r="I953" s="1" t="s">
        <v>1082</v>
      </c>
      <c r="J953" s="1" t="s">
        <v>26</v>
      </c>
      <c r="K953" s="1" t="s">
        <v>1247</v>
      </c>
      <c r="L953" s="1" t="s">
        <v>26</v>
      </c>
      <c r="M953" s="1" t="s">
        <v>27</v>
      </c>
      <c r="N953" s="1" t="s">
        <v>26</v>
      </c>
      <c r="O953" s="1" t="s">
        <v>26</v>
      </c>
      <c r="P953" s="4">
        <v>45348.327199074076</v>
      </c>
    </row>
    <row r="954" hidden="1">
      <c r="A954" s="1" t="s">
        <v>1055</v>
      </c>
      <c r="B954" s="3" t="str">
        <f>HYPERLINK("https://hawk-eye.atlassian.net/browse/HWKREPORT-2532?atlOrigin=eyJpIjoiYzgwYTQ0ZjEyNzQzNGJhN2JmNjEyZTM0NmRhZWZhNjIiLCJwIjoic2hlZXRzLWppcmEifQ","HWKREPORT-2532")</f>
        <v>HWKREPORT-2532</v>
      </c>
      <c r="C954" s="1" t="s">
        <v>2168</v>
      </c>
      <c r="D954" s="1" t="s">
        <v>48</v>
      </c>
      <c r="E954" s="1" t="s">
        <v>1207</v>
      </c>
      <c r="F954" s="4">
        <v>45300.62049768519</v>
      </c>
      <c r="G954" s="3" t="str">
        <f>HYPERLINK("https://hawk-eye.atlassian.net/browse/RTT-7701?atlOrigin=eyJpIjoiYzgwYTQ0ZjEyNzQzNGJhN2JmNjEyZTM0NmRhZWZhNjIiLCJwIjoic2hlZXRzLWppcmEifQ","RTT-7701")</f>
        <v>RTT-7701</v>
      </c>
      <c r="H954" s="1" t="s">
        <v>1058</v>
      </c>
      <c r="I954" s="1" t="s">
        <v>1071</v>
      </c>
      <c r="J954" s="1" t="s">
        <v>26</v>
      </c>
      <c r="K954" s="1" t="s">
        <v>1072</v>
      </c>
      <c r="L954" s="1" t="s">
        <v>26</v>
      </c>
      <c r="M954" s="1" t="s">
        <v>27</v>
      </c>
      <c r="N954" s="1" t="s">
        <v>26</v>
      </c>
      <c r="O954" s="1" t="s">
        <v>26</v>
      </c>
      <c r="P954" s="4">
        <v>45320.41032407407</v>
      </c>
    </row>
    <row r="955" hidden="1">
      <c r="A955" s="1" t="s">
        <v>1055</v>
      </c>
      <c r="B955" s="3" t="str">
        <f>HYPERLINK("https://hawk-eye.atlassian.net/browse/HWKREPORT-2533?atlOrigin=eyJpIjoiYzgwYTQ0ZjEyNzQzNGJhN2JmNjEyZTM0NmRhZWZhNjIiLCJwIjoic2hlZXRzLWppcmEifQ","HWKREPORT-2533")</f>
        <v>HWKREPORT-2533</v>
      </c>
      <c r="C955" s="1" t="s">
        <v>2169</v>
      </c>
      <c r="D955" s="1" t="s">
        <v>48</v>
      </c>
      <c r="E955" s="1" t="s">
        <v>35</v>
      </c>
      <c r="F955" s="4">
        <v>45300.62552083333</v>
      </c>
      <c r="G955" s="3" t="str">
        <f>HYPERLINK("https://hawk-eye.atlassian.net/browse/RTT-7700?atlOrigin=eyJpIjoiYzgwYTQ0ZjEyNzQzNGJhN2JmNjEyZTM0NmRhZWZhNjIiLCJwIjoic2hlZXRzLWppcmEifQ","RTT-7700")</f>
        <v>RTT-7700</v>
      </c>
      <c r="H955" s="1" t="s">
        <v>1058</v>
      </c>
      <c r="I955" s="1" t="s">
        <v>1071</v>
      </c>
      <c r="J955" s="1" t="s">
        <v>26</v>
      </c>
      <c r="K955" s="1" t="s">
        <v>1072</v>
      </c>
      <c r="L955" s="1" t="s">
        <v>26</v>
      </c>
      <c r="M955" s="1" t="s">
        <v>27</v>
      </c>
      <c r="N955" s="1" t="s">
        <v>26</v>
      </c>
      <c r="O955" s="1" t="s">
        <v>26</v>
      </c>
      <c r="P955" s="4">
        <v>45320.646527777775</v>
      </c>
    </row>
    <row r="956" hidden="1">
      <c r="A956" s="1" t="s">
        <v>1055</v>
      </c>
      <c r="B956" s="3" t="str">
        <f>HYPERLINK("https://hawk-eye.atlassian.net/browse/HWKREPORT-2534?atlOrigin=eyJpIjoiYzgwYTQ0ZjEyNzQzNGJhN2JmNjEyZTM0NmRhZWZhNjIiLCJwIjoic2hlZXRzLWppcmEifQ","HWKREPORT-2534")</f>
        <v>HWKREPORT-2534</v>
      </c>
      <c r="C956" s="1" t="s">
        <v>2170</v>
      </c>
      <c r="D956" s="1" t="s">
        <v>48</v>
      </c>
      <c r="E956" s="1" t="s">
        <v>1057</v>
      </c>
      <c r="F956" s="4">
        <v>45300.73625</v>
      </c>
      <c r="G956" s="3" t="str">
        <f>HYPERLINK("https://hawk-eye.atlassian.net/browse/BDS-449?atlOrigin=eyJpIjoiYzgwYTQ0ZjEyNzQzNGJhN2JmNjEyZTM0NmRhZWZhNjIiLCJwIjoic2hlZXRzLWppcmEifQ","BDS-449")</f>
        <v>BDS-449</v>
      </c>
      <c r="H956" s="1" t="s">
        <v>1058</v>
      </c>
      <c r="I956" s="1" t="s">
        <v>1071</v>
      </c>
      <c r="J956" s="1" t="s">
        <v>26</v>
      </c>
      <c r="K956" s="1" t="s">
        <v>1762</v>
      </c>
      <c r="L956" s="1" t="s">
        <v>26</v>
      </c>
      <c r="M956" s="1" t="s">
        <v>27</v>
      </c>
      <c r="N956" s="1" t="s">
        <v>26</v>
      </c>
      <c r="O956" s="1" t="s">
        <v>26</v>
      </c>
      <c r="P956" s="4">
        <v>45300.73625</v>
      </c>
    </row>
    <row r="957" hidden="1">
      <c r="A957" s="1" t="s">
        <v>21</v>
      </c>
      <c r="B957" s="3" t="str">
        <f>HYPERLINK("https://hawk-eye.atlassian.net/browse/HWKREPORT-2535?atlOrigin=eyJpIjoiYzgwYTQ0ZjEyNzQzNGJhN2JmNjEyZTM0NmRhZWZhNjIiLCJwIjoic2hlZXRzLWppcmEifQ","HWKREPORT-2535")</f>
        <v>HWKREPORT-2535</v>
      </c>
      <c r="C957" s="1" t="s">
        <v>2171</v>
      </c>
      <c r="D957" s="1" t="s">
        <v>48</v>
      </c>
      <c r="E957" s="1" t="s">
        <v>35</v>
      </c>
      <c r="F957" s="4">
        <v>45302.07503472222</v>
      </c>
      <c r="G957" s="3" t="str">
        <f>HYPERLINK("https://hawk-eye.atlassian.net/browse/?atlOrigin=eyJpIjoiYzgwYTQ0ZjEyNzQzNGJhN2JmNjEyZTM0NmRhZWZhNjIiLCJwIjoic2hlZXRzLWppcmEifQ","")</f>
        <v/>
      </c>
      <c r="H957" s="1" t="s">
        <v>1058</v>
      </c>
      <c r="I957" s="1" t="s">
        <v>1126</v>
      </c>
      <c r="J957" s="1" t="s">
        <v>26</v>
      </c>
      <c r="K957" s="1" t="s">
        <v>1211</v>
      </c>
      <c r="L957" s="1" t="s">
        <v>26</v>
      </c>
      <c r="M957" s="1" t="s">
        <v>27</v>
      </c>
      <c r="N957" s="1" t="s">
        <v>26</v>
      </c>
      <c r="O957" s="1" t="s">
        <v>26</v>
      </c>
      <c r="P957" s="4">
        <v>45728.534050925926</v>
      </c>
    </row>
    <row r="958">
      <c r="A958" s="1" t="s">
        <v>21</v>
      </c>
      <c r="B958" s="3" t="str">
        <f>HYPERLINK("https://hawk-eye.atlassian.net/browse/HWKREPORT-2536?atlOrigin=eyJpIjoiYzgwYTQ0ZjEyNzQzNGJhN2JmNjEyZTM0NmRhZWZhNjIiLCJwIjoic2hlZXRzLWppcmEifQ","HWKREPORT-2536")</f>
        <v>HWKREPORT-2536</v>
      </c>
      <c r="C958" s="1" t="s">
        <v>2172</v>
      </c>
      <c r="D958" s="1" t="s">
        <v>23</v>
      </c>
      <c r="E958" s="1" t="s">
        <v>35</v>
      </c>
      <c r="F958" s="4">
        <v>45302.60260416667</v>
      </c>
      <c r="G958" s="3" t="str">
        <f>HYPERLINK("https://hawk-eye.atlassian.net/issues/?atlOrigin=eyJpIjoiYzgwYTQ0ZjEyNzQzNGJhN2JmNjEyZTM0NmRhZWZhNjIiLCJwIjoic2hlZXRzLWppcmEifQ&amp;jql=key+in+%28RTT-7723%2CRTT-7933%29","RTT-7723;RTT-7933")</f>
        <v>RTT-7723;RTT-7933</v>
      </c>
      <c r="H958" s="1" t="s">
        <v>1058</v>
      </c>
      <c r="I958" s="1" t="s">
        <v>28</v>
      </c>
      <c r="J958" s="1" t="s">
        <v>26</v>
      </c>
      <c r="K958" s="1" t="s">
        <v>2173</v>
      </c>
      <c r="L958" s="1" t="s">
        <v>26</v>
      </c>
      <c r="M958" s="1" t="s">
        <v>27</v>
      </c>
      <c r="N958" s="1" t="s">
        <v>26</v>
      </c>
      <c r="O958" s="1" t="s">
        <v>26</v>
      </c>
      <c r="P958" s="4">
        <v>45524.72849537037</v>
      </c>
    </row>
    <row r="959" hidden="1">
      <c r="A959" s="1" t="s">
        <v>1055</v>
      </c>
      <c r="B959" s="3" t="str">
        <f>HYPERLINK("https://hawk-eye.atlassian.net/browse/HWKREPORT-2537?atlOrigin=eyJpIjoiYzgwYTQ0ZjEyNzQzNGJhN2JmNjEyZTM0NmRhZWZhNjIiLCJwIjoic2hlZXRzLWppcmEifQ","HWKREPORT-2537")</f>
        <v>HWKREPORT-2537</v>
      </c>
      <c r="C959" s="1" t="s">
        <v>2174</v>
      </c>
      <c r="D959" s="1" t="s">
        <v>48</v>
      </c>
      <c r="E959" s="1" t="s">
        <v>1057</v>
      </c>
      <c r="F959" s="4">
        <v>45302.624340277776</v>
      </c>
      <c r="G959" s="3" t="str">
        <f>HYPERLINK("https://hawk-eye.atlassian.net/browse/BDS-450?atlOrigin=eyJpIjoiYzgwYTQ0ZjEyNzQzNGJhN2JmNjEyZTM0NmRhZWZhNjIiLCJwIjoic2hlZXRzLWppcmEifQ","BDS-450")</f>
        <v>BDS-450</v>
      </c>
      <c r="H959" s="1" t="s">
        <v>1058</v>
      </c>
      <c r="I959" s="1" t="s">
        <v>1071</v>
      </c>
      <c r="J959" s="1" t="s">
        <v>26</v>
      </c>
      <c r="K959" s="1" t="s">
        <v>1762</v>
      </c>
      <c r="L959" s="1" t="s">
        <v>26</v>
      </c>
      <c r="M959" s="1" t="s">
        <v>27</v>
      </c>
      <c r="N959" s="1" t="s">
        <v>26</v>
      </c>
      <c r="O959" s="1" t="s">
        <v>26</v>
      </c>
      <c r="P959" s="4">
        <v>45302.62435185185</v>
      </c>
    </row>
    <row r="960" hidden="1">
      <c r="A960" s="1" t="s">
        <v>1055</v>
      </c>
      <c r="B960" s="3" t="str">
        <f>HYPERLINK("https://hawk-eye.atlassian.net/browse/HWKREPORT-2538?atlOrigin=eyJpIjoiYzgwYTQ0ZjEyNzQzNGJhN2JmNjEyZTM0NmRhZWZhNjIiLCJwIjoic2hlZXRzLWppcmEifQ","HWKREPORT-2538")</f>
        <v>HWKREPORT-2538</v>
      </c>
      <c r="C960" s="1" t="s">
        <v>2175</v>
      </c>
      <c r="D960" s="1" t="s">
        <v>48</v>
      </c>
      <c r="E960" s="1" t="s">
        <v>35</v>
      </c>
      <c r="F960" s="4">
        <v>45303.382256944446</v>
      </c>
      <c r="G960" s="3" t="str">
        <f>HYPERLINK("https://hawk-eye.atlassian.net/browse/RTT-7721?atlOrigin=eyJpIjoiYzgwYTQ0ZjEyNzQzNGJhN2JmNjEyZTM0NmRhZWZhNjIiLCJwIjoic2hlZXRzLWppcmEifQ","RTT-7721")</f>
        <v>RTT-7721</v>
      </c>
      <c r="H960" s="1" t="s">
        <v>1058</v>
      </c>
      <c r="I960" s="1" t="s">
        <v>1085</v>
      </c>
      <c r="J960" s="1" t="s">
        <v>26</v>
      </c>
      <c r="K960" s="1" t="s">
        <v>1072</v>
      </c>
      <c r="L960" s="1" t="s">
        <v>26</v>
      </c>
      <c r="M960" s="1" t="s">
        <v>27</v>
      </c>
      <c r="N960" s="1" t="s">
        <v>26</v>
      </c>
      <c r="O960" s="1" t="s">
        <v>26</v>
      </c>
      <c r="P960" s="4">
        <v>45309.49003472222</v>
      </c>
    </row>
    <row r="961" hidden="1">
      <c r="A961" s="1" t="s">
        <v>21</v>
      </c>
      <c r="B961" s="3" t="str">
        <f>HYPERLINK("https://hawk-eye.atlassian.net/browse/HWKREPORT-2539?atlOrigin=eyJpIjoiYzgwYTQ0ZjEyNzQzNGJhN2JmNjEyZTM0NmRhZWZhNjIiLCJwIjoic2hlZXRzLWppcmEifQ","HWKREPORT-2539")</f>
        <v>HWKREPORT-2539</v>
      </c>
      <c r="C961" s="1" t="s">
        <v>2176</v>
      </c>
      <c r="D961" s="1" t="s">
        <v>40</v>
      </c>
      <c r="E961" s="1" t="s">
        <v>1207</v>
      </c>
      <c r="F961" s="4">
        <v>45303.508564814816</v>
      </c>
      <c r="G961" s="3" t="str">
        <f>HYPERLINK("https://hawk-eye.atlassian.net/browse/RTT-7841?atlOrigin=eyJpIjoiYzgwYTQ0ZjEyNzQzNGJhN2JmNjEyZTM0NmRhZWZhNjIiLCJwIjoic2hlZXRzLWppcmEifQ","RTT-7841")</f>
        <v>RTT-7841</v>
      </c>
      <c r="H961" s="1" t="s">
        <v>1058</v>
      </c>
      <c r="I961" s="1" t="s">
        <v>1377</v>
      </c>
      <c r="J961" s="1" t="s">
        <v>26</v>
      </c>
      <c r="K961" s="1" t="s">
        <v>1312</v>
      </c>
      <c r="L961" s="1" t="s">
        <v>26</v>
      </c>
      <c r="M961" s="1" t="s">
        <v>27</v>
      </c>
      <c r="N961" s="1" t="s">
        <v>26</v>
      </c>
      <c r="O961" s="1" t="s">
        <v>26</v>
      </c>
      <c r="P961" s="4">
        <v>45358.75503472222</v>
      </c>
    </row>
    <row r="962" hidden="1">
      <c r="A962" s="1" t="s">
        <v>1055</v>
      </c>
      <c r="B962" s="3" t="str">
        <f>HYPERLINK("https://hawk-eye.atlassian.net/browse/HWKREPORT-2540?atlOrigin=eyJpIjoiYzgwYTQ0ZjEyNzQzNGJhN2JmNjEyZTM0NmRhZWZhNjIiLCJwIjoic2hlZXRzLWppcmEifQ","HWKREPORT-2540")</f>
        <v>HWKREPORT-2540</v>
      </c>
      <c r="C962" s="1" t="s">
        <v>2177</v>
      </c>
      <c r="D962" s="1" t="s">
        <v>48</v>
      </c>
      <c r="E962" s="1" t="s">
        <v>1057</v>
      </c>
      <c r="F962" s="4">
        <v>45303.5883912037</v>
      </c>
      <c r="G962" s="3" t="str">
        <f>HYPERLINK("https://hawk-eye.atlassian.net/browse/RTT-5902?atlOrigin=eyJpIjoiYzgwYTQ0ZjEyNzQzNGJhN2JmNjEyZTM0NmRhZWZhNjIiLCJwIjoic2hlZXRzLWppcmEifQ","RTT-5902")</f>
        <v>RTT-5902</v>
      </c>
      <c r="H962" s="1" t="s">
        <v>1058</v>
      </c>
      <c r="I962" s="1" t="s">
        <v>2178</v>
      </c>
      <c r="J962" s="1" t="s">
        <v>26</v>
      </c>
      <c r="K962" s="1" t="s">
        <v>1072</v>
      </c>
      <c r="L962" s="1" t="s">
        <v>26</v>
      </c>
      <c r="M962" s="1" t="s">
        <v>27</v>
      </c>
      <c r="N962" s="1" t="s">
        <v>26</v>
      </c>
      <c r="O962" s="1" t="s">
        <v>26</v>
      </c>
      <c r="P962" s="4">
        <v>45303.58840277778</v>
      </c>
    </row>
    <row r="963" hidden="1">
      <c r="A963" s="1" t="s">
        <v>21</v>
      </c>
      <c r="B963" s="3" t="str">
        <f>HYPERLINK("https://hawk-eye.atlassian.net/browse/HWKREPORT-2541?atlOrigin=eyJpIjoiYzgwYTQ0ZjEyNzQzNGJhN2JmNjEyZTM0NmRhZWZhNjIiLCJwIjoic2hlZXRzLWppcmEifQ","HWKREPORT-2541")</f>
        <v>HWKREPORT-2541</v>
      </c>
      <c r="C963" s="1" t="s">
        <v>2179</v>
      </c>
      <c r="D963" s="1" t="s">
        <v>48</v>
      </c>
      <c r="E963" s="1" t="s">
        <v>1057</v>
      </c>
      <c r="F963" s="4">
        <v>45304.30168981481</v>
      </c>
      <c r="G963" s="3" t="str">
        <f>HYPERLINK("https://hawk-eye.atlassian.net/browse/?atlOrigin=eyJpIjoiYzgwYTQ0ZjEyNzQzNGJhN2JmNjEyZTM0NmRhZWZhNjIiLCJwIjoic2hlZXRzLWppcmEifQ","")</f>
        <v/>
      </c>
      <c r="H963" s="1" t="s">
        <v>1058</v>
      </c>
      <c r="I963" s="1" t="s">
        <v>1126</v>
      </c>
      <c r="J963" s="1" t="s">
        <v>26</v>
      </c>
      <c r="K963" s="1" t="s">
        <v>1211</v>
      </c>
      <c r="L963" s="1" t="s">
        <v>26</v>
      </c>
      <c r="M963" s="1" t="s">
        <v>27</v>
      </c>
      <c r="N963" s="1" t="s">
        <v>26</v>
      </c>
      <c r="O963" s="1" t="s">
        <v>26</v>
      </c>
      <c r="P963" s="4">
        <v>45304.30170138889</v>
      </c>
    </row>
    <row r="964" hidden="1">
      <c r="A964" s="1" t="s">
        <v>1055</v>
      </c>
      <c r="B964" s="3" t="str">
        <f>HYPERLINK("https://hawk-eye.atlassian.net/browse/HWKREPORT-2542?atlOrigin=eyJpIjoiYzgwYTQ0ZjEyNzQzNGJhN2JmNjEyZTM0NmRhZWZhNjIiLCJwIjoic2hlZXRzLWppcmEifQ","HWKREPORT-2542")</f>
        <v>HWKREPORT-2542</v>
      </c>
      <c r="C964" s="1" t="s">
        <v>2180</v>
      </c>
      <c r="D964" s="1" t="s">
        <v>48</v>
      </c>
      <c r="E964" s="1" t="s">
        <v>1057</v>
      </c>
      <c r="F964" s="4">
        <v>45307.9018287037</v>
      </c>
      <c r="G964" s="3" t="str">
        <f>HYPERLINK("https://hawk-eye.atlassian.net/browse/BDS-451?atlOrigin=eyJpIjoiYzgwYTQ0ZjEyNzQzNGJhN2JmNjEyZTM0NmRhZWZhNjIiLCJwIjoic2hlZXRzLWppcmEifQ","BDS-451")</f>
        <v>BDS-451</v>
      </c>
      <c r="H964" s="1" t="s">
        <v>1058</v>
      </c>
      <c r="I964" s="1" t="s">
        <v>1071</v>
      </c>
      <c r="J964" s="1" t="s">
        <v>26</v>
      </c>
      <c r="K964" s="1" t="s">
        <v>1762</v>
      </c>
      <c r="L964" s="1" t="s">
        <v>26</v>
      </c>
      <c r="M964" s="1" t="s">
        <v>27</v>
      </c>
      <c r="N964" s="1" t="s">
        <v>26</v>
      </c>
      <c r="O964" s="1" t="s">
        <v>26</v>
      </c>
      <c r="P964" s="4">
        <v>45307.90184027778</v>
      </c>
    </row>
    <row r="965" hidden="1">
      <c r="A965" s="1" t="s">
        <v>1055</v>
      </c>
      <c r="B965" s="3" t="str">
        <f>HYPERLINK("https://hawk-eye.atlassian.net/browse/HWKREPORT-2543?atlOrigin=eyJpIjoiYzgwYTQ0ZjEyNzQzNGJhN2JmNjEyZTM0NmRhZWZhNjIiLCJwIjoic2hlZXRzLWppcmEifQ","HWKREPORT-2543")</f>
        <v>HWKREPORT-2543</v>
      </c>
      <c r="C965" s="1" t="s">
        <v>2181</v>
      </c>
      <c r="D965" s="1" t="s">
        <v>48</v>
      </c>
      <c r="E965" s="1" t="s">
        <v>1057</v>
      </c>
      <c r="F965" s="4">
        <v>45308.70224537037</v>
      </c>
      <c r="G965" s="3" t="str">
        <f>HYPERLINK("https://hawk-eye.atlassian.net/issues/?atlOrigin=eyJpIjoiYzgwYTQ0ZjEyNzQzNGJhN2JmNjEyZTM0NmRhZWZhNjIiLCJwIjoic2hlZXRzLWppcmEifQ&amp;jql=key+in+%28BDS-452%2CRTT-7763%29","BDS-452;RTT-7763")</f>
        <v>BDS-452;RTT-7763</v>
      </c>
      <c r="H965" s="1" t="s">
        <v>1058</v>
      </c>
      <c r="I965" s="1" t="s">
        <v>1071</v>
      </c>
      <c r="J965" s="1" t="s">
        <v>26</v>
      </c>
      <c r="K965" s="1" t="s">
        <v>1335</v>
      </c>
      <c r="L965" s="1" t="s">
        <v>26</v>
      </c>
      <c r="M965" s="1" t="s">
        <v>27</v>
      </c>
      <c r="N965" s="1" t="s">
        <v>26</v>
      </c>
      <c r="O965" s="1" t="s">
        <v>26</v>
      </c>
      <c r="P965" s="4">
        <v>45308.70224537037</v>
      </c>
    </row>
    <row r="966" hidden="1">
      <c r="A966" s="1" t="s">
        <v>21</v>
      </c>
      <c r="B966" s="3" t="str">
        <f>HYPERLINK("https://hawk-eye.atlassian.net/browse/HWKREPORT-2544?atlOrigin=eyJpIjoiYzgwYTQ0ZjEyNzQzNGJhN2JmNjEyZTM0NmRhZWZhNjIiLCJwIjoic2hlZXRzLWppcmEifQ","HWKREPORT-2544")</f>
        <v>HWKREPORT-2544</v>
      </c>
      <c r="C966" s="1" t="s">
        <v>2182</v>
      </c>
      <c r="D966" s="1" t="s">
        <v>34</v>
      </c>
      <c r="E966" s="1" t="s">
        <v>35</v>
      </c>
      <c r="F966" s="4">
        <v>45313.728680555556</v>
      </c>
      <c r="G966" s="3" t="str">
        <f>HYPERLINK("https://hawk-eye.atlassian.net/browse/RTT-7781?atlOrigin=eyJpIjoiYzgwYTQ0ZjEyNzQzNGJhN2JmNjEyZTM0NmRhZWZhNjIiLCJwIjoic2hlZXRzLWppcmEifQ","RTT-7781")</f>
        <v>RTT-7781</v>
      </c>
      <c r="H966" s="1" t="s">
        <v>1058</v>
      </c>
      <c r="I966" s="1" t="s">
        <v>1071</v>
      </c>
      <c r="J966" s="1" t="s">
        <v>26</v>
      </c>
      <c r="K966" s="1" t="s">
        <v>1072</v>
      </c>
      <c r="L966" s="1" t="s">
        <v>26</v>
      </c>
      <c r="M966" s="1" t="s">
        <v>27</v>
      </c>
      <c r="N966" s="1" t="s">
        <v>26</v>
      </c>
      <c r="O966" s="1" t="s">
        <v>26</v>
      </c>
      <c r="P966" s="4">
        <v>45709.651875</v>
      </c>
    </row>
    <row r="967" hidden="1">
      <c r="A967" s="1" t="s">
        <v>21</v>
      </c>
      <c r="B967" s="3" t="str">
        <f>HYPERLINK("https://hawk-eye.atlassian.net/browse/HWKREPORT-2545?atlOrigin=eyJpIjoiYzgwYTQ0ZjEyNzQzNGJhN2JmNjEyZTM0NmRhZWZhNjIiLCJwIjoic2hlZXRzLWppcmEifQ","HWKREPORT-2545")</f>
        <v>HWKREPORT-2545</v>
      </c>
      <c r="C967" s="1" t="s">
        <v>2183</v>
      </c>
      <c r="D967" s="1" t="s">
        <v>83</v>
      </c>
      <c r="E967" s="1" t="s">
        <v>1207</v>
      </c>
      <c r="F967" s="4">
        <v>45313.73180555556</v>
      </c>
      <c r="G967" s="3" t="str">
        <f>HYPERLINK("https://hawk-eye.atlassian.net/browse/RTT-7780?atlOrigin=eyJpIjoiYzgwYTQ0ZjEyNzQzNGJhN2JmNjEyZTM0NmRhZWZhNjIiLCJwIjoic2hlZXRzLWppcmEifQ","RTT-7780")</f>
        <v>RTT-7780</v>
      </c>
      <c r="H967" s="1" t="s">
        <v>1058</v>
      </c>
      <c r="I967" s="1" t="s">
        <v>1071</v>
      </c>
      <c r="J967" s="1" t="s">
        <v>26</v>
      </c>
      <c r="K967" s="1" t="s">
        <v>1072</v>
      </c>
      <c r="L967" s="1" t="s">
        <v>26</v>
      </c>
      <c r="M967" s="1" t="s">
        <v>27</v>
      </c>
      <c r="N967" s="1" t="s">
        <v>26</v>
      </c>
      <c r="O967" s="1" t="s">
        <v>26</v>
      </c>
      <c r="P967" s="4">
        <v>45363.476631944446</v>
      </c>
    </row>
    <row r="968">
      <c r="A968" s="1" t="s">
        <v>21</v>
      </c>
      <c r="B968" s="3" t="str">
        <f>HYPERLINK("https://hawk-eye.atlassian.net/browse/HWKREPORT-2546?atlOrigin=eyJpIjoiYzgwYTQ0ZjEyNzQzNGJhN2JmNjEyZTM0NmRhZWZhNjIiLCJwIjoic2hlZXRzLWppcmEifQ","HWKREPORT-2546")</f>
        <v>HWKREPORT-2546</v>
      </c>
      <c r="C968" s="1" t="s">
        <v>2184</v>
      </c>
      <c r="D968" s="1" t="s">
        <v>34</v>
      </c>
      <c r="E968" s="1" t="s">
        <v>35</v>
      </c>
      <c r="F968" s="4">
        <v>45314.56673611111</v>
      </c>
      <c r="G968" s="3" t="str">
        <f>HYPERLINK("https://hawk-eye.atlassian.net/browse/RTT-7785?atlOrigin=eyJpIjoiYzgwYTQ0ZjEyNzQzNGJhN2JmNjEyZTM0NmRhZWZhNjIiLCJwIjoic2hlZXRzLWppcmEifQ","RTT-7785")</f>
        <v>RTT-7785</v>
      </c>
      <c r="H968" s="1" t="s">
        <v>1058</v>
      </c>
      <c r="I968" s="1" t="s">
        <v>28</v>
      </c>
      <c r="J968" s="1" t="s">
        <v>26</v>
      </c>
      <c r="K968" s="1" t="s">
        <v>1072</v>
      </c>
      <c r="L968" s="1" t="s">
        <v>26</v>
      </c>
      <c r="M968" s="1" t="s">
        <v>27</v>
      </c>
      <c r="N968" s="1" t="s">
        <v>26</v>
      </c>
      <c r="O968" s="1" t="s">
        <v>26</v>
      </c>
      <c r="P968" s="4">
        <v>45644.46104166667</v>
      </c>
    </row>
    <row r="969" hidden="1">
      <c r="A969" s="1" t="s">
        <v>21</v>
      </c>
      <c r="B969" s="3" t="str">
        <f>HYPERLINK("https://hawk-eye.atlassian.net/browse/HWKREPORT-2547?atlOrigin=eyJpIjoiYzgwYTQ0ZjEyNzQzNGJhN2JmNjEyZTM0NmRhZWZhNjIiLCJwIjoic2hlZXRzLWppcmEifQ","HWKREPORT-2547")</f>
        <v>HWKREPORT-2547</v>
      </c>
      <c r="C969" s="1" t="s">
        <v>2185</v>
      </c>
      <c r="D969" s="1" t="s">
        <v>23</v>
      </c>
      <c r="E969" s="1" t="s">
        <v>1207</v>
      </c>
      <c r="F969" s="4">
        <v>45314.653599537036</v>
      </c>
      <c r="G969" s="3" t="str">
        <f>HYPERLINK("https://hawk-eye.atlassian.net/browse/RTT-7786?atlOrigin=eyJpIjoiYzgwYTQ0ZjEyNzQzNGJhN2JmNjEyZTM0NmRhZWZhNjIiLCJwIjoic2hlZXRzLWppcmEifQ","RTT-7786")</f>
        <v>RTT-7786</v>
      </c>
      <c r="H969" s="1" t="s">
        <v>1058</v>
      </c>
      <c r="I969" s="1" t="s">
        <v>1071</v>
      </c>
      <c r="J969" s="1" t="s">
        <v>26</v>
      </c>
      <c r="K969" s="1" t="s">
        <v>1072</v>
      </c>
      <c r="L969" s="1" t="s">
        <v>26</v>
      </c>
      <c r="M969" s="1" t="s">
        <v>27</v>
      </c>
      <c r="N969" s="1" t="s">
        <v>26</v>
      </c>
      <c r="O969" s="1" t="s">
        <v>26</v>
      </c>
      <c r="P969" s="4">
        <v>45341.40895833333</v>
      </c>
    </row>
    <row r="970" hidden="1">
      <c r="A970" s="1" t="s">
        <v>1055</v>
      </c>
      <c r="B970" s="3" t="str">
        <f>HYPERLINK("https://hawk-eye.atlassian.net/browse/HWKREPORT-2549?atlOrigin=eyJpIjoiYzgwYTQ0ZjEyNzQzNGJhN2JmNjEyZTM0NmRhZWZhNjIiLCJwIjoic2hlZXRzLWppcmEifQ","HWKREPORT-2549")</f>
        <v>HWKREPORT-2549</v>
      </c>
      <c r="C970" s="1" t="s">
        <v>2186</v>
      </c>
      <c r="D970" s="1" t="s">
        <v>48</v>
      </c>
      <c r="E970" s="1" t="s">
        <v>35</v>
      </c>
      <c r="F970" s="4">
        <v>45316.74182870371</v>
      </c>
      <c r="G970" s="3" t="str">
        <f>HYPERLINK("https://hawk-eye.atlassian.net/browse/SO-1208?atlOrigin=eyJpIjoiYzgwYTQ0ZjEyNzQzNGJhN2JmNjEyZTM0NmRhZWZhNjIiLCJwIjoic2hlZXRzLWppcmEifQ","SO-1208")</f>
        <v>SO-1208</v>
      </c>
      <c r="H970" s="1" t="s">
        <v>1058</v>
      </c>
      <c r="I970" s="1" t="s">
        <v>1085</v>
      </c>
      <c r="J970" s="1" t="s">
        <v>26</v>
      </c>
      <c r="K970" s="1" t="s">
        <v>1134</v>
      </c>
      <c r="L970" s="1" t="s">
        <v>26</v>
      </c>
      <c r="M970" s="1" t="s">
        <v>27</v>
      </c>
      <c r="N970" s="1" t="s">
        <v>26</v>
      </c>
      <c r="O970" s="1" t="s">
        <v>26</v>
      </c>
      <c r="P970" s="4">
        <v>45335.71099537037</v>
      </c>
    </row>
    <row r="971" hidden="1">
      <c r="A971" s="1" t="s">
        <v>1055</v>
      </c>
      <c r="B971" s="3" t="str">
        <f>HYPERLINK("https://hawk-eye.atlassian.net/browse/HWKREPORT-2550?atlOrigin=eyJpIjoiYzgwYTQ0ZjEyNzQzNGJhN2JmNjEyZTM0NmRhZWZhNjIiLCJwIjoic2hlZXRzLWppcmEifQ","HWKREPORT-2550")</f>
        <v>HWKREPORT-2550</v>
      </c>
      <c r="C971" s="1" t="s">
        <v>2187</v>
      </c>
      <c r="D971" s="1" t="s">
        <v>48</v>
      </c>
      <c r="E971" s="1" t="s">
        <v>1057</v>
      </c>
      <c r="F971" s="4">
        <v>45316.76961805556</v>
      </c>
      <c r="G971" s="3" t="str">
        <f t="shared" ref="G971:G973" si="91">HYPERLINK("https://hawk-eye.atlassian.net/browse/?atlOrigin=eyJpIjoiYzgwYTQ0ZjEyNzQzNGJhN2JmNjEyZTM0NmRhZWZhNjIiLCJwIjoic2hlZXRzLWppcmEifQ","")</f>
        <v/>
      </c>
      <c r="H971" s="1" t="s">
        <v>1058</v>
      </c>
      <c r="I971" s="1" t="s">
        <v>1085</v>
      </c>
      <c r="J971" s="1" t="s">
        <v>26</v>
      </c>
      <c r="K971" s="1" t="s">
        <v>1116</v>
      </c>
      <c r="L971" s="1" t="s">
        <v>26</v>
      </c>
      <c r="M971" s="1" t="s">
        <v>27</v>
      </c>
      <c r="N971" s="1" t="s">
        <v>26</v>
      </c>
      <c r="O971" s="1" t="s">
        <v>26</v>
      </c>
      <c r="P971" s="4">
        <v>45316.76962962963</v>
      </c>
    </row>
    <row r="972" hidden="1">
      <c r="A972" s="1" t="s">
        <v>1055</v>
      </c>
      <c r="B972" s="3" t="str">
        <f>HYPERLINK("https://hawk-eye.atlassian.net/browse/HWKREPORT-2551?atlOrigin=eyJpIjoiYzgwYTQ0ZjEyNzQzNGJhN2JmNjEyZTM0NmRhZWZhNjIiLCJwIjoic2hlZXRzLWppcmEifQ","HWKREPORT-2551")</f>
        <v>HWKREPORT-2551</v>
      </c>
      <c r="C972" s="1" t="s">
        <v>2188</v>
      </c>
      <c r="D972" s="1" t="s">
        <v>48</v>
      </c>
      <c r="E972" s="1" t="s">
        <v>1057</v>
      </c>
      <c r="F972" s="4">
        <v>45316.87447916667</v>
      </c>
      <c r="G972" s="3" t="str">
        <f t="shared" si="91"/>
        <v/>
      </c>
      <c r="H972" s="1" t="s">
        <v>1058</v>
      </c>
      <c r="I972" s="1" t="s">
        <v>1071</v>
      </c>
      <c r="J972" s="1" t="s">
        <v>26</v>
      </c>
      <c r="K972" s="1" t="s">
        <v>1143</v>
      </c>
      <c r="L972" s="1" t="s">
        <v>26</v>
      </c>
      <c r="M972" s="1" t="s">
        <v>27</v>
      </c>
      <c r="N972" s="1" t="s">
        <v>26</v>
      </c>
      <c r="O972" s="1" t="s">
        <v>26</v>
      </c>
      <c r="P972" s="4">
        <v>45316.87447916667</v>
      </c>
    </row>
    <row r="973" hidden="1">
      <c r="A973" s="1" t="s">
        <v>21</v>
      </c>
      <c r="B973" s="3" t="str">
        <f>HYPERLINK("https://hawk-eye.atlassian.net/browse/HWKREPORT-2552?atlOrigin=eyJpIjoiYzgwYTQ0ZjEyNzQzNGJhN2JmNjEyZTM0NmRhZWZhNjIiLCJwIjoic2hlZXRzLWppcmEifQ","HWKREPORT-2552")</f>
        <v>HWKREPORT-2552</v>
      </c>
      <c r="C973" s="1" t="s">
        <v>2189</v>
      </c>
      <c r="D973" s="1" t="s">
        <v>34</v>
      </c>
      <c r="E973" s="1" t="s">
        <v>1057</v>
      </c>
      <c r="F973" s="4">
        <v>45317.45793981481</v>
      </c>
      <c r="G973" s="3" t="str">
        <f t="shared" si="91"/>
        <v/>
      </c>
      <c r="H973" s="1" t="s">
        <v>1058</v>
      </c>
      <c r="I973" s="1" t="s">
        <v>1085</v>
      </c>
      <c r="J973" s="1" t="s">
        <v>26</v>
      </c>
      <c r="K973" s="1" t="s">
        <v>1116</v>
      </c>
      <c r="L973" s="1" t="s">
        <v>26</v>
      </c>
      <c r="M973" s="1" t="s">
        <v>27</v>
      </c>
      <c r="N973" s="1" t="s">
        <v>26</v>
      </c>
      <c r="O973" s="1" t="s">
        <v>26</v>
      </c>
      <c r="P973" s="4">
        <v>45317.45795138889</v>
      </c>
    </row>
    <row r="974" hidden="1">
      <c r="A974" s="1" t="s">
        <v>1055</v>
      </c>
      <c r="B974" s="3" t="str">
        <f>HYPERLINK("https://hawk-eye.atlassian.net/browse/HWKREPORT-2553?atlOrigin=eyJpIjoiYzgwYTQ0ZjEyNzQzNGJhN2JmNjEyZTM0NmRhZWZhNjIiLCJwIjoic2hlZXRzLWppcmEifQ","HWKREPORT-2553")</f>
        <v>HWKREPORT-2553</v>
      </c>
      <c r="C974" s="1" t="s">
        <v>2190</v>
      </c>
      <c r="D974" s="1" t="s">
        <v>48</v>
      </c>
      <c r="E974" s="1" t="s">
        <v>35</v>
      </c>
      <c r="F974" s="4">
        <v>45317.524976851855</v>
      </c>
      <c r="G974" s="3" t="str">
        <f>HYPERLINK("https://hawk-eye.atlassian.net/browse/RTT-7809?atlOrigin=eyJpIjoiYzgwYTQ0ZjEyNzQzNGJhN2JmNjEyZTM0NmRhZWZhNjIiLCJwIjoic2hlZXRzLWppcmEifQ","RTT-7809")</f>
        <v>RTT-7809</v>
      </c>
      <c r="H974" s="1" t="s">
        <v>1058</v>
      </c>
      <c r="I974" s="1" t="s">
        <v>1085</v>
      </c>
      <c r="J974" s="1" t="s">
        <v>26</v>
      </c>
      <c r="K974" s="1" t="s">
        <v>1072</v>
      </c>
      <c r="L974" s="1" t="s">
        <v>26</v>
      </c>
      <c r="M974" s="1" t="s">
        <v>27</v>
      </c>
      <c r="N974" s="1" t="s">
        <v>26</v>
      </c>
      <c r="O974" s="1" t="s">
        <v>26</v>
      </c>
      <c r="P974" s="4">
        <v>45419.4855787037</v>
      </c>
    </row>
    <row r="975" hidden="1">
      <c r="A975" s="1" t="s">
        <v>1055</v>
      </c>
      <c r="B975" s="3" t="str">
        <f>HYPERLINK("https://hawk-eye.atlassian.net/browse/HWKREPORT-2554?atlOrigin=eyJpIjoiYzgwYTQ0ZjEyNzQzNGJhN2JmNjEyZTM0NmRhZWZhNjIiLCJwIjoic2hlZXRzLWppcmEifQ","HWKREPORT-2554")</f>
        <v>HWKREPORT-2554</v>
      </c>
      <c r="C975" s="1" t="s">
        <v>2191</v>
      </c>
      <c r="D975" s="1" t="s">
        <v>48</v>
      </c>
      <c r="E975" s="1" t="s">
        <v>1057</v>
      </c>
      <c r="F975" s="4">
        <v>45317.63077546296</v>
      </c>
      <c r="G975" s="3" t="str">
        <f>HYPERLINK("https://hawk-eye.atlassian.net/issues/?atlOrigin=eyJpIjoiYzgwYTQ0ZjEyNzQzNGJhN2JmNjEyZTM0NmRhZWZhNjIiLCJwIjoic2hlZXRzLWppcmEifQ&amp;jql=key+in+%28TTS-18%2CAL-1160%29","TTS-18;AL-1160")</f>
        <v>TTS-18;AL-1160</v>
      </c>
      <c r="H975" s="1" t="s">
        <v>1058</v>
      </c>
      <c r="I975" s="1" t="s">
        <v>1085</v>
      </c>
      <c r="J975" s="1" t="s">
        <v>26</v>
      </c>
      <c r="K975" s="1" t="s">
        <v>1219</v>
      </c>
      <c r="L975" s="1" t="s">
        <v>26</v>
      </c>
      <c r="M975" s="1" t="s">
        <v>27</v>
      </c>
      <c r="N975" s="1" t="s">
        <v>26</v>
      </c>
      <c r="O975" s="1" t="s">
        <v>26</v>
      </c>
      <c r="P975" s="4">
        <v>45317.63078703704</v>
      </c>
    </row>
    <row r="976" hidden="1">
      <c r="A976" s="1" t="s">
        <v>1055</v>
      </c>
      <c r="B976" s="3" t="str">
        <f>HYPERLINK("https://hawk-eye.atlassian.net/browse/HWKREPORT-2555?atlOrigin=eyJpIjoiYzgwYTQ0ZjEyNzQzNGJhN2JmNjEyZTM0NmRhZWZhNjIiLCJwIjoic2hlZXRzLWppcmEifQ","HWKREPORT-2555")</f>
        <v>HWKREPORT-2555</v>
      </c>
      <c r="C976" s="1" t="s">
        <v>2192</v>
      </c>
      <c r="D976" s="1" t="s">
        <v>48</v>
      </c>
      <c r="E976" s="1" t="s">
        <v>1057</v>
      </c>
      <c r="F976" s="4">
        <v>45317.63549768519</v>
      </c>
      <c r="G976" s="3" t="str">
        <f>HYPERLINK("https://hawk-eye.atlassian.net/browse/TTS-36?atlOrigin=eyJpIjoiYzgwYTQ0ZjEyNzQzNGJhN2JmNjEyZTM0NmRhZWZhNjIiLCJwIjoic2hlZXRzLWppcmEifQ","TTS-36")</f>
        <v>TTS-36</v>
      </c>
      <c r="H976" s="1" t="s">
        <v>1058</v>
      </c>
      <c r="I976" s="1" t="s">
        <v>1085</v>
      </c>
      <c r="J976" s="1" t="s">
        <v>26</v>
      </c>
      <c r="K976" s="1" t="s">
        <v>1219</v>
      </c>
      <c r="L976" s="1" t="s">
        <v>26</v>
      </c>
      <c r="M976" s="1" t="s">
        <v>27</v>
      </c>
      <c r="N976" s="1" t="s">
        <v>26</v>
      </c>
      <c r="O976" s="1" t="s">
        <v>26</v>
      </c>
      <c r="P976" s="4">
        <v>45317.63549768519</v>
      </c>
    </row>
    <row r="977" hidden="1">
      <c r="A977" s="1" t="s">
        <v>1055</v>
      </c>
      <c r="B977" s="3" t="str">
        <f>HYPERLINK("https://hawk-eye.atlassian.net/browse/HWKREPORT-2556?atlOrigin=eyJpIjoiYzgwYTQ0ZjEyNzQzNGJhN2JmNjEyZTM0NmRhZWZhNjIiLCJwIjoic2hlZXRzLWppcmEifQ","HWKREPORT-2556")</f>
        <v>HWKREPORT-2556</v>
      </c>
      <c r="C977" s="1" t="s">
        <v>2193</v>
      </c>
      <c r="D977" s="1" t="s">
        <v>48</v>
      </c>
      <c r="E977" s="1" t="s">
        <v>1057</v>
      </c>
      <c r="F977" s="4">
        <v>45317.63961805555</v>
      </c>
      <c r="G977" s="3" t="str">
        <f>HYPERLINK("https://hawk-eye.atlassian.net/browse/AL-1007?atlOrigin=eyJpIjoiYzgwYTQ0ZjEyNzQzNGJhN2JmNjEyZTM0NmRhZWZhNjIiLCJwIjoic2hlZXRzLWppcmEifQ","AL-1007")</f>
        <v>AL-1007</v>
      </c>
      <c r="H977" s="1" t="s">
        <v>1058</v>
      </c>
      <c r="I977" s="1" t="s">
        <v>1085</v>
      </c>
      <c r="J977" s="1" t="s">
        <v>26</v>
      </c>
      <c r="K977" s="1" t="s">
        <v>1219</v>
      </c>
      <c r="L977" s="1" t="s">
        <v>26</v>
      </c>
      <c r="M977" s="1" t="s">
        <v>27</v>
      </c>
      <c r="N977" s="1" t="s">
        <v>26</v>
      </c>
      <c r="O977" s="1" t="s">
        <v>26</v>
      </c>
      <c r="P977" s="4">
        <v>45317.63962962963</v>
      </c>
    </row>
    <row r="978" hidden="1">
      <c r="A978" s="1" t="s">
        <v>21</v>
      </c>
      <c r="B978" s="3" t="str">
        <f>HYPERLINK("https://hawk-eye.atlassian.net/browse/HWKREPORT-2557?atlOrigin=eyJpIjoiYzgwYTQ0ZjEyNzQzNGJhN2JmNjEyZTM0NmRhZWZhNjIiLCJwIjoic2hlZXRzLWppcmEifQ","HWKREPORT-2557")</f>
        <v>HWKREPORT-2557</v>
      </c>
      <c r="C978" s="1" t="s">
        <v>2194</v>
      </c>
      <c r="D978" s="1" t="s">
        <v>40</v>
      </c>
      <c r="E978" s="1" t="s">
        <v>1057</v>
      </c>
      <c r="F978" s="4">
        <v>45317.75386574074</v>
      </c>
      <c r="G978" s="3" t="str">
        <f>HYPERLINK("https://hawk-eye.atlassian.net/browse/RTT-7861?atlOrigin=eyJpIjoiYzgwYTQ0ZjEyNzQzNGJhN2JmNjEyZTM0NmRhZWZhNjIiLCJwIjoic2hlZXRzLWppcmEifQ","RTT-7861")</f>
        <v>RTT-7861</v>
      </c>
      <c r="H978" s="1" t="s">
        <v>1058</v>
      </c>
      <c r="I978" s="1" t="s">
        <v>1082</v>
      </c>
      <c r="J978" s="1" t="s">
        <v>26</v>
      </c>
      <c r="K978" s="1" t="s">
        <v>1173</v>
      </c>
      <c r="L978" s="1" t="s">
        <v>26</v>
      </c>
      <c r="M978" s="1" t="s">
        <v>27</v>
      </c>
      <c r="N978" s="1" t="s">
        <v>26</v>
      </c>
      <c r="O978" s="1" t="s">
        <v>26</v>
      </c>
      <c r="P978" s="4">
        <v>45317.75387731481</v>
      </c>
    </row>
    <row r="979" hidden="1">
      <c r="A979" s="1" t="s">
        <v>21</v>
      </c>
      <c r="B979" s="3" t="str">
        <f>HYPERLINK("https://hawk-eye.atlassian.net/browse/HWKREPORT-2558?atlOrigin=eyJpIjoiYzgwYTQ0ZjEyNzQzNGJhN2JmNjEyZTM0NmRhZWZhNjIiLCJwIjoic2hlZXRzLWppcmEifQ","HWKREPORT-2558")</f>
        <v>HWKREPORT-2558</v>
      </c>
      <c r="C979" s="1" t="s">
        <v>2195</v>
      </c>
      <c r="D979" s="1" t="s">
        <v>40</v>
      </c>
      <c r="E979" s="1" t="s">
        <v>35</v>
      </c>
      <c r="F979" s="4">
        <v>45320.7428125</v>
      </c>
      <c r="G979" s="3" t="str">
        <f>HYPERLINK("https://hawk-eye.atlassian.net/browse/RTT-7818?atlOrigin=eyJpIjoiYzgwYTQ0ZjEyNzQzNGJhN2JmNjEyZTM0NmRhZWZhNjIiLCJwIjoic2hlZXRzLWppcmEifQ","RTT-7818")</f>
        <v>RTT-7818</v>
      </c>
      <c r="H979" s="1" t="s">
        <v>1058</v>
      </c>
      <c r="I979" s="1" t="s">
        <v>1071</v>
      </c>
      <c r="J979" s="1" t="s">
        <v>26</v>
      </c>
      <c r="K979" s="1" t="s">
        <v>1072</v>
      </c>
      <c r="L979" s="1" t="s">
        <v>26</v>
      </c>
      <c r="M979" s="1" t="s">
        <v>27</v>
      </c>
      <c r="N979" s="1" t="s">
        <v>26</v>
      </c>
      <c r="O979" s="1" t="s">
        <v>26</v>
      </c>
      <c r="P979" s="4">
        <v>45322.70731481481</v>
      </c>
    </row>
    <row r="980" hidden="1">
      <c r="A980" s="1" t="s">
        <v>21</v>
      </c>
      <c r="B980" s="3" t="str">
        <f>HYPERLINK("https://hawk-eye.atlassian.net/browse/HWKREPORT-2559?atlOrigin=eyJpIjoiYzgwYTQ0ZjEyNzQzNGJhN2JmNjEyZTM0NmRhZWZhNjIiLCJwIjoic2hlZXRzLWppcmEifQ","HWKREPORT-2559")</f>
        <v>HWKREPORT-2559</v>
      </c>
      <c r="C980" s="1" t="s">
        <v>2196</v>
      </c>
      <c r="D980" s="1" t="s">
        <v>23</v>
      </c>
      <c r="E980" s="1" t="s">
        <v>1207</v>
      </c>
      <c r="F980" s="4">
        <v>45320.75283564815</v>
      </c>
      <c r="G980" s="3" t="str">
        <f>HYPERLINK("https://hawk-eye.atlassian.net/browse/RTT-7831?atlOrigin=eyJpIjoiYzgwYTQ0ZjEyNzQzNGJhN2JmNjEyZTM0NmRhZWZhNjIiLCJwIjoic2hlZXRzLWppcmEifQ","RTT-7831")</f>
        <v>RTT-7831</v>
      </c>
      <c r="H980" s="1" t="s">
        <v>1058</v>
      </c>
      <c r="I980" s="1" t="s">
        <v>1071</v>
      </c>
      <c r="J980" s="1" t="s">
        <v>26</v>
      </c>
      <c r="K980" s="1" t="s">
        <v>2197</v>
      </c>
      <c r="L980" s="1" t="s">
        <v>26</v>
      </c>
      <c r="M980" s="1" t="s">
        <v>27</v>
      </c>
      <c r="N980" s="1" t="s">
        <v>26</v>
      </c>
      <c r="O980" s="1" t="s">
        <v>26</v>
      </c>
      <c r="P980" s="4">
        <v>45336.40525462963</v>
      </c>
    </row>
    <row r="981" hidden="1">
      <c r="A981" s="1" t="s">
        <v>21</v>
      </c>
      <c r="B981" s="3" t="str">
        <f>HYPERLINK("https://hawk-eye.atlassian.net/browse/HWKREPORT-2560?atlOrigin=eyJpIjoiYzgwYTQ0ZjEyNzQzNGJhN2JmNjEyZTM0NmRhZWZhNjIiLCJwIjoic2hlZXRzLWppcmEifQ","HWKREPORT-2560")</f>
        <v>HWKREPORT-2560</v>
      </c>
      <c r="C981" s="1" t="s">
        <v>2198</v>
      </c>
      <c r="D981" s="1" t="s">
        <v>83</v>
      </c>
      <c r="E981" s="1" t="s">
        <v>1207</v>
      </c>
      <c r="F981" s="4">
        <v>45320.776504629626</v>
      </c>
      <c r="G981" s="3" t="str">
        <f>HYPERLINK("https://hawk-eye.atlassian.net/browse/RTT-7821?atlOrigin=eyJpIjoiYzgwYTQ0ZjEyNzQzNGJhN2JmNjEyZTM0NmRhZWZhNjIiLCJwIjoic2hlZXRzLWppcmEifQ","RTT-7821")</f>
        <v>RTT-7821</v>
      </c>
      <c r="H981" s="1" t="s">
        <v>1058</v>
      </c>
      <c r="I981" s="1" t="s">
        <v>1071</v>
      </c>
      <c r="J981" s="1" t="s">
        <v>26</v>
      </c>
      <c r="K981" s="1" t="s">
        <v>1072</v>
      </c>
      <c r="L981" s="1" t="s">
        <v>26</v>
      </c>
      <c r="M981" s="1" t="s">
        <v>27</v>
      </c>
      <c r="N981" s="1" t="s">
        <v>26</v>
      </c>
      <c r="O981" s="1" t="s">
        <v>26</v>
      </c>
      <c r="P981" s="4">
        <v>45330.75278935185</v>
      </c>
    </row>
    <row r="982" hidden="1">
      <c r="A982" s="1" t="s">
        <v>21</v>
      </c>
      <c r="B982" s="3" t="str">
        <f>HYPERLINK("https://hawk-eye.atlassian.net/browse/HWKREPORT-2561?atlOrigin=eyJpIjoiYzgwYTQ0ZjEyNzQzNGJhN2JmNjEyZTM0NmRhZWZhNjIiLCJwIjoic2hlZXRzLWppcmEifQ","HWKREPORT-2561")</f>
        <v>HWKREPORT-2561</v>
      </c>
      <c r="C982" s="1" t="s">
        <v>2199</v>
      </c>
      <c r="D982" s="1" t="s">
        <v>34</v>
      </c>
      <c r="E982" s="1" t="s">
        <v>35</v>
      </c>
      <c r="F982" s="4">
        <v>45320.786574074074</v>
      </c>
      <c r="G982" s="3" t="str">
        <f>HYPERLINK("https://hawk-eye.atlassian.net/browse/RTT-7820?atlOrigin=eyJpIjoiYzgwYTQ0ZjEyNzQzNGJhN2JmNjEyZTM0NmRhZWZhNjIiLCJwIjoic2hlZXRzLWppcmEifQ","RTT-7820")</f>
        <v>RTT-7820</v>
      </c>
      <c r="H982" s="1" t="s">
        <v>1058</v>
      </c>
      <c r="I982" s="1" t="s">
        <v>1071</v>
      </c>
      <c r="J982" s="1" t="s">
        <v>26</v>
      </c>
      <c r="K982" s="1" t="s">
        <v>1312</v>
      </c>
      <c r="L982" s="1" t="s">
        <v>26</v>
      </c>
      <c r="M982" s="1" t="s">
        <v>27</v>
      </c>
      <c r="N982" s="1" t="s">
        <v>26</v>
      </c>
      <c r="O982" s="1" t="s">
        <v>26</v>
      </c>
      <c r="P982" s="4">
        <v>45321.64094907408</v>
      </c>
    </row>
    <row r="983" hidden="1">
      <c r="A983" s="1" t="s">
        <v>21</v>
      </c>
      <c r="B983" s="3" t="str">
        <f>HYPERLINK("https://hawk-eye.atlassian.net/browse/HWKREPORT-2562?atlOrigin=eyJpIjoiYzgwYTQ0ZjEyNzQzNGJhN2JmNjEyZTM0NmRhZWZhNjIiLCJwIjoic2hlZXRzLWppcmEifQ","HWKREPORT-2562")</f>
        <v>HWKREPORT-2562</v>
      </c>
      <c r="C983" s="1" t="s">
        <v>2200</v>
      </c>
      <c r="D983" s="1" t="s">
        <v>83</v>
      </c>
      <c r="E983" s="1" t="s">
        <v>1207</v>
      </c>
      <c r="F983" s="4">
        <v>45320.78886574074</v>
      </c>
      <c r="G983" s="3" t="str">
        <f>HYPERLINK("https://hawk-eye.atlassian.net/browse/RTT-7819?atlOrigin=eyJpIjoiYzgwYTQ0ZjEyNzQzNGJhN2JmNjEyZTM0NmRhZWZhNjIiLCJwIjoic2hlZXRzLWppcmEifQ","RTT-7819")</f>
        <v>RTT-7819</v>
      </c>
      <c r="H983" s="1" t="s">
        <v>1058</v>
      </c>
      <c r="I983" s="1" t="s">
        <v>1071</v>
      </c>
      <c r="J983" s="1" t="s">
        <v>26</v>
      </c>
      <c r="K983" s="1" t="s">
        <v>1072</v>
      </c>
      <c r="L983" s="1" t="s">
        <v>26</v>
      </c>
      <c r="M983" s="1" t="s">
        <v>27</v>
      </c>
      <c r="N983" s="1" t="s">
        <v>26</v>
      </c>
      <c r="O983" s="1" t="s">
        <v>26</v>
      </c>
      <c r="P983" s="4">
        <v>45330.752754629626</v>
      </c>
    </row>
    <row r="984" hidden="1">
      <c r="A984" s="1" t="s">
        <v>21</v>
      </c>
      <c r="B984" s="3" t="str">
        <f>HYPERLINK("https://hawk-eye.atlassian.net/browse/HWKREPORT-2563?atlOrigin=eyJpIjoiYzgwYTQ0ZjEyNzQzNGJhN2JmNjEyZTM0NmRhZWZhNjIiLCJwIjoic2hlZXRzLWppcmEifQ","HWKREPORT-2563")</f>
        <v>HWKREPORT-2563</v>
      </c>
      <c r="C984" s="1" t="s">
        <v>2201</v>
      </c>
      <c r="D984" s="1" t="s">
        <v>34</v>
      </c>
      <c r="E984" s="1" t="s">
        <v>35</v>
      </c>
      <c r="F984" s="4">
        <v>45321.672164351854</v>
      </c>
      <c r="G984" s="3" t="str">
        <f>HYPERLINK("https://hawk-eye.atlassian.net/browse/RTT-7836?atlOrigin=eyJpIjoiYzgwYTQ0ZjEyNzQzNGJhN2JmNjEyZTM0NmRhZWZhNjIiLCJwIjoic2hlZXRzLWppcmEifQ","RTT-7836")</f>
        <v>RTT-7836</v>
      </c>
      <c r="H984" s="1" t="s">
        <v>1058</v>
      </c>
      <c r="I984" s="1" t="s">
        <v>1071</v>
      </c>
      <c r="J984" s="1" t="s">
        <v>26</v>
      </c>
      <c r="K984" s="1" t="s">
        <v>1099</v>
      </c>
      <c r="L984" s="1" t="s">
        <v>26</v>
      </c>
      <c r="M984" s="1" t="s">
        <v>27</v>
      </c>
      <c r="N984" s="1" t="s">
        <v>26</v>
      </c>
      <c r="O984" s="1" t="s">
        <v>26</v>
      </c>
      <c r="P984" s="4">
        <v>45323.42591435185</v>
      </c>
    </row>
    <row r="985" hidden="1">
      <c r="A985" s="1" t="s">
        <v>21</v>
      </c>
      <c r="B985" s="3" t="str">
        <f>HYPERLINK("https://hawk-eye.atlassian.net/browse/HWKREPORT-2564?atlOrigin=eyJpIjoiYzgwYTQ0ZjEyNzQzNGJhN2JmNjEyZTM0NmRhZWZhNjIiLCJwIjoic2hlZXRzLWppcmEifQ","HWKREPORT-2564")</f>
        <v>HWKREPORT-2564</v>
      </c>
      <c r="C985" s="1" t="s">
        <v>2202</v>
      </c>
      <c r="D985" s="1" t="s">
        <v>40</v>
      </c>
      <c r="E985" s="1" t="s">
        <v>1057</v>
      </c>
      <c r="F985" s="4">
        <v>45321.74009259259</v>
      </c>
      <c r="G985" s="3" t="str">
        <f>HYPERLINK("https://hawk-eye.atlassian.net/browse/?atlOrigin=eyJpIjoiYzgwYTQ0ZjEyNzQzNGJhN2JmNjEyZTM0NmRhZWZhNjIiLCJwIjoic2hlZXRzLWppcmEifQ","")</f>
        <v/>
      </c>
      <c r="H985" s="1" t="s">
        <v>1058</v>
      </c>
      <c r="I985" s="1" t="s">
        <v>1071</v>
      </c>
      <c r="J985" s="1" t="s">
        <v>26</v>
      </c>
      <c r="K985" s="1" t="s">
        <v>1276</v>
      </c>
      <c r="L985" s="1" t="s">
        <v>26</v>
      </c>
      <c r="M985" s="1" t="s">
        <v>27</v>
      </c>
      <c r="N985" s="1" t="s">
        <v>26</v>
      </c>
      <c r="O985" s="1" t="s">
        <v>26</v>
      </c>
      <c r="P985" s="4">
        <v>45321.74009259259</v>
      </c>
    </row>
    <row r="986" hidden="1">
      <c r="A986" s="1" t="s">
        <v>21</v>
      </c>
      <c r="B986" s="3" t="str">
        <f>HYPERLINK("https://hawk-eye.atlassian.net/browse/HWKREPORT-2565?atlOrigin=eyJpIjoiYzgwYTQ0ZjEyNzQzNGJhN2JmNjEyZTM0NmRhZWZhNjIiLCJwIjoic2hlZXRzLWppcmEifQ","HWKREPORT-2565")</f>
        <v>HWKREPORT-2565</v>
      </c>
      <c r="C986" s="1" t="s">
        <v>2203</v>
      </c>
      <c r="D986" s="1" t="s">
        <v>40</v>
      </c>
      <c r="E986" s="1" t="s">
        <v>35</v>
      </c>
      <c r="F986" s="4">
        <v>45321.74391203704</v>
      </c>
      <c r="G986" s="3" t="str">
        <f>HYPERLINK("https://hawk-eye.atlassian.net/browse/RTT-7839?atlOrigin=eyJpIjoiYzgwYTQ0ZjEyNzQzNGJhN2JmNjEyZTM0NmRhZWZhNjIiLCJwIjoic2hlZXRzLWppcmEifQ","RTT-7839")</f>
        <v>RTT-7839</v>
      </c>
      <c r="H986" s="1" t="s">
        <v>1058</v>
      </c>
      <c r="I986" s="1" t="s">
        <v>1071</v>
      </c>
      <c r="J986" s="1" t="s">
        <v>26</v>
      </c>
      <c r="K986" s="1" t="s">
        <v>1072</v>
      </c>
      <c r="L986" s="1" t="s">
        <v>26</v>
      </c>
      <c r="M986" s="1" t="s">
        <v>27</v>
      </c>
      <c r="N986" s="1" t="s">
        <v>26</v>
      </c>
      <c r="O986" s="1" t="s">
        <v>26</v>
      </c>
      <c r="P986" s="4">
        <v>45709.65200231481</v>
      </c>
    </row>
    <row r="987">
      <c r="A987" s="1" t="s">
        <v>21</v>
      </c>
      <c r="B987" s="3" t="str">
        <f>HYPERLINK("https://hawk-eye.atlassian.net/browse/HWKREPORT-2566?atlOrigin=eyJpIjoiYzgwYTQ0ZjEyNzQzNGJhN2JmNjEyZTM0NmRhZWZhNjIiLCJwIjoic2hlZXRzLWppcmEifQ","HWKREPORT-2566")</f>
        <v>HWKREPORT-2566</v>
      </c>
      <c r="C987" s="1" t="s">
        <v>2204</v>
      </c>
      <c r="D987" s="1" t="s">
        <v>23</v>
      </c>
      <c r="E987" s="1" t="s">
        <v>35</v>
      </c>
      <c r="F987" s="4">
        <v>45321.81826388889</v>
      </c>
      <c r="G987" s="3" t="str">
        <f>HYPERLINK("https://hawk-eye.atlassian.net/browse/RTT-7838?atlOrigin=eyJpIjoiYzgwYTQ0ZjEyNzQzNGJhN2JmNjEyZTM0NmRhZWZhNjIiLCJwIjoic2hlZXRzLWppcmEifQ","RTT-7838")</f>
        <v>RTT-7838</v>
      </c>
      <c r="H987" s="1" t="s">
        <v>1058</v>
      </c>
      <c r="I987" s="1" t="s">
        <v>28</v>
      </c>
      <c r="J987" s="1" t="s">
        <v>26</v>
      </c>
      <c r="K987" s="1" t="s">
        <v>1072</v>
      </c>
      <c r="L987" s="1" t="s">
        <v>26</v>
      </c>
      <c r="M987" s="1" t="s">
        <v>27</v>
      </c>
      <c r="N987" s="1" t="s">
        <v>26</v>
      </c>
      <c r="O987" s="1" t="s">
        <v>26</v>
      </c>
      <c r="P987" s="4">
        <v>45524.72834490741</v>
      </c>
    </row>
    <row r="988" hidden="1">
      <c r="A988" s="1" t="s">
        <v>1055</v>
      </c>
      <c r="B988" s="3" t="str">
        <f>HYPERLINK("https://hawk-eye.atlassian.net/browse/HWKREPORT-2567?atlOrigin=eyJpIjoiYzgwYTQ0ZjEyNzQzNGJhN2JmNjEyZTM0NmRhZWZhNjIiLCJwIjoic2hlZXRzLWppcmEifQ","HWKREPORT-2567")</f>
        <v>HWKREPORT-2567</v>
      </c>
      <c r="C988" s="1" t="s">
        <v>2205</v>
      </c>
      <c r="D988" s="1" t="s">
        <v>48</v>
      </c>
      <c r="E988" s="1" t="s">
        <v>1057</v>
      </c>
      <c r="F988" s="4">
        <v>45322.42328703704</v>
      </c>
      <c r="G988" s="3" t="str">
        <f>HYPERLINK("https://hawk-eye.atlassian.net/browse/RTT-7857?atlOrigin=eyJpIjoiYzgwYTQ0ZjEyNzQzNGJhN2JmNjEyZTM0NmRhZWZhNjIiLCJwIjoic2hlZXRzLWppcmEifQ","RTT-7857")</f>
        <v>RTT-7857</v>
      </c>
      <c r="H988" s="1" t="s">
        <v>1058</v>
      </c>
      <c r="I988" s="1" t="s">
        <v>1085</v>
      </c>
      <c r="J988" s="1" t="s">
        <v>26</v>
      </c>
      <c r="K988" s="1" t="s">
        <v>1072</v>
      </c>
      <c r="L988" s="1" t="s">
        <v>26</v>
      </c>
      <c r="M988" s="1" t="s">
        <v>27</v>
      </c>
      <c r="N988" s="1" t="s">
        <v>26</v>
      </c>
      <c r="O988" s="1" t="s">
        <v>26</v>
      </c>
      <c r="P988" s="4">
        <v>45322.42329861111</v>
      </c>
    </row>
    <row r="989" hidden="1">
      <c r="A989" s="1" t="s">
        <v>1055</v>
      </c>
      <c r="B989" s="3" t="str">
        <f>HYPERLINK("https://hawk-eye.atlassian.net/browse/HWKREPORT-2568?atlOrigin=eyJpIjoiYzgwYTQ0ZjEyNzQzNGJhN2JmNjEyZTM0NmRhZWZhNjIiLCJwIjoic2hlZXRzLWppcmEifQ","HWKREPORT-2568")</f>
        <v>HWKREPORT-2568</v>
      </c>
      <c r="C989" s="1" t="s">
        <v>2206</v>
      </c>
      <c r="D989" s="1" t="s">
        <v>48</v>
      </c>
      <c r="E989" s="1" t="s">
        <v>35</v>
      </c>
      <c r="F989" s="4">
        <v>45322.55836805556</v>
      </c>
      <c r="G989" s="3" t="str">
        <f>HYPERLINK("https://hawk-eye.atlassian.net/browse/RTT-7856?atlOrigin=eyJpIjoiYzgwYTQ0ZjEyNzQzNGJhN2JmNjEyZTM0NmRhZWZhNjIiLCJwIjoic2hlZXRzLWppcmEifQ","RTT-7856")</f>
        <v>RTT-7856</v>
      </c>
      <c r="H989" s="1" t="s">
        <v>1058</v>
      </c>
      <c r="I989" s="1" t="s">
        <v>1085</v>
      </c>
      <c r="J989" s="1" t="s">
        <v>26</v>
      </c>
      <c r="K989" s="1" t="s">
        <v>1072</v>
      </c>
      <c r="L989" s="1" t="s">
        <v>26</v>
      </c>
      <c r="M989" s="1" t="s">
        <v>27</v>
      </c>
      <c r="N989" s="1" t="s">
        <v>26</v>
      </c>
      <c r="O989" s="1" t="s">
        <v>26</v>
      </c>
      <c r="P989" s="4">
        <v>45412.454872685186</v>
      </c>
    </row>
    <row r="990" hidden="1">
      <c r="A990" s="1" t="s">
        <v>1055</v>
      </c>
      <c r="B990" s="3" t="str">
        <f>HYPERLINK("https://hawk-eye.atlassian.net/browse/HWKREPORT-2569?atlOrigin=eyJpIjoiYzgwYTQ0ZjEyNzQzNGJhN2JmNjEyZTM0NmRhZWZhNjIiLCJwIjoic2hlZXRzLWppcmEifQ","HWKREPORT-2569")</f>
        <v>HWKREPORT-2569</v>
      </c>
      <c r="C990" s="1" t="s">
        <v>2207</v>
      </c>
      <c r="D990" s="1" t="s">
        <v>48</v>
      </c>
      <c r="E990" s="1" t="s">
        <v>35</v>
      </c>
      <c r="F990" s="4">
        <v>45322.693703703706</v>
      </c>
      <c r="G990" s="3" t="str">
        <f>HYPERLINK("https://hawk-eye.atlassian.net/browse/RTT-7873?atlOrigin=eyJpIjoiYzgwYTQ0ZjEyNzQzNGJhN2JmNjEyZTM0NmRhZWZhNjIiLCJwIjoic2hlZXRzLWppcmEifQ","RTT-7873")</f>
        <v>RTT-7873</v>
      </c>
      <c r="H990" s="1" t="s">
        <v>1058</v>
      </c>
      <c r="I990" s="1" t="s">
        <v>1085</v>
      </c>
      <c r="J990" s="1" t="s">
        <v>26</v>
      </c>
      <c r="K990" s="1" t="s">
        <v>1072</v>
      </c>
      <c r="L990" s="1" t="s">
        <v>26</v>
      </c>
      <c r="M990" s="1" t="s">
        <v>27</v>
      </c>
      <c r="N990" s="1" t="s">
        <v>26</v>
      </c>
      <c r="O990" s="1" t="s">
        <v>26</v>
      </c>
      <c r="P990" s="4">
        <v>45573.45116898148</v>
      </c>
    </row>
    <row r="991" hidden="1">
      <c r="A991" s="1" t="s">
        <v>21</v>
      </c>
      <c r="B991" s="3" t="str">
        <f>HYPERLINK("https://hawk-eye.atlassian.net/browse/HWKREPORT-2570?atlOrigin=eyJpIjoiYzgwYTQ0ZjEyNzQzNGJhN2JmNjEyZTM0NmRhZWZhNjIiLCJwIjoic2hlZXRzLWppcmEifQ","HWKREPORT-2570")</f>
        <v>HWKREPORT-2570</v>
      </c>
      <c r="C991" s="1" t="s">
        <v>2208</v>
      </c>
      <c r="D991" s="1" t="s">
        <v>34</v>
      </c>
      <c r="E991" s="1" t="s">
        <v>35</v>
      </c>
      <c r="F991" s="4">
        <v>45323.5655787037</v>
      </c>
      <c r="G991" s="3" t="str">
        <f>HYPERLINK("https://hawk-eye.atlassian.net/browse/?atlOrigin=eyJpIjoiYzgwYTQ0ZjEyNzQzNGJhN2JmNjEyZTM0NmRhZWZhNjIiLCJwIjoic2hlZXRzLWppcmEifQ","")</f>
        <v/>
      </c>
      <c r="H991" s="1" t="s">
        <v>1058</v>
      </c>
      <c r="I991" s="1" t="s">
        <v>1126</v>
      </c>
      <c r="J991" s="1" t="s">
        <v>26</v>
      </c>
      <c r="K991" s="1" t="s">
        <v>1114</v>
      </c>
      <c r="L991" s="1" t="s">
        <v>26</v>
      </c>
      <c r="M991" s="1" t="s">
        <v>27</v>
      </c>
      <c r="N991" s="1" t="s">
        <v>26</v>
      </c>
      <c r="O991" s="1" t="s">
        <v>26</v>
      </c>
      <c r="P991" s="4">
        <v>45547.67328703704</v>
      </c>
    </row>
    <row r="992" hidden="1">
      <c r="A992" s="1" t="s">
        <v>21</v>
      </c>
      <c r="B992" s="3" t="str">
        <f>HYPERLINK("https://hawk-eye.atlassian.net/browse/HWKREPORT-2571?atlOrigin=eyJpIjoiYzgwYTQ0ZjEyNzQzNGJhN2JmNjEyZTM0NmRhZWZhNjIiLCJwIjoic2hlZXRzLWppcmEifQ","HWKREPORT-2571")</f>
        <v>HWKREPORT-2571</v>
      </c>
      <c r="C992" s="1" t="s">
        <v>2209</v>
      </c>
      <c r="D992" s="1" t="s">
        <v>48</v>
      </c>
      <c r="E992" s="1" t="s">
        <v>1057</v>
      </c>
      <c r="F992" s="4">
        <v>45323.569606481484</v>
      </c>
      <c r="G992" s="3" t="str">
        <f>HYPERLINK("https://hawk-eye.atlassian.net/browse/GT-1734?atlOrigin=eyJpIjoiYzgwYTQ0ZjEyNzQzNGJhN2JmNjEyZTM0NmRhZWZhNjIiLCJwIjoic2hlZXRzLWppcmEifQ","GT-1734")</f>
        <v>GT-1734</v>
      </c>
      <c r="H992" s="1" t="s">
        <v>1058</v>
      </c>
      <c r="I992" s="1" t="s">
        <v>1126</v>
      </c>
      <c r="J992" s="1" t="s">
        <v>26</v>
      </c>
      <c r="K992" s="1" t="s">
        <v>1114</v>
      </c>
      <c r="L992" s="1" t="s">
        <v>26</v>
      </c>
      <c r="M992" s="1" t="s">
        <v>27</v>
      </c>
      <c r="N992" s="1" t="s">
        <v>26</v>
      </c>
      <c r="O992" s="1" t="s">
        <v>26</v>
      </c>
      <c r="P992" s="4">
        <v>45323.569606481484</v>
      </c>
    </row>
    <row r="993" hidden="1">
      <c r="A993" s="1" t="s">
        <v>1055</v>
      </c>
      <c r="B993" s="3" t="str">
        <f>HYPERLINK("https://hawk-eye.atlassian.net/browse/HWKREPORT-2572?atlOrigin=eyJpIjoiYzgwYTQ0ZjEyNzQzNGJhN2JmNjEyZTM0NmRhZWZhNjIiLCJwIjoic2hlZXRzLWppcmEifQ","HWKREPORT-2572")</f>
        <v>HWKREPORT-2572</v>
      </c>
      <c r="C993" s="1" t="s">
        <v>2210</v>
      </c>
      <c r="D993" s="1" t="s">
        <v>48</v>
      </c>
      <c r="E993" s="1" t="s">
        <v>35</v>
      </c>
      <c r="F993" s="4">
        <v>45324.68916666666</v>
      </c>
      <c r="G993" s="3" t="str">
        <f>HYPERLINK("https://hawk-eye.atlassian.net/browse/SO-1234?atlOrigin=eyJpIjoiYzgwYTQ0ZjEyNzQzNGJhN2JmNjEyZTM0NmRhZWZhNjIiLCJwIjoic2hlZXRzLWppcmEifQ","SO-1234")</f>
        <v>SO-1234</v>
      </c>
      <c r="H993" s="1" t="s">
        <v>1058</v>
      </c>
      <c r="I993" s="1" t="s">
        <v>1085</v>
      </c>
      <c r="J993" s="1" t="s">
        <v>26</v>
      </c>
      <c r="K993" s="1" t="s">
        <v>1116</v>
      </c>
      <c r="L993" s="1" t="s">
        <v>26</v>
      </c>
      <c r="M993" s="1" t="s">
        <v>27</v>
      </c>
      <c r="N993" s="1" t="s">
        <v>26</v>
      </c>
      <c r="O993" s="1" t="s">
        <v>26</v>
      </c>
      <c r="P993" s="4">
        <v>45379.41721064815</v>
      </c>
    </row>
    <row r="994" hidden="1">
      <c r="A994" s="1" t="s">
        <v>1055</v>
      </c>
      <c r="B994" s="3" t="str">
        <f>HYPERLINK("https://hawk-eye.atlassian.net/browse/HWKREPORT-2573?atlOrigin=eyJpIjoiYzgwYTQ0ZjEyNzQzNGJhN2JmNjEyZTM0NmRhZWZhNjIiLCJwIjoic2hlZXRzLWppcmEifQ","HWKREPORT-2573")</f>
        <v>HWKREPORT-2573</v>
      </c>
      <c r="C994" s="1" t="s">
        <v>2211</v>
      </c>
      <c r="D994" s="1" t="s">
        <v>48</v>
      </c>
      <c r="E994" s="1" t="s">
        <v>1057</v>
      </c>
      <c r="F994" s="4">
        <v>45324.72791666666</v>
      </c>
      <c r="G994" s="3" t="str">
        <f>HYPERLINK("https://hawk-eye.atlassian.net/browse/?atlOrigin=eyJpIjoiYzgwYTQ0ZjEyNzQzNGJhN2JmNjEyZTM0NmRhZWZhNjIiLCJwIjoic2hlZXRzLWppcmEifQ","")</f>
        <v/>
      </c>
      <c r="H994" s="1" t="s">
        <v>1058</v>
      </c>
      <c r="I994" s="1" t="s">
        <v>1126</v>
      </c>
      <c r="J994" s="1" t="s">
        <v>26</v>
      </c>
      <c r="K994" s="1" t="s">
        <v>1312</v>
      </c>
      <c r="L994" s="1" t="s">
        <v>26</v>
      </c>
      <c r="M994" s="1" t="s">
        <v>27</v>
      </c>
      <c r="N994" s="1" t="s">
        <v>26</v>
      </c>
      <c r="O994" s="1" t="s">
        <v>26</v>
      </c>
      <c r="P994" s="4">
        <v>45324.72792824074</v>
      </c>
    </row>
    <row r="995" hidden="1">
      <c r="A995" s="1" t="s">
        <v>21</v>
      </c>
      <c r="B995" s="3" t="str">
        <f>HYPERLINK("https://hawk-eye.atlassian.net/browse/HWKREPORT-2574?atlOrigin=eyJpIjoiYzgwYTQ0ZjEyNzQzNGJhN2JmNjEyZTM0NmRhZWZhNjIiLCJwIjoic2hlZXRzLWppcmEifQ","HWKREPORT-2574")</f>
        <v>HWKREPORT-2574</v>
      </c>
      <c r="C995" s="1" t="s">
        <v>2212</v>
      </c>
      <c r="D995" s="1" t="s">
        <v>40</v>
      </c>
      <c r="E995" s="1" t="s">
        <v>35</v>
      </c>
      <c r="F995" s="4">
        <v>45327.01292824074</v>
      </c>
      <c r="G995" s="3" t="str">
        <f>HYPERLINK("https://hawk-eye.atlassian.net/browse/CTF-249?atlOrigin=eyJpIjoiYzgwYTQ0ZjEyNzQzNGJhN2JmNjEyZTM0NmRhZWZhNjIiLCJwIjoic2hlZXRzLWppcmEifQ","CTF-249")</f>
        <v>CTF-249</v>
      </c>
      <c r="H995" s="1" t="s">
        <v>1058</v>
      </c>
      <c r="I995" s="1" t="s">
        <v>1071</v>
      </c>
      <c r="J995" s="1" t="s">
        <v>26</v>
      </c>
      <c r="K995" s="1" t="s">
        <v>1093</v>
      </c>
      <c r="L995" s="1" t="s">
        <v>26</v>
      </c>
      <c r="M995" s="1" t="s">
        <v>27</v>
      </c>
      <c r="N995" s="1" t="s">
        <v>26</v>
      </c>
      <c r="O995" s="1" t="s">
        <v>26</v>
      </c>
      <c r="P995" s="4">
        <v>45384.628217592595</v>
      </c>
    </row>
    <row r="996" hidden="1">
      <c r="A996" s="1" t="s">
        <v>21</v>
      </c>
      <c r="B996" s="3" t="str">
        <f>HYPERLINK("https://hawk-eye.atlassian.net/browse/HWKREPORT-2575?atlOrigin=eyJpIjoiYzgwYTQ0ZjEyNzQzNGJhN2JmNjEyZTM0NmRhZWZhNjIiLCJwIjoic2hlZXRzLWppcmEifQ","HWKREPORT-2575")</f>
        <v>HWKREPORT-2575</v>
      </c>
      <c r="C996" s="1" t="s">
        <v>2213</v>
      </c>
      <c r="D996" s="1" t="s">
        <v>40</v>
      </c>
      <c r="E996" s="1" t="s">
        <v>35</v>
      </c>
      <c r="F996" s="4">
        <v>45327.01449074074</v>
      </c>
      <c r="G996" s="3" t="str">
        <f>HYPERLINK("https://hawk-eye.atlassian.net/browse/RTT-7872?atlOrigin=eyJpIjoiYzgwYTQ0ZjEyNzQzNGJhN2JmNjEyZTM0NmRhZWZhNjIiLCJwIjoic2hlZXRzLWppcmEifQ","RTT-7872")</f>
        <v>RTT-7872</v>
      </c>
      <c r="H996" s="1" t="s">
        <v>1058</v>
      </c>
      <c r="I996" s="1" t="s">
        <v>1071</v>
      </c>
      <c r="J996" s="1" t="s">
        <v>26</v>
      </c>
      <c r="K996" s="1" t="s">
        <v>1099</v>
      </c>
      <c r="L996" s="1" t="s">
        <v>26</v>
      </c>
      <c r="M996" s="1" t="s">
        <v>27</v>
      </c>
      <c r="N996" s="1" t="s">
        <v>26</v>
      </c>
      <c r="O996" s="1" t="s">
        <v>26</v>
      </c>
      <c r="P996" s="4">
        <v>45670.60803240741</v>
      </c>
    </row>
    <row r="997" hidden="1">
      <c r="A997" s="1" t="s">
        <v>21</v>
      </c>
      <c r="B997" s="3" t="str">
        <f>HYPERLINK("https://hawk-eye.atlassian.net/browse/HWKREPORT-2576?atlOrigin=eyJpIjoiYzgwYTQ0ZjEyNzQzNGJhN2JmNjEyZTM0NmRhZWZhNjIiLCJwIjoic2hlZXRzLWppcmEifQ","HWKREPORT-2576")</f>
        <v>HWKREPORT-2576</v>
      </c>
      <c r="C997" s="1" t="s">
        <v>2214</v>
      </c>
      <c r="D997" s="1" t="s">
        <v>23</v>
      </c>
      <c r="E997" s="1" t="s">
        <v>35</v>
      </c>
      <c r="F997" s="4">
        <v>45327.01663194445</v>
      </c>
      <c r="G997" s="3" t="str">
        <f>HYPERLINK("https://hawk-eye.atlassian.net/browse/RTT-7871?atlOrigin=eyJpIjoiYzgwYTQ0ZjEyNzQzNGJhN2JmNjEyZTM0NmRhZWZhNjIiLCJwIjoic2hlZXRzLWppcmEifQ","RTT-7871")</f>
        <v>RTT-7871</v>
      </c>
      <c r="H997" s="1" t="s">
        <v>1058</v>
      </c>
      <c r="I997" s="1" t="s">
        <v>1071</v>
      </c>
      <c r="J997" s="1" t="s">
        <v>26</v>
      </c>
      <c r="K997" s="1" t="s">
        <v>1072</v>
      </c>
      <c r="L997" s="1" t="s">
        <v>26</v>
      </c>
      <c r="M997" s="1" t="s">
        <v>27</v>
      </c>
      <c r="N997" s="1" t="s">
        <v>26</v>
      </c>
      <c r="O997" s="1" t="s">
        <v>26</v>
      </c>
      <c r="P997" s="4">
        <v>45670.60833333333</v>
      </c>
    </row>
    <row r="998" hidden="1">
      <c r="A998" s="1" t="s">
        <v>1055</v>
      </c>
      <c r="B998" s="3" t="str">
        <f>HYPERLINK("https://hawk-eye.atlassian.net/browse/HWKREPORT-2577?atlOrigin=eyJpIjoiYzgwYTQ0ZjEyNzQzNGJhN2JmNjEyZTM0NmRhZWZhNjIiLCJwIjoic2hlZXRzLWppcmEifQ","HWKREPORT-2577")</f>
        <v>HWKREPORT-2577</v>
      </c>
      <c r="C998" s="1" t="s">
        <v>2215</v>
      </c>
      <c r="D998" s="1" t="s">
        <v>48</v>
      </c>
      <c r="E998" s="1" t="s">
        <v>35</v>
      </c>
      <c r="F998" s="4">
        <v>45327.0184375</v>
      </c>
      <c r="G998" s="3" t="str">
        <f>HYPERLINK("https://hawk-eye.atlassian.net/browse/RTT-7870?atlOrigin=eyJpIjoiYzgwYTQ0ZjEyNzQzNGJhN2JmNjEyZTM0NmRhZWZhNjIiLCJwIjoic2hlZXRzLWppcmEifQ","RTT-7870")</f>
        <v>RTT-7870</v>
      </c>
      <c r="H998" s="1" t="s">
        <v>1058</v>
      </c>
      <c r="I998" s="1" t="s">
        <v>1071</v>
      </c>
      <c r="J998" s="1" t="s">
        <v>26</v>
      </c>
      <c r="K998" s="1" t="s">
        <v>1099</v>
      </c>
      <c r="L998" s="1" t="s">
        <v>26</v>
      </c>
      <c r="M998" s="1" t="s">
        <v>27</v>
      </c>
      <c r="N998" s="1" t="s">
        <v>26</v>
      </c>
      <c r="O998" s="1" t="s">
        <v>26</v>
      </c>
      <c r="P998" s="4">
        <v>45574.40130787037</v>
      </c>
    </row>
    <row r="999" hidden="1">
      <c r="A999" s="1" t="s">
        <v>21</v>
      </c>
      <c r="B999" s="3" t="str">
        <f>HYPERLINK("https://hawk-eye.atlassian.net/browse/HWKREPORT-2578?atlOrigin=eyJpIjoiYzgwYTQ0ZjEyNzQzNGJhN2JmNjEyZTM0NmRhZWZhNjIiLCJwIjoic2hlZXRzLWppcmEifQ","HWKREPORT-2578")</f>
        <v>HWKREPORT-2578</v>
      </c>
      <c r="C999" s="1" t="s">
        <v>2216</v>
      </c>
      <c r="D999" s="1" t="s">
        <v>40</v>
      </c>
      <c r="E999" s="1" t="s">
        <v>35</v>
      </c>
      <c r="F999" s="4">
        <v>45327.021516203706</v>
      </c>
      <c r="G999" s="3" t="str">
        <f>HYPERLINK("https://hawk-eye.atlassian.net/browse/RTT-7869?atlOrigin=eyJpIjoiYzgwYTQ0ZjEyNzQzNGJhN2JmNjEyZTM0NmRhZWZhNjIiLCJwIjoic2hlZXRzLWppcmEifQ","RTT-7869")</f>
        <v>RTT-7869</v>
      </c>
      <c r="H999" s="1" t="s">
        <v>1058</v>
      </c>
      <c r="I999" s="1" t="s">
        <v>1071</v>
      </c>
      <c r="J999" s="1" t="s">
        <v>26</v>
      </c>
      <c r="K999" s="1" t="s">
        <v>1072</v>
      </c>
      <c r="L999" s="1" t="s">
        <v>26</v>
      </c>
      <c r="M999" s="1" t="s">
        <v>27</v>
      </c>
      <c r="N999" s="1" t="s">
        <v>26</v>
      </c>
      <c r="O999" s="1" t="s">
        <v>26</v>
      </c>
      <c r="P999" s="4">
        <v>45344.43486111111</v>
      </c>
    </row>
    <row r="1000" hidden="1">
      <c r="A1000" s="1" t="s">
        <v>21</v>
      </c>
      <c r="B1000" s="3" t="str">
        <f>HYPERLINK("https://hawk-eye.atlassian.net/browse/HWKREPORT-2579?atlOrigin=eyJpIjoiYzgwYTQ0ZjEyNzQzNGJhN2JmNjEyZTM0NmRhZWZhNjIiLCJwIjoic2hlZXRzLWppcmEifQ","HWKREPORT-2579")</f>
        <v>HWKREPORT-2579</v>
      </c>
      <c r="C1000" s="1" t="s">
        <v>2217</v>
      </c>
      <c r="D1000" s="1" t="s">
        <v>40</v>
      </c>
      <c r="E1000" s="1" t="s">
        <v>35</v>
      </c>
      <c r="F1000" s="4">
        <v>45327.02305555555</v>
      </c>
      <c r="G1000" s="3" t="str">
        <f>HYPERLINK("https://hawk-eye.atlassian.net/issues/?atlOrigin=eyJpIjoiYzgwYTQ0ZjEyNzQzNGJhN2JmNjEyZTM0NmRhZWZhNjIiLCJwIjoic2hlZXRzLWppcmEifQ&amp;jql=key+in+%28RTT-7868%2CRTT-7867%29","RTT-7868;RTT-7867")</f>
        <v>RTT-7868;RTT-7867</v>
      </c>
      <c r="H1000" s="1" t="s">
        <v>1058</v>
      </c>
      <c r="I1000" s="1" t="s">
        <v>1071</v>
      </c>
      <c r="J1000" s="1" t="s">
        <v>26</v>
      </c>
      <c r="K1000" s="1" t="s">
        <v>1072</v>
      </c>
      <c r="L1000" s="1" t="s">
        <v>26</v>
      </c>
      <c r="M1000" s="1" t="s">
        <v>27</v>
      </c>
      <c r="N1000" s="1" t="s">
        <v>26</v>
      </c>
      <c r="O1000" s="1" t="s">
        <v>26</v>
      </c>
      <c r="P1000" s="4">
        <v>45670.608136574076</v>
      </c>
    </row>
    <row r="1001" hidden="1">
      <c r="A1001" s="1" t="s">
        <v>1055</v>
      </c>
      <c r="B1001" s="3" t="str">
        <f>HYPERLINK("https://hawk-eye.atlassian.net/browse/HWKREPORT-2580?atlOrigin=eyJpIjoiYzgwYTQ0ZjEyNzQzNGJhN2JmNjEyZTM0NmRhZWZhNjIiLCJwIjoic2hlZXRzLWppcmEifQ","HWKREPORT-2580")</f>
        <v>HWKREPORT-2580</v>
      </c>
      <c r="C1001" s="1" t="s">
        <v>2218</v>
      </c>
      <c r="D1001" s="1" t="s">
        <v>34</v>
      </c>
      <c r="E1001" s="1" t="s">
        <v>1057</v>
      </c>
      <c r="F1001" s="4">
        <v>45327.02836805556</v>
      </c>
      <c r="G1001" s="3" t="str">
        <f>HYPERLINK("https://hawk-eye.atlassian.net/browse/RTT-7864?atlOrigin=eyJpIjoiYzgwYTQ0ZjEyNzQzNGJhN2JmNjEyZTM0NmRhZWZhNjIiLCJwIjoic2hlZXRzLWppcmEifQ","RTT-7864")</f>
        <v>RTT-7864</v>
      </c>
      <c r="H1001" s="1" t="s">
        <v>1058</v>
      </c>
      <c r="I1001" s="1" t="s">
        <v>1071</v>
      </c>
      <c r="J1001" s="1" t="s">
        <v>26</v>
      </c>
      <c r="K1001" s="1" t="s">
        <v>1099</v>
      </c>
      <c r="L1001" s="1" t="s">
        <v>26</v>
      </c>
      <c r="M1001" s="1" t="s">
        <v>27</v>
      </c>
      <c r="N1001" s="1" t="s">
        <v>26</v>
      </c>
      <c r="O1001" s="1" t="s">
        <v>26</v>
      </c>
      <c r="P1001" s="4">
        <v>45327.02837962963</v>
      </c>
    </row>
    <row r="1002" hidden="1">
      <c r="A1002" s="1" t="s">
        <v>1055</v>
      </c>
      <c r="B1002" s="3" t="str">
        <f>HYPERLINK("https://hawk-eye.atlassian.net/browse/HWKREPORT-2378?atlOrigin=eyJpIjoiYzgwYTQ0ZjEyNzQzNGJhN2JmNjEyZTM0NmRhZWZhNjIiLCJwIjoic2hlZXRzLWppcmEifQ","HWKREPORT-2378")</f>
        <v>HWKREPORT-2378</v>
      </c>
      <c r="C1002" s="1" t="s">
        <v>2219</v>
      </c>
      <c r="D1002" s="1" t="s">
        <v>48</v>
      </c>
      <c r="E1002" s="1" t="s">
        <v>35</v>
      </c>
      <c r="F1002" s="4">
        <v>45191.84342592592</v>
      </c>
      <c r="G1002" s="3" t="str">
        <f>HYPERLINK("https://hawk-eye.atlassian.net/browse/RTT-7566?atlOrigin=eyJpIjoiYzgwYTQ0ZjEyNzQzNGJhN2JmNjEyZTM0NmRhZWZhNjIiLCJwIjoic2hlZXRzLWppcmEifQ","RTT-7566")</f>
        <v>RTT-7566</v>
      </c>
      <c r="H1002" s="1" t="s">
        <v>1058</v>
      </c>
      <c r="I1002" s="1" t="s">
        <v>1071</v>
      </c>
      <c r="J1002" s="1" t="s">
        <v>26</v>
      </c>
      <c r="K1002" s="1" t="s">
        <v>1072</v>
      </c>
      <c r="L1002" s="1" t="s">
        <v>26</v>
      </c>
      <c r="M1002" s="1" t="s">
        <v>27</v>
      </c>
      <c r="N1002" s="1" t="s">
        <v>26</v>
      </c>
      <c r="O1002" s="1" t="s">
        <v>26</v>
      </c>
      <c r="P1002" s="4">
        <v>45709.65116898148</v>
      </c>
    </row>
    <row r="1003" hidden="1">
      <c r="A1003" s="1" t="s">
        <v>1055</v>
      </c>
      <c r="B1003" s="3" t="str">
        <f>HYPERLINK("https://hawk-eye.atlassian.net/browse/HWKREPORT-2379?atlOrigin=eyJpIjoiYzgwYTQ0ZjEyNzQzNGJhN2JmNjEyZTM0NmRhZWZhNjIiLCJwIjoic2hlZXRzLWppcmEifQ","HWKREPORT-2379")</f>
        <v>HWKREPORT-2379</v>
      </c>
      <c r="C1003" s="1" t="s">
        <v>2220</v>
      </c>
      <c r="D1003" s="1" t="s">
        <v>48</v>
      </c>
      <c r="E1003" s="1" t="s">
        <v>1057</v>
      </c>
      <c r="F1003" s="4">
        <v>45191.845405092594</v>
      </c>
      <c r="G1003" s="3" t="str">
        <f t="shared" ref="G1003:G1004" si="92">HYPERLINK("https://hawk-eye.atlassian.net/browse/?atlOrigin=eyJpIjoiYzgwYTQ0ZjEyNzQzNGJhN2JmNjEyZTM0NmRhZWZhNjIiLCJwIjoic2hlZXRzLWppcmEifQ","")</f>
        <v/>
      </c>
      <c r="H1003" s="1" t="s">
        <v>1058</v>
      </c>
      <c r="I1003" s="1" t="s">
        <v>1071</v>
      </c>
      <c r="J1003" s="1" t="s">
        <v>26</v>
      </c>
      <c r="K1003" s="1" t="s">
        <v>1072</v>
      </c>
      <c r="L1003" s="1" t="s">
        <v>26</v>
      </c>
      <c r="M1003" s="1" t="s">
        <v>27</v>
      </c>
      <c r="N1003" s="1" t="s">
        <v>26</v>
      </c>
      <c r="O1003" s="1" t="s">
        <v>26</v>
      </c>
      <c r="P1003" s="4">
        <v>45191.84541666666</v>
      </c>
    </row>
    <row r="1004" hidden="1">
      <c r="A1004" s="1" t="s">
        <v>1055</v>
      </c>
      <c r="B1004" s="3" t="str">
        <f>HYPERLINK("https://hawk-eye.atlassian.net/browse/HWKREPORT-2380?atlOrigin=eyJpIjoiYzgwYTQ0ZjEyNzQzNGJhN2JmNjEyZTM0NmRhZWZhNjIiLCJwIjoic2hlZXRzLWppcmEifQ","HWKREPORT-2380")</f>
        <v>HWKREPORT-2380</v>
      </c>
      <c r="C1004" s="1" t="s">
        <v>2221</v>
      </c>
      <c r="D1004" s="1" t="s">
        <v>48</v>
      </c>
      <c r="E1004" s="1" t="s">
        <v>1057</v>
      </c>
      <c r="F1004" s="4">
        <v>45191.84773148148</v>
      </c>
      <c r="G1004" s="3" t="str">
        <f t="shared" si="92"/>
        <v/>
      </c>
      <c r="H1004" s="1" t="s">
        <v>1058</v>
      </c>
      <c r="I1004" s="1" t="s">
        <v>1071</v>
      </c>
      <c r="J1004" s="1" t="s">
        <v>26</v>
      </c>
      <c r="K1004" s="1" t="s">
        <v>1072</v>
      </c>
      <c r="L1004" s="1" t="s">
        <v>26</v>
      </c>
      <c r="M1004" s="1" t="s">
        <v>27</v>
      </c>
      <c r="N1004" s="1" t="s">
        <v>26</v>
      </c>
      <c r="O1004" s="1" t="s">
        <v>26</v>
      </c>
      <c r="P1004" s="4">
        <v>45191.84774305556</v>
      </c>
    </row>
    <row r="1005">
      <c r="A1005" s="1" t="s">
        <v>21</v>
      </c>
      <c r="B1005" s="3" t="str">
        <f>HYPERLINK("https://hawk-eye.atlassian.net/browse/HWKREPORT-2381?atlOrigin=eyJpIjoiYzgwYTQ0ZjEyNzQzNGJhN2JmNjEyZTM0NmRhZWZhNjIiLCJwIjoic2hlZXRzLWppcmEifQ","HWKREPORT-2381")</f>
        <v>HWKREPORT-2381</v>
      </c>
      <c r="C1005" s="1" t="s">
        <v>2222</v>
      </c>
      <c r="D1005" s="1" t="s">
        <v>48</v>
      </c>
      <c r="E1005" s="1" t="s">
        <v>35</v>
      </c>
      <c r="F1005" s="4">
        <v>45194.64244212963</v>
      </c>
      <c r="G1005" s="3" t="str">
        <f>HYPERLINK("https://hawk-eye.atlassian.net/browse/RTT-7090?atlOrigin=eyJpIjoiYzgwYTQ0ZjEyNzQzNGJhN2JmNjEyZTM0NmRhZWZhNjIiLCJwIjoic2hlZXRzLWppcmEifQ","RTT-7090")</f>
        <v>RTT-7090</v>
      </c>
      <c r="H1005" s="1" t="s">
        <v>1058</v>
      </c>
      <c r="I1005" s="1" t="s">
        <v>28</v>
      </c>
      <c r="J1005" s="1" t="s">
        <v>26</v>
      </c>
      <c r="K1005" s="1" t="s">
        <v>1072</v>
      </c>
      <c r="L1005" s="1" t="s">
        <v>26</v>
      </c>
      <c r="M1005" s="1" t="s">
        <v>27</v>
      </c>
      <c r="N1005" s="1" t="s">
        <v>26</v>
      </c>
      <c r="O1005" s="1" t="s">
        <v>26</v>
      </c>
      <c r="P1005" s="4">
        <v>45526.70806712963</v>
      </c>
    </row>
    <row r="1006" hidden="1">
      <c r="A1006" s="1" t="s">
        <v>21</v>
      </c>
      <c r="B1006" s="3" t="str">
        <f>HYPERLINK("https://hawk-eye.atlassian.net/browse/HWKREPORT-2382?atlOrigin=eyJpIjoiYzgwYTQ0ZjEyNzQzNGJhN2JmNjEyZTM0NmRhZWZhNjIiLCJwIjoic2hlZXRzLWppcmEifQ","HWKREPORT-2382")</f>
        <v>HWKREPORT-2382</v>
      </c>
      <c r="C1006" s="1" t="s">
        <v>2223</v>
      </c>
      <c r="D1006" s="1" t="s">
        <v>83</v>
      </c>
      <c r="E1006" s="1" t="s">
        <v>1057</v>
      </c>
      <c r="F1006" s="4">
        <v>45195.546898148146</v>
      </c>
      <c r="G1006" s="3" t="str">
        <f>HYPERLINK("https://hawk-eye.atlassian.net/browse/AL-938?atlOrigin=eyJpIjoiYzgwYTQ0ZjEyNzQzNGJhN2JmNjEyZTM0NmRhZWZhNjIiLCJwIjoic2hlZXRzLWppcmEifQ","AL-938")</f>
        <v>AL-938</v>
      </c>
      <c r="H1006" s="1" t="s">
        <v>1058</v>
      </c>
      <c r="I1006" s="1" t="s">
        <v>1085</v>
      </c>
      <c r="J1006" s="1" t="s">
        <v>26</v>
      </c>
      <c r="K1006" s="1" t="s">
        <v>1143</v>
      </c>
      <c r="L1006" s="1" t="s">
        <v>26</v>
      </c>
      <c r="M1006" s="1" t="s">
        <v>27</v>
      </c>
      <c r="N1006" s="1" t="s">
        <v>26</v>
      </c>
      <c r="O1006" s="1" t="s">
        <v>26</v>
      </c>
      <c r="P1006" s="4">
        <v>45195.54690972222</v>
      </c>
    </row>
    <row r="1007" hidden="1">
      <c r="A1007" s="1" t="s">
        <v>1055</v>
      </c>
      <c r="B1007" s="3" t="str">
        <f>HYPERLINK("https://hawk-eye.atlassian.net/browse/HWKREPORT-2383?atlOrigin=eyJpIjoiYzgwYTQ0ZjEyNzQzNGJhN2JmNjEyZTM0NmRhZWZhNjIiLCJwIjoic2hlZXRzLWppcmEifQ","HWKREPORT-2383")</f>
        <v>HWKREPORT-2383</v>
      </c>
      <c r="C1007" s="1" t="s">
        <v>2224</v>
      </c>
      <c r="D1007" s="1" t="s">
        <v>48</v>
      </c>
      <c r="E1007" s="1" t="s">
        <v>1057</v>
      </c>
      <c r="F1007" s="4">
        <v>45195.549108796295</v>
      </c>
      <c r="G1007" s="3" t="str">
        <f>HYPERLINK("https://hawk-eye.atlassian.net/browse/?atlOrigin=eyJpIjoiYzgwYTQ0ZjEyNzQzNGJhN2JmNjEyZTM0NmRhZWZhNjIiLCJwIjoic2hlZXRzLWppcmEifQ","")</f>
        <v/>
      </c>
      <c r="H1007" s="1" t="s">
        <v>1058</v>
      </c>
      <c r="I1007" s="1" t="s">
        <v>1085</v>
      </c>
      <c r="J1007" s="1" t="s">
        <v>26</v>
      </c>
      <c r="K1007" s="1" t="s">
        <v>1219</v>
      </c>
      <c r="L1007" s="1" t="s">
        <v>26</v>
      </c>
      <c r="M1007" s="1" t="s">
        <v>27</v>
      </c>
      <c r="N1007" s="1" t="s">
        <v>26</v>
      </c>
      <c r="O1007" s="1" t="s">
        <v>26</v>
      </c>
      <c r="P1007" s="4">
        <v>45195.54912037037</v>
      </c>
    </row>
    <row r="1008" hidden="1">
      <c r="A1008" s="1" t="s">
        <v>1055</v>
      </c>
      <c r="B1008" s="3" t="str">
        <f>HYPERLINK("https://hawk-eye.atlassian.net/browse/HWKREPORT-2384?atlOrigin=eyJpIjoiYzgwYTQ0ZjEyNzQzNGJhN2JmNjEyZTM0NmRhZWZhNjIiLCJwIjoic2hlZXRzLWppcmEifQ","HWKREPORT-2384")</f>
        <v>HWKREPORT-2384</v>
      </c>
      <c r="C1008" s="1" t="s">
        <v>2225</v>
      </c>
      <c r="D1008" s="1" t="s">
        <v>48</v>
      </c>
      <c r="E1008" s="1" t="s">
        <v>1057</v>
      </c>
      <c r="F1008" s="4">
        <v>45195.55101851852</v>
      </c>
      <c r="G1008" s="3" t="str">
        <f>HYPERLINK("https://hawk-eye.atlassian.net/issues/?atlOrigin=eyJpIjoiYzgwYTQ0ZjEyNzQzNGJhN2JmNjEyZTM0NmRhZWZhNjIiLCJwIjoic2hlZXRzLWppcmEifQ&amp;jql=key+in+%28TTS-19%2CAL-984%29","TTS-19;AL-984")</f>
        <v>TTS-19;AL-984</v>
      </c>
      <c r="H1008" s="1" t="s">
        <v>1058</v>
      </c>
      <c r="I1008" s="1" t="s">
        <v>1085</v>
      </c>
      <c r="J1008" s="1" t="s">
        <v>26</v>
      </c>
      <c r="K1008" s="1" t="s">
        <v>1219</v>
      </c>
      <c r="L1008" s="1" t="s">
        <v>26</v>
      </c>
      <c r="M1008" s="1" t="s">
        <v>27</v>
      </c>
      <c r="N1008" s="1" t="s">
        <v>26</v>
      </c>
      <c r="O1008" s="1" t="s">
        <v>26</v>
      </c>
      <c r="P1008" s="4">
        <v>45195.551030092596</v>
      </c>
    </row>
    <row r="1009" hidden="1">
      <c r="A1009" s="1" t="s">
        <v>1055</v>
      </c>
      <c r="B1009" s="3" t="str">
        <f>HYPERLINK("https://hawk-eye.atlassian.net/browse/HWKREPORT-2385?atlOrigin=eyJpIjoiYzgwYTQ0ZjEyNzQzNGJhN2JmNjEyZTM0NmRhZWZhNjIiLCJwIjoic2hlZXRzLWppcmEifQ","HWKREPORT-2385")</f>
        <v>HWKREPORT-2385</v>
      </c>
      <c r="C1009" s="1" t="s">
        <v>2226</v>
      </c>
      <c r="D1009" s="1" t="s">
        <v>48</v>
      </c>
      <c r="E1009" s="1" t="s">
        <v>1057</v>
      </c>
      <c r="F1009" s="4">
        <v>45195.56081018518</v>
      </c>
      <c r="G1009" s="3" t="str">
        <f>HYPERLINK("https://hawk-eye.atlassian.net/browse/AL-964?atlOrigin=eyJpIjoiYzgwYTQ0ZjEyNzQzNGJhN2JmNjEyZTM0NmRhZWZhNjIiLCJwIjoic2hlZXRzLWppcmEifQ","AL-964")</f>
        <v>AL-964</v>
      </c>
      <c r="H1009" s="1" t="s">
        <v>1058</v>
      </c>
      <c r="I1009" s="1" t="s">
        <v>1085</v>
      </c>
      <c r="J1009" s="1" t="s">
        <v>26</v>
      </c>
      <c r="K1009" s="1" t="s">
        <v>1219</v>
      </c>
      <c r="L1009" s="1" t="s">
        <v>26</v>
      </c>
      <c r="M1009" s="1" t="s">
        <v>27</v>
      </c>
      <c r="N1009" s="1" t="s">
        <v>26</v>
      </c>
      <c r="O1009" s="1" t="s">
        <v>26</v>
      </c>
      <c r="P1009" s="4">
        <v>45195.56082175926</v>
      </c>
    </row>
    <row r="1010" hidden="1">
      <c r="A1010" s="1" t="s">
        <v>1055</v>
      </c>
      <c r="B1010" s="3" t="str">
        <f>HYPERLINK("https://hawk-eye.atlassian.net/browse/HWKREPORT-2386?atlOrigin=eyJpIjoiYzgwYTQ0ZjEyNzQzNGJhN2JmNjEyZTM0NmRhZWZhNjIiLCJwIjoic2hlZXRzLWppcmEifQ","HWKREPORT-2386")</f>
        <v>HWKREPORT-2386</v>
      </c>
      <c r="C1010" s="1" t="s">
        <v>2227</v>
      </c>
      <c r="D1010" s="1" t="s">
        <v>48</v>
      </c>
      <c r="E1010" s="1" t="s">
        <v>35</v>
      </c>
      <c r="F1010" s="4">
        <v>45195.5721412037</v>
      </c>
      <c r="G1010" s="3" t="str">
        <f t="shared" ref="G1010:G1014" si="93">HYPERLINK("https://hawk-eye.atlassian.net/browse/?atlOrigin=eyJpIjoiYzgwYTQ0ZjEyNzQzNGJhN2JmNjEyZTM0NmRhZWZhNjIiLCJwIjoic2hlZXRzLWppcmEifQ","")</f>
        <v/>
      </c>
      <c r="H1010" s="1" t="s">
        <v>1058</v>
      </c>
      <c r="I1010" s="1" t="s">
        <v>1085</v>
      </c>
      <c r="J1010" s="1" t="s">
        <v>26</v>
      </c>
      <c r="K1010" s="1" t="s">
        <v>1105</v>
      </c>
      <c r="L1010" s="1" t="s">
        <v>26</v>
      </c>
      <c r="M1010" s="1" t="s">
        <v>27</v>
      </c>
      <c r="N1010" s="1" t="s">
        <v>26</v>
      </c>
      <c r="O1010" s="1" t="s">
        <v>26</v>
      </c>
      <c r="P1010" s="4">
        <v>45338.76006944444</v>
      </c>
    </row>
    <row r="1011" hidden="1">
      <c r="A1011" s="1" t="s">
        <v>21</v>
      </c>
      <c r="B1011" s="3" t="str">
        <f>HYPERLINK("https://hawk-eye.atlassian.net/browse/HWKREPORT-2387?atlOrigin=eyJpIjoiYzgwYTQ0ZjEyNzQzNGJhN2JmNjEyZTM0NmRhZWZhNjIiLCJwIjoic2hlZXRzLWppcmEifQ","HWKREPORT-2387")</f>
        <v>HWKREPORT-2387</v>
      </c>
      <c r="C1011" s="1" t="s">
        <v>2228</v>
      </c>
      <c r="D1011" s="1" t="s">
        <v>40</v>
      </c>
      <c r="E1011" s="1" t="s">
        <v>1057</v>
      </c>
      <c r="F1011" s="4">
        <v>45195.822847222225</v>
      </c>
      <c r="G1011" s="3" t="str">
        <f t="shared" si="93"/>
        <v/>
      </c>
      <c r="H1011" s="1" t="s">
        <v>1058</v>
      </c>
      <c r="I1011" s="1" t="s">
        <v>1085</v>
      </c>
      <c r="J1011" s="1" t="s">
        <v>26</v>
      </c>
      <c r="K1011" s="1" t="s">
        <v>1105</v>
      </c>
      <c r="L1011" s="1" t="s">
        <v>26</v>
      </c>
      <c r="M1011" s="1" t="s">
        <v>27</v>
      </c>
      <c r="N1011" s="1" t="s">
        <v>26</v>
      </c>
      <c r="O1011" s="1" t="s">
        <v>26</v>
      </c>
      <c r="P1011" s="4">
        <v>45195.822858796295</v>
      </c>
    </row>
    <row r="1012" hidden="1">
      <c r="A1012" s="1" t="s">
        <v>21</v>
      </c>
      <c r="B1012" s="3" t="str">
        <f>HYPERLINK("https://hawk-eye.atlassian.net/browse/HWKREPORT-2388?atlOrigin=eyJpIjoiYzgwYTQ0ZjEyNzQzNGJhN2JmNjEyZTM0NmRhZWZhNjIiLCJwIjoic2hlZXRzLWppcmEifQ","HWKREPORT-2388")</f>
        <v>HWKREPORT-2388</v>
      </c>
      <c r="C1012" s="1" t="s">
        <v>2229</v>
      </c>
      <c r="D1012" s="1" t="s">
        <v>23</v>
      </c>
      <c r="E1012" s="1" t="s">
        <v>1057</v>
      </c>
      <c r="F1012" s="4">
        <v>45196.687731481485</v>
      </c>
      <c r="G1012" s="3" t="str">
        <f t="shared" si="93"/>
        <v/>
      </c>
      <c r="H1012" s="1" t="s">
        <v>1058</v>
      </c>
      <c r="I1012" s="1" t="s">
        <v>1071</v>
      </c>
      <c r="J1012" s="1" t="s">
        <v>26</v>
      </c>
      <c r="K1012" s="1" t="s">
        <v>1130</v>
      </c>
      <c r="L1012" s="1" t="s">
        <v>26</v>
      </c>
      <c r="M1012" s="1" t="s">
        <v>27</v>
      </c>
      <c r="N1012" s="1" t="s">
        <v>26</v>
      </c>
      <c r="O1012" s="1" t="s">
        <v>26</v>
      </c>
      <c r="P1012" s="4">
        <v>45196.68775462963</v>
      </c>
    </row>
    <row r="1013" hidden="1">
      <c r="A1013" s="1" t="s">
        <v>1055</v>
      </c>
      <c r="B1013" s="3" t="str">
        <f>HYPERLINK("https://hawk-eye.atlassian.net/browse/HWKREPORT-2389?atlOrigin=eyJpIjoiYzgwYTQ0ZjEyNzQzNGJhN2JmNjEyZTM0NmRhZWZhNjIiLCJwIjoic2hlZXRzLWppcmEifQ","HWKREPORT-2389")</f>
        <v>HWKREPORT-2389</v>
      </c>
      <c r="C1013" s="1" t="s">
        <v>2230</v>
      </c>
      <c r="D1013" s="1" t="s">
        <v>48</v>
      </c>
      <c r="E1013" s="1" t="s">
        <v>35</v>
      </c>
      <c r="F1013" s="4">
        <v>45197.39011574074</v>
      </c>
      <c r="G1013" s="3" t="str">
        <f t="shared" si="93"/>
        <v/>
      </c>
      <c r="H1013" s="1" t="s">
        <v>1058</v>
      </c>
      <c r="I1013" s="1" t="s">
        <v>1085</v>
      </c>
      <c r="J1013" s="1" t="s">
        <v>26</v>
      </c>
      <c r="K1013" s="1" t="s">
        <v>1105</v>
      </c>
      <c r="L1013" s="1" t="s">
        <v>26</v>
      </c>
      <c r="M1013" s="1" t="s">
        <v>27</v>
      </c>
      <c r="N1013" s="1" t="s">
        <v>26</v>
      </c>
      <c r="O1013" s="1" t="s">
        <v>26</v>
      </c>
      <c r="P1013" s="4">
        <v>45338.75997685185</v>
      </c>
    </row>
    <row r="1014" hidden="1">
      <c r="A1014" s="1" t="s">
        <v>1055</v>
      </c>
      <c r="B1014" s="3" t="str">
        <f>HYPERLINK("https://hawk-eye.atlassian.net/browse/HWKREPORT-2390?atlOrigin=eyJpIjoiYzgwYTQ0ZjEyNzQzNGJhN2JmNjEyZTM0NmRhZWZhNjIiLCJwIjoic2hlZXRzLWppcmEifQ","HWKREPORT-2390")</f>
        <v>HWKREPORT-2390</v>
      </c>
      <c r="C1014" s="1" t="s">
        <v>2231</v>
      </c>
      <c r="D1014" s="1" t="s">
        <v>48</v>
      </c>
      <c r="E1014" s="1" t="s">
        <v>35</v>
      </c>
      <c r="F1014" s="4">
        <v>45197.41210648148</v>
      </c>
      <c r="G1014" s="3" t="str">
        <f t="shared" si="93"/>
        <v/>
      </c>
      <c r="H1014" s="1" t="s">
        <v>1058</v>
      </c>
      <c r="I1014" s="1" t="s">
        <v>1085</v>
      </c>
      <c r="J1014" s="1" t="s">
        <v>26</v>
      </c>
      <c r="K1014" s="1" t="s">
        <v>1105</v>
      </c>
      <c r="L1014" s="1" t="s">
        <v>26</v>
      </c>
      <c r="M1014" s="1" t="s">
        <v>27</v>
      </c>
      <c r="N1014" s="1" t="s">
        <v>26</v>
      </c>
      <c r="O1014" s="1" t="s">
        <v>26</v>
      </c>
      <c r="P1014" s="4">
        <v>45338.75939814815</v>
      </c>
    </row>
    <row r="1015" hidden="1">
      <c r="A1015" s="1" t="s">
        <v>21</v>
      </c>
      <c r="B1015" s="3" t="str">
        <f>HYPERLINK("https://hawk-eye.atlassian.net/browse/HWKREPORT-2391?atlOrigin=eyJpIjoiYzgwYTQ0ZjEyNzQzNGJhN2JmNjEyZTM0NmRhZWZhNjIiLCJwIjoic2hlZXRzLWppcmEifQ","HWKREPORT-2391")</f>
        <v>HWKREPORT-2391</v>
      </c>
      <c r="C1015" s="1" t="s">
        <v>2232</v>
      </c>
      <c r="D1015" s="1" t="s">
        <v>34</v>
      </c>
      <c r="E1015" s="1" t="s">
        <v>35</v>
      </c>
      <c r="F1015" s="4">
        <v>45197.692199074074</v>
      </c>
      <c r="G1015" s="3" t="str">
        <f>HYPERLINK("https://hawk-eye.atlassian.net/browse/RTT-7288?atlOrigin=eyJpIjoiYzgwYTQ0ZjEyNzQzNGJhN2JmNjEyZTM0NmRhZWZhNjIiLCJwIjoic2hlZXRzLWppcmEifQ","RTT-7288")</f>
        <v>RTT-7288</v>
      </c>
      <c r="H1015" s="1" t="s">
        <v>1058</v>
      </c>
      <c r="I1015" s="1" t="s">
        <v>1082</v>
      </c>
      <c r="J1015" s="1" t="s">
        <v>26</v>
      </c>
      <c r="K1015" s="1" t="s">
        <v>1072</v>
      </c>
      <c r="L1015" s="1" t="s">
        <v>26</v>
      </c>
      <c r="M1015" s="1" t="s">
        <v>27</v>
      </c>
      <c r="N1015" s="1" t="s">
        <v>26</v>
      </c>
      <c r="O1015" s="1" t="s">
        <v>26</v>
      </c>
      <c r="P1015" s="4">
        <v>45406.61744212963</v>
      </c>
    </row>
    <row r="1016" hidden="1">
      <c r="A1016" s="1" t="s">
        <v>21</v>
      </c>
      <c r="B1016" s="3" t="str">
        <f>HYPERLINK("https://hawk-eye.atlassian.net/browse/HWKREPORT-2392?atlOrigin=eyJpIjoiYzgwYTQ0ZjEyNzQzNGJhN2JmNjEyZTM0NmRhZWZhNjIiLCJwIjoic2hlZXRzLWppcmEifQ","HWKREPORT-2392")</f>
        <v>HWKREPORT-2392</v>
      </c>
      <c r="C1016" s="1" t="s">
        <v>2233</v>
      </c>
      <c r="D1016" s="1" t="s">
        <v>23</v>
      </c>
      <c r="E1016" s="1" t="s">
        <v>35</v>
      </c>
      <c r="F1016" s="4">
        <v>45198.73133101852</v>
      </c>
      <c r="G1016" s="3" t="str">
        <f>HYPERLINK("https://hawk-eye.atlassian.net/browse/RTT-7141?atlOrigin=eyJpIjoiYzgwYTQ0ZjEyNzQzNGJhN2JmNjEyZTM0NmRhZWZhNjIiLCJwIjoic2hlZXRzLWppcmEifQ","RTT-7141")</f>
        <v>RTT-7141</v>
      </c>
      <c r="H1016" s="1" t="s">
        <v>1058</v>
      </c>
      <c r="I1016" s="1" t="s">
        <v>1082</v>
      </c>
      <c r="J1016" s="1" t="s">
        <v>26</v>
      </c>
      <c r="K1016" s="1" t="s">
        <v>1072</v>
      </c>
      <c r="L1016" s="1" t="s">
        <v>26</v>
      </c>
      <c r="M1016" s="1" t="s">
        <v>27</v>
      </c>
      <c r="N1016" s="1" t="s">
        <v>26</v>
      </c>
      <c r="O1016" s="1" t="s">
        <v>26</v>
      </c>
      <c r="P1016" s="4">
        <v>45208.39891203704</v>
      </c>
    </row>
    <row r="1017" hidden="1">
      <c r="A1017" s="1" t="s">
        <v>1055</v>
      </c>
      <c r="B1017" s="3" t="str">
        <f>HYPERLINK("https://hawk-eye.atlassian.net/browse/HWKREPORT-2393?atlOrigin=eyJpIjoiYzgwYTQ0ZjEyNzQzNGJhN2JmNjEyZTM0NmRhZWZhNjIiLCJwIjoic2hlZXRzLWppcmEifQ","HWKREPORT-2393")</f>
        <v>HWKREPORT-2393</v>
      </c>
      <c r="C1017" s="1" t="s">
        <v>2234</v>
      </c>
      <c r="D1017" s="1" t="s">
        <v>48</v>
      </c>
      <c r="E1017" s="1" t="s">
        <v>1057</v>
      </c>
      <c r="F1017" s="4">
        <v>45201.488217592596</v>
      </c>
      <c r="G1017" s="3" t="str">
        <f t="shared" ref="G1017:G1018" si="94">HYPERLINK("https://hawk-eye.atlassian.net/browse/?atlOrigin=eyJpIjoiYzgwYTQ0ZjEyNzQzNGJhN2JmNjEyZTM0NmRhZWZhNjIiLCJwIjoic2hlZXRzLWppcmEifQ","")</f>
        <v/>
      </c>
      <c r="H1017" s="1" t="s">
        <v>1058</v>
      </c>
      <c r="I1017" s="1" t="s">
        <v>1126</v>
      </c>
      <c r="J1017" s="1" t="s">
        <v>26</v>
      </c>
      <c r="K1017" s="1" t="s">
        <v>1105</v>
      </c>
      <c r="L1017" s="1" t="s">
        <v>26</v>
      </c>
      <c r="M1017" s="1" t="s">
        <v>27</v>
      </c>
      <c r="N1017" s="1" t="s">
        <v>26</v>
      </c>
      <c r="O1017" s="1" t="s">
        <v>26</v>
      </c>
      <c r="P1017" s="4">
        <v>45201.488229166665</v>
      </c>
    </row>
    <row r="1018" hidden="1">
      <c r="A1018" s="1" t="s">
        <v>1055</v>
      </c>
      <c r="B1018" s="3" t="str">
        <f>HYPERLINK("https://hawk-eye.atlassian.net/browse/HWKREPORT-2394?atlOrigin=eyJpIjoiYzgwYTQ0ZjEyNzQzNGJhN2JmNjEyZTM0NmRhZWZhNjIiLCJwIjoic2hlZXRzLWppcmEifQ","HWKREPORT-2394")</f>
        <v>HWKREPORT-2394</v>
      </c>
      <c r="C1018" s="1" t="s">
        <v>2235</v>
      </c>
      <c r="D1018" s="1" t="s">
        <v>48</v>
      </c>
      <c r="E1018" s="1" t="s">
        <v>1057</v>
      </c>
      <c r="F1018" s="4">
        <v>45201.49219907408</v>
      </c>
      <c r="G1018" s="3" t="str">
        <f t="shared" si="94"/>
        <v/>
      </c>
      <c r="H1018" s="1" t="s">
        <v>1058</v>
      </c>
      <c r="I1018" s="1" t="s">
        <v>1126</v>
      </c>
      <c r="J1018" s="1" t="s">
        <v>26</v>
      </c>
      <c r="K1018" s="1" t="s">
        <v>1105</v>
      </c>
      <c r="L1018" s="1" t="s">
        <v>26</v>
      </c>
      <c r="M1018" s="1" t="s">
        <v>27</v>
      </c>
      <c r="N1018" s="1" t="s">
        <v>26</v>
      </c>
      <c r="O1018" s="1" t="s">
        <v>26</v>
      </c>
      <c r="P1018" s="4">
        <v>45201.49219907408</v>
      </c>
    </row>
    <row r="1019">
      <c r="A1019" s="1" t="s">
        <v>21</v>
      </c>
      <c r="B1019" s="3" t="str">
        <f>HYPERLINK("https://hawk-eye.atlassian.net/browse/HWKREPORT-2395?atlOrigin=eyJpIjoiYzgwYTQ0ZjEyNzQzNGJhN2JmNjEyZTM0NmRhZWZhNjIiLCJwIjoic2hlZXRzLWppcmEifQ","HWKREPORT-2395")</f>
        <v>HWKREPORT-2395</v>
      </c>
      <c r="C1019" s="1" t="s">
        <v>2236</v>
      </c>
      <c r="D1019" s="1" t="s">
        <v>48</v>
      </c>
      <c r="E1019" s="1" t="s">
        <v>35</v>
      </c>
      <c r="F1019" s="4">
        <v>45202.59071759259</v>
      </c>
      <c r="G1019" s="3" t="str">
        <f>HYPERLINK("https://hawk-eye.atlassian.net/browse/RTT-7215?atlOrigin=eyJpIjoiYzgwYTQ0ZjEyNzQzNGJhN2JmNjEyZTM0NmRhZWZhNjIiLCJwIjoic2hlZXRzLWppcmEifQ","RTT-7215")</f>
        <v>RTT-7215</v>
      </c>
      <c r="H1019" s="1" t="s">
        <v>1058</v>
      </c>
      <c r="I1019" s="1" t="s">
        <v>28</v>
      </c>
      <c r="J1019" s="1" t="s">
        <v>26</v>
      </c>
      <c r="K1019" s="1" t="s">
        <v>1134</v>
      </c>
      <c r="L1019" s="1" t="s">
        <v>26</v>
      </c>
      <c r="M1019" s="1" t="s">
        <v>27</v>
      </c>
      <c r="N1019" s="1" t="s">
        <v>26</v>
      </c>
      <c r="O1019" s="1" t="s">
        <v>26</v>
      </c>
      <c r="P1019" s="4">
        <v>45526.70769675926</v>
      </c>
    </row>
    <row r="1020">
      <c r="A1020" s="1" t="s">
        <v>21</v>
      </c>
      <c r="B1020" s="3" t="str">
        <f>HYPERLINK("https://hawk-eye.atlassian.net/browse/HWKREPORT-2396?atlOrigin=eyJpIjoiYzgwYTQ0ZjEyNzQzNGJhN2JmNjEyZTM0NmRhZWZhNjIiLCJwIjoic2hlZXRzLWppcmEifQ","HWKREPORT-2396")</f>
        <v>HWKREPORT-2396</v>
      </c>
      <c r="C1020" s="1" t="s">
        <v>2237</v>
      </c>
      <c r="D1020" s="1" t="s">
        <v>48</v>
      </c>
      <c r="E1020" s="1" t="s">
        <v>35</v>
      </c>
      <c r="F1020" s="4">
        <v>45202.602372685185</v>
      </c>
      <c r="G1020" s="3" t="str">
        <f>HYPERLINK("https://hawk-eye.atlassian.net/browse/?atlOrigin=eyJpIjoiYzgwYTQ0ZjEyNzQzNGJhN2JmNjEyZTM0NmRhZWZhNjIiLCJwIjoic2hlZXRzLWppcmEifQ","")</f>
        <v/>
      </c>
      <c r="H1020" s="1" t="s">
        <v>1058</v>
      </c>
      <c r="I1020" s="1" t="s">
        <v>28</v>
      </c>
      <c r="J1020" s="1" t="s">
        <v>26</v>
      </c>
      <c r="K1020" s="1" t="s">
        <v>1072</v>
      </c>
      <c r="L1020" s="1" t="s">
        <v>26</v>
      </c>
      <c r="M1020" s="1" t="s">
        <v>27</v>
      </c>
      <c r="N1020" s="1" t="s">
        <v>26</v>
      </c>
      <c r="O1020" s="1" t="s">
        <v>26</v>
      </c>
      <c r="P1020" s="4">
        <v>45526.70924768518</v>
      </c>
    </row>
    <row r="1021" hidden="1">
      <c r="A1021" s="1" t="s">
        <v>1055</v>
      </c>
      <c r="B1021" s="3" t="str">
        <f>HYPERLINK("https://hawk-eye.atlassian.net/browse/HWKREPORT-2397?atlOrigin=eyJpIjoiYzgwYTQ0ZjEyNzQzNGJhN2JmNjEyZTM0NmRhZWZhNjIiLCJwIjoic2hlZXRzLWppcmEifQ","HWKREPORT-2397")</f>
        <v>HWKREPORT-2397</v>
      </c>
      <c r="C1021" s="1" t="s">
        <v>2238</v>
      </c>
      <c r="D1021" s="1" t="s">
        <v>48</v>
      </c>
      <c r="E1021" s="1" t="s">
        <v>35</v>
      </c>
      <c r="F1021" s="4">
        <v>45203.613125</v>
      </c>
      <c r="G1021" s="3" t="str">
        <f>HYPERLINK("https://hawk-eye.atlassian.net/browse/AL-941?atlOrigin=eyJpIjoiYzgwYTQ0ZjEyNzQzNGJhN2JmNjEyZTM0NmRhZWZhNjIiLCJwIjoic2hlZXRzLWppcmEifQ","AL-941")</f>
        <v>AL-941</v>
      </c>
      <c r="H1021" s="1" t="s">
        <v>1058</v>
      </c>
      <c r="I1021" s="1" t="s">
        <v>28</v>
      </c>
      <c r="J1021" s="1" t="s">
        <v>26</v>
      </c>
      <c r="K1021" s="1" t="s">
        <v>1219</v>
      </c>
      <c r="L1021" s="1" t="s">
        <v>26</v>
      </c>
      <c r="M1021" s="1" t="s">
        <v>27</v>
      </c>
      <c r="N1021" s="1" t="s">
        <v>26</v>
      </c>
      <c r="O1021" s="1" t="s">
        <v>26</v>
      </c>
      <c r="P1021" s="4">
        <v>45525.6078125</v>
      </c>
    </row>
    <row r="1022" hidden="1">
      <c r="A1022" s="1" t="s">
        <v>1055</v>
      </c>
      <c r="B1022" s="3" t="str">
        <f>HYPERLINK("https://hawk-eye.atlassian.net/browse/HWKREPORT-2398?atlOrigin=eyJpIjoiYzgwYTQ0ZjEyNzQzNGJhN2JmNjEyZTM0NmRhZWZhNjIiLCJwIjoic2hlZXRzLWppcmEifQ","HWKREPORT-2398")</f>
        <v>HWKREPORT-2398</v>
      </c>
      <c r="C1022" s="1" t="s">
        <v>2239</v>
      </c>
      <c r="D1022" s="1" t="s">
        <v>48</v>
      </c>
      <c r="E1022" s="1" t="s">
        <v>35</v>
      </c>
      <c r="F1022" s="4">
        <v>45204.61019675926</v>
      </c>
      <c r="G1022" s="3" t="str">
        <f>HYPERLINK("https://hawk-eye.atlassian.net/browse/HWKREPORT-2254?atlOrigin=eyJpIjoiYzgwYTQ0ZjEyNzQzNGJhN2JmNjEyZTM0NmRhZWZhNjIiLCJwIjoic2hlZXRzLWppcmEifQ","HWKREPORT-2254")</f>
        <v>HWKREPORT-2254</v>
      </c>
      <c r="H1022" s="1" t="s">
        <v>1058</v>
      </c>
      <c r="I1022" s="1" t="s">
        <v>1071</v>
      </c>
      <c r="J1022" s="1" t="s">
        <v>26</v>
      </c>
      <c r="K1022" s="1" t="s">
        <v>2240</v>
      </c>
      <c r="L1022" s="1" t="s">
        <v>26</v>
      </c>
      <c r="M1022" s="1" t="s">
        <v>27</v>
      </c>
      <c r="N1022" s="1" t="s">
        <v>26</v>
      </c>
      <c r="O1022" s="1" t="s">
        <v>26</v>
      </c>
      <c r="P1022" s="4">
        <v>45327.7346412037</v>
      </c>
    </row>
    <row r="1023" hidden="1">
      <c r="A1023" s="1" t="s">
        <v>21</v>
      </c>
      <c r="B1023" s="3" t="str">
        <f>HYPERLINK("https://hawk-eye.atlassian.net/browse/HWKREPORT-2399?atlOrigin=eyJpIjoiYzgwYTQ0ZjEyNzQzNGJhN2JmNjEyZTM0NmRhZWZhNjIiLCJwIjoic2hlZXRzLWppcmEifQ","HWKREPORT-2399")</f>
        <v>HWKREPORT-2399</v>
      </c>
      <c r="C1023" s="1" t="s">
        <v>2241</v>
      </c>
      <c r="D1023" s="1" t="s">
        <v>23</v>
      </c>
      <c r="E1023" s="1" t="s">
        <v>35</v>
      </c>
      <c r="F1023" s="4">
        <v>45204.632372685184</v>
      </c>
      <c r="G1023" s="3" t="str">
        <f>HYPERLINK("https://hawk-eye.atlassian.net/browse/RTT-7319?atlOrigin=eyJpIjoiYzgwYTQ0ZjEyNzQzNGJhN2JmNjEyZTM0NmRhZWZhNjIiLCJwIjoic2hlZXRzLWppcmEifQ","RTT-7319")</f>
        <v>RTT-7319</v>
      </c>
      <c r="H1023" s="1" t="s">
        <v>1058</v>
      </c>
      <c r="I1023" s="1" t="s">
        <v>1071</v>
      </c>
      <c r="J1023" s="1" t="s">
        <v>26</v>
      </c>
      <c r="K1023" s="1" t="s">
        <v>1072</v>
      </c>
      <c r="L1023" s="1" t="s">
        <v>26</v>
      </c>
      <c r="M1023" s="1" t="s">
        <v>27</v>
      </c>
      <c r="N1023" s="1" t="s">
        <v>26</v>
      </c>
      <c r="O1023" s="1" t="s">
        <v>26</v>
      </c>
      <c r="P1023" s="4">
        <v>45545.698599537034</v>
      </c>
    </row>
    <row r="1024" hidden="1">
      <c r="A1024" s="1" t="s">
        <v>21</v>
      </c>
      <c r="B1024" s="3" t="str">
        <f>HYPERLINK("https://hawk-eye.atlassian.net/browse/HWKREPORT-2400?atlOrigin=eyJpIjoiYzgwYTQ0ZjEyNzQzNGJhN2JmNjEyZTM0NmRhZWZhNjIiLCJwIjoic2hlZXRzLWppcmEifQ","HWKREPORT-2400")</f>
        <v>HWKREPORT-2400</v>
      </c>
      <c r="C1024" s="1" t="s">
        <v>2242</v>
      </c>
      <c r="D1024" s="1" t="s">
        <v>48</v>
      </c>
      <c r="E1024" s="1" t="s">
        <v>35</v>
      </c>
      <c r="F1024" s="4">
        <v>45204.636469907404</v>
      </c>
      <c r="G1024" s="3" t="str">
        <f>HYPERLINK("https://hawk-eye.atlassian.net/browse/RTT-7320?atlOrigin=eyJpIjoiYzgwYTQ0ZjEyNzQzNGJhN2JmNjEyZTM0NmRhZWZhNjIiLCJwIjoic2hlZXRzLWppcmEifQ","RTT-7320")</f>
        <v>RTT-7320</v>
      </c>
      <c r="H1024" s="1" t="s">
        <v>1058</v>
      </c>
      <c r="I1024" s="1" t="s">
        <v>1071</v>
      </c>
      <c r="J1024" s="1" t="s">
        <v>26</v>
      </c>
      <c r="K1024" s="1" t="s">
        <v>1072</v>
      </c>
      <c r="L1024" s="1" t="s">
        <v>26</v>
      </c>
      <c r="M1024" s="1" t="s">
        <v>27</v>
      </c>
      <c r="N1024" s="1" t="s">
        <v>26</v>
      </c>
      <c r="O1024" s="1" t="s">
        <v>26</v>
      </c>
      <c r="P1024" s="4">
        <v>45545.69831018519</v>
      </c>
    </row>
    <row r="1025" hidden="1">
      <c r="A1025" s="1" t="s">
        <v>21</v>
      </c>
      <c r="B1025" s="3" t="str">
        <f>HYPERLINK("https://hawk-eye.atlassian.net/browse/HWKREPORT-2401?atlOrigin=eyJpIjoiYzgwYTQ0ZjEyNzQzNGJhN2JmNjEyZTM0NmRhZWZhNjIiLCJwIjoic2hlZXRzLWppcmEifQ","HWKREPORT-2401")</f>
        <v>HWKREPORT-2401</v>
      </c>
      <c r="C1025" s="1" t="s">
        <v>2243</v>
      </c>
      <c r="D1025" s="1" t="s">
        <v>23</v>
      </c>
      <c r="E1025" s="1" t="s">
        <v>35</v>
      </c>
      <c r="F1025" s="4">
        <v>45204.63976851852</v>
      </c>
      <c r="G1025" s="3" t="str">
        <f>HYPERLINK("https://hawk-eye.atlassian.net/browse/RTT-7318?atlOrigin=eyJpIjoiYzgwYTQ0ZjEyNzQzNGJhN2JmNjEyZTM0NmRhZWZhNjIiLCJwIjoic2hlZXRzLWppcmEifQ","RTT-7318")</f>
        <v>RTT-7318</v>
      </c>
      <c r="H1025" s="1" t="s">
        <v>1058</v>
      </c>
      <c r="I1025" s="1" t="s">
        <v>1071</v>
      </c>
      <c r="J1025" s="1" t="s">
        <v>26</v>
      </c>
      <c r="K1025" s="1" t="s">
        <v>1072</v>
      </c>
      <c r="L1025" s="1" t="s">
        <v>26</v>
      </c>
      <c r="M1025" s="1" t="s">
        <v>27</v>
      </c>
      <c r="N1025" s="1" t="s">
        <v>26</v>
      </c>
      <c r="O1025" s="1" t="s">
        <v>26</v>
      </c>
      <c r="P1025" s="4">
        <v>45545.69893518519</v>
      </c>
    </row>
    <row r="1026" hidden="1">
      <c r="A1026" s="1" t="s">
        <v>21</v>
      </c>
      <c r="B1026" s="3" t="str">
        <f>HYPERLINK("https://hawk-eye.atlassian.net/browse/HWKREPORT-2402?atlOrigin=eyJpIjoiYzgwYTQ0ZjEyNzQzNGJhN2JmNjEyZTM0NmRhZWZhNjIiLCJwIjoic2hlZXRzLWppcmEifQ","HWKREPORT-2402")</f>
        <v>HWKREPORT-2402</v>
      </c>
      <c r="C1026" s="1" t="s">
        <v>2244</v>
      </c>
      <c r="D1026" s="1" t="s">
        <v>23</v>
      </c>
      <c r="E1026" s="1" t="s">
        <v>35</v>
      </c>
      <c r="F1026" s="4">
        <v>45204.64475694444</v>
      </c>
      <c r="G1026" s="3" t="str">
        <f>HYPERLINK("https://hawk-eye.atlassian.net/browse/RTT-7317?atlOrigin=eyJpIjoiYzgwYTQ0ZjEyNzQzNGJhN2JmNjEyZTM0NmRhZWZhNjIiLCJwIjoic2hlZXRzLWppcmEifQ","RTT-7317")</f>
        <v>RTT-7317</v>
      </c>
      <c r="H1026" s="1" t="s">
        <v>1058</v>
      </c>
      <c r="I1026" s="1" t="s">
        <v>1071</v>
      </c>
      <c r="J1026" s="1" t="s">
        <v>26</v>
      </c>
      <c r="K1026" s="1" t="s">
        <v>1072</v>
      </c>
      <c r="L1026" s="1" t="s">
        <v>26</v>
      </c>
      <c r="M1026" s="1" t="s">
        <v>27</v>
      </c>
      <c r="N1026" s="1" t="s">
        <v>26</v>
      </c>
      <c r="O1026" s="1" t="s">
        <v>26</v>
      </c>
      <c r="P1026" s="4">
        <v>45476.408738425926</v>
      </c>
    </row>
    <row r="1027" hidden="1">
      <c r="A1027" s="1" t="s">
        <v>21</v>
      </c>
      <c r="B1027" s="3" t="str">
        <f>HYPERLINK("https://hawk-eye.atlassian.net/browse/HWKREPORT-2403?atlOrigin=eyJpIjoiYzgwYTQ0ZjEyNzQzNGJhN2JmNjEyZTM0NmRhZWZhNjIiLCJwIjoic2hlZXRzLWppcmEifQ","HWKREPORT-2403")</f>
        <v>HWKREPORT-2403</v>
      </c>
      <c r="C1027" s="1" t="s">
        <v>2245</v>
      </c>
      <c r="D1027" s="1" t="s">
        <v>23</v>
      </c>
      <c r="E1027" s="1" t="s">
        <v>1057</v>
      </c>
      <c r="F1027" s="4">
        <v>45204.65243055556</v>
      </c>
      <c r="G1027" s="3" t="str">
        <f t="shared" ref="G1027:G1028" si="95">HYPERLINK("https://hawk-eye.atlassian.net/browse/?atlOrigin=eyJpIjoiYzgwYTQ0ZjEyNzQzNGJhN2JmNjEyZTM0NmRhZWZhNjIiLCJwIjoic2hlZXRzLWppcmEifQ","")</f>
        <v/>
      </c>
      <c r="H1027" s="1" t="s">
        <v>1058</v>
      </c>
      <c r="I1027" s="1" t="s">
        <v>1071</v>
      </c>
      <c r="J1027" s="1" t="s">
        <v>26</v>
      </c>
      <c r="K1027" s="1" t="s">
        <v>1072</v>
      </c>
      <c r="L1027" s="1" t="s">
        <v>26</v>
      </c>
      <c r="M1027" s="1" t="s">
        <v>27</v>
      </c>
      <c r="N1027" s="1" t="s">
        <v>26</v>
      </c>
      <c r="O1027" s="1" t="s">
        <v>26</v>
      </c>
      <c r="P1027" s="4">
        <v>45204.65244212963</v>
      </c>
    </row>
    <row r="1028" hidden="1">
      <c r="A1028" s="1" t="s">
        <v>21</v>
      </c>
      <c r="B1028" s="3" t="str">
        <f>HYPERLINK("https://hawk-eye.atlassian.net/browse/HWKREPORT-2404?atlOrigin=eyJpIjoiYzgwYTQ0ZjEyNzQzNGJhN2JmNjEyZTM0NmRhZWZhNjIiLCJwIjoic2hlZXRzLWppcmEifQ","HWKREPORT-2404")</f>
        <v>HWKREPORT-2404</v>
      </c>
      <c r="C1028" s="1" t="s">
        <v>2246</v>
      </c>
      <c r="D1028" s="1" t="s">
        <v>34</v>
      </c>
      <c r="E1028" s="1" t="s">
        <v>1057</v>
      </c>
      <c r="F1028" s="4">
        <v>45204.716574074075</v>
      </c>
      <c r="G1028" s="3" t="str">
        <f t="shared" si="95"/>
        <v/>
      </c>
      <c r="H1028" s="1" t="s">
        <v>1058</v>
      </c>
      <c r="I1028" s="1" t="s">
        <v>1071</v>
      </c>
      <c r="J1028" s="1" t="s">
        <v>26</v>
      </c>
      <c r="K1028" s="1" t="s">
        <v>1099</v>
      </c>
      <c r="L1028" s="1" t="s">
        <v>26</v>
      </c>
      <c r="M1028" s="1" t="s">
        <v>27</v>
      </c>
      <c r="N1028" s="1" t="s">
        <v>26</v>
      </c>
      <c r="O1028" s="1" t="s">
        <v>26</v>
      </c>
      <c r="P1028" s="4">
        <v>45204.71658564815</v>
      </c>
    </row>
    <row r="1029" hidden="1">
      <c r="A1029" s="1" t="s">
        <v>21</v>
      </c>
      <c r="B1029" s="3" t="str">
        <f>HYPERLINK("https://hawk-eye.atlassian.net/browse/HWKREPORT-2405?atlOrigin=eyJpIjoiYzgwYTQ0ZjEyNzQzNGJhN2JmNjEyZTM0NmRhZWZhNjIiLCJwIjoic2hlZXRzLWppcmEifQ","HWKREPORT-2405")</f>
        <v>HWKREPORT-2405</v>
      </c>
      <c r="C1029" s="1" t="s">
        <v>2247</v>
      </c>
      <c r="D1029" s="1" t="s">
        <v>23</v>
      </c>
      <c r="E1029" s="1" t="s">
        <v>1057</v>
      </c>
      <c r="F1029" s="4">
        <v>45205.81966435185</v>
      </c>
      <c r="G1029" s="3" t="str">
        <f>HYPERLINK("https://hawk-eye.atlassian.net/browse/BMP-149?atlOrigin=eyJpIjoiYzgwYTQ0ZjEyNzQzNGJhN2JmNjEyZTM0NmRhZWZhNjIiLCJwIjoic2hlZXRzLWppcmEifQ","BMP-149")</f>
        <v>BMP-149</v>
      </c>
      <c r="H1029" s="1" t="s">
        <v>1058</v>
      </c>
      <c r="I1029" s="1" t="s">
        <v>1071</v>
      </c>
      <c r="J1029" s="1" t="s">
        <v>26</v>
      </c>
      <c r="K1029" s="1" t="s">
        <v>1130</v>
      </c>
      <c r="L1029" s="1" t="s">
        <v>26</v>
      </c>
      <c r="M1029" s="1" t="s">
        <v>27</v>
      </c>
      <c r="N1029" s="1" t="s">
        <v>26</v>
      </c>
      <c r="O1029" s="1" t="s">
        <v>26</v>
      </c>
      <c r="P1029" s="4">
        <v>45205.81967592592</v>
      </c>
    </row>
    <row r="1030" hidden="1">
      <c r="A1030" s="1" t="s">
        <v>21</v>
      </c>
      <c r="B1030" s="3" t="str">
        <f>HYPERLINK("https://hawk-eye.atlassian.net/browse/HWKREPORT-2406?atlOrigin=eyJpIjoiYzgwYTQ0ZjEyNzQzNGJhN2JmNjEyZTM0NmRhZWZhNjIiLCJwIjoic2hlZXRzLWppcmEifQ","HWKREPORT-2406")</f>
        <v>HWKREPORT-2406</v>
      </c>
      <c r="C1030" s="1" t="s">
        <v>2248</v>
      </c>
      <c r="D1030" s="1" t="s">
        <v>34</v>
      </c>
      <c r="E1030" s="1" t="s">
        <v>35</v>
      </c>
      <c r="F1030" s="4">
        <v>45208.495787037034</v>
      </c>
      <c r="G1030" s="3" t="str">
        <f>HYPERLINK("https://hawk-eye.atlassian.net/browse/GT-1228?atlOrigin=eyJpIjoiYzgwYTQ0ZjEyNzQzNGJhN2JmNjEyZTM0NmRhZWZhNjIiLCJwIjoic2hlZXRzLWppcmEifQ","GT-1228")</f>
        <v>GT-1228</v>
      </c>
      <c r="H1030" s="1" t="s">
        <v>1058</v>
      </c>
      <c r="I1030" s="1" t="s">
        <v>1082</v>
      </c>
      <c r="J1030" s="1" t="s">
        <v>26</v>
      </c>
      <c r="K1030" s="1" t="s">
        <v>1148</v>
      </c>
      <c r="L1030" s="1" t="s">
        <v>26</v>
      </c>
      <c r="M1030" s="1" t="s">
        <v>27</v>
      </c>
      <c r="N1030" s="1" t="s">
        <v>26</v>
      </c>
      <c r="O1030" s="1" t="s">
        <v>26</v>
      </c>
      <c r="P1030" s="4">
        <v>45406.40730324074</v>
      </c>
    </row>
    <row r="1031" hidden="1">
      <c r="A1031" s="1" t="s">
        <v>21</v>
      </c>
      <c r="B1031" s="3" t="str">
        <f>HYPERLINK("https://hawk-eye.atlassian.net/browse/HWKREPORT-2407?atlOrigin=eyJpIjoiYzgwYTQ0ZjEyNzQzNGJhN2JmNjEyZTM0NmRhZWZhNjIiLCJwIjoic2hlZXRzLWppcmEifQ","HWKREPORT-2407")</f>
        <v>HWKREPORT-2407</v>
      </c>
      <c r="C1031" s="1" t="s">
        <v>2249</v>
      </c>
      <c r="D1031" s="1" t="s">
        <v>34</v>
      </c>
      <c r="E1031" s="1" t="s">
        <v>1057</v>
      </c>
      <c r="F1031" s="4">
        <v>45208.50482638889</v>
      </c>
      <c r="G1031" s="3" t="str">
        <f>HYPERLINK("https://hawk-eye.atlassian.net/browse/GT-1229?atlOrigin=eyJpIjoiYzgwYTQ0ZjEyNzQzNGJhN2JmNjEyZTM0NmRhZWZhNjIiLCJwIjoic2hlZXRzLWppcmEifQ","GT-1229")</f>
        <v>GT-1229</v>
      </c>
      <c r="H1031" s="1" t="s">
        <v>1058</v>
      </c>
      <c r="I1031" s="1" t="s">
        <v>1082</v>
      </c>
      <c r="J1031" s="1" t="s">
        <v>26</v>
      </c>
      <c r="K1031" s="1" t="s">
        <v>1148</v>
      </c>
      <c r="L1031" s="1" t="s">
        <v>26</v>
      </c>
      <c r="M1031" s="1" t="s">
        <v>27</v>
      </c>
      <c r="N1031" s="1" t="s">
        <v>26</v>
      </c>
      <c r="O1031" s="1" t="s">
        <v>26</v>
      </c>
      <c r="P1031" s="4">
        <v>45208.504837962966</v>
      </c>
    </row>
    <row r="1032" hidden="1">
      <c r="A1032" s="1" t="s">
        <v>21</v>
      </c>
      <c r="B1032" s="3" t="str">
        <f>HYPERLINK("https://hawk-eye.atlassian.net/browse/HWKREPORT-2408?atlOrigin=eyJpIjoiYzgwYTQ0ZjEyNzQzNGJhN2JmNjEyZTM0NmRhZWZhNjIiLCJwIjoic2hlZXRzLWppcmEifQ","HWKREPORT-2408")</f>
        <v>HWKREPORT-2408</v>
      </c>
      <c r="C1032" s="1" t="s">
        <v>2250</v>
      </c>
      <c r="D1032" s="1" t="s">
        <v>40</v>
      </c>
      <c r="E1032" s="1" t="s">
        <v>1057</v>
      </c>
      <c r="F1032" s="4">
        <v>45208.50991898148</v>
      </c>
      <c r="G1032" s="3" t="str">
        <f>HYPERLINK("https://hawk-eye.atlassian.net/browse/GT-1230?atlOrigin=eyJpIjoiYzgwYTQ0ZjEyNzQzNGJhN2JmNjEyZTM0NmRhZWZhNjIiLCJwIjoic2hlZXRzLWppcmEifQ","GT-1230")</f>
        <v>GT-1230</v>
      </c>
      <c r="H1032" s="1" t="s">
        <v>1058</v>
      </c>
      <c r="I1032" s="1" t="s">
        <v>1082</v>
      </c>
      <c r="J1032" s="1" t="s">
        <v>26</v>
      </c>
      <c r="K1032" s="1" t="s">
        <v>1114</v>
      </c>
      <c r="L1032" s="1" t="s">
        <v>26</v>
      </c>
      <c r="M1032" s="1" t="s">
        <v>27</v>
      </c>
      <c r="N1032" s="1" t="s">
        <v>26</v>
      </c>
      <c r="O1032" s="1" t="s">
        <v>26</v>
      </c>
      <c r="P1032" s="4">
        <v>45208.50991898148</v>
      </c>
    </row>
    <row r="1033" hidden="1">
      <c r="A1033" s="1" t="s">
        <v>1055</v>
      </c>
      <c r="B1033" s="3" t="str">
        <f>HYPERLINK("https://hawk-eye.atlassian.net/browse/HWKREPORT-2409?atlOrigin=eyJpIjoiYzgwYTQ0ZjEyNzQzNGJhN2JmNjEyZTM0NmRhZWZhNjIiLCJwIjoic2hlZXRzLWppcmEifQ","HWKREPORT-2409")</f>
        <v>HWKREPORT-2409</v>
      </c>
      <c r="C1033" s="1" t="s">
        <v>2251</v>
      </c>
      <c r="D1033" s="1" t="s">
        <v>48</v>
      </c>
      <c r="E1033" s="1" t="s">
        <v>1057</v>
      </c>
      <c r="F1033" s="4">
        <v>45208.52363425926</v>
      </c>
      <c r="G1033" s="3" t="str">
        <f>HYPERLINK("https://hawk-eye.atlassian.net/browse/?atlOrigin=eyJpIjoiYzgwYTQ0ZjEyNzQzNGJhN2JmNjEyZTM0NmRhZWZhNjIiLCJwIjoic2hlZXRzLWppcmEifQ","")</f>
        <v/>
      </c>
      <c r="H1033" s="1" t="s">
        <v>1058</v>
      </c>
      <c r="I1033" s="1" t="s">
        <v>1082</v>
      </c>
      <c r="J1033" s="1" t="s">
        <v>26</v>
      </c>
      <c r="K1033" s="1" t="s">
        <v>1148</v>
      </c>
      <c r="L1033" s="1" t="s">
        <v>26</v>
      </c>
      <c r="M1033" s="1" t="s">
        <v>27</v>
      </c>
      <c r="N1033" s="1" t="s">
        <v>26</v>
      </c>
      <c r="O1033" s="1" t="s">
        <v>26</v>
      </c>
      <c r="P1033" s="4">
        <v>45208.52363425926</v>
      </c>
    </row>
    <row r="1034" hidden="1">
      <c r="A1034" s="1" t="s">
        <v>21</v>
      </c>
      <c r="B1034" s="3" t="str">
        <f>HYPERLINK("https://hawk-eye.atlassian.net/browse/HWKREPORT-2410?atlOrigin=eyJpIjoiYzgwYTQ0ZjEyNzQzNGJhN2JmNjEyZTM0NmRhZWZhNjIiLCJwIjoic2hlZXRzLWppcmEifQ","HWKREPORT-2410")</f>
        <v>HWKREPORT-2410</v>
      </c>
      <c r="C1034" s="1" t="s">
        <v>2252</v>
      </c>
      <c r="D1034" s="1" t="s">
        <v>34</v>
      </c>
      <c r="E1034" s="1" t="s">
        <v>35</v>
      </c>
      <c r="F1034" s="4">
        <v>45208.64467592593</v>
      </c>
      <c r="G1034" s="3" t="str">
        <f>HYPERLINK("https://hawk-eye.atlassian.net/browse/AT-1115?atlOrigin=eyJpIjoiYzgwYTQ0ZjEyNzQzNGJhN2JmNjEyZTM0NmRhZWZhNjIiLCJwIjoic2hlZXRzLWppcmEifQ","AT-1115")</f>
        <v>AT-1115</v>
      </c>
      <c r="H1034" s="1" t="s">
        <v>1058</v>
      </c>
      <c r="I1034" s="1" t="s">
        <v>1082</v>
      </c>
      <c r="J1034" s="1" t="s">
        <v>26</v>
      </c>
      <c r="K1034" s="1" t="s">
        <v>1148</v>
      </c>
      <c r="L1034" s="1" t="s">
        <v>26</v>
      </c>
      <c r="M1034" s="1" t="s">
        <v>27</v>
      </c>
      <c r="N1034" s="1" t="s">
        <v>26</v>
      </c>
      <c r="O1034" s="1" t="s">
        <v>26</v>
      </c>
      <c r="P1034" s="4">
        <v>45212.61349537037</v>
      </c>
    </row>
    <row r="1035" hidden="1">
      <c r="A1035" s="1" t="s">
        <v>21</v>
      </c>
      <c r="B1035" s="3" t="str">
        <f>HYPERLINK("https://hawk-eye.atlassian.net/browse/HWKREPORT-2411?atlOrigin=eyJpIjoiYzgwYTQ0ZjEyNzQzNGJhN2JmNjEyZTM0NmRhZWZhNjIiLCJwIjoic2hlZXRzLWppcmEifQ","HWKREPORT-2411")</f>
        <v>HWKREPORT-2411</v>
      </c>
      <c r="C1035" s="1" t="s">
        <v>2253</v>
      </c>
      <c r="D1035" s="1" t="s">
        <v>23</v>
      </c>
      <c r="E1035" s="1" t="s">
        <v>1057</v>
      </c>
      <c r="F1035" s="4">
        <v>45208.66631944444</v>
      </c>
      <c r="G1035" s="3" t="str">
        <f>HYPERLINK("https://hawk-eye.atlassian.net/browse/GT-1227?atlOrigin=eyJpIjoiYzgwYTQ0ZjEyNzQzNGJhN2JmNjEyZTM0NmRhZWZhNjIiLCJwIjoic2hlZXRzLWppcmEifQ","GT-1227")</f>
        <v>GT-1227</v>
      </c>
      <c r="H1035" s="1" t="s">
        <v>1058</v>
      </c>
      <c r="I1035" s="1" t="s">
        <v>1082</v>
      </c>
      <c r="J1035" s="1" t="s">
        <v>26</v>
      </c>
      <c r="K1035" s="1" t="s">
        <v>1148</v>
      </c>
      <c r="L1035" s="1" t="s">
        <v>26</v>
      </c>
      <c r="M1035" s="1" t="s">
        <v>27</v>
      </c>
      <c r="N1035" s="1" t="s">
        <v>26</v>
      </c>
      <c r="O1035" s="1" t="s">
        <v>26</v>
      </c>
      <c r="P1035" s="4">
        <v>45208.66631944444</v>
      </c>
    </row>
    <row r="1036" hidden="1">
      <c r="A1036" s="1" t="s">
        <v>21</v>
      </c>
      <c r="B1036" s="3" t="str">
        <f>HYPERLINK("https://hawk-eye.atlassian.net/browse/HWKREPORT-2412?atlOrigin=eyJpIjoiYzgwYTQ0ZjEyNzQzNGJhN2JmNjEyZTM0NmRhZWZhNjIiLCJwIjoic2hlZXRzLWppcmEifQ","HWKREPORT-2412")</f>
        <v>HWKREPORT-2412</v>
      </c>
      <c r="C1036" s="1" t="s">
        <v>2254</v>
      </c>
      <c r="D1036" s="1" t="s">
        <v>23</v>
      </c>
      <c r="E1036" s="1" t="s">
        <v>35</v>
      </c>
      <c r="F1036" s="4">
        <v>45208.83391203704</v>
      </c>
      <c r="G1036" s="3" t="str">
        <f>HYPERLINK("https://hawk-eye.atlassian.net/browse/RTT-7586?atlOrigin=eyJpIjoiYzgwYTQ0ZjEyNzQzNGJhN2JmNjEyZTM0NmRhZWZhNjIiLCJwIjoic2hlZXRzLWppcmEifQ","RTT-7586")</f>
        <v>RTT-7586</v>
      </c>
      <c r="H1036" s="1" t="s">
        <v>1058</v>
      </c>
      <c r="I1036" s="1" t="s">
        <v>1071</v>
      </c>
      <c r="J1036" s="1" t="s">
        <v>26</v>
      </c>
      <c r="K1036" s="1" t="s">
        <v>1072</v>
      </c>
      <c r="L1036" s="1" t="s">
        <v>26</v>
      </c>
      <c r="M1036" s="1" t="s">
        <v>27</v>
      </c>
      <c r="N1036" s="1" t="s">
        <v>26</v>
      </c>
      <c r="O1036" s="1" t="s">
        <v>26</v>
      </c>
      <c r="P1036" s="4">
        <v>45574.40083333333</v>
      </c>
    </row>
    <row r="1037" hidden="1">
      <c r="A1037" s="1" t="s">
        <v>21</v>
      </c>
      <c r="B1037" s="3" t="str">
        <f>HYPERLINK("https://hawk-eye.atlassian.net/browse/HWKREPORT-2413?atlOrigin=eyJpIjoiYzgwYTQ0ZjEyNzQzNGJhN2JmNjEyZTM0NmRhZWZhNjIiLCJwIjoic2hlZXRzLWppcmEifQ","HWKREPORT-2413")</f>
        <v>HWKREPORT-2413</v>
      </c>
      <c r="C1037" s="1" t="s">
        <v>2255</v>
      </c>
      <c r="D1037" s="1" t="s">
        <v>23</v>
      </c>
      <c r="E1037" s="1" t="s">
        <v>1057</v>
      </c>
      <c r="F1037" s="4">
        <v>45208.85334490741</v>
      </c>
      <c r="G1037" s="3" t="str">
        <f>HYPERLINK("https://hawk-eye.atlassian.net/browse/?atlOrigin=eyJpIjoiYzgwYTQ0ZjEyNzQzNGJhN2JmNjEyZTM0NmRhZWZhNjIiLCJwIjoic2hlZXRzLWppcmEifQ","")</f>
        <v/>
      </c>
      <c r="H1037" s="1" t="s">
        <v>1058</v>
      </c>
      <c r="I1037" s="1" t="s">
        <v>1071</v>
      </c>
      <c r="J1037" s="1" t="s">
        <v>26</v>
      </c>
      <c r="K1037" s="1" t="s">
        <v>1312</v>
      </c>
      <c r="L1037" s="1" t="s">
        <v>26</v>
      </c>
      <c r="M1037" s="1" t="s">
        <v>27</v>
      </c>
      <c r="N1037" s="1" t="s">
        <v>26</v>
      </c>
      <c r="O1037" s="1" t="s">
        <v>26</v>
      </c>
      <c r="P1037" s="4">
        <v>45208.85334490741</v>
      </c>
    </row>
    <row r="1038" hidden="1">
      <c r="A1038" s="1" t="s">
        <v>1055</v>
      </c>
      <c r="B1038" s="3" t="str">
        <f>HYPERLINK("https://hawk-eye.atlassian.net/browse/HWKREPORT-2414?atlOrigin=eyJpIjoiYzgwYTQ0ZjEyNzQzNGJhN2JmNjEyZTM0NmRhZWZhNjIiLCJwIjoic2hlZXRzLWppcmEifQ","HWKREPORT-2414")</f>
        <v>HWKREPORT-2414</v>
      </c>
      <c r="C1038" s="1" t="s">
        <v>2256</v>
      </c>
      <c r="D1038" s="1" t="s">
        <v>48</v>
      </c>
      <c r="E1038" s="1" t="s">
        <v>1091</v>
      </c>
      <c r="F1038" s="4">
        <v>45209.623402777775</v>
      </c>
      <c r="G1038" s="3" t="str">
        <f>HYPERLINK("https://hawk-eye.atlassian.net/browse/RTT-7709?atlOrigin=eyJpIjoiYzgwYTQ0ZjEyNzQzNGJhN2JmNjEyZTM0NmRhZWZhNjIiLCJwIjoic2hlZXRzLWppcmEifQ","RTT-7709")</f>
        <v>RTT-7709</v>
      </c>
      <c r="H1038" s="1" t="s">
        <v>1058</v>
      </c>
      <c r="I1038" s="1" t="s">
        <v>1071</v>
      </c>
      <c r="J1038" s="1" t="s">
        <v>26</v>
      </c>
      <c r="K1038" s="1" t="s">
        <v>1072</v>
      </c>
      <c r="L1038" s="1" t="s">
        <v>26</v>
      </c>
      <c r="M1038" s="1" t="s">
        <v>27</v>
      </c>
      <c r="N1038" s="1" t="s">
        <v>26</v>
      </c>
      <c r="O1038" s="1" t="s">
        <v>26</v>
      </c>
      <c r="P1038" s="4">
        <v>45209.623402777775</v>
      </c>
    </row>
    <row r="1039" hidden="1">
      <c r="A1039" s="1" t="s">
        <v>1055</v>
      </c>
      <c r="B1039" s="3" t="str">
        <f>HYPERLINK("https://hawk-eye.atlassian.net/browse/HWKREPORT-2415?atlOrigin=eyJpIjoiYzgwYTQ0ZjEyNzQzNGJhN2JmNjEyZTM0NmRhZWZhNjIiLCJwIjoic2hlZXRzLWppcmEifQ","HWKREPORT-2415")</f>
        <v>HWKREPORT-2415</v>
      </c>
      <c r="C1039" s="1" t="s">
        <v>2257</v>
      </c>
      <c r="D1039" s="1" t="s">
        <v>48</v>
      </c>
      <c r="E1039" s="1" t="s">
        <v>1057</v>
      </c>
      <c r="F1039" s="4">
        <v>45209.625763888886</v>
      </c>
      <c r="G1039" s="3" t="str">
        <f t="shared" ref="G1039:G1040" si="96">HYPERLINK("https://hawk-eye.atlassian.net/browse/?atlOrigin=eyJpIjoiYzgwYTQ0ZjEyNzQzNGJhN2JmNjEyZTM0NmRhZWZhNjIiLCJwIjoic2hlZXRzLWppcmEifQ","")</f>
        <v/>
      </c>
      <c r="H1039" s="1" t="s">
        <v>1058</v>
      </c>
      <c r="I1039" s="1" t="s">
        <v>1071</v>
      </c>
      <c r="J1039" s="1" t="s">
        <v>26</v>
      </c>
      <c r="K1039" s="1" t="s">
        <v>1130</v>
      </c>
      <c r="L1039" s="1" t="s">
        <v>26</v>
      </c>
      <c r="M1039" s="1" t="s">
        <v>27</v>
      </c>
      <c r="N1039" s="1" t="s">
        <v>26</v>
      </c>
      <c r="O1039" s="1" t="s">
        <v>26</v>
      </c>
      <c r="P1039" s="4">
        <v>45209.62577546296</v>
      </c>
    </row>
    <row r="1040" hidden="1">
      <c r="A1040" s="1" t="s">
        <v>1055</v>
      </c>
      <c r="B1040" s="3" t="str">
        <f>HYPERLINK("https://hawk-eye.atlassian.net/browse/HWKREPORT-2416?atlOrigin=eyJpIjoiYzgwYTQ0ZjEyNzQzNGJhN2JmNjEyZTM0NmRhZWZhNjIiLCJwIjoic2hlZXRzLWppcmEifQ","HWKREPORT-2416")</f>
        <v>HWKREPORT-2416</v>
      </c>
      <c r="C1040" s="1" t="s">
        <v>2258</v>
      </c>
      <c r="D1040" s="1" t="s">
        <v>48</v>
      </c>
      <c r="E1040" s="1" t="s">
        <v>1057</v>
      </c>
      <c r="F1040" s="4">
        <v>45209.62982638889</v>
      </c>
      <c r="G1040" s="3" t="str">
        <f t="shared" si="96"/>
        <v/>
      </c>
      <c r="H1040" s="1" t="s">
        <v>1058</v>
      </c>
      <c r="I1040" s="1" t="s">
        <v>1071</v>
      </c>
      <c r="J1040" s="1" t="s">
        <v>26</v>
      </c>
      <c r="K1040" s="1" t="s">
        <v>1762</v>
      </c>
      <c r="L1040" s="1" t="s">
        <v>26</v>
      </c>
      <c r="M1040" s="1" t="s">
        <v>27</v>
      </c>
      <c r="N1040" s="1" t="s">
        <v>26</v>
      </c>
      <c r="O1040" s="1" t="s">
        <v>26</v>
      </c>
      <c r="P1040" s="4">
        <v>45209.629837962966</v>
      </c>
    </row>
    <row r="1041" hidden="1">
      <c r="A1041" s="1" t="s">
        <v>21</v>
      </c>
      <c r="B1041" s="3" t="str">
        <f>HYPERLINK("https://hawk-eye.atlassian.net/browse/HWKREPORT-2417?atlOrigin=eyJpIjoiYzgwYTQ0ZjEyNzQzNGJhN2JmNjEyZTM0NmRhZWZhNjIiLCJwIjoic2hlZXRzLWppcmEifQ","HWKREPORT-2417")</f>
        <v>HWKREPORT-2417</v>
      </c>
      <c r="C1041" s="1" t="s">
        <v>2259</v>
      </c>
      <c r="D1041" s="1" t="s">
        <v>40</v>
      </c>
      <c r="E1041" s="1" t="s">
        <v>1207</v>
      </c>
      <c r="F1041" s="4">
        <v>45209.808587962965</v>
      </c>
      <c r="G1041" s="3" t="str">
        <f>HYPERLINK("https://hawk-eye.atlassian.net/browse/RTT-7383?atlOrigin=eyJpIjoiYzgwYTQ0ZjEyNzQzNGJhN2JmNjEyZTM0NmRhZWZhNjIiLCJwIjoic2hlZXRzLWppcmEifQ","RTT-7383")</f>
        <v>RTT-7383</v>
      </c>
      <c r="H1041" s="1" t="s">
        <v>1058</v>
      </c>
      <c r="I1041" s="1" t="s">
        <v>1085</v>
      </c>
      <c r="J1041" s="1" t="s">
        <v>26</v>
      </c>
      <c r="K1041" s="1" t="s">
        <v>1072</v>
      </c>
      <c r="L1041" s="1" t="s">
        <v>26</v>
      </c>
      <c r="M1041" s="1" t="s">
        <v>27</v>
      </c>
      <c r="N1041" s="1" t="s">
        <v>26</v>
      </c>
      <c r="O1041" s="1" t="s">
        <v>26</v>
      </c>
      <c r="P1041" s="4">
        <v>45245.59787037037</v>
      </c>
    </row>
    <row r="1042" hidden="1">
      <c r="A1042" s="1" t="s">
        <v>1055</v>
      </c>
      <c r="B1042" s="3" t="str">
        <f>HYPERLINK("https://hawk-eye.atlassian.net/browse/HWKREPORT-2418?atlOrigin=eyJpIjoiYzgwYTQ0ZjEyNzQzNGJhN2JmNjEyZTM0NmRhZWZhNjIiLCJwIjoic2hlZXRzLWppcmEifQ","HWKREPORT-2418")</f>
        <v>HWKREPORT-2418</v>
      </c>
      <c r="C1042" s="1" t="s">
        <v>2260</v>
      </c>
      <c r="D1042" s="1" t="s">
        <v>48</v>
      </c>
      <c r="E1042" s="1" t="s">
        <v>1207</v>
      </c>
      <c r="F1042" s="4">
        <v>45209.80863425926</v>
      </c>
      <c r="G1042" s="3" t="str">
        <f>HYPERLINK("https://hawk-eye.atlassian.net/browse/RTT-7256?atlOrigin=eyJpIjoiYzgwYTQ0ZjEyNzQzNGJhN2JmNjEyZTM0NmRhZWZhNjIiLCJwIjoic2hlZXRzLWppcmEifQ","RTT-7256")</f>
        <v>RTT-7256</v>
      </c>
      <c r="H1042" s="1" t="s">
        <v>1058</v>
      </c>
      <c r="I1042" s="1" t="s">
        <v>1085</v>
      </c>
      <c r="J1042" s="1" t="s">
        <v>26</v>
      </c>
      <c r="K1042" s="1" t="s">
        <v>1072</v>
      </c>
      <c r="L1042" s="1" t="s">
        <v>26</v>
      </c>
      <c r="M1042" s="1" t="s">
        <v>27</v>
      </c>
      <c r="N1042" s="1" t="s">
        <v>26</v>
      </c>
      <c r="O1042" s="1" t="s">
        <v>26</v>
      </c>
      <c r="P1042" s="4">
        <v>45217.43417824074</v>
      </c>
    </row>
    <row r="1043" hidden="1">
      <c r="A1043" s="1" t="s">
        <v>1055</v>
      </c>
      <c r="B1043" s="3" t="str">
        <f>HYPERLINK("https://hawk-eye.atlassian.net/browse/HWKREPORT-2419?atlOrigin=eyJpIjoiYzgwYTQ0ZjEyNzQzNGJhN2JmNjEyZTM0NmRhZWZhNjIiLCJwIjoic2hlZXRzLWppcmEifQ","HWKREPORT-2419")</f>
        <v>HWKREPORT-2419</v>
      </c>
      <c r="C1043" s="1" t="s">
        <v>2261</v>
      </c>
      <c r="D1043" s="1" t="s">
        <v>48</v>
      </c>
      <c r="E1043" s="1" t="s">
        <v>1207</v>
      </c>
      <c r="F1043" s="4">
        <v>45209.80866898148</v>
      </c>
      <c r="G1043" s="3" t="str">
        <f>HYPERLINK("https://hawk-eye.atlassian.net/browse/RTT-7255?atlOrigin=eyJpIjoiYzgwYTQ0ZjEyNzQzNGJhN2JmNjEyZTM0NmRhZWZhNjIiLCJwIjoic2hlZXRzLWppcmEifQ","RTT-7255")</f>
        <v>RTT-7255</v>
      </c>
      <c r="H1043" s="1" t="s">
        <v>1058</v>
      </c>
      <c r="I1043" s="1" t="s">
        <v>1085</v>
      </c>
      <c r="J1043" s="1" t="s">
        <v>26</v>
      </c>
      <c r="K1043" s="1" t="s">
        <v>1072</v>
      </c>
      <c r="L1043" s="1" t="s">
        <v>26</v>
      </c>
      <c r="M1043" s="1" t="s">
        <v>27</v>
      </c>
      <c r="N1043" s="1" t="s">
        <v>26</v>
      </c>
      <c r="O1043" s="1" t="s">
        <v>26</v>
      </c>
      <c r="P1043" s="4">
        <v>45217.434212962966</v>
      </c>
    </row>
    <row r="1044" hidden="1">
      <c r="A1044" s="1" t="s">
        <v>21</v>
      </c>
      <c r="B1044" s="3" t="str">
        <f>HYPERLINK("https://hawk-eye.atlassian.net/browse/HWKREPORT-2420?atlOrigin=eyJpIjoiYzgwYTQ0ZjEyNzQzNGJhN2JmNjEyZTM0NmRhZWZhNjIiLCJwIjoic2hlZXRzLWppcmEifQ","HWKREPORT-2420")</f>
        <v>HWKREPORT-2420</v>
      </c>
      <c r="C1044" s="1" t="s">
        <v>2262</v>
      </c>
      <c r="D1044" s="1" t="s">
        <v>23</v>
      </c>
      <c r="E1044" s="1" t="s">
        <v>1207</v>
      </c>
      <c r="F1044" s="4">
        <v>45210.84596064815</v>
      </c>
      <c r="G1044" s="3" t="str">
        <f>HYPERLINK("https://hawk-eye.atlassian.net/browse/RTT-7374?atlOrigin=eyJpIjoiYzgwYTQ0ZjEyNzQzNGJhN2JmNjEyZTM0NmRhZWZhNjIiLCJwIjoic2hlZXRzLWppcmEifQ","RTT-7374")</f>
        <v>RTT-7374</v>
      </c>
      <c r="H1044" s="1" t="s">
        <v>1058</v>
      </c>
      <c r="I1044" s="1" t="s">
        <v>1151</v>
      </c>
      <c r="J1044" s="1" t="s">
        <v>26</v>
      </c>
      <c r="K1044" s="1" t="s">
        <v>1072</v>
      </c>
      <c r="L1044" s="1" t="s">
        <v>26</v>
      </c>
      <c r="M1044" s="1" t="s">
        <v>27</v>
      </c>
      <c r="N1044" s="1" t="s">
        <v>26</v>
      </c>
      <c r="O1044" s="1" t="s">
        <v>26</v>
      </c>
      <c r="P1044" s="4">
        <v>45251.51740740741</v>
      </c>
    </row>
    <row r="1045" hidden="1">
      <c r="A1045" s="1" t="s">
        <v>21</v>
      </c>
      <c r="B1045" s="3" t="str">
        <f>HYPERLINK("https://hawk-eye.atlassian.net/browse/HWKREPORT-2421?atlOrigin=eyJpIjoiYzgwYTQ0ZjEyNzQzNGJhN2JmNjEyZTM0NmRhZWZhNjIiLCJwIjoic2hlZXRzLWppcmEifQ","HWKREPORT-2421")</f>
        <v>HWKREPORT-2421</v>
      </c>
      <c r="C1045" s="1" t="s">
        <v>2263</v>
      </c>
      <c r="D1045" s="1" t="s">
        <v>23</v>
      </c>
      <c r="E1045" s="1" t="s">
        <v>1207</v>
      </c>
      <c r="F1045" s="4">
        <v>45210.91491898148</v>
      </c>
      <c r="G1045" s="3" t="str">
        <f>HYPERLINK("https://hawk-eye.atlassian.net/browse/RTT-7375?atlOrigin=eyJpIjoiYzgwYTQ0ZjEyNzQzNGJhN2JmNjEyZTM0NmRhZWZhNjIiLCJwIjoic2hlZXRzLWppcmEifQ","RTT-7375")</f>
        <v>RTT-7375</v>
      </c>
      <c r="H1045" s="1" t="s">
        <v>1058</v>
      </c>
      <c r="I1045" s="1" t="s">
        <v>1151</v>
      </c>
      <c r="J1045" s="1" t="s">
        <v>26</v>
      </c>
      <c r="K1045" s="1" t="s">
        <v>1072</v>
      </c>
      <c r="L1045" s="1" t="s">
        <v>26</v>
      </c>
      <c r="M1045" s="1" t="s">
        <v>27</v>
      </c>
      <c r="N1045" s="1" t="s">
        <v>26</v>
      </c>
      <c r="O1045" s="1" t="s">
        <v>26</v>
      </c>
      <c r="P1045" s="4">
        <v>45554.70542824074</v>
      </c>
    </row>
    <row r="1046" hidden="1">
      <c r="A1046" s="1" t="s">
        <v>1055</v>
      </c>
      <c r="B1046" s="3" t="str">
        <f>HYPERLINK("https://hawk-eye.atlassian.net/browse/HWKREPORT-2422?atlOrigin=eyJpIjoiYzgwYTQ0ZjEyNzQzNGJhN2JmNjEyZTM0NmRhZWZhNjIiLCJwIjoic2hlZXRzLWppcmEifQ","HWKREPORT-2422")</f>
        <v>HWKREPORT-2422</v>
      </c>
      <c r="C1046" s="1" t="s">
        <v>2264</v>
      </c>
      <c r="D1046" s="1" t="s">
        <v>48</v>
      </c>
      <c r="E1046" s="1" t="s">
        <v>1057</v>
      </c>
      <c r="F1046" s="4">
        <v>45210.94180555556</v>
      </c>
      <c r="G1046" s="3" t="str">
        <f>HYPERLINK("https://hawk-eye.atlassian.net/browse/?atlOrigin=eyJpIjoiYzgwYTQ0ZjEyNzQzNGJhN2JmNjEyZTM0NmRhZWZhNjIiLCJwIjoic2hlZXRzLWppcmEifQ","")</f>
        <v/>
      </c>
      <c r="H1046" s="1" t="s">
        <v>1058</v>
      </c>
      <c r="I1046" s="1" t="s">
        <v>1151</v>
      </c>
      <c r="J1046" s="1" t="s">
        <v>26</v>
      </c>
      <c r="K1046" s="1" t="s">
        <v>1072</v>
      </c>
      <c r="L1046" s="1" t="s">
        <v>26</v>
      </c>
      <c r="M1046" s="1" t="s">
        <v>27</v>
      </c>
      <c r="N1046" s="1" t="s">
        <v>26</v>
      </c>
      <c r="O1046" s="1" t="s">
        <v>26</v>
      </c>
      <c r="P1046" s="4">
        <v>45210.94181712963</v>
      </c>
    </row>
    <row r="1047" hidden="1">
      <c r="A1047" s="1" t="s">
        <v>21</v>
      </c>
      <c r="B1047" s="3" t="str">
        <f>HYPERLINK("https://hawk-eye.atlassian.net/browse/HWKREPORT-2423?atlOrigin=eyJpIjoiYzgwYTQ0ZjEyNzQzNGJhN2JmNjEyZTM0NmRhZWZhNjIiLCJwIjoic2hlZXRzLWppcmEifQ","HWKREPORT-2423")</f>
        <v>HWKREPORT-2423</v>
      </c>
      <c r="C1047" s="1" t="s">
        <v>2265</v>
      </c>
      <c r="D1047" s="1" t="s">
        <v>23</v>
      </c>
      <c r="E1047" s="1" t="s">
        <v>1057</v>
      </c>
      <c r="F1047" s="4">
        <v>45211.495891203704</v>
      </c>
      <c r="G1047" s="3" t="str">
        <f>HYPERLINK("https://hawk-eye.atlassian.net/browse/GT-1235?atlOrigin=eyJpIjoiYzgwYTQ0ZjEyNzQzNGJhN2JmNjEyZTM0NmRhZWZhNjIiLCJwIjoic2hlZXRzLWppcmEifQ","GT-1235")</f>
        <v>GT-1235</v>
      </c>
      <c r="H1047" s="1" t="s">
        <v>1058</v>
      </c>
      <c r="I1047" s="1" t="s">
        <v>1085</v>
      </c>
      <c r="J1047" s="1" t="s">
        <v>26</v>
      </c>
      <c r="K1047" s="1" t="s">
        <v>1105</v>
      </c>
      <c r="L1047" s="1" t="s">
        <v>26</v>
      </c>
      <c r="M1047" s="1" t="s">
        <v>27</v>
      </c>
      <c r="N1047" s="1" t="s">
        <v>26</v>
      </c>
      <c r="O1047" s="1" t="s">
        <v>26</v>
      </c>
      <c r="P1047" s="4">
        <v>45211.495891203704</v>
      </c>
    </row>
    <row r="1048" hidden="1">
      <c r="A1048" s="1" t="s">
        <v>1055</v>
      </c>
      <c r="B1048" s="3" t="str">
        <f>HYPERLINK("https://hawk-eye.atlassian.net/browse/HWKREPORT-2424?atlOrigin=eyJpIjoiYzgwYTQ0ZjEyNzQzNGJhN2JmNjEyZTM0NmRhZWZhNjIiLCJwIjoic2hlZXRzLWppcmEifQ","HWKREPORT-2424")</f>
        <v>HWKREPORT-2424</v>
      </c>
      <c r="C1048" s="1" t="s">
        <v>2266</v>
      </c>
      <c r="D1048" s="1" t="s">
        <v>48</v>
      </c>
      <c r="E1048" s="1" t="s">
        <v>1207</v>
      </c>
      <c r="F1048" s="4">
        <v>45211.64894675926</v>
      </c>
      <c r="G1048" s="3" t="str">
        <f>HYPERLINK("https://hawk-eye.atlassian.net/browse/RTT-7273?atlOrigin=eyJpIjoiYzgwYTQ0ZjEyNzQzNGJhN2JmNjEyZTM0NmRhZWZhNjIiLCJwIjoic2hlZXRzLWppcmEifQ","RTT-7273")</f>
        <v>RTT-7273</v>
      </c>
      <c r="H1048" s="1" t="s">
        <v>1058</v>
      </c>
      <c r="I1048" s="1" t="s">
        <v>1082</v>
      </c>
      <c r="J1048" s="1" t="s">
        <v>26</v>
      </c>
      <c r="K1048" s="1" t="s">
        <v>1309</v>
      </c>
      <c r="L1048" s="1" t="s">
        <v>26</v>
      </c>
      <c r="M1048" s="1" t="s">
        <v>27</v>
      </c>
      <c r="N1048" s="1" t="s">
        <v>26</v>
      </c>
      <c r="O1048" s="1" t="s">
        <v>26</v>
      </c>
      <c r="P1048" s="4">
        <v>45224.5378125</v>
      </c>
    </row>
    <row r="1049" hidden="1">
      <c r="A1049" s="1" t="s">
        <v>1055</v>
      </c>
      <c r="B1049" s="3" t="str">
        <f>HYPERLINK("https://hawk-eye.atlassian.net/browse/HWKREPORT-2425?atlOrigin=eyJpIjoiYzgwYTQ0ZjEyNzQzNGJhN2JmNjEyZTM0NmRhZWZhNjIiLCJwIjoic2hlZXRzLWppcmEifQ","HWKREPORT-2425")</f>
        <v>HWKREPORT-2425</v>
      </c>
      <c r="C1049" s="1" t="s">
        <v>2267</v>
      </c>
      <c r="D1049" s="1" t="s">
        <v>48</v>
      </c>
      <c r="E1049" s="1" t="s">
        <v>1057</v>
      </c>
      <c r="F1049" s="4">
        <v>45211.686875</v>
      </c>
      <c r="G1049" s="3" t="str">
        <f>HYPERLINK("https://hawk-eye.atlassian.net/browse/GT-1384?atlOrigin=eyJpIjoiYzgwYTQ0ZjEyNzQzNGJhN2JmNjEyZTM0NmRhZWZhNjIiLCJwIjoic2hlZXRzLWppcmEifQ","GT-1384")</f>
        <v>GT-1384</v>
      </c>
      <c r="H1049" s="1" t="s">
        <v>1058</v>
      </c>
      <c r="I1049" s="1" t="s">
        <v>1085</v>
      </c>
      <c r="J1049" s="1" t="s">
        <v>26</v>
      </c>
      <c r="K1049" s="1" t="s">
        <v>1105</v>
      </c>
      <c r="L1049" s="1" t="s">
        <v>26</v>
      </c>
      <c r="M1049" s="1" t="s">
        <v>27</v>
      </c>
      <c r="N1049" s="1" t="s">
        <v>26</v>
      </c>
      <c r="O1049" s="1" t="s">
        <v>26</v>
      </c>
      <c r="P1049" s="4">
        <v>45211.686875</v>
      </c>
    </row>
    <row r="1050" hidden="1">
      <c r="A1050" s="1" t="s">
        <v>1055</v>
      </c>
      <c r="B1050" s="3" t="str">
        <f>HYPERLINK("https://hawk-eye.atlassian.net/browse/HWKREPORT-2426?atlOrigin=eyJpIjoiYzgwYTQ0ZjEyNzQzNGJhN2JmNjEyZTM0NmRhZWZhNjIiLCJwIjoic2hlZXRzLWppcmEifQ","HWKREPORT-2426")</f>
        <v>HWKREPORT-2426</v>
      </c>
      <c r="C1050" s="1" t="s">
        <v>2268</v>
      </c>
      <c r="D1050" s="1" t="s">
        <v>48</v>
      </c>
      <c r="E1050" s="1" t="s">
        <v>1057</v>
      </c>
      <c r="F1050" s="4">
        <v>45211.69133101852</v>
      </c>
      <c r="G1050" s="3" t="str">
        <f>HYPERLINK("https://hawk-eye.atlassian.net/browse/GT-1385?atlOrigin=eyJpIjoiYzgwYTQ0ZjEyNzQzNGJhN2JmNjEyZTM0NmRhZWZhNjIiLCJwIjoic2hlZXRzLWppcmEifQ","GT-1385")</f>
        <v>GT-1385</v>
      </c>
      <c r="H1050" s="1" t="s">
        <v>1058</v>
      </c>
      <c r="I1050" s="1" t="s">
        <v>1085</v>
      </c>
      <c r="J1050" s="1" t="s">
        <v>26</v>
      </c>
      <c r="K1050" s="1" t="s">
        <v>1105</v>
      </c>
      <c r="L1050" s="1" t="s">
        <v>26</v>
      </c>
      <c r="M1050" s="1" t="s">
        <v>27</v>
      </c>
      <c r="N1050" s="1" t="s">
        <v>26</v>
      </c>
      <c r="O1050" s="1" t="s">
        <v>26</v>
      </c>
      <c r="P1050" s="4">
        <v>45211.691342592596</v>
      </c>
    </row>
    <row r="1051" hidden="1">
      <c r="A1051" s="1" t="s">
        <v>1055</v>
      </c>
      <c r="B1051" s="3" t="str">
        <f>HYPERLINK("https://hawk-eye.atlassian.net/browse/HWKREPORT-2427?atlOrigin=eyJpIjoiYzgwYTQ0ZjEyNzQzNGJhN2JmNjEyZTM0NmRhZWZhNjIiLCJwIjoic2hlZXRzLWppcmEifQ","HWKREPORT-2427")</f>
        <v>HWKREPORT-2427</v>
      </c>
      <c r="C1051" s="1" t="s">
        <v>2269</v>
      </c>
      <c r="D1051" s="1" t="s">
        <v>48</v>
      </c>
      <c r="E1051" s="1" t="s">
        <v>35</v>
      </c>
      <c r="F1051" s="4">
        <v>45212.59577546296</v>
      </c>
      <c r="G1051" s="3" t="str">
        <f t="shared" ref="G1051:G1052" si="97">HYPERLINK("https://hawk-eye.atlassian.net/browse/?atlOrigin=eyJpIjoiYzgwYTQ0ZjEyNzQzNGJhN2JmNjEyZTM0NmRhZWZhNjIiLCJwIjoic2hlZXRzLWppcmEifQ","")</f>
        <v/>
      </c>
      <c r="H1051" s="1" t="s">
        <v>1058</v>
      </c>
      <c r="I1051" s="1" t="s">
        <v>28</v>
      </c>
      <c r="J1051" s="1" t="s">
        <v>26</v>
      </c>
      <c r="K1051" s="1" t="s">
        <v>1219</v>
      </c>
      <c r="L1051" s="1" t="s">
        <v>26</v>
      </c>
      <c r="M1051" s="1" t="s">
        <v>27</v>
      </c>
      <c r="N1051" s="1" t="s">
        <v>26</v>
      </c>
      <c r="O1051" s="1" t="s">
        <v>26</v>
      </c>
      <c r="P1051" s="4">
        <v>45525.607407407406</v>
      </c>
    </row>
    <row r="1052" hidden="1">
      <c r="A1052" s="1" t="s">
        <v>1055</v>
      </c>
      <c r="B1052" s="3" t="str">
        <f>HYPERLINK("https://hawk-eye.atlassian.net/browse/HWKREPORT-2428?atlOrigin=eyJpIjoiYzgwYTQ0ZjEyNzQzNGJhN2JmNjEyZTM0NmRhZWZhNjIiLCJwIjoic2hlZXRzLWppcmEifQ","HWKREPORT-2428")</f>
        <v>HWKREPORT-2428</v>
      </c>
      <c r="C1052" s="1" t="s">
        <v>2270</v>
      </c>
      <c r="D1052" s="1" t="s">
        <v>48</v>
      </c>
      <c r="E1052" s="1" t="s">
        <v>1057</v>
      </c>
      <c r="F1052" s="4">
        <v>45212.8796875</v>
      </c>
      <c r="G1052" s="3" t="str">
        <f t="shared" si="97"/>
        <v/>
      </c>
      <c r="H1052" s="1" t="s">
        <v>1058</v>
      </c>
      <c r="I1052" s="1" t="s">
        <v>28</v>
      </c>
      <c r="J1052" s="1" t="s">
        <v>26</v>
      </c>
      <c r="K1052" s="1" t="s">
        <v>1072</v>
      </c>
      <c r="L1052" s="1" t="s">
        <v>26</v>
      </c>
      <c r="M1052" s="1" t="s">
        <v>27</v>
      </c>
      <c r="N1052" s="1" t="s">
        <v>26</v>
      </c>
      <c r="O1052" s="1" t="s">
        <v>26</v>
      </c>
      <c r="P1052" s="4">
        <v>45212.879699074074</v>
      </c>
    </row>
    <row r="1053" hidden="1">
      <c r="A1053" s="1" t="s">
        <v>1055</v>
      </c>
      <c r="B1053" s="3" t="str">
        <f>HYPERLINK("https://hawk-eye.atlassian.net/browse/HWKREPORT-2429?atlOrigin=eyJpIjoiYzgwYTQ0ZjEyNzQzNGJhN2JmNjEyZTM0NmRhZWZhNjIiLCJwIjoic2hlZXRzLWppcmEifQ","HWKREPORT-2429")</f>
        <v>HWKREPORT-2429</v>
      </c>
      <c r="C1053" s="1" t="s">
        <v>2271</v>
      </c>
      <c r="D1053" s="1" t="s">
        <v>48</v>
      </c>
      <c r="E1053" s="1" t="s">
        <v>35</v>
      </c>
      <c r="F1053" s="4">
        <v>45215.752488425926</v>
      </c>
      <c r="G1053" s="3" t="str">
        <f>HYPERLINK("https://hawk-eye.atlassian.net/browse/RTT-7285?atlOrigin=eyJpIjoiYzgwYTQ0ZjEyNzQzNGJhN2JmNjEyZTM0NmRhZWZhNjIiLCJwIjoic2hlZXRzLWppcmEifQ","RTT-7285")</f>
        <v>RTT-7285</v>
      </c>
      <c r="H1053" s="1" t="s">
        <v>1058</v>
      </c>
      <c r="I1053" s="1" t="s">
        <v>1085</v>
      </c>
      <c r="J1053" s="1" t="s">
        <v>26</v>
      </c>
      <c r="K1053" s="1" t="s">
        <v>1072</v>
      </c>
      <c r="L1053" s="1" t="s">
        <v>26</v>
      </c>
      <c r="M1053" s="1" t="s">
        <v>27</v>
      </c>
      <c r="N1053" s="1" t="s">
        <v>26</v>
      </c>
      <c r="O1053" s="1" t="s">
        <v>26</v>
      </c>
      <c r="P1053" s="4">
        <v>45240.65400462963</v>
      </c>
    </row>
    <row r="1054" hidden="1">
      <c r="A1054" s="1" t="s">
        <v>1055</v>
      </c>
      <c r="B1054" s="3" t="str">
        <f>HYPERLINK("https://hawk-eye.atlassian.net/browse/HWKREPORT-2430?atlOrigin=eyJpIjoiYzgwYTQ0ZjEyNzQzNGJhN2JmNjEyZTM0NmRhZWZhNjIiLCJwIjoic2hlZXRzLWppcmEifQ","HWKREPORT-2430")</f>
        <v>HWKREPORT-2430</v>
      </c>
      <c r="C1054" s="1" t="s">
        <v>2272</v>
      </c>
      <c r="D1054" s="1" t="s">
        <v>48</v>
      </c>
      <c r="E1054" s="1" t="s">
        <v>35</v>
      </c>
      <c r="F1054" s="4">
        <v>45215.75829861111</v>
      </c>
      <c r="G1054" s="3" t="str">
        <f>HYPERLINK("https://hawk-eye.atlassian.net/browse/RTT-7284?atlOrigin=eyJpIjoiYzgwYTQ0ZjEyNzQzNGJhN2JmNjEyZTM0NmRhZWZhNjIiLCJwIjoic2hlZXRzLWppcmEifQ","RTT-7284")</f>
        <v>RTT-7284</v>
      </c>
      <c r="H1054" s="1" t="s">
        <v>1058</v>
      </c>
      <c r="I1054" s="1" t="s">
        <v>1085</v>
      </c>
      <c r="J1054" s="1" t="s">
        <v>26</v>
      </c>
      <c r="K1054" s="1" t="s">
        <v>1072</v>
      </c>
      <c r="L1054" s="1" t="s">
        <v>26</v>
      </c>
      <c r="M1054" s="1" t="s">
        <v>27</v>
      </c>
      <c r="N1054" s="1" t="s">
        <v>26</v>
      </c>
      <c r="O1054" s="1" t="s">
        <v>26</v>
      </c>
      <c r="P1054" s="4">
        <v>45240.65358796297</v>
      </c>
    </row>
    <row r="1055" hidden="1">
      <c r="A1055" s="1" t="s">
        <v>21</v>
      </c>
      <c r="B1055" s="3" t="str">
        <f>HYPERLINK("https://hawk-eye.atlassian.net/browse/HWKREPORT-2431?atlOrigin=eyJpIjoiYzgwYTQ0ZjEyNzQzNGJhN2JmNjEyZTM0NmRhZWZhNjIiLCJwIjoic2hlZXRzLWppcmEifQ","HWKREPORT-2431")</f>
        <v>HWKREPORT-2431</v>
      </c>
      <c r="C1055" s="1" t="s">
        <v>2273</v>
      </c>
      <c r="D1055" s="1" t="s">
        <v>83</v>
      </c>
      <c r="E1055" s="1" t="s">
        <v>1057</v>
      </c>
      <c r="F1055" s="4">
        <v>45215.76042824074</v>
      </c>
      <c r="G1055" s="3" t="str">
        <f t="shared" ref="G1055:G1056" si="98">HYPERLINK("https://hawk-eye.atlassian.net/browse/?atlOrigin=eyJpIjoiYzgwYTQ0ZjEyNzQzNGJhN2JmNjEyZTM0NmRhZWZhNjIiLCJwIjoic2hlZXRzLWppcmEifQ","")</f>
        <v/>
      </c>
      <c r="H1055" s="1" t="s">
        <v>1058</v>
      </c>
      <c r="I1055" s="1" t="s">
        <v>1085</v>
      </c>
      <c r="J1055" s="1" t="s">
        <v>26</v>
      </c>
      <c r="K1055" s="1" t="s">
        <v>1219</v>
      </c>
      <c r="L1055" s="1" t="s">
        <v>26</v>
      </c>
      <c r="M1055" s="1" t="s">
        <v>27</v>
      </c>
      <c r="N1055" s="1" t="s">
        <v>26</v>
      </c>
      <c r="O1055" s="1" t="s">
        <v>26</v>
      </c>
      <c r="P1055" s="4">
        <v>45215.76042824074</v>
      </c>
    </row>
    <row r="1056" hidden="1">
      <c r="A1056" s="1" t="s">
        <v>1055</v>
      </c>
      <c r="B1056" s="3" t="str">
        <f>HYPERLINK("https://hawk-eye.atlassian.net/browse/HWKREPORT-2432?atlOrigin=eyJpIjoiYzgwYTQ0ZjEyNzQzNGJhN2JmNjEyZTM0NmRhZWZhNjIiLCJwIjoic2hlZXRzLWppcmEifQ","HWKREPORT-2432")</f>
        <v>HWKREPORT-2432</v>
      </c>
      <c r="C1056" s="1" t="s">
        <v>2274</v>
      </c>
      <c r="D1056" s="1" t="s">
        <v>48</v>
      </c>
      <c r="E1056" s="1" t="s">
        <v>1057</v>
      </c>
      <c r="F1056" s="4">
        <v>45215.77825231481</v>
      </c>
      <c r="G1056" s="3" t="str">
        <f t="shared" si="98"/>
        <v/>
      </c>
      <c r="H1056" s="1" t="s">
        <v>1058</v>
      </c>
      <c r="I1056" s="1" t="s">
        <v>1085</v>
      </c>
      <c r="J1056" s="1" t="s">
        <v>26</v>
      </c>
      <c r="K1056" s="1" t="s">
        <v>1219</v>
      </c>
      <c r="L1056" s="1" t="s">
        <v>26</v>
      </c>
      <c r="M1056" s="1" t="s">
        <v>27</v>
      </c>
      <c r="N1056" s="1" t="s">
        <v>26</v>
      </c>
      <c r="O1056" s="1" t="s">
        <v>26</v>
      </c>
      <c r="P1056" s="4">
        <v>45215.77825231481</v>
      </c>
    </row>
    <row r="1057" hidden="1">
      <c r="A1057" s="1" t="s">
        <v>1055</v>
      </c>
      <c r="B1057" s="3" t="str">
        <f>HYPERLINK("https://hawk-eye.atlassian.net/browse/HWKREPORT-2433?atlOrigin=eyJpIjoiYzgwYTQ0ZjEyNzQzNGJhN2JmNjEyZTM0NmRhZWZhNjIiLCJwIjoic2hlZXRzLWppcmEifQ","HWKREPORT-2433")</f>
        <v>HWKREPORT-2433</v>
      </c>
      <c r="C1057" s="1" t="s">
        <v>2275</v>
      </c>
      <c r="D1057" s="1" t="s">
        <v>48</v>
      </c>
      <c r="E1057" s="1" t="s">
        <v>35</v>
      </c>
      <c r="F1057" s="4">
        <v>45215.78261574074</v>
      </c>
      <c r="G1057" s="3" t="str">
        <f>HYPERLINK("https://hawk-eye.atlassian.net/browse/RTT-7314?atlOrigin=eyJpIjoiYzgwYTQ0ZjEyNzQzNGJhN2JmNjEyZTM0NmRhZWZhNjIiLCJwIjoic2hlZXRzLWppcmEifQ","RTT-7314")</f>
        <v>RTT-7314</v>
      </c>
      <c r="H1057" s="1" t="s">
        <v>1058</v>
      </c>
      <c r="I1057" s="1" t="s">
        <v>28</v>
      </c>
      <c r="J1057" s="1" t="s">
        <v>26</v>
      </c>
      <c r="K1057" s="1" t="s">
        <v>1072</v>
      </c>
      <c r="L1057" s="1" t="s">
        <v>26</v>
      </c>
      <c r="M1057" s="1" t="s">
        <v>27</v>
      </c>
      <c r="N1057" s="1" t="s">
        <v>26</v>
      </c>
      <c r="O1057" s="1" t="s">
        <v>26</v>
      </c>
      <c r="P1057" s="4">
        <v>45321.67743055556</v>
      </c>
    </row>
    <row r="1058" hidden="1">
      <c r="A1058" s="1" t="s">
        <v>1055</v>
      </c>
      <c r="B1058" s="3" t="str">
        <f>HYPERLINK("https://hawk-eye.atlassian.net/browse/HWKREPORT-2434?atlOrigin=eyJpIjoiYzgwYTQ0ZjEyNzQzNGJhN2JmNjEyZTM0NmRhZWZhNjIiLCJwIjoic2hlZXRzLWppcmEifQ","HWKREPORT-2434")</f>
        <v>HWKREPORT-2434</v>
      </c>
      <c r="C1058" s="1" t="s">
        <v>2276</v>
      </c>
      <c r="D1058" s="1" t="s">
        <v>48</v>
      </c>
      <c r="E1058" s="1" t="s">
        <v>35</v>
      </c>
      <c r="F1058" s="4">
        <v>45215.78481481481</v>
      </c>
      <c r="G1058" s="3" t="str">
        <f>HYPERLINK("https://hawk-eye.atlassian.net/browse/RTT-7315?atlOrigin=eyJpIjoiYzgwYTQ0ZjEyNzQzNGJhN2JmNjEyZTM0NmRhZWZhNjIiLCJwIjoic2hlZXRzLWppcmEifQ","RTT-7315")</f>
        <v>RTT-7315</v>
      </c>
      <c r="H1058" s="1" t="s">
        <v>1058</v>
      </c>
      <c r="I1058" s="1" t="s">
        <v>28</v>
      </c>
      <c r="J1058" s="1" t="s">
        <v>26</v>
      </c>
      <c r="K1058" s="1" t="s">
        <v>1072</v>
      </c>
      <c r="L1058" s="1" t="s">
        <v>26</v>
      </c>
      <c r="M1058" s="1" t="s">
        <v>27</v>
      </c>
      <c r="N1058" s="1" t="s">
        <v>26</v>
      </c>
      <c r="O1058" s="1" t="s">
        <v>26</v>
      </c>
      <c r="P1058" s="4">
        <v>45252.58230324074</v>
      </c>
    </row>
    <row r="1059" hidden="1">
      <c r="A1059" s="1" t="s">
        <v>21</v>
      </c>
      <c r="B1059" s="3" t="str">
        <f>HYPERLINK("https://hawk-eye.atlassian.net/browse/HWKREPORT-2435?atlOrigin=eyJpIjoiYzgwYTQ0ZjEyNzQzNGJhN2JmNjEyZTM0NmRhZWZhNjIiLCJwIjoic2hlZXRzLWppcmEifQ","HWKREPORT-2435")</f>
        <v>HWKREPORT-2435</v>
      </c>
      <c r="C1059" s="1" t="s">
        <v>2277</v>
      </c>
      <c r="D1059" s="1" t="s">
        <v>34</v>
      </c>
      <c r="E1059" s="1" t="s">
        <v>1057</v>
      </c>
      <c r="F1059" s="4">
        <v>45215.929456018515</v>
      </c>
      <c r="G1059" s="3" t="str">
        <f>HYPERLINK("https://hawk-eye.atlassian.net/browse/BAS-941?atlOrigin=eyJpIjoiYzgwYTQ0ZjEyNzQzNGJhN2JmNjEyZTM0NmRhZWZhNjIiLCJwIjoic2hlZXRzLWppcmEifQ","BAS-941")</f>
        <v>BAS-941</v>
      </c>
      <c r="H1059" s="1" t="s">
        <v>1058</v>
      </c>
      <c r="I1059" s="1" t="s">
        <v>1071</v>
      </c>
      <c r="J1059" s="1" t="s">
        <v>26</v>
      </c>
      <c r="K1059" s="1" t="s">
        <v>1130</v>
      </c>
      <c r="L1059" s="1" t="s">
        <v>26</v>
      </c>
      <c r="M1059" s="1" t="s">
        <v>27</v>
      </c>
      <c r="N1059" s="1" t="s">
        <v>26</v>
      </c>
      <c r="O1059" s="1" t="s">
        <v>26</v>
      </c>
      <c r="P1059" s="4">
        <v>45215.929456018515</v>
      </c>
    </row>
    <row r="1060" hidden="1">
      <c r="A1060" s="1" t="s">
        <v>1055</v>
      </c>
      <c r="B1060" s="3" t="str">
        <f>HYPERLINK("https://hawk-eye.atlassian.net/browse/HWKREPORT-2436?atlOrigin=eyJpIjoiYzgwYTQ0ZjEyNzQzNGJhN2JmNjEyZTM0NmRhZWZhNjIiLCJwIjoic2hlZXRzLWppcmEifQ","HWKREPORT-2436")</f>
        <v>HWKREPORT-2436</v>
      </c>
      <c r="C1060" s="1" t="s">
        <v>2278</v>
      </c>
      <c r="D1060" s="1" t="s">
        <v>48</v>
      </c>
      <c r="E1060" s="1" t="s">
        <v>1057</v>
      </c>
      <c r="F1060" s="4">
        <v>45216.40861111111</v>
      </c>
      <c r="G1060" s="3" t="str">
        <f>HYPERLINK("https://hawk-eye.atlassian.net/browse/AL-985?atlOrigin=eyJpIjoiYzgwYTQ0ZjEyNzQzNGJhN2JmNjEyZTM0NmRhZWZhNjIiLCJwIjoic2hlZXRzLWppcmEifQ","AL-985")</f>
        <v>AL-985</v>
      </c>
      <c r="H1060" s="1" t="s">
        <v>1058</v>
      </c>
      <c r="I1060" s="1" t="s">
        <v>1085</v>
      </c>
      <c r="J1060" s="1" t="s">
        <v>26</v>
      </c>
      <c r="K1060" s="1" t="s">
        <v>1219</v>
      </c>
      <c r="L1060" s="1" t="s">
        <v>26</v>
      </c>
      <c r="M1060" s="1" t="s">
        <v>27</v>
      </c>
      <c r="N1060" s="1" t="s">
        <v>26</v>
      </c>
      <c r="O1060" s="1" t="s">
        <v>26</v>
      </c>
      <c r="P1060" s="4">
        <v>45216.40862268519</v>
      </c>
    </row>
    <row r="1061" hidden="1">
      <c r="A1061" s="1" t="s">
        <v>1055</v>
      </c>
      <c r="B1061" s="3" t="str">
        <f>HYPERLINK("https://hawk-eye.atlassian.net/browse/HWKREPORT-2437?atlOrigin=eyJpIjoiYzgwYTQ0ZjEyNzQzNGJhN2JmNjEyZTM0NmRhZWZhNjIiLCJwIjoic2hlZXRzLWppcmEifQ","HWKREPORT-2437")</f>
        <v>HWKREPORT-2437</v>
      </c>
      <c r="C1061" s="1" t="s">
        <v>2279</v>
      </c>
      <c r="D1061" s="1" t="s">
        <v>48</v>
      </c>
      <c r="E1061" s="1" t="s">
        <v>1057</v>
      </c>
      <c r="F1061" s="4">
        <v>45216.414618055554</v>
      </c>
      <c r="G1061" s="3" t="str">
        <f>HYPERLINK("https://hawk-eye.atlassian.net/browse/?atlOrigin=eyJpIjoiYzgwYTQ0ZjEyNzQzNGJhN2JmNjEyZTM0NmRhZWZhNjIiLCJwIjoic2hlZXRzLWppcmEifQ","")</f>
        <v/>
      </c>
      <c r="H1061" s="1" t="s">
        <v>1058</v>
      </c>
      <c r="I1061" s="1" t="s">
        <v>1085</v>
      </c>
      <c r="J1061" s="1" t="s">
        <v>26</v>
      </c>
      <c r="K1061" s="1" t="s">
        <v>1219</v>
      </c>
      <c r="L1061" s="1" t="s">
        <v>26</v>
      </c>
      <c r="M1061" s="1" t="s">
        <v>27</v>
      </c>
      <c r="N1061" s="1" t="s">
        <v>26</v>
      </c>
      <c r="O1061" s="1" t="s">
        <v>26</v>
      </c>
      <c r="P1061" s="4">
        <v>45216.414618055554</v>
      </c>
    </row>
    <row r="1062" hidden="1">
      <c r="A1062" s="1" t="s">
        <v>1055</v>
      </c>
      <c r="B1062" s="3" t="str">
        <f>HYPERLINK("https://hawk-eye.atlassian.net/browse/HWKREPORT-2438?atlOrigin=eyJpIjoiYzgwYTQ0ZjEyNzQzNGJhN2JmNjEyZTM0NmRhZWZhNjIiLCJwIjoic2hlZXRzLWppcmEifQ","HWKREPORT-2438")</f>
        <v>HWKREPORT-2438</v>
      </c>
      <c r="C1062" s="1" t="s">
        <v>2280</v>
      </c>
      <c r="D1062" s="1" t="s">
        <v>48</v>
      </c>
      <c r="E1062" s="1" t="s">
        <v>1057</v>
      </c>
      <c r="F1062" s="4">
        <v>45216.495046296295</v>
      </c>
      <c r="G1062" s="3" t="str">
        <f>HYPERLINK("https://hawk-eye.atlassian.net/browse/RTT-7289?atlOrigin=eyJpIjoiYzgwYTQ0ZjEyNzQzNGJhN2JmNjEyZTM0NmRhZWZhNjIiLCJwIjoic2hlZXRzLWppcmEifQ","RTT-7289")</f>
        <v>RTT-7289</v>
      </c>
      <c r="H1062" s="1" t="s">
        <v>1058</v>
      </c>
      <c r="I1062" s="1" t="s">
        <v>1085</v>
      </c>
      <c r="J1062" s="1" t="s">
        <v>26</v>
      </c>
      <c r="K1062" s="1" t="s">
        <v>1072</v>
      </c>
      <c r="L1062" s="1" t="s">
        <v>26</v>
      </c>
      <c r="M1062" s="1" t="s">
        <v>27</v>
      </c>
      <c r="N1062" s="1" t="s">
        <v>26</v>
      </c>
      <c r="O1062" s="1" t="s">
        <v>26</v>
      </c>
      <c r="P1062" s="4">
        <v>45216.495046296295</v>
      </c>
    </row>
    <row r="1063" hidden="1">
      <c r="A1063" s="1" t="s">
        <v>1055</v>
      </c>
      <c r="B1063" s="3" t="str">
        <f>HYPERLINK("https://hawk-eye.atlassian.net/browse/HWKREPORT-2439?atlOrigin=eyJpIjoiYzgwYTQ0ZjEyNzQzNGJhN2JmNjEyZTM0NmRhZWZhNjIiLCJwIjoic2hlZXRzLWppcmEifQ","HWKREPORT-2439")</f>
        <v>HWKREPORT-2439</v>
      </c>
      <c r="C1063" s="1" t="s">
        <v>2281</v>
      </c>
      <c r="D1063" s="1" t="s">
        <v>48</v>
      </c>
      <c r="E1063" s="1" t="s">
        <v>1057</v>
      </c>
      <c r="F1063" s="4">
        <v>45216.617638888885</v>
      </c>
      <c r="G1063" s="3" t="str">
        <f>HYPERLINK("https://hawk-eye.atlassian.net/browse/?atlOrigin=eyJpIjoiYzgwYTQ0ZjEyNzQzNGJhN2JmNjEyZTM0NmRhZWZhNjIiLCJwIjoic2hlZXRzLWppcmEifQ","")</f>
        <v/>
      </c>
      <c r="H1063" s="1" t="s">
        <v>1058</v>
      </c>
      <c r="I1063" s="1" t="s">
        <v>28</v>
      </c>
      <c r="J1063" s="1" t="s">
        <v>26</v>
      </c>
      <c r="K1063" s="1" t="s">
        <v>1072</v>
      </c>
      <c r="L1063" s="1" t="s">
        <v>26</v>
      </c>
      <c r="M1063" s="1" t="s">
        <v>27</v>
      </c>
      <c r="N1063" s="1" t="s">
        <v>26</v>
      </c>
      <c r="O1063" s="1" t="s">
        <v>26</v>
      </c>
      <c r="P1063" s="4">
        <v>45216.61765046296</v>
      </c>
    </row>
    <row r="1064" hidden="1">
      <c r="A1064" s="1" t="s">
        <v>1055</v>
      </c>
      <c r="B1064" s="3" t="str">
        <f>HYPERLINK("https://hawk-eye.atlassian.net/browse/HWKREPORT-2440?atlOrigin=eyJpIjoiYzgwYTQ0ZjEyNzQzNGJhN2JmNjEyZTM0NmRhZWZhNjIiLCJwIjoic2hlZXRzLWppcmEifQ","HWKREPORT-2440")</f>
        <v>HWKREPORT-2440</v>
      </c>
      <c r="C1064" s="1" t="s">
        <v>2282</v>
      </c>
      <c r="D1064" s="1" t="s">
        <v>48</v>
      </c>
      <c r="E1064" s="1" t="s">
        <v>1207</v>
      </c>
      <c r="F1064" s="4">
        <v>45216.81712962963</v>
      </c>
      <c r="G1064" s="3" t="str">
        <f>HYPERLINK("https://hawk-eye.atlassian.net/browse/RTT-7714?atlOrigin=eyJpIjoiYzgwYTQ0ZjEyNzQzNGJhN2JmNjEyZTM0NmRhZWZhNjIiLCJwIjoic2hlZXRzLWppcmEifQ","RTT-7714")</f>
        <v>RTT-7714</v>
      </c>
      <c r="H1064" s="1" t="s">
        <v>1058</v>
      </c>
      <c r="I1064" s="1" t="s">
        <v>1071</v>
      </c>
      <c r="J1064" s="1" t="s">
        <v>26</v>
      </c>
      <c r="K1064" s="1" t="s">
        <v>1072</v>
      </c>
      <c r="L1064" s="1" t="s">
        <v>26</v>
      </c>
      <c r="M1064" s="1" t="s">
        <v>27</v>
      </c>
      <c r="N1064" s="1" t="s">
        <v>26</v>
      </c>
      <c r="O1064" s="1" t="s">
        <v>26</v>
      </c>
      <c r="P1064" s="4">
        <v>45329.38008101852</v>
      </c>
    </row>
    <row r="1065" hidden="1">
      <c r="A1065" s="1" t="s">
        <v>21</v>
      </c>
      <c r="B1065" s="3" t="str">
        <f>HYPERLINK("https://hawk-eye.atlassian.net/browse/HWKREPORT-2441?atlOrigin=eyJpIjoiYzgwYTQ0ZjEyNzQzNGJhN2JmNjEyZTM0NmRhZWZhNjIiLCJwIjoic2hlZXRzLWppcmEifQ","HWKREPORT-2441")</f>
        <v>HWKREPORT-2441</v>
      </c>
      <c r="C1065" s="1" t="s">
        <v>2283</v>
      </c>
      <c r="D1065" s="1" t="s">
        <v>23</v>
      </c>
      <c r="E1065" s="1" t="s">
        <v>1057</v>
      </c>
      <c r="F1065" s="4">
        <v>45216.85170138889</v>
      </c>
      <c r="G1065" s="3" t="str">
        <f t="shared" ref="G1065:G1067" si="99">HYPERLINK("https://hawk-eye.atlassian.net/browse/?atlOrigin=eyJpIjoiYzgwYTQ0ZjEyNzQzNGJhN2JmNjEyZTM0NmRhZWZhNjIiLCJwIjoic2hlZXRzLWppcmEifQ","")</f>
        <v/>
      </c>
      <c r="H1065" s="1" t="s">
        <v>1058</v>
      </c>
      <c r="I1065" s="1" t="s">
        <v>1071</v>
      </c>
      <c r="J1065" s="1" t="s">
        <v>26</v>
      </c>
      <c r="K1065" s="1" t="s">
        <v>2197</v>
      </c>
      <c r="L1065" s="1" t="s">
        <v>26</v>
      </c>
      <c r="M1065" s="1" t="s">
        <v>27</v>
      </c>
      <c r="N1065" s="1" t="s">
        <v>26</v>
      </c>
      <c r="O1065" s="1" t="s">
        <v>26</v>
      </c>
      <c r="P1065" s="4">
        <v>45216.85171296296</v>
      </c>
    </row>
    <row r="1066" hidden="1">
      <c r="A1066" s="1" t="s">
        <v>21</v>
      </c>
      <c r="B1066" s="3" t="str">
        <f>HYPERLINK("https://hawk-eye.atlassian.net/browse/HWKREPORT-2442?atlOrigin=eyJpIjoiYzgwYTQ0ZjEyNzQzNGJhN2JmNjEyZTM0NmRhZWZhNjIiLCJwIjoic2hlZXRzLWppcmEifQ","HWKREPORT-2442")</f>
        <v>HWKREPORT-2442</v>
      </c>
      <c r="C1066" s="1" t="s">
        <v>2284</v>
      </c>
      <c r="D1066" s="1" t="s">
        <v>23</v>
      </c>
      <c r="E1066" s="1" t="s">
        <v>35</v>
      </c>
      <c r="F1066" s="4">
        <v>45217.55674768519</v>
      </c>
      <c r="G1066" s="3" t="str">
        <f t="shared" si="99"/>
        <v/>
      </c>
      <c r="H1066" s="1" t="s">
        <v>1058</v>
      </c>
      <c r="I1066" s="1" t="s">
        <v>1082</v>
      </c>
      <c r="J1066" s="1" t="s">
        <v>26</v>
      </c>
      <c r="K1066" s="1" t="s">
        <v>1148</v>
      </c>
      <c r="L1066" s="1" t="s">
        <v>26</v>
      </c>
      <c r="M1066" s="1" t="s">
        <v>27</v>
      </c>
      <c r="N1066" s="1" t="s">
        <v>26</v>
      </c>
      <c r="O1066" s="1" t="s">
        <v>26</v>
      </c>
      <c r="P1066" s="4">
        <v>45729.702465277776</v>
      </c>
    </row>
    <row r="1067" hidden="1">
      <c r="A1067" s="1" t="s">
        <v>1055</v>
      </c>
      <c r="B1067" s="3" t="str">
        <f>HYPERLINK("https://hawk-eye.atlassian.net/browse/HWKREPORT-2443?atlOrigin=eyJpIjoiYzgwYTQ0ZjEyNzQzNGJhN2JmNjEyZTM0NmRhZWZhNjIiLCJwIjoic2hlZXRzLWppcmEifQ","HWKREPORT-2443")</f>
        <v>HWKREPORT-2443</v>
      </c>
      <c r="C1067" s="1" t="s">
        <v>2285</v>
      </c>
      <c r="D1067" s="1" t="s">
        <v>48</v>
      </c>
      <c r="E1067" s="1" t="s">
        <v>1057</v>
      </c>
      <c r="F1067" s="4">
        <v>45219.65288194444</v>
      </c>
      <c r="G1067" s="3" t="str">
        <f t="shared" si="99"/>
        <v/>
      </c>
      <c r="H1067" s="1" t="s">
        <v>1058</v>
      </c>
      <c r="I1067" s="1" t="s">
        <v>1071</v>
      </c>
      <c r="J1067" s="1" t="s">
        <v>26</v>
      </c>
      <c r="K1067" s="1" t="s">
        <v>2286</v>
      </c>
      <c r="L1067" s="1" t="s">
        <v>26</v>
      </c>
      <c r="M1067" s="1" t="s">
        <v>27</v>
      </c>
      <c r="N1067" s="1" t="s">
        <v>26</v>
      </c>
      <c r="O1067" s="1" t="s">
        <v>26</v>
      </c>
      <c r="P1067" s="4">
        <v>45219.65288194444</v>
      </c>
    </row>
    <row r="1068" hidden="1">
      <c r="A1068" s="1" t="s">
        <v>21</v>
      </c>
      <c r="B1068" s="3" t="str">
        <f>HYPERLINK("https://hawk-eye.atlassian.net/browse/HWKREPORT-2444?atlOrigin=eyJpIjoiYzgwYTQ0ZjEyNzQzNGJhN2JmNjEyZTM0NmRhZWZhNjIiLCJwIjoic2hlZXRzLWppcmEifQ","HWKREPORT-2444")</f>
        <v>HWKREPORT-2444</v>
      </c>
      <c r="C1068" s="1" t="s">
        <v>2287</v>
      </c>
      <c r="D1068" s="1" t="s">
        <v>23</v>
      </c>
      <c r="E1068" s="1" t="s">
        <v>35</v>
      </c>
      <c r="F1068" s="4">
        <v>45221.76131944444</v>
      </c>
      <c r="G1068" s="3" t="str">
        <f>HYPERLINK("https://hawk-eye.atlassian.net/browse/RTT-7303?atlOrigin=eyJpIjoiYzgwYTQ0ZjEyNzQzNGJhN2JmNjEyZTM0NmRhZWZhNjIiLCJwIjoic2hlZXRzLWppcmEifQ","RTT-7303")</f>
        <v>RTT-7303</v>
      </c>
      <c r="H1068" s="1" t="s">
        <v>1058</v>
      </c>
      <c r="I1068" s="1" t="s">
        <v>1085</v>
      </c>
      <c r="J1068" s="1" t="s">
        <v>26</v>
      </c>
      <c r="K1068" s="1" t="s">
        <v>1072</v>
      </c>
      <c r="L1068" s="1" t="s">
        <v>26</v>
      </c>
      <c r="M1068" s="1" t="s">
        <v>27</v>
      </c>
      <c r="N1068" s="1" t="s">
        <v>26</v>
      </c>
      <c r="O1068" s="1" t="s">
        <v>26</v>
      </c>
      <c r="P1068" s="4">
        <v>45257.39896990741</v>
      </c>
    </row>
    <row r="1069" hidden="1">
      <c r="A1069" s="1" t="s">
        <v>21</v>
      </c>
      <c r="B1069" s="3" t="str">
        <f>HYPERLINK("https://hawk-eye.atlassian.net/browse/HWKREPORT-2445?atlOrigin=eyJpIjoiYzgwYTQ0ZjEyNzQzNGJhN2JmNjEyZTM0NmRhZWZhNjIiLCJwIjoic2hlZXRzLWppcmEifQ","HWKREPORT-2445")</f>
        <v>HWKREPORT-2445</v>
      </c>
      <c r="C1069" s="1" t="s">
        <v>2288</v>
      </c>
      <c r="D1069" s="1" t="s">
        <v>23</v>
      </c>
      <c r="E1069" s="1" t="s">
        <v>1057</v>
      </c>
      <c r="F1069" s="4">
        <v>45222.60461805556</v>
      </c>
      <c r="G1069" s="3" t="str">
        <f t="shared" ref="G1069:G1070" si="100">HYPERLINK("https://hawk-eye.atlassian.net/browse/?atlOrigin=eyJpIjoiYzgwYTQ0ZjEyNzQzNGJhN2JmNjEyZTM0NmRhZWZhNjIiLCJwIjoic2hlZXRzLWppcmEifQ","")</f>
        <v/>
      </c>
      <c r="H1069" s="1" t="s">
        <v>1058</v>
      </c>
      <c r="I1069" s="1" t="s">
        <v>1071</v>
      </c>
      <c r="J1069" s="1" t="s">
        <v>26</v>
      </c>
      <c r="K1069" s="1" t="s">
        <v>1072</v>
      </c>
      <c r="L1069" s="1" t="s">
        <v>26</v>
      </c>
      <c r="M1069" s="1" t="s">
        <v>27</v>
      </c>
      <c r="N1069" s="1" t="s">
        <v>26</v>
      </c>
      <c r="O1069" s="1" t="s">
        <v>26</v>
      </c>
      <c r="P1069" s="4">
        <v>45222.604629629626</v>
      </c>
    </row>
    <row r="1070" hidden="1">
      <c r="A1070" s="1" t="s">
        <v>1055</v>
      </c>
      <c r="B1070" s="3" t="str">
        <f>HYPERLINK("https://hawk-eye.atlassian.net/browse/HWKREPORT-2446?atlOrigin=eyJpIjoiYzgwYTQ0ZjEyNzQzNGJhN2JmNjEyZTM0NmRhZWZhNjIiLCJwIjoic2hlZXRzLWppcmEifQ","HWKREPORT-2446")</f>
        <v>HWKREPORT-2446</v>
      </c>
      <c r="C1070" s="1" t="s">
        <v>2289</v>
      </c>
      <c r="D1070" s="1" t="s">
        <v>48</v>
      </c>
      <c r="E1070" s="1" t="s">
        <v>1057</v>
      </c>
      <c r="F1070" s="4">
        <v>45223.622777777775</v>
      </c>
      <c r="G1070" s="3" t="str">
        <f t="shared" si="100"/>
        <v/>
      </c>
      <c r="H1070" s="1" t="s">
        <v>1058</v>
      </c>
      <c r="I1070" s="1" t="s">
        <v>1071</v>
      </c>
      <c r="J1070" s="1" t="s">
        <v>26</v>
      </c>
      <c r="K1070" s="1" t="s">
        <v>26</v>
      </c>
      <c r="L1070" s="1" t="s">
        <v>26</v>
      </c>
      <c r="M1070" s="1" t="s">
        <v>27</v>
      </c>
      <c r="N1070" s="1" t="s">
        <v>26</v>
      </c>
      <c r="O1070" s="1" t="s">
        <v>26</v>
      </c>
      <c r="P1070" s="4">
        <v>45223.622777777775</v>
      </c>
    </row>
    <row r="1071" hidden="1">
      <c r="A1071" s="1" t="s">
        <v>1055</v>
      </c>
      <c r="B1071" s="3" t="str">
        <f>HYPERLINK("https://hawk-eye.atlassian.net/browse/HWKREPORT-2447?atlOrigin=eyJpIjoiYzgwYTQ0ZjEyNzQzNGJhN2JmNjEyZTM0NmRhZWZhNjIiLCJwIjoic2hlZXRzLWppcmEifQ","HWKREPORT-2447")</f>
        <v>HWKREPORT-2447</v>
      </c>
      <c r="C1071" s="1" t="s">
        <v>2290</v>
      </c>
      <c r="D1071" s="1" t="s">
        <v>48</v>
      </c>
      <c r="E1071" s="1" t="s">
        <v>1057</v>
      </c>
      <c r="F1071" s="4">
        <v>45225.407546296294</v>
      </c>
      <c r="G1071" s="3" t="str">
        <f>HYPERLINK("https://hawk-eye.atlassian.net/browse/SO-1073?atlOrigin=eyJpIjoiYzgwYTQ0ZjEyNzQzNGJhN2JmNjEyZTM0NmRhZWZhNjIiLCJwIjoic2hlZXRzLWppcmEifQ","SO-1073")</f>
        <v>SO-1073</v>
      </c>
      <c r="H1071" s="1" t="s">
        <v>1058</v>
      </c>
      <c r="I1071" s="1" t="s">
        <v>1085</v>
      </c>
      <c r="J1071" s="1" t="s">
        <v>26</v>
      </c>
      <c r="K1071" s="1" t="s">
        <v>1102</v>
      </c>
      <c r="L1071" s="1" t="s">
        <v>26</v>
      </c>
      <c r="M1071" s="1" t="s">
        <v>27</v>
      </c>
      <c r="N1071" s="1" t="s">
        <v>26</v>
      </c>
      <c r="O1071" s="1" t="s">
        <v>26</v>
      </c>
      <c r="P1071" s="4">
        <v>45225.407546296294</v>
      </c>
    </row>
    <row r="1072" hidden="1">
      <c r="A1072" s="1" t="s">
        <v>1055</v>
      </c>
      <c r="B1072" s="3" t="str">
        <f>HYPERLINK("https://hawk-eye.atlassian.net/browse/HWKREPORT-2448?atlOrigin=eyJpIjoiYzgwYTQ0ZjEyNzQzNGJhN2JmNjEyZTM0NmRhZWZhNjIiLCJwIjoic2hlZXRzLWppcmEifQ","HWKREPORT-2448")</f>
        <v>HWKREPORT-2448</v>
      </c>
      <c r="C1072" s="1" t="s">
        <v>2291</v>
      </c>
      <c r="D1072" s="1" t="s">
        <v>48</v>
      </c>
      <c r="E1072" s="1" t="s">
        <v>35</v>
      </c>
      <c r="F1072" s="4">
        <v>45225.63615740741</v>
      </c>
      <c r="G1072" s="3" t="str">
        <f>HYPERLINK("https://hawk-eye.atlassian.net/browse/?atlOrigin=eyJpIjoiYzgwYTQ0ZjEyNzQzNGJhN2JmNjEyZTM0NmRhZWZhNjIiLCJwIjoic2hlZXRzLWppcmEifQ","")</f>
        <v/>
      </c>
      <c r="H1072" s="1" t="s">
        <v>1058</v>
      </c>
      <c r="I1072" s="1" t="s">
        <v>1071</v>
      </c>
      <c r="J1072" s="1" t="s">
        <v>26</v>
      </c>
      <c r="K1072" s="1" t="s">
        <v>1134</v>
      </c>
      <c r="L1072" s="1" t="s">
        <v>26</v>
      </c>
      <c r="M1072" s="1" t="s">
        <v>27</v>
      </c>
      <c r="N1072" s="1" t="s">
        <v>26</v>
      </c>
      <c r="O1072" s="1" t="s">
        <v>26</v>
      </c>
      <c r="P1072" s="4">
        <v>45370.42008101852</v>
      </c>
    </row>
    <row r="1073" hidden="1">
      <c r="A1073" s="1" t="s">
        <v>21</v>
      </c>
      <c r="B1073" s="3" t="str">
        <f>HYPERLINK("https://hawk-eye.atlassian.net/browse/HWKREPORT-2449?atlOrigin=eyJpIjoiYzgwYTQ0ZjEyNzQzNGJhN2JmNjEyZTM0NmRhZWZhNjIiLCJwIjoic2hlZXRzLWppcmEifQ","HWKREPORT-2449")</f>
        <v>HWKREPORT-2449</v>
      </c>
      <c r="C1073" s="1" t="s">
        <v>2292</v>
      </c>
      <c r="D1073" s="1" t="s">
        <v>23</v>
      </c>
      <c r="E1073" s="1" t="s">
        <v>35</v>
      </c>
      <c r="F1073" s="4">
        <v>45225.65592592592</v>
      </c>
      <c r="G1073" s="3" t="str">
        <f>HYPERLINK("https://hawk-eye.atlassian.net/browse/RTT-7341?atlOrigin=eyJpIjoiYzgwYTQ0ZjEyNzQzNGJhN2JmNjEyZTM0NmRhZWZhNjIiLCJwIjoic2hlZXRzLWppcmEifQ","RTT-7341")</f>
        <v>RTT-7341</v>
      </c>
      <c r="H1073" s="1" t="s">
        <v>1058</v>
      </c>
      <c r="I1073" s="1" t="s">
        <v>1071</v>
      </c>
      <c r="J1073" s="1" t="s">
        <v>26</v>
      </c>
      <c r="K1073" s="1" t="s">
        <v>1312</v>
      </c>
      <c r="L1073" s="1" t="s">
        <v>26</v>
      </c>
      <c r="M1073" s="1" t="s">
        <v>27</v>
      </c>
      <c r="N1073" s="1" t="s">
        <v>26</v>
      </c>
      <c r="O1073" s="1" t="s">
        <v>26</v>
      </c>
      <c r="P1073" s="4">
        <v>45709.65258101852</v>
      </c>
    </row>
    <row r="1074" hidden="1">
      <c r="A1074" s="1" t="s">
        <v>21</v>
      </c>
      <c r="B1074" s="3" t="str">
        <f>HYPERLINK("https://hawk-eye.atlassian.net/browse/HWKREPORT-2450?atlOrigin=eyJpIjoiYzgwYTQ0ZjEyNzQzNGJhN2JmNjEyZTM0NmRhZWZhNjIiLCJwIjoic2hlZXRzLWppcmEifQ","HWKREPORT-2450")</f>
        <v>HWKREPORT-2450</v>
      </c>
      <c r="C1074" s="1" t="s">
        <v>2293</v>
      </c>
      <c r="D1074" s="1" t="s">
        <v>23</v>
      </c>
      <c r="E1074" s="1" t="s">
        <v>1207</v>
      </c>
      <c r="F1074" s="4">
        <v>45226.455046296294</v>
      </c>
      <c r="G1074" s="3" t="str">
        <f>HYPERLINK("https://hawk-eye.atlassian.net/browse/RTT-7334?atlOrigin=eyJpIjoiYzgwYTQ0ZjEyNzQzNGJhN2JmNjEyZTM0NmRhZWZhNjIiLCJwIjoic2hlZXRzLWppcmEifQ","RTT-7334")</f>
        <v>RTT-7334</v>
      </c>
      <c r="H1074" s="1" t="s">
        <v>1058</v>
      </c>
      <c r="I1074" s="1" t="s">
        <v>1082</v>
      </c>
      <c r="J1074" s="1" t="s">
        <v>26</v>
      </c>
      <c r="K1074" s="1" t="s">
        <v>1312</v>
      </c>
      <c r="L1074" s="1" t="s">
        <v>26</v>
      </c>
      <c r="M1074" s="1" t="s">
        <v>27</v>
      </c>
      <c r="N1074" s="1" t="s">
        <v>26</v>
      </c>
      <c r="O1074" s="1" t="s">
        <v>26</v>
      </c>
      <c r="P1074" s="4">
        <v>45226.45505787037</v>
      </c>
    </row>
    <row r="1075" hidden="1">
      <c r="A1075" s="1" t="s">
        <v>21</v>
      </c>
      <c r="B1075" s="3" t="str">
        <f>HYPERLINK("https://hawk-eye.atlassian.net/browse/HWKREPORT-2451?atlOrigin=eyJpIjoiYzgwYTQ0ZjEyNzQzNGJhN2JmNjEyZTM0NmRhZWZhNjIiLCJwIjoic2hlZXRzLWppcmEifQ","HWKREPORT-2451")</f>
        <v>HWKREPORT-2451</v>
      </c>
      <c r="C1075" s="1" t="s">
        <v>2294</v>
      </c>
      <c r="D1075" s="1" t="s">
        <v>40</v>
      </c>
      <c r="E1075" s="1" t="s">
        <v>1541</v>
      </c>
      <c r="F1075" s="4">
        <v>45226.68131944445</v>
      </c>
      <c r="G1075" s="3" t="str">
        <f t="shared" ref="G1075:G1076" si="101">HYPERLINK("https://hawk-eye.atlassian.net/browse/?atlOrigin=eyJpIjoiYzgwYTQ0ZjEyNzQzNGJhN2JmNjEyZTM0NmRhZWZhNjIiLCJwIjoic2hlZXRzLWppcmEifQ","")</f>
        <v/>
      </c>
      <c r="H1075" s="1" t="s">
        <v>1058</v>
      </c>
      <c r="I1075" s="1" t="s">
        <v>1126</v>
      </c>
      <c r="J1075" s="1" t="s">
        <v>26</v>
      </c>
      <c r="K1075" s="1" t="s">
        <v>1211</v>
      </c>
      <c r="L1075" s="1" t="s">
        <v>26</v>
      </c>
      <c r="M1075" s="1" t="s">
        <v>27</v>
      </c>
      <c r="N1075" s="1" t="s">
        <v>26</v>
      </c>
      <c r="O1075" s="1" t="s">
        <v>26</v>
      </c>
      <c r="P1075" s="4">
        <v>45564.516064814816</v>
      </c>
    </row>
    <row r="1076" hidden="1">
      <c r="A1076" s="1" t="s">
        <v>1055</v>
      </c>
      <c r="B1076" s="3" t="str">
        <f>HYPERLINK("https://hawk-eye.atlassian.net/browse/HWKREPORT-2452?atlOrigin=eyJpIjoiYzgwYTQ0ZjEyNzQzNGJhN2JmNjEyZTM0NmRhZWZhNjIiLCJwIjoic2hlZXRzLWppcmEifQ","HWKREPORT-2452")</f>
        <v>HWKREPORT-2452</v>
      </c>
      <c r="C1076" s="1" t="s">
        <v>2295</v>
      </c>
      <c r="D1076" s="1" t="s">
        <v>48</v>
      </c>
      <c r="E1076" s="1" t="s">
        <v>35</v>
      </c>
      <c r="F1076" s="4">
        <v>45229.429872685185</v>
      </c>
      <c r="G1076" s="3" t="str">
        <f t="shared" si="101"/>
        <v/>
      </c>
      <c r="H1076" s="1" t="s">
        <v>1058</v>
      </c>
      <c r="I1076" s="1" t="s">
        <v>1085</v>
      </c>
      <c r="J1076" s="1" t="s">
        <v>26</v>
      </c>
      <c r="K1076" s="1" t="s">
        <v>1105</v>
      </c>
      <c r="L1076" s="1" t="s">
        <v>26</v>
      </c>
      <c r="M1076" s="1" t="s">
        <v>27</v>
      </c>
      <c r="N1076" s="1" t="s">
        <v>26</v>
      </c>
      <c r="O1076" s="1" t="s">
        <v>26</v>
      </c>
      <c r="P1076" s="4">
        <v>45338.724375</v>
      </c>
    </row>
    <row r="1077" hidden="1">
      <c r="A1077" s="1" t="s">
        <v>1055</v>
      </c>
      <c r="B1077" s="3" t="str">
        <f>HYPERLINK("https://hawk-eye.atlassian.net/browse/HWKREPORT-2453?atlOrigin=eyJpIjoiYzgwYTQ0ZjEyNzQzNGJhN2JmNjEyZTM0NmRhZWZhNjIiLCJwIjoic2hlZXRzLWppcmEifQ","HWKREPORT-2453")</f>
        <v>HWKREPORT-2453</v>
      </c>
      <c r="C1077" s="1" t="s">
        <v>2296</v>
      </c>
      <c r="D1077" s="1" t="s">
        <v>48</v>
      </c>
      <c r="E1077" s="1" t="s">
        <v>35</v>
      </c>
      <c r="F1077" s="4">
        <v>45229.432442129626</v>
      </c>
      <c r="G1077" s="3" t="str">
        <f>HYPERLINK("https://hawk-eye.atlassian.net/browse/AT-1193?atlOrigin=eyJpIjoiYzgwYTQ0ZjEyNzQzNGJhN2JmNjEyZTM0NmRhZWZhNjIiLCJwIjoic2hlZXRzLWppcmEifQ","AT-1193")</f>
        <v>AT-1193</v>
      </c>
      <c r="H1077" s="1" t="s">
        <v>1058</v>
      </c>
      <c r="I1077" s="1" t="s">
        <v>1085</v>
      </c>
      <c r="J1077" s="1" t="s">
        <v>26</v>
      </c>
      <c r="K1077" s="1" t="s">
        <v>1105</v>
      </c>
      <c r="L1077" s="1" t="s">
        <v>26</v>
      </c>
      <c r="M1077" s="1" t="s">
        <v>27</v>
      </c>
      <c r="N1077" s="1" t="s">
        <v>26</v>
      </c>
      <c r="O1077" s="1" t="s">
        <v>26</v>
      </c>
      <c r="P1077" s="4">
        <v>45338.701689814814</v>
      </c>
    </row>
    <row r="1078" hidden="1">
      <c r="A1078" s="1" t="s">
        <v>21</v>
      </c>
      <c r="B1078" s="3" t="str">
        <f>HYPERLINK("https://hawk-eye.atlassian.net/browse/HWKREPORT-2454?atlOrigin=eyJpIjoiYzgwYTQ0ZjEyNzQzNGJhN2JmNjEyZTM0NmRhZWZhNjIiLCJwIjoic2hlZXRzLWppcmEifQ","HWKREPORT-2454")</f>
        <v>HWKREPORT-2454</v>
      </c>
      <c r="C1078" s="1" t="s">
        <v>2297</v>
      </c>
      <c r="D1078" s="1" t="s">
        <v>34</v>
      </c>
      <c r="E1078" s="1" t="s">
        <v>1057</v>
      </c>
      <c r="F1078" s="4">
        <v>45230.409097222226</v>
      </c>
      <c r="G1078" s="3" t="str">
        <f>HYPERLINK("https://hawk-eye.atlassian.net/issues/?atlOrigin=eyJpIjoiYzgwYTQ0ZjEyNzQzNGJhN2JmNjEyZTM0NmRhZWZhNjIiLCJwIjoic2hlZXRzLWppcmEifQ&amp;jql=key+in+%28AL-987%2CAL-961%29","AL-987;AL-961")</f>
        <v>AL-987;AL-961</v>
      </c>
      <c r="H1078" s="1" t="s">
        <v>1058</v>
      </c>
      <c r="I1078" s="1" t="s">
        <v>1085</v>
      </c>
      <c r="J1078" s="1" t="s">
        <v>26</v>
      </c>
      <c r="K1078" s="1" t="s">
        <v>1219</v>
      </c>
      <c r="L1078" s="1" t="s">
        <v>26</v>
      </c>
      <c r="M1078" s="1" t="s">
        <v>27</v>
      </c>
      <c r="N1078" s="1" t="s">
        <v>26</v>
      </c>
      <c r="O1078" s="1" t="s">
        <v>26</v>
      </c>
      <c r="P1078" s="4">
        <v>45230.409097222226</v>
      </c>
    </row>
    <row r="1079" hidden="1">
      <c r="A1079" s="1" t="s">
        <v>1055</v>
      </c>
      <c r="B1079" s="3" t="str">
        <f>HYPERLINK("https://hawk-eye.atlassian.net/browse/HWKREPORT-2455?atlOrigin=eyJpIjoiYzgwYTQ0ZjEyNzQzNGJhN2JmNjEyZTM0NmRhZWZhNjIiLCJwIjoic2hlZXRzLWppcmEifQ","HWKREPORT-2455")</f>
        <v>HWKREPORT-2455</v>
      </c>
      <c r="C1079" s="1" t="s">
        <v>2298</v>
      </c>
      <c r="D1079" s="1" t="s">
        <v>48</v>
      </c>
      <c r="E1079" s="1" t="s">
        <v>1057</v>
      </c>
      <c r="F1079" s="4">
        <v>45230.655960648146</v>
      </c>
      <c r="G1079" s="3" t="str">
        <f t="shared" ref="G1079:G1080" si="102">HYPERLINK("https://hawk-eye.atlassian.net/browse/?atlOrigin=eyJpIjoiYzgwYTQ0ZjEyNzQzNGJhN2JmNjEyZTM0NmRhZWZhNjIiLCJwIjoic2hlZXRzLWppcmEifQ","")</f>
        <v/>
      </c>
      <c r="H1079" s="1" t="s">
        <v>1058</v>
      </c>
      <c r="I1079" s="1" t="s">
        <v>1085</v>
      </c>
      <c r="J1079" s="1" t="s">
        <v>26</v>
      </c>
      <c r="K1079" s="1" t="s">
        <v>2299</v>
      </c>
      <c r="L1079" s="1" t="s">
        <v>26</v>
      </c>
      <c r="M1079" s="1" t="s">
        <v>27</v>
      </c>
      <c r="N1079" s="1" t="s">
        <v>26</v>
      </c>
      <c r="O1079" s="1" t="s">
        <v>26</v>
      </c>
      <c r="P1079" s="4">
        <v>45230.65597222222</v>
      </c>
    </row>
    <row r="1080" hidden="1">
      <c r="A1080" s="1" t="s">
        <v>1055</v>
      </c>
      <c r="B1080" s="3" t="str">
        <f>HYPERLINK("https://hawk-eye.atlassian.net/browse/HWKREPORT-2456?atlOrigin=eyJpIjoiYzgwYTQ0ZjEyNzQzNGJhN2JmNjEyZTM0NmRhZWZhNjIiLCJwIjoic2hlZXRzLWppcmEifQ","HWKREPORT-2456")</f>
        <v>HWKREPORT-2456</v>
      </c>
      <c r="C1080" s="1" t="s">
        <v>2300</v>
      </c>
      <c r="D1080" s="1" t="s">
        <v>48</v>
      </c>
      <c r="E1080" s="1" t="s">
        <v>1057</v>
      </c>
      <c r="F1080" s="4">
        <v>45230.65741898148</v>
      </c>
      <c r="G1080" s="3" t="str">
        <f t="shared" si="102"/>
        <v/>
      </c>
      <c r="H1080" s="1" t="s">
        <v>1058</v>
      </c>
      <c r="I1080" s="1" t="s">
        <v>1085</v>
      </c>
      <c r="J1080" s="1" t="s">
        <v>26</v>
      </c>
      <c r="K1080" s="1" t="s">
        <v>1072</v>
      </c>
      <c r="L1080" s="1" t="s">
        <v>26</v>
      </c>
      <c r="M1080" s="1" t="s">
        <v>27</v>
      </c>
      <c r="N1080" s="1" t="s">
        <v>26</v>
      </c>
      <c r="O1080" s="1" t="s">
        <v>26</v>
      </c>
      <c r="P1080" s="4">
        <v>45230.657430555555</v>
      </c>
    </row>
    <row r="1081" hidden="1">
      <c r="A1081" s="1" t="s">
        <v>1055</v>
      </c>
      <c r="B1081" s="3" t="str">
        <f>HYPERLINK("https://hawk-eye.atlassian.net/browse/HWKREPORT-2457?atlOrigin=eyJpIjoiYzgwYTQ0ZjEyNzQzNGJhN2JmNjEyZTM0NmRhZWZhNjIiLCJwIjoic2hlZXRzLWppcmEifQ","HWKREPORT-2457")</f>
        <v>HWKREPORT-2457</v>
      </c>
      <c r="C1081" s="1" t="s">
        <v>2301</v>
      </c>
      <c r="D1081" s="1" t="s">
        <v>48</v>
      </c>
      <c r="E1081" s="1" t="s">
        <v>1057</v>
      </c>
      <c r="F1081" s="4">
        <v>45230.65913194444</v>
      </c>
      <c r="G1081" s="3" t="str">
        <f>HYPERLINK("https://hawk-eye.atlassian.net/browse/RTT-7357?atlOrigin=eyJpIjoiYzgwYTQ0ZjEyNzQzNGJhN2JmNjEyZTM0NmRhZWZhNjIiLCJwIjoic2hlZXRzLWppcmEifQ","RTT-7357")</f>
        <v>RTT-7357</v>
      </c>
      <c r="H1081" s="1" t="s">
        <v>1058</v>
      </c>
      <c r="I1081" s="1" t="s">
        <v>1082</v>
      </c>
      <c r="J1081" s="1" t="s">
        <v>26</v>
      </c>
      <c r="K1081" s="1" t="s">
        <v>2302</v>
      </c>
      <c r="L1081" s="1" t="s">
        <v>26</v>
      </c>
      <c r="M1081" s="1" t="s">
        <v>27</v>
      </c>
      <c r="N1081" s="1" t="s">
        <v>26</v>
      </c>
      <c r="O1081" s="1" t="s">
        <v>26</v>
      </c>
      <c r="P1081" s="4">
        <v>45230.65913194444</v>
      </c>
    </row>
    <row r="1082" hidden="1">
      <c r="A1082" s="1" t="s">
        <v>1055</v>
      </c>
      <c r="B1082" s="3" t="str">
        <f>HYPERLINK("https://hawk-eye.atlassian.net/browse/HWKREPORT-2458?atlOrigin=eyJpIjoiYzgwYTQ0ZjEyNzQzNGJhN2JmNjEyZTM0NmRhZWZhNjIiLCJwIjoic2hlZXRzLWppcmEifQ","HWKREPORT-2458")</f>
        <v>HWKREPORT-2458</v>
      </c>
      <c r="C1082" s="1" t="s">
        <v>2303</v>
      </c>
      <c r="D1082" s="1" t="s">
        <v>83</v>
      </c>
      <c r="E1082" s="1" t="s">
        <v>1057</v>
      </c>
      <c r="F1082" s="4">
        <v>45232.445810185185</v>
      </c>
      <c r="G1082" s="3" t="str">
        <f>HYPERLINK("https://hawk-eye.atlassian.net/browse/RTT-7367?atlOrigin=eyJpIjoiYzgwYTQ0ZjEyNzQzNGJhN2JmNjEyZTM0NmRhZWZhNjIiLCJwIjoic2hlZXRzLWppcmEifQ","RTT-7367")</f>
        <v>RTT-7367</v>
      </c>
      <c r="H1082" s="1" t="s">
        <v>1058</v>
      </c>
      <c r="I1082" s="1" t="s">
        <v>1082</v>
      </c>
      <c r="J1082" s="1" t="s">
        <v>26</v>
      </c>
      <c r="K1082" s="1" t="s">
        <v>1072</v>
      </c>
      <c r="L1082" s="1" t="s">
        <v>26</v>
      </c>
      <c r="M1082" s="1" t="s">
        <v>27</v>
      </c>
      <c r="N1082" s="1" t="s">
        <v>26</v>
      </c>
      <c r="O1082" s="1" t="s">
        <v>26</v>
      </c>
      <c r="P1082" s="4">
        <v>45232.44582175926</v>
      </c>
    </row>
    <row r="1083" hidden="1">
      <c r="A1083" s="1" t="s">
        <v>21</v>
      </c>
      <c r="B1083" s="3" t="str">
        <f>HYPERLINK("https://hawk-eye.atlassian.net/browse/HWKREPORT-2459?atlOrigin=eyJpIjoiYzgwYTQ0ZjEyNzQzNGJhN2JmNjEyZTM0NmRhZWZhNjIiLCJwIjoic2hlZXRzLWppcmEifQ","HWKREPORT-2459")</f>
        <v>HWKREPORT-2459</v>
      </c>
      <c r="C1083" s="1" t="s">
        <v>2304</v>
      </c>
      <c r="D1083" s="1" t="s">
        <v>23</v>
      </c>
      <c r="E1083" s="1" t="s">
        <v>35</v>
      </c>
      <c r="F1083" s="4">
        <v>45232.45428240741</v>
      </c>
      <c r="G1083" s="3" t="str">
        <f>HYPERLINK("https://hawk-eye.atlassian.net/browse/?atlOrigin=eyJpIjoiYzgwYTQ0ZjEyNzQzNGJhN2JmNjEyZTM0NmRhZWZhNjIiLCJwIjoic2hlZXRzLWppcmEifQ","")</f>
        <v/>
      </c>
      <c r="H1083" s="1" t="s">
        <v>1058</v>
      </c>
      <c r="I1083" s="1" t="s">
        <v>1082</v>
      </c>
      <c r="J1083" s="1" t="s">
        <v>26</v>
      </c>
      <c r="K1083" s="1" t="s">
        <v>1312</v>
      </c>
      <c r="L1083" s="1" t="s">
        <v>26</v>
      </c>
      <c r="M1083" s="1" t="s">
        <v>27</v>
      </c>
      <c r="N1083" s="1" t="s">
        <v>26</v>
      </c>
      <c r="O1083" s="1" t="s">
        <v>26</v>
      </c>
      <c r="P1083" s="4">
        <v>45245.49151620371</v>
      </c>
    </row>
    <row r="1084" hidden="1">
      <c r="A1084" s="1" t="s">
        <v>21</v>
      </c>
      <c r="B1084" s="3" t="str">
        <f>HYPERLINK("https://hawk-eye.atlassian.net/browse/HWKREPORT-2460?atlOrigin=eyJpIjoiYzgwYTQ0ZjEyNzQzNGJhN2JmNjEyZTM0NmRhZWZhNjIiLCJwIjoic2hlZXRzLWppcmEifQ","HWKREPORT-2460")</f>
        <v>HWKREPORT-2460</v>
      </c>
      <c r="C1084" s="1" t="s">
        <v>2305</v>
      </c>
      <c r="D1084" s="1" t="s">
        <v>23</v>
      </c>
      <c r="E1084" s="1" t="s">
        <v>1207</v>
      </c>
      <c r="F1084" s="4">
        <v>45232.740648148145</v>
      </c>
      <c r="G1084" s="3" t="str">
        <f>HYPERLINK("https://hawk-eye.atlassian.net/browse/RTT-7370?atlOrigin=eyJpIjoiYzgwYTQ0ZjEyNzQzNGJhN2JmNjEyZTM0NmRhZWZhNjIiLCJwIjoic2hlZXRzLWppcmEifQ","RTT-7370")</f>
        <v>RTT-7370</v>
      </c>
      <c r="H1084" s="1" t="s">
        <v>1058</v>
      </c>
      <c r="I1084" s="1" t="s">
        <v>1085</v>
      </c>
      <c r="J1084" s="1" t="s">
        <v>26</v>
      </c>
      <c r="K1084" s="1" t="s">
        <v>1196</v>
      </c>
      <c r="L1084" s="1" t="s">
        <v>26</v>
      </c>
      <c r="M1084" s="1" t="s">
        <v>27</v>
      </c>
      <c r="N1084" s="1" t="s">
        <v>26</v>
      </c>
      <c r="O1084" s="1" t="s">
        <v>26</v>
      </c>
      <c r="P1084" s="4">
        <v>45273.494097222225</v>
      </c>
    </row>
    <row r="1085" hidden="1">
      <c r="A1085" s="1" t="s">
        <v>21</v>
      </c>
      <c r="B1085" s="3" t="str">
        <f>HYPERLINK("https://hawk-eye.atlassian.net/browse/HWKREPORT-2461?atlOrigin=eyJpIjoiYzgwYTQ0ZjEyNzQzNGJhN2JmNjEyZTM0NmRhZWZhNjIiLCJwIjoic2hlZXRzLWppcmEifQ","HWKREPORT-2461")</f>
        <v>HWKREPORT-2461</v>
      </c>
      <c r="C1085" s="1" t="s">
        <v>2306</v>
      </c>
      <c r="D1085" s="1" t="s">
        <v>83</v>
      </c>
      <c r="E1085" s="1" t="s">
        <v>35</v>
      </c>
      <c r="F1085" s="4">
        <v>45232.740694444445</v>
      </c>
      <c r="G1085" s="3" t="str">
        <f>HYPERLINK("https://hawk-eye.atlassian.net/browse/RTT-7369?atlOrigin=eyJpIjoiYzgwYTQ0ZjEyNzQzNGJhN2JmNjEyZTM0NmRhZWZhNjIiLCJwIjoic2hlZXRzLWppcmEifQ","RTT-7369")</f>
        <v>RTT-7369</v>
      </c>
      <c r="H1085" s="1" t="s">
        <v>1058</v>
      </c>
      <c r="I1085" s="1" t="s">
        <v>1085</v>
      </c>
      <c r="J1085" s="1" t="s">
        <v>26</v>
      </c>
      <c r="K1085" s="1" t="s">
        <v>1196</v>
      </c>
      <c r="L1085" s="1" t="s">
        <v>26</v>
      </c>
      <c r="M1085" s="1" t="s">
        <v>27</v>
      </c>
      <c r="N1085" s="1" t="s">
        <v>26</v>
      </c>
      <c r="O1085" s="1" t="s">
        <v>26</v>
      </c>
      <c r="P1085" s="4">
        <v>45294.46146990741</v>
      </c>
    </row>
    <row r="1086" hidden="1">
      <c r="A1086" s="1" t="s">
        <v>21</v>
      </c>
      <c r="B1086" s="3" t="str">
        <f>HYPERLINK("https://hawk-eye.atlassian.net/browse/HWKREPORT-2462?atlOrigin=eyJpIjoiYzgwYTQ0ZjEyNzQzNGJhN2JmNjEyZTM0NmRhZWZhNjIiLCJwIjoic2hlZXRzLWppcmEifQ","HWKREPORT-2462")</f>
        <v>HWKREPORT-2462</v>
      </c>
      <c r="C1086" s="1" t="s">
        <v>2307</v>
      </c>
      <c r="D1086" s="1" t="s">
        <v>34</v>
      </c>
      <c r="E1086" s="1" t="s">
        <v>35</v>
      </c>
      <c r="F1086" s="4">
        <v>45232.740798611114</v>
      </c>
      <c r="G1086" s="3" t="str">
        <f>HYPERLINK("https://hawk-eye.atlassian.net/browse/RTT-7358?atlOrigin=eyJpIjoiYzgwYTQ0ZjEyNzQzNGJhN2JmNjEyZTM0NmRhZWZhNjIiLCJwIjoic2hlZXRzLWppcmEifQ","RTT-7358")</f>
        <v>RTT-7358</v>
      </c>
      <c r="H1086" s="1" t="s">
        <v>1058</v>
      </c>
      <c r="I1086" s="1" t="s">
        <v>1085</v>
      </c>
      <c r="J1086" s="1" t="s">
        <v>26</v>
      </c>
      <c r="K1086" s="1" t="s">
        <v>1196</v>
      </c>
      <c r="L1086" s="1" t="s">
        <v>26</v>
      </c>
      <c r="M1086" s="1" t="s">
        <v>27</v>
      </c>
      <c r="N1086" s="1" t="s">
        <v>26</v>
      </c>
      <c r="O1086" s="1" t="s">
        <v>26</v>
      </c>
      <c r="P1086" s="4">
        <v>45237.44616898148</v>
      </c>
    </row>
    <row r="1087" hidden="1">
      <c r="A1087" s="1" t="s">
        <v>21</v>
      </c>
      <c r="B1087" s="3" t="str">
        <f>HYPERLINK("https://hawk-eye.atlassian.net/browse/HWKREPORT-2463?atlOrigin=eyJpIjoiYzgwYTQ0ZjEyNzQzNGJhN2JmNjEyZTM0NmRhZWZhNjIiLCJwIjoic2hlZXRzLWppcmEifQ","HWKREPORT-2463")</f>
        <v>HWKREPORT-2463</v>
      </c>
      <c r="C1087" s="1" t="s">
        <v>2308</v>
      </c>
      <c r="D1087" s="1" t="s">
        <v>23</v>
      </c>
      <c r="E1087" s="1" t="s">
        <v>35</v>
      </c>
      <c r="F1087" s="4">
        <v>45232.74097222222</v>
      </c>
      <c r="G1087" s="3" t="str">
        <f>HYPERLINK("https://hawk-eye.atlassian.net/browse/RTT-7368?atlOrigin=eyJpIjoiYzgwYTQ0ZjEyNzQzNGJhN2JmNjEyZTM0NmRhZWZhNjIiLCJwIjoic2hlZXRzLWppcmEifQ","RTT-7368")</f>
        <v>RTT-7368</v>
      </c>
      <c r="H1087" s="1" t="s">
        <v>1058</v>
      </c>
      <c r="I1087" s="1" t="s">
        <v>1085</v>
      </c>
      <c r="J1087" s="1" t="s">
        <v>26</v>
      </c>
      <c r="K1087" s="1" t="s">
        <v>1196</v>
      </c>
      <c r="L1087" s="1" t="s">
        <v>26</v>
      </c>
      <c r="M1087" s="1" t="s">
        <v>27</v>
      </c>
      <c r="N1087" s="1" t="s">
        <v>26</v>
      </c>
      <c r="O1087" s="1" t="s">
        <v>26</v>
      </c>
      <c r="P1087" s="4">
        <v>45278.653599537036</v>
      </c>
    </row>
    <row r="1088">
      <c r="A1088" s="1" t="s">
        <v>21</v>
      </c>
      <c r="B1088" s="3" t="str">
        <f>HYPERLINK("https://hawk-eye.atlassian.net/browse/HWKREPORT-2464?atlOrigin=eyJpIjoiYzgwYTQ0ZjEyNzQzNGJhN2JmNjEyZTM0NmRhZWZhNjIiLCJwIjoic2hlZXRzLWppcmEifQ","HWKREPORT-2464")</f>
        <v>HWKREPORT-2464</v>
      </c>
      <c r="C1088" s="1" t="s">
        <v>2309</v>
      </c>
      <c r="D1088" s="1" t="s">
        <v>34</v>
      </c>
      <c r="E1088" s="1" t="s">
        <v>35</v>
      </c>
      <c r="F1088" s="4">
        <v>45232.78150462963</v>
      </c>
      <c r="G1088" s="3" t="str">
        <f>HYPERLINK("https://hawk-eye.atlassian.net/browse/RTT-7359?atlOrigin=eyJpIjoiYzgwYTQ0ZjEyNzQzNGJhN2JmNjEyZTM0NmRhZWZhNjIiLCJwIjoic2hlZXRzLWppcmEifQ","RTT-7359")</f>
        <v>RTT-7359</v>
      </c>
      <c r="H1088" s="1" t="s">
        <v>1058</v>
      </c>
      <c r="I1088" s="1" t="s">
        <v>28</v>
      </c>
      <c r="J1088" s="1" t="s">
        <v>26</v>
      </c>
      <c r="K1088" s="1" t="s">
        <v>1072</v>
      </c>
      <c r="L1088" s="1" t="s">
        <v>26</v>
      </c>
      <c r="M1088" s="1" t="s">
        <v>27</v>
      </c>
      <c r="N1088" s="1" t="s">
        <v>26</v>
      </c>
      <c r="O1088" s="1" t="s">
        <v>26</v>
      </c>
      <c r="P1088" s="4">
        <v>45265.44016203703</v>
      </c>
    </row>
    <row r="1089" hidden="1">
      <c r="A1089" s="1" t="s">
        <v>21</v>
      </c>
      <c r="B1089" s="3" t="str">
        <f>HYPERLINK("https://hawk-eye.atlassian.net/browse/HWKREPORT-2465?atlOrigin=eyJpIjoiYzgwYTQ0ZjEyNzQzNGJhN2JmNjEyZTM0NmRhZWZhNjIiLCJwIjoic2hlZXRzLWppcmEifQ","HWKREPORT-2465")</f>
        <v>HWKREPORT-2465</v>
      </c>
      <c r="C1089" s="1" t="s">
        <v>2310</v>
      </c>
      <c r="D1089" s="1" t="s">
        <v>48</v>
      </c>
      <c r="E1089" s="1" t="s">
        <v>35</v>
      </c>
      <c r="F1089" s="4">
        <v>45233.785995370374</v>
      </c>
      <c r="G1089" s="3" t="str">
        <f>HYPERLINK("https://hawk-eye.atlassian.net/browse/DEVOPS-655?atlOrigin=eyJpIjoiYzgwYTQ0ZjEyNzQzNGJhN2JmNjEyZTM0NmRhZWZhNjIiLCJwIjoic2hlZXRzLWppcmEifQ","DEVOPS-655")</f>
        <v>DEVOPS-655</v>
      </c>
      <c r="H1089" s="1" t="s">
        <v>1058</v>
      </c>
      <c r="I1089" s="1" t="s">
        <v>1126</v>
      </c>
      <c r="J1089" s="1" t="s">
        <v>26</v>
      </c>
      <c r="K1089" s="1" t="s">
        <v>1211</v>
      </c>
      <c r="L1089" s="1" t="s">
        <v>26</v>
      </c>
      <c r="M1089" s="1" t="s">
        <v>27</v>
      </c>
      <c r="N1089" s="1" t="s">
        <v>26</v>
      </c>
      <c r="O1089" s="1" t="s">
        <v>26</v>
      </c>
      <c r="P1089" s="4">
        <v>45260.60391203704</v>
      </c>
    </row>
    <row r="1090" hidden="1">
      <c r="A1090" s="1" t="s">
        <v>21</v>
      </c>
      <c r="B1090" s="3" t="str">
        <f>HYPERLINK("https://hawk-eye.atlassian.net/browse/HWKREPORT-2466?atlOrigin=eyJpIjoiYzgwYTQ0ZjEyNzQzNGJhN2JmNjEyZTM0NmRhZWZhNjIiLCJwIjoic2hlZXRzLWppcmEifQ","HWKREPORT-2466")</f>
        <v>HWKREPORT-2466</v>
      </c>
      <c r="C1090" s="1" t="s">
        <v>2311</v>
      </c>
      <c r="D1090" s="1" t="s">
        <v>40</v>
      </c>
      <c r="E1090" s="1" t="s">
        <v>35</v>
      </c>
      <c r="F1090" s="4">
        <v>45233.88538194444</v>
      </c>
      <c r="G1090" s="3" t="str">
        <f>HYPERLINK("https://hawk-eye.atlassian.net/browse/TRD-266?atlOrigin=eyJpIjoiYzgwYTQ0ZjEyNzQzNGJhN2JmNjEyZTM0NmRhZWZhNjIiLCJwIjoic2hlZXRzLWppcmEifQ","TRD-266")</f>
        <v>TRD-266</v>
      </c>
      <c r="H1090" s="1" t="s">
        <v>1058</v>
      </c>
      <c r="I1090" s="1" t="s">
        <v>1126</v>
      </c>
      <c r="J1090" s="1" t="s">
        <v>26</v>
      </c>
      <c r="K1090" s="1" t="s">
        <v>1211</v>
      </c>
      <c r="L1090" s="1" t="s">
        <v>26</v>
      </c>
      <c r="M1090" s="1" t="s">
        <v>27</v>
      </c>
      <c r="N1090" s="1" t="s">
        <v>26</v>
      </c>
      <c r="O1090" s="1" t="s">
        <v>26</v>
      </c>
      <c r="P1090" s="4">
        <v>45260.42554398148</v>
      </c>
    </row>
    <row r="1091" hidden="1">
      <c r="A1091" s="1" t="s">
        <v>21</v>
      </c>
      <c r="B1091" s="3" t="str">
        <f>HYPERLINK("https://hawk-eye.atlassian.net/browse/HWKREPORT-2467?atlOrigin=eyJpIjoiYzgwYTQ0ZjEyNzQzNGJhN2JmNjEyZTM0NmRhZWZhNjIiLCJwIjoic2hlZXRzLWppcmEifQ","HWKREPORT-2467")</f>
        <v>HWKREPORT-2467</v>
      </c>
      <c r="C1091" s="1" t="s">
        <v>2312</v>
      </c>
      <c r="D1091" s="1" t="s">
        <v>40</v>
      </c>
      <c r="E1091" s="1" t="s">
        <v>1207</v>
      </c>
      <c r="F1091" s="4">
        <v>45236.53028935185</v>
      </c>
      <c r="G1091" s="3" t="str">
        <f>HYPERLINK("https://hawk-eye.atlassian.net/browse/RTT-7373?atlOrigin=eyJpIjoiYzgwYTQ0ZjEyNzQzNGJhN2JmNjEyZTM0NmRhZWZhNjIiLCJwIjoic2hlZXRzLWppcmEifQ","RTT-7373")</f>
        <v>RTT-7373</v>
      </c>
      <c r="H1091" s="1" t="s">
        <v>1058</v>
      </c>
      <c r="I1091" s="1" t="s">
        <v>1082</v>
      </c>
      <c r="J1091" s="1" t="s">
        <v>26</v>
      </c>
      <c r="K1091" s="1" t="s">
        <v>1312</v>
      </c>
      <c r="L1091" s="1" t="s">
        <v>26</v>
      </c>
      <c r="M1091" s="1" t="s">
        <v>27</v>
      </c>
      <c r="N1091" s="1" t="s">
        <v>26</v>
      </c>
      <c r="O1091" s="1" t="s">
        <v>26</v>
      </c>
      <c r="P1091" s="4">
        <v>45259.451944444445</v>
      </c>
    </row>
    <row r="1092">
      <c r="A1092" s="1" t="s">
        <v>21</v>
      </c>
      <c r="B1092" s="3" t="str">
        <f>HYPERLINK("https://hawk-eye.atlassian.net/browse/HWKREPORT-2468?atlOrigin=eyJpIjoiYzgwYTQ0ZjEyNzQzNGJhN2JmNjEyZTM0NmRhZWZhNjIiLCJwIjoic2hlZXRzLWppcmEifQ","HWKREPORT-2468")</f>
        <v>HWKREPORT-2468</v>
      </c>
      <c r="C1092" s="1" t="s">
        <v>2313</v>
      </c>
      <c r="D1092" s="1" t="s">
        <v>40</v>
      </c>
      <c r="E1092" s="1" t="s">
        <v>35</v>
      </c>
      <c r="F1092" s="4">
        <v>45236.6878125</v>
      </c>
      <c r="G1092" s="3" t="str">
        <f>HYPERLINK("https://hawk-eye.atlassian.net/browse/RTT-7389?atlOrigin=eyJpIjoiYzgwYTQ0ZjEyNzQzNGJhN2JmNjEyZTM0NmRhZWZhNjIiLCJwIjoic2hlZXRzLWppcmEifQ","RTT-7389")</f>
        <v>RTT-7389</v>
      </c>
      <c r="H1092" s="1" t="s">
        <v>1058</v>
      </c>
      <c r="I1092" s="1" t="s">
        <v>28</v>
      </c>
      <c r="J1092" s="1" t="s">
        <v>26</v>
      </c>
      <c r="K1092" s="1" t="s">
        <v>1072</v>
      </c>
      <c r="L1092" s="1" t="s">
        <v>26</v>
      </c>
      <c r="M1092" s="1" t="s">
        <v>27</v>
      </c>
      <c r="N1092" s="1" t="s">
        <v>26</v>
      </c>
      <c r="O1092" s="1" t="s">
        <v>26</v>
      </c>
      <c r="P1092" s="4">
        <v>45524.7290162037</v>
      </c>
    </row>
    <row r="1093" hidden="1">
      <c r="A1093" s="1" t="s">
        <v>21</v>
      </c>
      <c r="B1093" s="3" t="str">
        <f>HYPERLINK("https://hawk-eye.atlassian.net/browse/HWKREPORT-2469?atlOrigin=eyJpIjoiYzgwYTQ0ZjEyNzQzNGJhN2JmNjEyZTM0NmRhZWZhNjIiLCJwIjoic2hlZXRzLWppcmEifQ","HWKREPORT-2469")</f>
        <v>HWKREPORT-2469</v>
      </c>
      <c r="C1093" s="1" t="s">
        <v>2314</v>
      </c>
      <c r="D1093" s="1" t="s">
        <v>34</v>
      </c>
      <c r="E1093" s="1" t="s">
        <v>35</v>
      </c>
      <c r="F1093" s="4">
        <v>45236.73579861111</v>
      </c>
      <c r="G1093" s="3" t="str">
        <f>HYPERLINK("https://hawk-eye.atlassian.net/browse/?atlOrigin=eyJpIjoiYzgwYTQ0ZjEyNzQzNGJhN2JmNjEyZTM0NmRhZWZhNjIiLCJwIjoic2hlZXRzLWppcmEifQ","")</f>
        <v/>
      </c>
      <c r="H1093" s="1" t="s">
        <v>1058</v>
      </c>
      <c r="I1093" s="1" t="s">
        <v>1126</v>
      </c>
      <c r="J1093" s="1" t="s">
        <v>26</v>
      </c>
      <c r="K1093" s="1" t="s">
        <v>1211</v>
      </c>
      <c r="L1093" s="1" t="s">
        <v>26</v>
      </c>
      <c r="M1093" s="1" t="s">
        <v>27</v>
      </c>
      <c r="N1093" s="1" t="s">
        <v>26</v>
      </c>
      <c r="O1093" s="1" t="s">
        <v>26</v>
      </c>
      <c r="P1093" s="4">
        <v>45397.62341435185</v>
      </c>
    </row>
    <row r="1094" hidden="1">
      <c r="A1094" s="1" t="s">
        <v>1055</v>
      </c>
      <c r="B1094" s="3" t="str">
        <f>HYPERLINK("https://hawk-eye.atlassian.net/browse/HWKREPORT-2470?atlOrigin=eyJpIjoiYzgwYTQ0ZjEyNzQzNGJhN2JmNjEyZTM0NmRhZWZhNjIiLCJwIjoic2hlZXRzLWppcmEifQ","HWKREPORT-2470")</f>
        <v>HWKREPORT-2470</v>
      </c>
      <c r="C1094" s="1" t="s">
        <v>2315</v>
      </c>
      <c r="D1094" s="1" t="s">
        <v>48</v>
      </c>
      <c r="E1094" s="1" t="s">
        <v>35</v>
      </c>
      <c r="F1094" s="4">
        <v>45236.93454861111</v>
      </c>
      <c r="G1094" s="3" t="str">
        <f>HYPERLINK("https://hawk-eye.atlassian.net/browse/RTT-7390?atlOrigin=eyJpIjoiYzgwYTQ0ZjEyNzQzNGJhN2JmNjEyZTM0NmRhZWZhNjIiLCJwIjoic2hlZXRzLWppcmEifQ","RTT-7390")</f>
        <v>RTT-7390</v>
      </c>
      <c r="H1094" s="1" t="s">
        <v>1058</v>
      </c>
      <c r="I1094" s="1" t="s">
        <v>28</v>
      </c>
      <c r="J1094" s="1" t="s">
        <v>26</v>
      </c>
      <c r="K1094" s="1" t="s">
        <v>1072</v>
      </c>
      <c r="L1094" s="1" t="s">
        <v>26</v>
      </c>
      <c r="M1094" s="1" t="s">
        <v>27</v>
      </c>
      <c r="N1094" s="1" t="s">
        <v>26</v>
      </c>
      <c r="O1094" s="1" t="s">
        <v>26</v>
      </c>
      <c r="P1094" s="4">
        <v>45524.72893518519</v>
      </c>
    </row>
    <row r="1095" hidden="1">
      <c r="A1095" s="1" t="s">
        <v>1055</v>
      </c>
      <c r="B1095" s="3" t="str">
        <f>HYPERLINK("https://hawk-eye.atlassian.net/browse/HWKREPORT-2471?atlOrigin=eyJpIjoiYzgwYTQ0ZjEyNzQzNGJhN2JmNjEyZTM0NmRhZWZhNjIiLCJwIjoic2hlZXRzLWppcmEifQ","HWKREPORT-2471")</f>
        <v>HWKREPORT-2471</v>
      </c>
      <c r="C1095" s="1" t="s">
        <v>2316</v>
      </c>
      <c r="D1095" s="1" t="s">
        <v>48</v>
      </c>
      <c r="E1095" s="1" t="s">
        <v>1057</v>
      </c>
      <c r="F1095" s="4">
        <v>45237.39648148148</v>
      </c>
      <c r="G1095" s="3" t="str">
        <f t="shared" ref="G1095:G1096" si="103">HYPERLINK("https://hawk-eye.atlassian.net/browse/?atlOrigin=eyJpIjoiYzgwYTQ0ZjEyNzQzNGJhN2JmNjEyZTM0NmRhZWZhNjIiLCJwIjoic2hlZXRzLWppcmEifQ","")</f>
        <v/>
      </c>
      <c r="H1095" s="1" t="s">
        <v>1058</v>
      </c>
      <c r="I1095" s="1" t="s">
        <v>1082</v>
      </c>
      <c r="J1095" s="1" t="s">
        <v>26</v>
      </c>
      <c r="K1095" s="1" t="s">
        <v>1148</v>
      </c>
      <c r="L1095" s="1" t="s">
        <v>26</v>
      </c>
      <c r="M1095" s="1" t="s">
        <v>27</v>
      </c>
      <c r="N1095" s="1" t="s">
        <v>26</v>
      </c>
      <c r="O1095" s="1" t="s">
        <v>26</v>
      </c>
      <c r="P1095" s="4">
        <v>45237.39648148148</v>
      </c>
    </row>
    <row r="1096" hidden="1">
      <c r="A1096" s="1" t="s">
        <v>1055</v>
      </c>
      <c r="B1096" s="3" t="str">
        <f>HYPERLINK("https://hawk-eye.atlassian.net/browse/HWKREPORT-2472?atlOrigin=eyJpIjoiYzgwYTQ0ZjEyNzQzNGJhN2JmNjEyZTM0NmRhZWZhNjIiLCJwIjoic2hlZXRzLWppcmEifQ","HWKREPORT-2472")</f>
        <v>HWKREPORT-2472</v>
      </c>
      <c r="C1096" s="1" t="s">
        <v>2317</v>
      </c>
      <c r="D1096" s="1" t="s">
        <v>48</v>
      </c>
      <c r="E1096" s="1" t="s">
        <v>1057</v>
      </c>
      <c r="F1096" s="4">
        <v>45237.51305555556</v>
      </c>
      <c r="G1096" s="3" t="str">
        <f t="shared" si="103"/>
        <v/>
      </c>
      <c r="H1096" s="1" t="s">
        <v>1058</v>
      </c>
      <c r="I1096" s="1" t="s">
        <v>1085</v>
      </c>
      <c r="J1096" s="1" t="s">
        <v>26</v>
      </c>
      <c r="K1096" s="1" t="s">
        <v>1072</v>
      </c>
      <c r="L1096" s="1" t="s">
        <v>26</v>
      </c>
      <c r="M1096" s="1" t="s">
        <v>27</v>
      </c>
      <c r="N1096" s="1" t="s">
        <v>26</v>
      </c>
      <c r="O1096" s="1" t="s">
        <v>26</v>
      </c>
      <c r="P1096" s="4">
        <v>45237.51305555556</v>
      </c>
    </row>
    <row r="1097" hidden="1">
      <c r="A1097" s="1" t="s">
        <v>21</v>
      </c>
      <c r="B1097" s="3" t="str">
        <f>HYPERLINK("https://hawk-eye.atlassian.net/browse/HWKREPORT-2473?atlOrigin=eyJpIjoiYzgwYTQ0ZjEyNzQzNGJhN2JmNjEyZTM0NmRhZWZhNjIiLCJwIjoic2hlZXRzLWppcmEifQ","HWKREPORT-2473")</f>
        <v>HWKREPORT-2473</v>
      </c>
      <c r="C1097" s="1" t="s">
        <v>2318</v>
      </c>
      <c r="D1097" s="1" t="s">
        <v>83</v>
      </c>
      <c r="E1097" s="1" t="s">
        <v>35</v>
      </c>
      <c r="F1097" s="4">
        <v>45237.550092592595</v>
      </c>
      <c r="G1097" s="3" t="str">
        <f>HYPERLINK("https://hawk-eye.atlassian.net/browse/RTT-7396?atlOrigin=eyJpIjoiYzgwYTQ0ZjEyNzQzNGJhN2JmNjEyZTM0NmRhZWZhNjIiLCJwIjoic2hlZXRzLWppcmEifQ","RTT-7396")</f>
        <v>RTT-7396</v>
      </c>
      <c r="H1097" s="1" t="s">
        <v>1058</v>
      </c>
      <c r="I1097" s="1" t="s">
        <v>1085</v>
      </c>
      <c r="J1097" s="1" t="s">
        <v>26</v>
      </c>
      <c r="K1097" s="1" t="s">
        <v>1196</v>
      </c>
      <c r="L1097" s="1" t="s">
        <v>26</v>
      </c>
      <c r="M1097" s="1" t="s">
        <v>27</v>
      </c>
      <c r="N1097" s="1" t="s">
        <v>26</v>
      </c>
      <c r="O1097" s="1" t="s">
        <v>26</v>
      </c>
      <c r="P1097" s="4">
        <v>45245.507997685185</v>
      </c>
    </row>
    <row r="1098" hidden="1">
      <c r="A1098" s="1" t="s">
        <v>1055</v>
      </c>
      <c r="B1098" s="3" t="str">
        <f>HYPERLINK("https://hawk-eye.atlassian.net/browse/HWKREPORT-2474?atlOrigin=eyJpIjoiYzgwYTQ0ZjEyNzQzNGJhN2JmNjEyZTM0NmRhZWZhNjIiLCJwIjoic2hlZXRzLWppcmEifQ","HWKREPORT-2474")</f>
        <v>HWKREPORT-2474</v>
      </c>
      <c r="C1098" s="1" t="s">
        <v>2319</v>
      </c>
      <c r="D1098" s="1" t="s">
        <v>48</v>
      </c>
      <c r="E1098" s="1" t="s">
        <v>1207</v>
      </c>
      <c r="F1098" s="4">
        <v>45238.59234953704</v>
      </c>
      <c r="G1098" s="3" t="str">
        <f>HYPERLINK("https://hawk-eye.atlassian.net/browse/RTT-7426?atlOrigin=eyJpIjoiYzgwYTQ0ZjEyNzQzNGJhN2JmNjEyZTM0NmRhZWZhNjIiLCJwIjoic2hlZXRzLWppcmEifQ","RTT-7426")</f>
        <v>RTT-7426</v>
      </c>
      <c r="H1098" s="1" t="s">
        <v>1058</v>
      </c>
      <c r="I1098" s="1" t="s">
        <v>1085</v>
      </c>
      <c r="J1098" s="1" t="s">
        <v>26</v>
      </c>
      <c r="K1098" s="1" t="s">
        <v>1072</v>
      </c>
      <c r="L1098" s="1" t="s">
        <v>26</v>
      </c>
      <c r="M1098" s="1" t="s">
        <v>27</v>
      </c>
      <c r="N1098" s="1" t="s">
        <v>26</v>
      </c>
      <c r="O1098" s="1" t="s">
        <v>26</v>
      </c>
      <c r="P1098" s="4">
        <v>45279.369421296295</v>
      </c>
    </row>
    <row r="1099" hidden="1">
      <c r="A1099" s="1" t="s">
        <v>1055</v>
      </c>
      <c r="B1099" s="3" t="str">
        <f>HYPERLINK("https://hawk-eye.atlassian.net/browse/HWKREPORT-2475?atlOrigin=eyJpIjoiYzgwYTQ0ZjEyNzQzNGJhN2JmNjEyZTM0NmRhZWZhNjIiLCJwIjoic2hlZXRzLWppcmEifQ","HWKREPORT-2475")</f>
        <v>HWKREPORT-2475</v>
      </c>
      <c r="C1099" s="1" t="s">
        <v>2320</v>
      </c>
      <c r="D1099" s="1" t="s">
        <v>48</v>
      </c>
      <c r="E1099" s="1" t="s">
        <v>35</v>
      </c>
      <c r="F1099" s="4">
        <v>45238.63091435185</v>
      </c>
      <c r="G1099" s="3" t="str">
        <f t="shared" ref="G1099:G1101" si="104">HYPERLINK("https://hawk-eye.atlassian.net/browse/?atlOrigin=eyJpIjoiYzgwYTQ0ZjEyNzQzNGJhN2JmNjEyZTM0NmRhZWZhNjIiLCJwIjoic2hlZXRzLWppcmEifQ","")</f>
        <v/>
      </c>
      <c r="H1099" s="1" t="s">
        <v>1058</v>
      </c>
      <c r="I1099" s="1" t="s">
        <v>1085</v>
      </c>
      <c r="J1099" s="1" t="s">
        <v>26</v>
      </c>
      <c r="K1099" s="1" t="s">
        <v>1105</v>
      </c>
      <c r="L1099" s="1" t="s">
        <v>26</v>
      </c>
      <c r="M1099" s="1" t="s">
        <v>27</v>
      </c>
      <c r="N1099" s="1" t="s">
        <v>26</v>
      </c>
      <c r="O1099" s="1" t="s">
        <v>26</v>
      </c>
      <c r="P1099" s="4">
        <v>45338.70145833334</v>
      </c>
    </row>
    <row r="1100" hidden="1">
      <c r="A1100" s="1" t="s">
        <v>21</v>
      </c>
      <c r="B1100" s="3" t="str">
        <f>HYPERLINK("https://hawk-eye.atlassian.net/browse/HWKREPORT-2476?atlOrigin=eyJpIjoiYzgwYTQ0ZjEyNzQzNGJhN2JmNjEyZTM0NmRhZWZhNjIiLCJwIjoic2hlZXRzLWppcmEifQ","HWKREPORT-2476")</f>
        <v>HWKREPORT-2476</v>
      </c>
      <c r="C1100" s="1" t="s">
        <v>2321</v>
      </c>
      <c r="D1100" s="1" t="s">
        <v>23</v>
      </c>
      <c r="E1100" s="1" t="s">
        <v>35</v>
      </c>
      <c r="F1100" s="4">
        <v>45239.53706018518</v>
      </c>
      <c r="G1100" s="3" t="str">
        <f t="shared" si="104"/>
        <v/>
      </c>
      <c r="H1100" s="1" t="s">
        <v>1058</v>
      </c>
      <c r="I1100" s="1" t="s">
        <v>1082</v>
      </c>
      <c r="J1100" s="1" t="s">
        <v>26</v>
      </c>
      <c r="K1100" s="1" t="s">
        <v>1148</v>
      </c>
      <c r="L1100" s="1" t="s">
        <v>26</v>
      </c>
      <c r="M1100" s="1" t="s">
        <v>27</v>
      </c>
      <c r="N1100" s="1" t="s">
        <v>26</v>
      </c>
      <c r="O1100" s="1" t="s">
        <v>26</v>
      </c>
      <c r="P1100" s="4">
        <v>45393.692824074074</v>
      </c>
    </row>
    <row r="1101" hidden="1">
      <c r="A1101" s="1" t="s">
        <v>21</v>
      </c>
      <c r="B1101" s="3" t="str">
        <f>HYPERLINK("https://hawk-eye.atlassian.net/browse/HWKREPORT-2477?atlOrigin=eyJpIjoiYzgwYTQ0ZjEyNzQzNGJhN2JmNjEyZTM0NmRhZWZhNjIiLCJwIjoic2hlZXRzLWppcmEifQ","HWKREPORT-2477")</f>
        <v>HWKREPORT-2477</v>
      </c>
      <c r="C1101" s="1" t="s">
        <v>2322</v>
      </c>
      <c r="D1101" s="1" t="s">
        <v>40</v>
      </c>
      <c r="E1101" s="1" t="s">
        <v>35</v>
      </c>
      <c r="F1101" s="4">
        <v>45239.58561342592</v>
      </c>
      <c r="G1101" s="3" t="str">
        <f t="shared" si="104"/>
        <v/>
      </c>
      <c r="H1101" s="1" t="s">
        <v>1058</v>
      </c>
      <c r="I1101" s="1" t="s">
        <v>1085</v>
      </c>
      <c r="J1101" s="1" t="s">
        <v>26</v>
      </c>
      <c r="K1101" s="1" t="s">
        <v>1072</v>
      </c>
      <c r="L1101" s="1" t="s">
        <v>26</v>
      </c>
      <c r="M1101" s="1" t="s">
        <v>27</v>
      </c>
      <c r="N1101" s="1" t="s">
        <v>26</v>
      </c>
      <c r="O1101" s="1" t="s">
        <v>26</v>
      </c>
      <c r="P1101" s="4">
        <v>45245.49185185185</v>
      </c>
    </row>
    <row r="1102">
      <c r="A1102" s="1" t="s">
        <v>21</v>
      </c>
      <c r="B1102" s="3" t="str">
        <f>HYPERLINK("https://hawk-eye.atlassian.net/browse/HWKREPORT-2277?atlOrigin=eyJpIjoiYzgwYTQ0ZjEyNzQzNGJhN2JmNjEyZTM0NmRhZWZhNjIiLCJwIjoic2hlZXRzLWppcmEifQ","HWKREPORT-2277")</f>
        <v>HWKREPORT-2277</v>
      </c>
      <c r="C1102" s="1" t="s">
        <v>2323</v>
      </c>
      <c r="D1102" s="1" t="s">
        <v>23</v>
      </c>
      <c r="E1102" s="1" t="s">
        <v>35</v>
      </c>
      <c r="F1102" s="4">
        <v>45147.832280092596</v>
      </c>
      <c r="G1102" s="3" t="str">
        <f>HYPERLINK("https://hawk-eye.atlassian.net/browse/RTT-6851?atlOrigin=eyJpIjoiYzgwYTQ0ZjEyNzQzNGJhN2JmNjEyZTM0NmRhZWZhNjIiLCJwIjoic2hlZXRzLWppcmEifQ","RTT-6851")</f>
        <v>RTT-6851</v>
      </c>
      <c r="H1102" s="1" t="s">
        <v>1058</v>
      </c>
      <c r="I1102" s="1" t="s">
        <v>28</v>
      </c>
      <c r="J1102" s="1" t="s">
        <v>26</v>
      </c>
      <c r="K1102" s="1" t="s">
        <v>1072</v>
      </c>
      <c r="L1102" s="1" t="s">
        <v>26</v>
      </c>
      <c r="M1102" s="1" t="s">
        <v>27</v>
      </c>
      <c r="N1102" s="1" t="s">
        <v>26</v>
      </c>
      <c r="O1102" s="1" t="s">
        <v>26</v>
      </c>
      <c r="P1102" s="4">
        <v>45524.72975694444</v>
      </c>
    </row>
    <row r="1103">
      <c r="A1103" s="1" t="s">
        <v>21</v>
      </c>
      <c r="B1103" s="3" t="str">
        <f>HYPERLINK("https://hawk-eye.atlassian.net/browse/HWKREPORT-2278?atlOrigin=eyJpIjoiYzgwYTQ0ZjEyNzQzNGJhN2JmNjEyZTM0NmRhZWZhNjIiLCJwIjoic2hlZXRzLWppcmEifQ","HWKREPORT-2278")</f>
        <v>HWKREPORT-2278</v>
      </c>
      <c r="C1103" s="1" t="s">
        <v>2324</v>
      </c>
      <c r="D1103" s="1" t="s">
        <v>83</v>
      </c>
      <c r="E1103" s="1" t="s">
        <v>35</v>
      </c>
      <c r="F1103" s="4">
        <v>45147.96246527778</v>
      </c>
      <c r="G1103" s="3" t="str">
        <f>HYPERLINK("https://hawk-eye.atlassian.net/browse/RTT-6852?atlOrigin=eyJpIjoiYzgwYTQ0ZjEyNzQzNGJhN2JmNjEyZTM0NmRhZWZhNjIiLCJwIjoic2hlZXRzLWppcmEifQ","RTT-6852")</f>
        <v>RTT-6852</v>
      </c>
      <c r="H1103" s="1" t="s">
        <v>1058</v>
      </c>
      <c r="I1103" s="1" t="s">
        <v>28</v>
      </c>
      <c r="J1103" s="1" t="s">
        <v>26</v>
      </c>
      <c r="K1103" s="1" t="s">
        <v>1072</v>
      </c>
      <c r="L1103" s="1" t="s">
        <v>26</v>
      </c>
      <c r="M1103" s="1" t="s">
        <v>27</v>
      </c>
      <c r="N1103" s="1" t="s">
        <v>26</v>
      </c>
      <c r="O1103" s="1" t="s">
        <v>26</v>
      </c>
      <c r="P1103" s="4">
        <v>45524.7296875</v>
      </c>
    </row>
    <row r="1104" hidden="1">
      <c r="A1104" s="1" t="s">
        <v>1055</v>
      </c>
      <c r="B1104" s="3" t="str">
        <f>HYPERLINK("https://hawk-eye.atlassian.net/browse/HWKREPORT-2279?atlOrigin=eyJpIjoiYzgwYTQ0ZjEyNzQzNGJhN2JmNjEyZTM0NmRhZWZhNjIiLCJwIjoic2hlZXRzLWppcmEifQ","HWKREPORT-2279")</f>
        <v>HWKREPORT-2279</v>
      </c>
      <c r="C1104" s="1" t="s">
        <v>2325</v>
      </c>
      <c r="D1104" s="1" t="s">
        <v>48</v>
      </c>
      <c r="E1104" s="1" t="s">
        <v>35</v>
      </c>
      <c r="F1104" s="4">
        <v>45148.4315162037</v>
      </c>
      <c r="G1104" s="3" t="str">
        <f t="shared" ref="G1104:G1105" si="105">HYPERLINK("https://hawk-eye.atlassian.net/browse/?atlOrigin=eyJpIjoiYzgwYTQ0ZjEyNzQzNGJhN2JmNjEyZTM0NmRhZWZhNjIiLCJwIjoic2hlZXRzLWppcmEifQ","")</f>
        <v/>
      </c>
      <c r="H1104" s="1" t="s">
        <v>1058</v>
      </c>
      <c r="I1104" s="1" t="s">
        <v>1085</v>
      </c>
      <c r="J1104" s="1" t="s">
        <v>26</v>
      </c>
      <c r="K1104" s="1" t="s">
        <v>1105</v>
      </c>
      <c r="L1104" s="1" t="s">
        <v>26</v>
      </c>
      <c r="M1104" s="1" t="s">
        <v>27</v>
      </c>
      <c r="N1104" s="1" t="s">
        <v>26</v>
      </c>
      <c r="O1104" s="1" t="s">
        <v>26</v>
      </c>
      <c r="P1104" s="4">
        <v>45159.36381944444</v>
      </c>
    </row>
    <row r="1105" hidden="1">
      <c r="A1105" s="1" t="s">
        <v>1055</v>
      </c>
      <c r="B1105" s="3" t="str">
        <f>HYPERLINK("https://hawk-eye.atlassian.net/browse/HWKREPORT-2280?atlOrigin=eyJpIjoiYzgwYTQ0ZjEyNzQzNGJhN2JmNjEyZTM0NmRhZWZhNjIiLCJwIjoic2hlZXRzLWppcmEifQ","HWKREPORT-2280")</f>
        <v>HWKREPORT-2280</v>
      </c>
      <c r="C1105" s="1" t="s">
        <v>2326</v>
      </c>
      <c r="D1105" s="1" t="s">
        <v>48</v>
      </c>
      <c r="E1105" s="1" t="s">
        <v>1057</v>
      </c>
      <c r="F1105" s="4">
        <v>45148.60275462963</v>
      </c>
      <c r="G1105" s="3" t="str">
        <f t="shared" si="105"/>
        <v/>
      </c>
      <c r="H1105" s="1" t="s">
        <v>1058</v>
      </c>
      <c r="I1105" s="1" t="s">
        <v>1071</v>
      </c>
      <c r="J1105" s="1" t="s">
        <v>26</v>
      </c>
      <c r="K1105" s="1" t="s">
        <v>2327</v>
      </c>
      <c r="L1105" s="1" t="s">
        <v>26</v>
      </c>
      <c r="M1105" s="1" t="s">
        <v>27</v>
      </c>
      <c r="N1105" s="1" t="s">
        <v>26</v>
      </c>
      <c r="O1105" s="1" t="s">
        <v>26</v>
      </c>
      <c r="P1105" s="4">
        <v>45148.6027662037</v>
      </c>
    </row>
    <row r="1106" hidden="1">
      <c r="A1106" s="1" t="s">
        <v>21</v>
      </c>
      <c r="B1106" s="3" t="str">
        <f>HYPERLINK("https://hawk-eye.atlassian.net/browse/HWKREPORT-2281?atlOrigin=eyJpIjoiYzgwYTQ0ZjEyNzQzNGJhN2JmNjEyZTM0NmRhZWZhNjIiLCJwIjoic2hlZXRzLWppcmEifQ","HWKREPORT-2281")</f>
        <v>HWKREPORT-2281</v>
      </c>
      <c r="C1106" s="1" t="s">
        <v>2328</v>
      </c>
      <c r="D1106" s="1" t="s">
        <v>23</v>
      </c>
      <c r="E1106" s="1" t="s">
        <v>1057</v>
      </c>
      <c r="F1106" s="4">
        <v>45148.62515046296</v>
      </c>
      <c r="G1106" s="3" t="str">
        <f>HYPERLINK("https://hawk-eye.atlassian.net/browse/RTT-6853?atlOrigin=eyJpIjoiYzgwYTQ0ZjEyNzQzNGJhN2JmNjEyZTM0NmRhZWZhNjIiLCJwIjoic2hlZXRzLWppcmEifQ","RTT-6853")</f>
        <v>RTT-6853</v>
      </c>
      <c r="H1106" s="1" t="s">
        <v>1058</v>
      </c>
      <c r="I1106" s="1" t="s">
        <v>1071</v>
      </c>
      <c r="J1106" s="1" t="s">
        <v>26</v>
      </c>
      <c r="K1106" s="1" t="s">
        <v>1072</v>
      </c>
      <c r="L1106" s="1" t="s">
        <v>26</v>
      </c>
      <c r="M1106" s="1" t="s">
        <v>27</v>
      </c>
      <c r="N1106" s="1" t="s">
        <v>26</v>
      </c>
      <c r="O1106" s="1" t="s">
        <v>26</v>
      </c>
      <c r="P1106" s="4">
        <v>45148.62515046296</v>
      </c>
    </row>
    <row r="1107" hidden="1">
      <c r="A1107" s="1" t="s">
        <v>21</v>
      </c>
      <c r="B1107" s="3" t="str">
        <f>HYPERLINK("https://hawk-eye.atlassian.net/browse/HWKREPORT-2282?atlOrigin=eyJpIjoiYzgwYTQ0ZjEyNzQzNGJhN2JmNjEyZTM0NmRhZWZhNjIiLCJwIjoic2hlZXRzLWppcmEifQ","HWKREPORT-2282")</f>
        <v>HWKREPORT-2282</v>
      </c>
      <c r="C1107" s="1" t="s">
        <v>2329</v>
      </c>
      <c r="D1107" s="1" t="s">
        <v>40</v>
      </c>
      <c r="E1107" s="1" t="s">
        <v>1207</v>
      </c>
      <c r="F1107" s="4">
        <v>45148.739652777775</v>
      </c>
      <c r="G1107" s="3" t="str">
        <f>HYPERLINK("https://hawk-eye.atlassian.net/browse/RTT-6855?atlOrigin=eyJpIjoiYzgwYTQ0ZjEyNzQzNGJhN2JmNjEyZTM0NmRhZWZhNjIiLCJwIjoic2hlZXRzLWppcmEifQ","RTT-6855")</f>
        <v>RTT-6855</v>
      </c>
      <c r="H1107" s="1" t="s">
        <v>1058</v>
      </c>
      <c r="I1107" s="1" t="s">
        <v>1071</v>
      </c>
      <c r="J1107" s="1" t="s">
        <v>26</v>
      </c>
      <c r="K1107" s="1" t="s">
        <v>1072</v>
      </c>
      <c r="L1107" s="1" t="s">
        <v>26</v>
      </c>
      <c r="M1107" s="1" t="s">
        <v>27</v>
      </c>
      <c r="N1107" s="1" t="s">
        <v>26</v>
      </c>
      <c r="O1107" s="1" t="s">
        <v>26</v>
      </c>
      <c r="P1107" s="4">
        <v>45176.551886574074</v>
      </c>
    </row>
    <row r="1108" hidden="1">
      <c r="A1108" s="1" t="s">
        <v>21</v>
      </c>
      <c r="B1108" s="3" t="str">
        <f>HYPERLINK("https://hawk-eye.atlassian.net/browse/HWKREPORT-2283?atlOrigin=eyJpIjoiYzgwYTQ0ZjEyNzQzNGJhN2JmNjEyZTM0NmRhZWZhNjIiLCJwIjoic2hlZXRzLWppcmEifQ","HWKREPORT-2283")</f>
        <v>HWKREPORT-2283</v>
      </c>
      <c r="C1108" s="1" t="s">
        <v>2330</v>
      </c>
      <c r="D1108" s="1" t="s">
        <v>23</v>
      </c>
      <c r="E1108" s="1" t="s">
        <v>35</v>
      </c>
      <c r="F1108" s="4">
        <v>45148.74144675926</v>
      </c>
      <c r="G1108" s="3" t="str">
        <f>HYPERLINK("https://hawk-eye.atlassian.net/browse/?atlOrigin=eyJpIjoiYzgwYTQ0ZjEyNzQzNGJhN2JmNjEyZTM0NmRhZWZhNjIiLCJwIjoic2hlZXRzLWppcmEifQ","")</f>
        <v/>
      </c>
      <c r="H1108" s="1" t="s">
        <v>1058</v>
      </c>
      <c r="I1108" s="1" t="s">
        <v>1071</v>
      </c>
      <c r="J1108" s="1" t="s">
        <v>26</v>
      </c>
      <c r="K1108" s="1" t="s">
        <v>1072</v>
      </c>
      <c r="L1108" s="1" t="s">
        <v>26</v>
      </c>
      <c r="M1108" s="1" t="s">
        <v>27</v>
      </c>
      <c r="N1108" s="1" t="s">
        <v>26</v>
      </c>
      <c r="O1108" s="1" t="s">
        <v>26</v>
      </c>
      <c r="P1108" s="4">
        <v>45216.3965625</v>
      </c>
    </row>
    <row r="1109">
      <c r="A1109" s="1" t="s">
        <v>21</v>
      </c>
      <c r="B1109" s="3" t="str">
        <f>HYPERLINK("https://hawk-eye.atlassian.net/browse/HWKREPORT-2284?atlOrigin=eyJpIjoiYzgwYTQ0ZjEyNzQzNGJhN2JmNjEyZTM0NmRhZWZhNjIiLCJwIjoic2hlZXRzLWppcmEifQ","HWKREPORT-2284")</f>
        <v>HWKREPORT-2284</v>
      </c>
      <c r="C1109" s="1" t="s">
        <v>2331</v>
      </c>
      <c r="D1109" s="1" t="s">
        <v>23</v>
      </c>
      <c r="E1109" s="1" t="s">
        <v>35</v>
      </c>
      <c r="F1109" s="4">
        <v>45148.744618055556</v>
      </c>
      <c r="G1109" s="3" t="str">
        <f>HYPERLINK("https://hawk-eye.atlassian.net/browse/RTT-6854?atlOrigin=eyJpIjoiYzgwYTQ0ZjEyNzQzNGJhN2JmNjEyZTM0NmRhZWZhNjIiLCJwIjoic2hlZXRzLWppcmEifQ","RTT-6854")</f>
        <v>RTT-6854</v>
      </c>
      <c r="H1109" s="1" t="s">
        <v>1058</v>
      </c>
      <c r="I1109" s="1" t="s">
        <v>28</v>
      </c>
      <c r="J1109" s="1" t="s">
        <v>26</v>
      </c>
      <c r="K1109" s="1" t="s">
        <v>1072</v>
      </c>
      <c r="L1109" s="1" t="s">
        <v>26</v>
      </c>
      <c r="M1109" s="1" t="s">
        <v>27</v>
      </c>
      <c r="N1109" s="1" t="s">
        <v>26</v>
      </c>
      <c r="O1109" s="1" t="s">
        <v>26</v>
      </c>
      <c r="P1109" s="4">
        <v>45524.72961805556</v>
      </c>
    </row>
    <row r="1110" hidden="1">
      <c r="A1110" s="1" t="s">
        <v>1055</v>
      </c>
      <c r="B1110" s="3" t="str">
        <f>HYPERLINK("https://hawk-eye.atlassian.net/browse/HWKREPORT-2285?atlOrigin=eyJpIjoiYzgwYTQ0ZjEyNzQzNGJhN2JmNjEyZTM0NmRhZWZhNjIiLCJwIjoic2hlZXRzLWppcmEifQ","HWKREPORT-2285")</f>
        <v>HWKREPORT-2285</v>
      </c>
      <c r="C1110" s="1" t="s">
        <v>2332</v>
      </c>
      <c r="D1110" s="1" t="s">
        <v>48</v>
      </c>
      <c r="E1110" s="1" t="s">
        <v>35</v>
      </c>
      <c r="F1110" s="4">
        <v>45148.89163194445</v>
      </c>
      <c r="G1110" s="3" t="str">
        <f>HYPERLINK("https://hawk-eye.atlassian.net/browse/RTT-6856?atlOrigin=eyJpIjoiYzgwYTQ0ZjEyNzQzNGJhN2JmNjEyZTM0NmRhZWZhNjIiLCJwIjoic2hlZXRzLWppcmEifQ","RTT-6856")</f>
        <v>RTT-6856</v>
      </c>
      <c r="H1110" s="1" t="s">
        <v>1058</v>
      </c>
      <c r="I1110" s="1" t="s">
        <v>28</v>
      </c>
      <c r="J1110" s="1" t="s">
        <v>26</v>
      </c>
      <c r="K1110" s="1" t="s">
        <v>1072</v>
      </c>
      <c r="L1110" s="1" t="s">
        <v>26</v>
      </c>
      <c r="M1110" s="1" t="s">
        <v>27</v>
      </c>
      <c r="N1110" s="1" t="s">
        <v>26</v>
      </c>
      <c r="O1110" s="1" t="s">
        <v>26</v>
      </c>
      <c r="P1110" s="4">
        <v>45524.72954861111</v>
      </c>
    </row>
    <row r="1111" hidden="1">
      <c r="A1111" s="1" t="s">
        <v>21</v>
      </c>
      <c r="B1111" s="3" t="str">
        <f>HYPERLINK("https://hawk-eye.atlassian.net/browse/HWKREPORT-2286?atlOrigin=eyJpIjoiYzgwYTQ0ZjEyNzQzNGJhN2JmNjEyZTM0NmRhZWZhNjIiLCJwIjoic2hlZXRzLWppcmEifQ","HWKREPORT-2286")</f>
        <v>HWKREPORT-2286</v>
      </c>
      <c r="C1111" s="1" t="s">
        <v>2333</v>
      </c>
      <c r="D1111" s="1" t="s">
        <v>48</v>
      </c>
      <c r="E1111" s="1" t="s">
        <v>35</v>
      </c>
      <c r="F1111" s="4">
        <v>45150.809432870374</v>
      </c>
      <c r="G1111" s="3" t="str">
        <f t="shared" ref="G1111:G1112" si="106">HYPERLINK("https://hawk-eye.atlassian.net/browse/?atlOrigin=eyJpIjoiYzgwYTQ0ZjEyNzQzNGJhN2JmNjEyZTM0NmRhZWZhNjIiLCJwIjoic2hlZXRzLWppcmEifQ","")</f>
        <v/>
      </c>
      <c r="H1111" s="1" t="s">
        <v>1058</v>
      </c>
      <c r="I1111" s="1" t="s">
        <v>1126</v>
      </c>
      <c r="J1111" s="1" t="s">
        <v>26</v>
      </c>
      <c r="K1111" s="1" t="s">
        <v>1211</v>
      </c>
      <c r="L1111" s="1" t="s">
        <v>26</v>
      </c>
      <c r="M1111" s="1" t="s">
        <v>27</v>
      </c>
      <c r="N1111" s="1" t="s">
        <v>26</v>
      </c>
      <c r="O1111" s="1" t="s">
        <v>26</v>
      </c>
      <c r="P1111" s="4">
        <v>45436.624768518515</v>
      </c>
    </row>
    <row r="1112" hidden="1">
      <c r="A1112" s="1" t="s">
        <v>21</v>
      </c>
      <c r="B1112" s="3" t="str">
        <f>HYPERLINK("https://hawk-eye.atlassian.net/browse/HWKREPORT-2287?atlOrigin=eyJpIjoiYzgwYTQ0ZjEyNzQzNGJhN2JmNjEyZTM0NmRhZWZhNjIiLCJwIjoic2hlZXRzLWppcmEifQ","HWKREPORT-2287")</f>
        <v>HWKREPORT-2287</v>
      </c>
      <c r="C1112" s="1" t="s">
        <v>2334</v>
      </c>
      <c r="D1112" s="1" t="s">
        <v>48</v>
      </c>
      <c r="E1112" s="1" t="s">
        <v>35</v>
      </c>
      <c r="F1112" s="4">
        <v>45151.97237268519</v>
      </c>
      <c r="G1112" s="3" t="str">
        <f t="shared" si="106"/>
        <v/>
      </c>
      <c r="H1112" s="1" t="s">
        <v>1058</v>
      </c>
      <c r="I1112" s="1" t="s">
        <v>1126</v>
      </c>
      <c r="J1112" s="1" t="s">
        <v>26</v>
      </c>
      <c r="K1112" s="1" t="s">
        <v>1211</v>
      </c>
      <c r="L1112" s="1" t="s">
        <v>26</v>
      </c>
      <c r="M1112" s="1" t="s">
        <v>27</v>
      </c>
      <c r="N1112" s="1" t="s">
        <v>26</v>
      </c>
      <c r="O1112" s="1" t="s">
        <v>26</v>
      </c>
      <c r="P1112" s="4">
        <v>45252.39586805556</v>
      </c>
    </row>
    <row r="1113">
      <c r="A1113" s="1" t="s">
        <v>21</v>
      </c>
      <c r="B1113" s="3" t="str">
        <f>HYPERLINK("https://hawk-eye.atlassian.net/browse/HWKREPORT-2288?atlOrigin=eyJpIjoiYzgwYTQ0ZjEyNzQzNGJhN2JmNjEyZTM0NmRhZWZhNjIiLCJwIjoic2hlZXRzLWppcmEifQ","HWKREPORT-2288")</f>
        <v>HWKREPORT-2288</v>
      </c>
      <c r="C1113" s="1" t="s">
        <v>2335</v>
      </c>
      <c r="D1113" s="1" t="s">
        <v>48</v>
      </c>
      <c r="E1113" s="1" t="s">
        <v>35</v>
      </c>
      <c r="F1113" s="4">
        <v>45152.76398148148</v>
      </c>
      <c r="G1113" s="3" t="str">
        <f>HYPERLINK("https://hawk-eye.atlassian.net/browse/RTT-6873?atlOrigin=eyJpIjoiYzgwYTQ0ZjEyNzQzNGJhN2JmNjEyZTM0NmRhZWZhNjIiLCJwIjoic2hlZXRzLWppcmEifQ","RTT-6873")</f>
        <v>RTT-6873</v>
      </c>
      <c r="H1113" s="1" t="s">
        <v>1058</v>
      </c>
      <c r="I1113" s="1" t="s">
        <v>28</v>
      </c>
      <c r="J1113" s="1" t="s">
        <v>26</v>
      </c>
      <c r="K1113" s="1" t="s">
        <v>1072</v>
      </c>
      <c r="L1113" s="1" t="s">
        <v>26</v>
      </c>
      <c r="M1113" s="1" t="s">
        <v>27</v>
      </c>
      <c r="N1113" s="1" t="s">
        <v>26</v>
      </c>
      <c r="O1113" s="1" t="s">
        <v>26</v>
      </c>
      <c r="P1113" s="4">
        <v>45526.707870370374</v>
      </c>
    </row>
    <row r="1114" hidden="1">
      <c r="A1114" s="1" t="s">
        <v>1055</v>
      </c>
      <c r="B1114" s="3" t="str">
        <f>HYPERLINK("https://hawk-eye.atlassian.net/browse/HWKREPORT-2289?atlOrigin=eyJpIjoiYzgwYTQ0ZjEyNzQzNGJhN2JmNjEyZTM0NmRhZWZhNjIiLCJwIjoic2hlZXRzLWppcmEifQ","HWKREPORT-2289")</f>
        <v>HWKREPORT-2289</v>
      </c>
      <c r="C1114" s="1" t="s">
        <v>2336</v>
      </c>
      <c r="D1114" s="1" t="s">
        <v>48</v>
      </c>
      <c r="E1114" s="1" t="s">
        <v>35</v>
      </c>
      <c r="F1114" s="4">
        <v>45153.653333333335</v>
      </c>
      <c r="G1114" s="3" t="str">
        <f t="shared" ref="G1114:G1115" si="107">HYPERLINK("https://hawk-eye.atlassian.net/browse/?atlOrigin=eyJpIjoiYzgwYTQ0ZjEyNzQzNGJhN2JmNjEyZTM0NmRhZWZhNjIiLCJwIjoic2hlZXRzLWppcmEifQ","")</f>
        <v/>
      </c>
      <c r="H1114" s="1" t="s">
        <v>1058</v>
      </c>
      <c r="I1114" s="1" t="s">
        <v>1071</v>
      </c>
      <c r="J1114" s="1" t="s">
        <v>26</v>
      </c>
      <c r="K1114" s="1" t="s">
        <v>1072</v>
      </c>
      <c r="L1114" s="1" t="s">
        <v>26</v>
      </c>
      <c r="M1114" s="1" t="s">
        <v>27</v>
      </c>
      <c r="N1114" s="1" t="s">
        <v>26</v>
      </c>
      <c r="O1114" s="1" t="s">
        <v>26</v>
      </c>
      <c r="P1114" s="4">
        <v>45209.640868055554</v>
      </c>
    </row>
    <row r="1115" hidden="1">
      <c r="A1115" s="1" t="s">
        <v>21</v>
      </c>
      <c r="B1115" s="3" t="str">
        <f>HYPERLINK("https://hawk-eye.atlassian.net/browse/HWKREPORT-2290?atlOrigin=eyJpIjoiYzgwYTQ0ZjEyNzQzNGJhN2JmNjEyZTM0NmRhZWZhNjIiLCJwIjoic2hlZXRzLWppcmEifQ","HWKREPORT-2290")</f>
        <v>HWKREPORT-2290</v>
      </c>
      <c r="C1115" s="1" t="s">
        <v>2337</v>
      </c>
      <c r="D1115" s="1" t="s">
        <v>23</v>
      </c>
      <c r="E1115" s="1" t="s">
        <v>1057</v>
      </c>
      <c r="F1115" s="4">
        <v>45153.855717592596</v>
      </c>
      <c r="G1115" s="3" t="str">
        <f t="shared" si="107"/>
        <v/>
      </c>
      <c r="H1115" s="1" t="s">
        <v>1058</v>
      </c>
      <c r="I1115" s="1" t="s">
        <v>1071</v>
      </c>
      <c r="J1115" s="1" t="s">
        <v>26</v>
      </c>
      <c r="K1115" s="1" t="s">
        <v>1072</v>
      </c>
      <c r="L1115" s="1" t="s">
        <v>26</v>
      </c>
      <c r="M1115" s="1" t="s">
        <v>27</v>
      </c>
      <c r="N1115" s="1" t="s">
        <v>26</v>
      </c>
      <c r="O1115" s="1" t="s">
        <v>26</v>
      </c>
      <c r="P1115" s="4">
        <v>45153.855717592596</v>
      </c>
    </row>
    <row r="1116" hidden="1">
      <c r="A1116" s="1" t="s">
        <v>21</v>
      </c>
      <c r="B1116" s="3" t="str">
        <f>HYPERLINK("https://hawk-eye.atlassian.net/browse/HWKREPORT-2291?atlOrigin=eyJpIjoiYzgwYTQ0ZjEyNzQzNGJhN2JmNjEyZTM0NmRhZWZhNjIiLCJwIjoic2hlZXRzLWppcmEifQ","HWKREPORT-2291")</f>
        <v>HWKREPORT-2291</v>
      </c>
      <c r="C1116" s="1" t="s">
        <v>2338</v>
      </c>
      <c r="D1116" s="1" t="s">
        <v>23</v>
      </c>
      <c r="E1116" s="1" t="s">
        <v>35</v>
      </c>
      <c r="F1116" s="4">
        <v>45154.61130787037</v>
      </c>
      <c r="G1116" s="3" t="str">
        <f>HYPERLINK("https://hawk-eye.atlassian.net/browse/SO-967?atlOrigin=eyJpIjoiYzgwYTQ0ZjEyNzQzNGJhN2JmNjEyZTM0NmRhZWZhNjIiLCJwIjoic2hlZXRzLWppcmEifQ","SO-967")</f>
        <v>SO-967</v>
      </c>
      <c r="H1116" s="1" t="s">
        <v>1058</v>
      </c>
      <c r="I1116" s="1" t="s">
        <v>1514</v>
      </c>
      <c r="J1116" s="1" t="s">
        <v>26</v>
      </c>
      <c r="K1116" s="1" t="s">
        <v>1116</v>
      </c>
      <c r="L1116" s="1" t="s">
        <v>26</v>
      </c>
      <c r="M1116" s="1" t="s">
        <v>27</v>
      </c>
      <c r="N1116" s="1" t="s">
        <v>26</v>
      </c>
      <c r="O1116" s="1" t="s">
        <v>26</v>
      </c>
      <c r="P1116" s="4">
        <v>45162.468773148146</v>
      </c>
    </row>
    <row r="1117" hidden="1">
      <c r="A1117" s="1" t="s">
        <v>1055</v>
      </c>
      <c r="B1117" s="3" t="str">
        <f>HYPERLINK("https://hawk-eye.atlassian.net/browse/HWKREPORT-2292?atlOrigin=eyJpIjoiYzgwYTQ0ZjEyNzQzNGJhN2JmNjEyZTM0NmRhZWZhNjIiLCJwIjoic2hlZXRzLWppcmEifQ","HWKREPORT-2292")</f>
        <v>HWKREPORT-2292</v>
      </c>
      <c r="C1117" s="1" t="s">
        <v>2339</v>
      </c>
      <c r="D1117" s="1" t="s">
        <v>48</v>
      </c>
      <c r="E1117" s="1" t="s">
        <v>1207</v>
      </c>
      <c r="F1117" s="4">
        <v>45155.64943287037</v>
      </c>
      <c r="G1117" s="3" t="str">
        <f>HYPERLINK("https://hawk-eye.atlassian.net/browse/AL-908?atlOrigin=eyJpIjoiYzgwYTQ0ZjEyNzQzNGJhN2JmNjEyZTM0NmRhZWZhNjIiLCJwIjoic2hlZXRzLWppcmEifQ","AL-908")</f>
        <v>AL-908</v>
      </c>
      <c r="H1117" s="1" t="s">
        <v>1058</v>
      </c>
      <c r="I1117" s="1" t="s">
        <v>1071</v>
      </c>
      <c r="J1117" s="1" t="s">
        <v>26</v>
      </c>
      <c r="K1117" s="1" t="s">
        <v>1717</v>
      </c>
      <c r="L1117" s="1" t="s">
        <v>26</v>
      </c>
      <c r="M1117" s="1" t="s">
        <v>27</v>
      </c>
      <c r="N1117" s="1" t="s">
        <v>26</v>
      </c>
      <c r="O1117" s="1" t="s">
        <v>26</v>
      </c>
      <c r="P1117" s="4">
        <v>45324.447696759256</v>
      </c>
    </row>
    <row r="1118" hidden="1">
      <c r="A1118" s="1" t="s">
        <v>1055</v>
      </c>
      <c r="B1118" s="3" t="str">
        <f>HYPERLINK("https://hawk-eye.atlassian.net/browse/HWKREPORT-2293?atlOrigin=eyJpIjoiYzgwYTQ0ZjEyNzQzNGJhN2JmNjEyZTM0NmRhZWZhNjIiLCJwIjoic2hlZXRzLWppcmEifQ","HWKREPORT-2293")</f>
        <v>HWKREPORT-2293</v>
      </c>
      <c r="C1118" s="1" t="s">
        <v>2340</v>
      </c>
      <c r="D1118" s="1" t="s">
        <v>48</v>
      </c>
      <c r="E1118" s="1" t="s">
        <v>1057</v>
      </c>
      <c r="F1118" s="4">
        <v>45160.411875</v>
      </c>
      <c r="G1118" s="3" t="str">
        <f>HYPERLINK("https://hawk-eye.atlassian.net/browse/?atlOrigin=eyJpIjoiYzgwYTQ0ZjEyNzQzNGJhN2JmNjEyZTM0NmRhZWZhNjIiLCJwIjoic2hlZXRzLWppcmEifQ","")</f>
        <v/>
      </c>
      <c r="H1118" s="1" t="s">
        <v>1058</v>
      </c>
      <c r="I1118" s="1" t="s">
        <v>1082</v>
      </c>
      <c r="J1118" s="1" t="s">
        <v>26</v>
      </c>
      <c r="K1118" s="1" t="s">
        <v>1114</v>
      </c>
      <c r="L1118" s="1" t="s">
        <v>26</v>
      </c>
      <c r="M1118" s="1" t="s">
        <v>27</v>
      </c>
      <c r="N1118" s="1" t="s">
        <v>26</v>
      </c>
      <c r="O1118" s="1" t="s">
        <v>26</v>
      </c>
      <c r="P1118" s="4">
        <v>45160.411875</v>
      </c>
    </row>
    <row r="1119" hidden="1">
      <c r="A1119" s="1" t="s">
        <v>21</v>
      </c>
      <c r="B1119" s="3" t="str">
        <f>HYPERLINK("https://hawk-eye.atlassian.net/browse/HWKREPORT-2294?atlOrigin=eyJpIjoiYzgwYTQ0ZjEyNzQzNGJhN2JmNjEyZTM0NmRhZWZhNjIiLCJwIjoic2hlZXRzLWppcmEifQ","HWKREPORT-2294")</f>
        <v>HWKREPORT-2294</v>
      </c>
      <c r="C1119" s="1" t="s">
        <v>2341</v>
      </c>
      <c r="D1119" s="1" t="s">
        <v>23</v>
      </c>
      <c r="E1119" s="1" t="s">
        <v>1057</v>
      </c>
      <c r="F1119" s="4">
        <v>45160.424791666665</v>
      </c>
      <c r="G1119" s="3" t="str">
        <f>HYPERLINK("https://hawk-eye.atlassian.net/browse/GT-1227?atlOrigin=eyJpIjoiYzgwYTQ0ZjEyNzQzNGJhN2JmNjEyZTM0NmRhZWZhNjIiLCJwIjoic2hlZXRzLWppcmEifQ","GT-1227")</f>
        <v>GT-1227</v>
      </c>
      <c r="H1119" s="1" t="s">
        <v>1058</v>
      </c>
      <c r="I1119" s="1" t="s">
        <v>1082</v>
      </c>
      <c r="J1119" s="1" t="s">
        <v>26</v>
      </c>
      <c r="K1119" s="1" t="s">
        <v>1148</v>
      </c>
      <c r="L1119" s="1" t="s">
        <v>26</v>
      </c>
      <c r="M1119" s="1" t="s">
        <v>27</v>
      </c>
      <c r="N1119" s="1" t="s">
        <v>26</v>
      </c>
      <c r="O1119" s="1" t="s">
        <v>26</v>
      </c>
      <c r="P1119" s="4">
        <v>45160.42480324074</v>
      </c>
    </row>
    <row r="1120" hidden="1">
      <c r="A1120" s="1" t="s">
        <v>1055</v>
      </c>
      <c r="B1120" s="3" t="str">
        <f>HYPERLINK("https://hawk-eye.atlassian.net/browse/HWKREPORT-2295?atlOrigin=eyJpIjoiYzgwYTQ0ZjEyNzQzNGJhN2JmNjEyZTM0NmRhZWZhNjIiLCJwIjoic2hlZXRzLWppcmEifQ","HWKREPORT-2295")</f>
        <v>HWKREPORT-2295</v>
      </c>
      <c r="C1120" s="1" t="s">
        <v>2342</v>
      </c>
      <c r="D1120" s="1" t="s">
        <v>48</v>
      </c>
      <c r="E1120" s="1" t="s">
        <v>35</v>
      </c>
      <c r="F1120" s="4">
        <v>45160.60949074074</v>
      </c>
      <c r="G1120" s="3" t="str">
        <f>HYPERLINK("https://hawk-eye.atlassian.net/browse/RTT-6912?atlOrigin=eyJpIjoiYzgwYTQ0ZjEyNzQzNGJhN2JmNjEyZTM0NmRhZWZhNjIiLCJwIjoic2hlZXRzLWppcmEifQ","RTT-6912")</f>
        <v>RTT-6912</v>
      </c>
      <c r="H1120" s="1" t="s">
        <v>1058</v>
      </c>
      <c r="I1120" s="1" t="s">
        <v>1151</v>
      </c>
      <c r="J1120" s="1" t="s">
        <v>26</v>
      </c>
      <c r="K1120" s="1" t="s">
        <v>1072</v>
      </c>
      <c r="L1120" s="1" t="s">
        <v>26</v>
      </c>
      <c r="M1120" s="1" t="s">
        <v>27</v>
      </c>
      <c r="N1120" s="1" t="s">
        <v>26</v>
      </c>
      <c r="O1120" s="1" t="s">
        <v>26</v>
      </c>
      <c r="P1120" s="4">
        <v>45211.38012731481</v>
      </c>
    </row>
    <row r="1121" hidden="1">
      <c r="A1121" s="1" t="s">
        <v>21</v>
      </c>
      <c r="B1121" s="3" t="str">
        <f>HYPERLINK("https://hawk-eye.atlassian.net/browse/HWKREPORT-2296?atlOrigin=eyJpIjoiYzgwYTQ0ZjEyNzQzNGJhN2JmNjEyZTM0NmRhZWZhNjIiLCJwIjoic2hlZXRzLWppcmEifQ","HWKREPORT-2296")</f>
        <v>HWKREPORT-2296</v>
      </c>
      <c r="C1121" s="1" t="s">
        <v>2343</v>
      </c>
      <c r="D1121" s="1" t="s">
        <v>23</v>
      </c>
      <c r="E1121" s="1" t="s">
        <v>35</v>
      </c>
      <c r="F1121" s="4">
        <v>45160.67015046296</v>
      </c>
      <c r="G1121" s="3" t="str">
        <f>HYPERLINK("https://hawk-eye.atlassian.net/browse/?atlOrigin=eyJpIjoiYzgwYTQ0ZjEyNzQzNGJhN2JmNjEyZTM0NmRhZWZhNjIiLCJwIjoic2hlZXRzLWppcmEifQ","")</f>
        <v/>
      </c>
      <c r="H1121" s="1" t="s">
        <v>1058</v>
      </c>
      <c r="I1121" s="1" t="s">
        <v>1085</v>
      </c>
      <c r="J1121" s="1" t="s">
        <v>26</v>
      </c>
      <c r="K1121" s="1" t="s">
        <v>1372</v>
      </c>
      <c r="L1121" s="1" t="s">
        <v>26</v>
      </c>
      <c r="M1121" s="1" t="s">
        <v>27</v>
      </c>
      <c r="N1121" s="1" t="s">
        <v>26</v>
      </c>
      <c r="O1121" s="1" t="s">
        <v>26</v>
      </c>
      <c r="P1121" s="4">
        <v>45160.68525462963</v>
      </c>
    </row>
    <row r="1122" hidden="1">
      <c r="A1122" s="1" t="s">
        <v>21</v>
      </c>
      <c r="B1122" s="3" t="str">
        <f>HYPERLINK("https://hawk-eye.atlassian.net/browse/HWKREPORT-2297?atlOrigin=eyJpIjoiYzgwYTQ0ZjEyNzQzNGJhN2JmNjEyZTM0NmRhZWZhNjIiLCJwIjoic2hlZXRzLWppcmEifQ","HWKREPORT-2297")</f>
        <v>HWKREPORT-2297</v>
      </c>
      <c r="C1122" s="1" t="s">
        <v>2344</v>
      </c>
      <c r="D1122" s="1" t="s">
        <v>34</v>
      </c>
      <c r="E1122" s="1" t="s">
        <v>1207</v>
      </c>
      <c r="F1122" s="4">
        <v>45160.67982638889</v>
      </c>
      <c r="G1122" s="3" t="str">
        <f>HYPERLINK("https://hawk-eye.atlassian.net/browse/RTT-7054?atlOrigin=eyJpIjoiYzgwYTQ0ZjEyNzQzNGJhN2JmNjEyZTM0NmRhZWZhNjIiLCJwIjoic2hlZXRzLWppcmEifQ","RTT-7054")</f>
        <v>RTT-7054</v>
      </c>
      <c r="H1122" s="1" t="s">
        <v>1058</v>
      </c>
      <c r="I1122" s="1" t="s">
        <v>1085</v>
      </c>
      <c r="J1122" s="1" t="s">
        <v>26</v>
      </c>
      <c r="K1122" s="1" t="s">
        <v>2345</v>
      </c>
      <c r="L1122" s="1" t="s">
        <v>26</v>
      </c>
      <c r="M1122" s="1" t="s">
        <v>27</v>
      </c>
      <c r="N1122" s="1" t="s">
        <v>26</v>
      </c>
      <c r="O1122" s="1" t="s">
        <v>26</v>
      </c>
      <c r="P1122" s="4">
        <v>45219.42170138889</v>
      </c>
    </row>
    <row r="1123" hidden="1">
      <c r="A1123" s="1" t="s">
        <v>1055</v>
      </c>
      <c r="B1123" s="3" t="str">
        <f>HYPERLINK("https://hawk-eye.atlassian.net/browse/HWKREPORT-2298?atlOrigin=eyJpIjoiYzgwYTQ0ZjEyNzQzNGJhN2JmNjEyZTM0NmRhZWZhNjIiLCJwIjoic2hlZXRzLWppcmEifQ","HWKREPORT-2298")</f>
        <v>HWKREPORT-2298</v>
      </c>
      <c r="C1123" s="1" t="s">
        <v>2346</v>
      </c>
      <c r="D1123" s="1" t="s">
        <v>48</v>
      </c>
      <c r="E1123" s="1" t="s">
        <v>1057</v>
      </c>
      <c r="F1123" s="4">
        <v>45160.6866087963</v>
      </c>
      <c r="G1123" s="3" t="str">
        <f>HYPERLINK("https://hawk-eye.atlassian.net/browse/?atlOrigin=eyJpIjoiYzgwYTQ0ZjEyNzQzNGJhN2JmNjEyZTM0NmRhZWZhNjIiLCJwIjoic2hlZXRzLWppcmEifQ","")</f>
        <v/>
      </c>
      <c r="H1123" s="1" t="s">
        <v>1058</v>
      </c>
      <c r="I1123" s="1" t="s">
        <v>1085</v>
      </c>
      <c r="J1123" s="1" t="s">
        <v>26</v>
      </c>
      <c r="K1123" s="1" t="s">
        <v>1072</v>
      </c>
      <c r="L1123" s="1" t="s">
        <v>26</v>
      </c>
      <c r="M1123" s="1" t="s">
        <v>27</v>
      </c>
      <c r="N1123" s="1" t="s">
        <v>26</v>
      </c>
      <c r="O1123" s="1" t="s">
        <v>26</v>
      </c>
      <c r="P1123" s="4">
        <v>45160.68662037037</v>
      </c>
    </row>
    <row r="1124" hidden="1">
      <c r="A1124" s="1" t="s">
        <v>21</v>
      </c>
      <c r="B1124" s="3" t="str">
        <f>HYPERLINK("https://hawk-eye.atlassian.net/browse/HWKREPORT-2299?atlOrigin=eyJpIjoiYzgwYTQ0ZjEyNzQzNGJhN2JmNjEyZTM0NmRhZWZhNjIiLCJwIjoic2hlZXRzLWppcmEifQ","HWKREPORT-2299")</f>
        <v>HWKREPORT-2299</v>
      </c>
      <c r="C1124" s="1" t="s">
        <v>2347</v>
      </c>
      <c r="D1124" s="1" t="s">
        <v>34</v>
      </c>
      <c r="E1124" s="1" t="s">
        <v>1091</v>
      </c>
      <c r="F1124" s="4">
        <v>45160.68850694445</v>
      </c>
      <c r="G1124" s="3" t="str">
        <f>HYPERLINK("https://hawk-eye.atlassian.net/browse/RTT-6914?atlOrigin=eyJpIjoiYzgwYTQ0ZjEyNzQzNGJhN2JmNjEyZTM0NmRhZWZhNjIiLCJwIjoic2hlZXRzLWppcmEifQ","RTT-6914")</f>
        <v>RTT-6914</v>
      </c>
      <c r="H1124" s="1" t="s">
        <v>1058</v>
      </c>
      <c r="I1124" s="1" t="s">
        <v>1085</v>
      </c>
      <c r="J1124" s="1" t="s">
        <v>26</v>
      </c>
      <c r="K1124" s="1" t="s">
        <v>2173</v>
      </c>
      <c r="L1124" s="1" t="s">
        <v>26</v>
      </c>
      <c r="M1124" s="1" t="s">
        <v>27</v>
      </c>
      <c r="N1124" s="1" t="s">
        <v>26</v>
      </c>
      <c r="O1124" s="1" t="s">
        <v>26</v>
      </c>
      <c r="P1124" s="4">
        <v>45160.68853009259</v>
      </c>
    </row>
    <row r="1125" hidden="1">
      <c r="A1125" s="1" t="s">
        <v>1055</v>
      </c>
      <c r="B1125" s="3" t="str">
        <f>HYPERLINK("https://hawk-eye.atlassian.net/browse/HWKREPORT-2300?atlOrigin=eyJpIjoiYzgwYTQ0ZjEyNzQzNGJhN2JmNjEyZTM0NmRhZWZhNjIiLCJwIjoic2hlZXRzLWppcmEifQ","HWKREPORT-2300")</f>
        <v>HWKREPORT-2300</v>
      </c>
      <c r="C1125" s="1" t="s">
        <v>2348</v>
      </c>
      <c r="D1125" s="1" t="s">
        <v>48</v>
      </c>
      <c r="E1125" s="1" t="s">
        <v>35</v>
      </c>
      <c r="F1125" s="4">
        <v>45160.69700231482</v>
      </c>
      <c r="G1125" s="3" t="str">
        <f>HYPERLINK("https://hawk-eye.atlassian.net/browse/RTT-6940?atlOrigin=eyJpIjoiYzgwYTQ0ZjEyNzQzNGJhN2JmNjEyZTM0NmRhZWZhNjIiLCJwIjoic2hlZXRzLWppcmEifQ","RTT-6940")</f>
        <v>RTT-6940</v>
      </c>
      <c r="H1125" s="1" t="s">
        <v>1058</v>
      </c>
      <c r="I1125" s="1" t="s">
        <v>1085</v>
      </c>
      <c r="J1125" s="1" t="s">
        <v>26</v>
      </c>
      <c r="K1125" s="1" t="s">
        <v>1072</v>
      </c>
      <c r="L1125" s="1" t="s">
        <v>26</v>
      </c>
      <c r="M1125" s="1" t="s">
        <v>27</v>
      </c>
      <c r="N1125" s="1" t="s">
        <v>26</v>
      </c>
      <c r="O1125" s="1" t="s">
        <v>26</v>
      </c>
      <c r="P1125" s="4">
        <v>45449.349224537036</v>
      </c>
    </row>
    <row r="1126" hidden="1">
      <c r="A1126" s="1" t="s">
        <v>1055</v>
      </c>
      <c r="B1126" s="3" t="str">
        <f>HYPERLINK("https://hawk-eye.atlassian.net/browse/HWKREPORT-2301?atlOrigin=eyJpIjoiYzgwYTQ0ZjEyNzQzNGJhN2JmNjEyZTM0NmRhZWZhNjIiLCJwIjoic2hlZXRzLWppcmEifQ","HWKREPORT-2301")</f>
        <v>HWKREPORT-2301</v>
      </c>
      <c r="C1126" s="1" t="s">
        <v>2349</v>
      </c>
      <c r="D1126" s="1" t="s">
        <v>48</v>
      </c>
      <c r="E1126" s="1" t="s">
        <v>1057</v>
      </c>
      <c r="F1126" s="4">
        <v>45160.74606481481</v>
      </c>
      <c r="G1126" s="3" t="str">
        <f>HYPERLINK("https://hawk-eye.atlassian.net/browse/?atlOrigin=eyJpIjoiYzgwYTQ0ZjEyNzQzNGJhN2JmNjEyZTM0NmRhZWZhNjIiLCJwIjoic2hlZXRzLWppcmEifQ","")</f>
        <v/>
      </c>
      <c r="H1126" s="1" t="s">
        <v>1058</v>
      </c>
      <c r="I1126" s="1" t="s">
        <v>1085</v>
      </c>
      <c r="J1126" s="1" t="s">
        <v>26</v>
      </c>
      <c r="K1126" s="1" t="s">
        <v>1072</v>
      </c>
      <c r="L1126" s="1" t="s">
        <v>26</v>
      </c>
      <c r="M1126" s="1" t="s">
        <v>27</v>
      </c>
      <c r="N1126" s="1" t="s">
        <v>26</v>
      </c>
      <c r="O1126" s="1" t="s">
        <v>26</v>
      </c>
      <c r="P1126" s="4">
        <v>45160.74607638889</v>
      </c>
    </row>
    <row r="1127" hidden="1">
      <c r="A1127" s="1" t="s">
        <v>21</v>
      </c>
      <c r="B1127" s="3" t="str">
        <f>HYPERLINK("https://hawk-eye.atlassian.net/browse/HWKREPORT-2302?atlOrigin=eyJpIjoiYzgwYTQ0ZjEyNzQzNGJhN2JmNjEyZTM0NmRhZWZhNjIiLCJwIjoic2hlZXRzLWppcmEifQ","HWKREPORT-2302")</f>
        <v>HWKREPORT-2302</v>
      </c>
      <c r="C1127" s="1" t="s">
        <v>2350</v>
      </c>
      <c r="D1127" s="1" t="s">
        <v>48</v>
      </c>
      <c r="E1127" s="1" t="s">
        <v>1057</v>
      </c>
      <c r="F1127" s="4">
        <v>45160.74800925926</v>
      </c>
      <c r="G1127" s="3" t="str">
        <f>HYPERLINK("https://hawk-eye.atlassian.net/browse/HWKREPORT-3261?atlOrigin=eyJpIjoiYzgwYTQ0ZjEyNzQzNGJhN2JmNjEyZTM0NmRhZWZhNjIiLCJwIjoic2hlZXRzLWppcmEifQ","HWKREPORT-3261")</f>
        <v>HWKREPORT-3261</v>
      </c>
      <c r="H1127" s="1" t="s">
        <v>1058</v>
      </c>
      <c r="I1127" s="1" t="s">
        <v>1085</v>
      </c>
      <c r="J1127" s="1" t="s">
        <v>26</v>
      </c>
      <c r="K1127" s="1" t="s">
        <v>1072</v>
      </c>
      <c r="L1127" s="1" t="s">
        <v>26</v>
      </c>
      <c r="M1127" s="1" t="s">
        <v>27</v>
      </c>
      <c r="N1127" s="1" t="s">
        <v>26</v>
      </c>
      <c r="O1127" s="1" t="s">
        <v>26</v>
      </c>
      <c r="P1127" s="4">
        <v>45160.748020833336</v>
      </c>
    </row>
    <row r="1128" hidden="1">
      <c r="A1128" s="1" t="s">
        <v>1055</v>
      </c>
      <c r="B1128" s="3" t="str">
        <f>HYPERLINK("https://hawk-eye.atlassian.net/browse/HWKREPORT-2303?atlOrigin=eyJpIjoiYzgwYTQ0ZjEyNzQzNGJhN2JmNjEyZTM0NmRhZWZhNjIiLCJwIjoic2hlZXRzLWppcmEifQ","HWKREPORT-2303")</f>
        <v>HWKREPORT-2303</v>
      </c>
      <c r="C1128" s="1" t="s">
        <v>2351</v>
      </c>
      <c r="D1128" s="1" t="s">
        <v>48</v>
      </c>
      <c r="E1128" s="1" t="s">
        <v>1057</v>
      </c>
      <c r="F1128" s="4">
        <v>45160.7996412037</v>
      </c>
      <c r="G1128" s="3" t="str">
        <f t="shared" ref="G1128:G1137" si="108">HYPERLINK("https://hawk-eye.atlassian.net/browse/?atlOrigin=eyJpIjoiYzgwYTQ0ZjEyNzQzNGJhN2JmNjEyZTM0NmRhZWZhNjIiLCJwIjoic2hlZXRzLWppcmEifQ","")</f>
        <v/>
      </c>
      <c r="H1128" s="1" t="s">
        <v>1058</v>
      </c>
      <c r="I1128" s="1" t="s">
        <v>1085</v>
      </c>
      <c r="J1128" s="1" t="s">
        <v>26</v>
      </c>
      <c r="K1128" s="1" t="s">
        <v>1105</v>
      </c>
      <c r="L1128" s="1" t="s">
        <v>26</v>
      </c>
      <c r="M1128" s="1" t="s">
        <v>27</v>
      </c>
      <c r="N1128" s="1" t="s">
        <v>26</v>
      </c>
      <c r="O1128" s="1" t="s">
        <v>26</v>
      </c>
      <c r="P1128" s="4">
        <v>45160.7996412037</v>
      </c>
    </row>
    <row r="1129" hidden="1">
      <c r="A1129" s="1" t="s">
        <v>21</v>
      </c>
      <c r="B1129" s="3" t="str">
        <f>HYPERLINK("https://hawk-eye.atlassian.net/browse/HWKREPORT-2304?atlOrigin=eyJpIjoiYzgwYTQ0ZjEyNzQzNGJhN2JmNjEyZTM0NmRhZWZhNjIiLCJwIjoic2hlZXRzLWppcmEifQ","HWKREPORT-2304")</f>
        <v>HWKREPORT-2304</v>
      </c>
      <c r="C1129" s="1" t="s">
        <v>2352</v>
      </c>
      <c r="D1129" s="1" t="s">
        <v>23</v>
      </c>
      <c r="E1129" s="1" t="s">
        <v>1057</v>
      </c>
      <c r="F1129" s="4">
        <v>45160.809745370374</v>
      </c>
      <c r="G1129" s="3" t="str">
        <f t="shared" si="108"/>
        <v/>
      </c>
      <c r="H1129" s="1" t="s">
        <v>1058</v>
      </c>
      <c r="I1129" s="1" t="s">
        <v>1085</v>
      </c>
      <c r="J1129" s="1" t="s">
        <v>26</v>
      </c>
      <c r="K1129" s="1" t="s">
        <v>1114</v>
      </c>
      <c r="L1129" s="1" t="s">
        <v>26</v>
      </c>
      <c r="M1129" s="1" t="s">
        <v>27</v>
      </c>
      <c r="N1129" s="1" t="s">
        <v>26</v>
      </c>
      <c r="O1129" s="1" t="s">
        <v>26</v>
      </c>
      <c r="P1129" s="4">
        <v>45160.80975694444</v>
      </c>
    </row>
    <row r="1130" hidden="1">
      <c r="A1130" s="1" t="s">
        <v>1055</v>
      </c>
      <c r="B1130" s="3" t="str">
        <f>HYPERLINK("https://hawk-eye.atlassian.net/browse/HWKREPORT-2305?atlOrigin=eyJpIjoiYzgwYTQ0ZjEyNzQzNGJhN2JmNjEyZTM0NmRhZWZhNjIiLCJwIjoic2hlZXRzLWppcmEifQ","HWKREPORT-2305")</f>
        <v>HWKREPORT-2305</v>
      </c>
      <c r="C1130" s="1" t="s">
        <v>2353</v>
      </c>
      <c r="D1130" s="1" t="s">
        <v>48</v>
      </c>
      <c r="E1130" s="1" t="s">
        <v>1057</v>
      </c>
      <c r="F1130" s="4">
        <v>45160.81717592593</v>
      </c>
      <c r="G1130" s="3" t="str">
        <f t="shared" si="108"/>
        <v/>
      </c>
      <c r="H1130" s="1" t="s">
        <v>1058</v>
      </c>
      <c r="I1130" s="1" t="s">
        <v>1085</v>
      </c>
      <c r="J1130" s="1" t="s">
        <v>26</v>
      </c>
      <c r="K1130" s="1" t="s">
        <v>1114</v>
      </c>
      <c r="L1130" s="1" t="s">
        <v>26</v>
      </c>
      <c r="M1130" s="1" t="s">
        <v>27</v>
      </c>
      <c r="N1130" s="1" t="s">
        <v>26</v>
      </c>
      <c r="O1130" s="1" t="s">
        <v>26</v>
      </c>
      <c r="P1130" s="4">
        <v>45160.8171875</v>
      </c>
    </row>
    <row r="1131" hidden="1">
      <c r="A1131" s="1" t="s">
        <v>21</v>
      </c>
      <c r="B1131" s="3" t="str">
        <f>HYPERLINK("https://hawk-eye.atlassian.net/browse/HWKREPORT-2306?atlOrigin=eyJpIjoiYzgwYTQ0ZjEyNzQzNGJhN2JmNjEyZTM0NmRhZWZhNjIiLCJwIjoic2hlZXRzLWppcmEifQ","HWKREPORT-2306")</f>
        <v>HWKREPORT-2306</v>
      </c>
      <c r="C1131" s="1" t="s">
        <v>2354</v>
      </c>
      <c r="D1131" s="1" t="s">
        <v>48</v>
      </c>
      <c r="E1131" s="1" t="s">
        <v>1057</v>
      </c>
      <c r="F1131" s="4">
        <v>45160.82041666667</v>
      </c>
      <c r="G1131" s="3" t="str">
        <f t="shared" si="108"/>
        <v/>
      </c>
      <c r="H1131" s="1" t="s">
        <v>1058</v>
      </c>
      <c r="I1131" s="1" t="s">
        <v>1085</v>
      </c>
      <c r="J1131" s="1" t="s">
        <v>26</v>
      </c>
      <c r="K1131" s="1" t="s">
        <v>1105</v>
      </c>
      <c r="L1131" s="1" t="s">
        <v>26</v>
      </c>
      <c r="M1131" s="1" t="s">
        <v>27</v>
      </c>
      <c r="N1131" s="1" t="s">
        <v>26</v>
      </c>
      <c r="O1131" s="1" t="s">
        <v>26</v>
      </c>
      <c r="P1131" s="4">
        <v>45160.82041666667</v>
      </c>
    </row>
    <row r="1132" hidden="1">
      <c r="A1132" s="1" t="s">
        <v>1055</v>
      </c>
      <c r="B1132" s="3" t="str">
        <f>HYPERLINK("https://hawk-eye.atlassian.net/browse/HWKREPORT-2307?atlOrigin=eyJpIjoiYzgwYTQ0ZjEyNzQzNGJhN2JmNjEyZTM0NmRhZWZhNjIiLCJwIjoic2hlZXRzLWppcmEifQ","HWKREPORT-2307")</f>
        <v>HWKREPORT-2307</v>
      </c>
      <c r="C1132" s="1" t="s">
        <v>2355</v>
      </c>
      <c r="D1132" s="1" t="s">
        <v>48</v>
      </c>
      <c r="E1132" s="1" t="s">
        <v>1057</v>
      </c>
      <c r="F1132" s="4">
        <v>45160.82256944444</v>
      </c>
      <c r="G1132" s="3" t="str">
        <f t="shared" si="108"/>
        <v/>
      </c>
      <c r="H1132" s="1" t="s">
        <v>1058</v>
      </c>
      <c r="I1132" s="1" t="s">
        <v>1085</v>
      </c>
      <c r="J1132" s="1" t="s">
        <v>26</v>
      </c>
      <c r="K1132" s="1" t="s">
        <v>1105</v>
      </c>
      <c r="L1132" s="1" t="s">
        <v>26</v>
      </c>
      <c r="M1132" s="1" t="s">
        <v>27</v>
      </c>
      <c r="N1132" s="1" t="s">
        <v>26</v>
      </c>
      <c r="O1132" s="1" t="s">
        <v>26</v>
      </c>
      <c r="P1132" s="4">
        <v>45160.82258101852</v>
      </c>
    </row>
    <row r="1133" hidden="1">
      <c r="A1133" s="1" t="s">
        <v>21</v>
      </c>
      <c r="B1133" s="3" t="str">
        <f>HYPERLINK("https://hawk-eye.atlassian.net/browse/HWKREPORT-2308?atlOrigin=eyJpIjoiYzgwYTQ0ZjEyNzQzNGJhN2JmNjEyZTM0NmRhZWZhNjIiLCJwIjoic2hlZXRzLWppcmEifQ","HWKREPORT-2308")</f>
        <v>HWKREPORT-2308</v>
      </c>
      <c r="C1133" s="1" t="s">
        <v>2356</v>
      </c>
      <c r="D1133" s="1" t="s">
        <v>83</v>
      </c>
      <c r="E1133" s="1" t="s">
        <v>35</v>
      </c>
      <c r="F1133" s="4">
        <v>45161.50858796296</v>
      </c>
      <c r="G1133" s="3" t="str">
        <f t="shared" si="108"/>
        <v/>
      </c>
      <c r="H1133" s="1" t="s">
        <v>1058</v>
      </c>
      <c r="I1133" s="1" t="s">
        <v>1082</v>
      </c>
      <c r="J1133" s="1" t="s">
        <v>26</v>
      </c>
      <c r="K1133" s="1" t="s">
        <v>1148</v>
      </c>
      <c r="L1133" s="1" t="s">
        <v>26</v>
      </c>
      <c r="M1133" s="1" t="s">
        <v>27</v>
      </c>
      <c r="N1133" s="1" t="s">
        <v>26</v>
      </c>
      <c r="O1133" s="1" t="s">
        <v>26</v>
      </c>
      <c r="P1133" s="4">
        <v>45211.676574074074</v>
      </c>
    </row>
    <row r="1134" hidden="1">
      <c r="A1134" s="1" t="s">
        <v>1055</v>
      </c>
      <c r="B1134" s="3" t="str">
        <f>HYPERLINK("https://hawk-eye.atlassian.net/browse/HWKREPORT-2309?atlOrigin=eyJpIjoiYzgwYTQ0ZjEyNzQzNGJhN2JmNjEyZTM0NmRhZWZhNjIiLCJwIjoic2hlZXRzLWppcmEifQ","HWKREPORT-2309")</f>
        <v>HWKREPORT-2309</v>
      </c>
      <c r="C1134" s="1" t="s">
        <v>2357</v>
      </c>
      <c r="D1134" s="1" t="s">
        <v>48</v>
      </c>
      <c r="E1134" s="1" t="s">
        <v>1057</v>
      </c>
      <c r="F1134" s="4">
        <v>45161.641377314816</v>
      </c>
      <c r="G1134" s="3" t="str">
        <f t="shared" si="108"/>
        <v/>
      </c>
      <c r="H1134" s="1" t="s">
        <v>1058</v>
      </c>
      <c r="I1134" s="1" t="s">
        <v>1071</v>
      </c>
      <c r="J1134" s="1" t="s">
        <v>26</v>
      </c>
      <c r="K1134" s="1" t="s">
        <v>1130</v>
      </c>
      <c r="L1134" s="1" t="s">
        <v>26</v>
      </c>
      <c r="M1134" s="1" t="s">
        <v>27</v>
      </c>
      <c r="N1134" s="1" t="s">
        <v>26</v>
      </c>
      <c r="O1134" s="1" t="s">
        <v>26</v>
      </c>
      <c r="P1134" s="4">
        <v>45161.641388888886</v>
      </c>
    </row>
    <row r="1135" hidden="1">
      <c r="A1135" s="1" t="s">
        <v>21</v>
      </c>
      <c r="B1135" s="3" t="str">
        <f>HYPERLINK("https://hawk-eye.atlassian.net/browse/HWKREPORT-2310?atlOrigin=eyJpIjoiYzgwYTQ0ZjEyNzQzNGJhN2JmNjEyZTM0NmRhZWZhNjIiLCJwIjoic2hlZXRzLWppcmEifQ","HWKREPORT-2310")</f>
        <v>HWKREPORT-2310</v>
      </c>
      <c r="C1135" s="1" t="s">
        <v>2358</v>
      </c>
      <c r="D1135" s="1" t="s">
        <v>40</v>
      </c>
      <c r="E1135" s="1" t="s">
        <v>35</v>
      </c>
      <c r="F1135" s="4">
        <v>45162.42663194444</v>
      </c>
      <c r="G1135" s="3" t="str">
        <f t="shared" si="108"/>
        <v/>
      </c>
      <c r="H1135" s="1" t="s">
        <v>1058</v>
      </c>
      <c r="I1135" s="1" t="s">
        <v>1085</v>
      </c>
      <c r="J1135" s="1" t="s">
        <v>26</v>
      </c>
      <c r="K1135" s="1" t="s">
        <v>1105</v>
      </c>
      <c r="L1135" s="1" t="s">
        <v>26</v>
      </c>
      <c r="M1135" s="1" t="s">
        <v>27</v>
      </c>
      <c r="N1135" s="1" t="s">
        <v>26</v>
      </c>
      <c r="O1135" s="1" t="s">
        <v>26</v>
      </c>
      <c r="P1135" s="4">
        <v>45338.67890046296</v>
      </c>
    </row>
    <row r="1136" hidden="1">
      <c r="A1136" s="1" t="s">
        <v>1055</v>
      </c>
      <c r="B1136" s="3" t="str">
        <f>HYPERLINK("https://hawk-eye.atlassian.net/browse/HWKREPORT-2311?atlOrigin=eyJpIjoiYzgwYTQ0ZjEyNzQzNGJhN2JmNjEyZTM0NmRhZWZhNjIiLCJwIjoic2hlZXRzLWppcmEifQ","HWKREPORT-2311")</f>
        <v>HWKREPORT-2311</v>
      </c>
      <c r="C1136" s="1" t="s">
        <v>2359</v>
      </c>
      <c r="D1136" s="1" t="s">
        <v>48</v>
      </c>
      <c r="E1136" s="1" t="s">
        <v>35</v>
      </c>
      <c r="F1136" s="4">
        <v>45162.436886574076</v>
      </c>
      <c r="G1136" s="3" t="str">
        <f t="shared" si="108"/>
        <v/>
      </c>
      <c r="H1136" s="1" t="s">
        <v>1058</v>
      </c>
      <c r="I1136" s="1" t="s">
        <v>1085</v>
      </c>
      <c r="J1136" s="1" t="s">
        <v>26</v>
      </c>
      <c r="K1136" s="1" t="s">
        <v>1116</v>
      </c>
      <c r="L1136" s="1" t="s">
        <v>26</v>
      </c>
      <c r="M1136" s="1" t="s">
        <v>27</v>
      </c>
      <c r="N1136" s="1" t="s">
        <v>26</v>
      </c>
      <c r="O1136" s="1" t="s">
        <v>26</v>
      </c>
      <c r="P1136" s="4">
        <v>45169.46229166666</v>
      </c>
    </row>
    <row r="1137" hidden="1">
      <c r="A1137" s="1" t="s">
        <v>21</v>
      </c>
      <c r="B1137" s="3" t="str">
        <f>HYPERLINK("https://hawk-eye.atlassian.net/browse/HWKREPORT-2312?atlOrigin=eyJpIjoiYzgwYTQ0ZjEyNzQzNGJhN2JmNjEyZTM0NmRhZWZhNjIiLCJwIjoic2hlZXRzLWppcmEifQ","HWKREPORT-2312")</f>
        <v>HWKREPORT-2312</v>
      </c>
      <c r="C1137" s="1" t="s">
        <v>2360</v>
      </c>
      <c r="D1137" s="1" t="s">
        <v>23</v>
      </c>
      <c r="E1137" s="1" t="s">
        <v>35</v>
      </c>
      <c r="F1137" s="4">
        <v>45162.44929398148</v>
      </c>
      <c r="G1137" s="3" t="str">
        <f t="shared" si="108"/>
        <v/>
      </c>
      <c r="H1137" s="1" t="s">
        <v>1058</v>
      </c>
      <c r="I1137" s="1" t="s">
        <v>1085</v>
      </c>
      <c r="J1137" s="1" t="s">
        <v>26</v>
      </c>
      <c r="K1137" s="1" t="s">
        <v>1116</v>
      </c>
      <c r="L1137" s="1" t="s">
        <v>26</v>
      </c>
      <c r="M1137" s="1" t="s">
        <v>27</v>
      </c>
      <c r="N1137" s="1" t="s">
        <v>26</v>
      </c>
      <c r="O1137" s="1" t="s">
        <v>26</v>
      </c>
      <c r="P1137" s="4">
        <v>45169.496875</v>
      </c>
    </row>
    <row r="1138">
      <c r="A1138" s="1" t="s">
        <v>21</v>
      </c>
      <c r="B1138" s="3" t="str">
        <f>HYPERLINK("https://hawk-eye.atlassian.net/browse/HWKREPORT-2313?atlOrigin=eyJpIjoiYzgwYTQ0ZjEyNzQzNGJhN2JmNjEyZTM0NmRhZWZhNjIiLCJwIjoic2hlZXRzLWppcmEifQ","HWKREPORT-2313")</f>
        <v>HWKREPORT-2313</v>
      </c>
      <c r="C1138" s="1" t="s">
        <v>2361</v>
      </c>
      <c r="D1138" s="1" t="s">
        <v>40</v>
      </c>
      <c r="E1138" s="1" t="s">
        <v>35</v>
      </c>
      <c r="F1138" s="4">
        <v>45162.722291666665</v>
      </c>
      <c r="G1138" s="3" t="str">
        <f>HYPERLINK("https://hawk-eye.atlassian.net/browse/RTT-6921?atlOrigin=eyJpIjoiYzgwYTQ0ZjEyNzQzNGJhN2JmNjEyZTM0NmRhZWZhNjIiLCJwIjoic2hlZXRzLWppcmEifQ","RTT-6921")</f>
        <v>RTT-6921</v>
      </c>
      <c r="H1138" s="1" t="s">
        <v>1058</v>
      </c>
      <c r="I1138" s="1" t="s">
        <v>28</v>
      </c>
      <c r="J1138" s="1" t="s">
        <v>26</v>
      </c>
      <c r="K1138" s="1" t="s">
        <v>1072</v>
      </c>
      <c r="L1138" s="1" t="s">
        <v>26</v>
      </c>
      <c r="M1138" s="1" t="s">
        <v>27</v>
      </c>
      <c r="N1138" s="1" t="s">
        <v>26</v>
      </c>
      <c r="O1138" s="1" t="s">
        <v>26</v>
      </c>
      <c r="P1138" s="4">
        <v>45524.72935185185</v>
      </c>
    </row>
    <row r="1139">
      <c r="A1139" s="1" t="s">
        <v>21</v>
      </c>
      <c r="B1139" s="3" t="str">
        <f>HYPERLINK("https://hawk-eye.atlassian.net/browse/HWKREPORT-2314?atlOrigin=eyJpIjoiYzgwYTQ0ZjEyNzQzNGJhN2JmNjEyZTM0NmRhZWZhNjIiLCJwIjoic2hlZXRzLWppcmEifQ","HWKREPORT-2314")</f>
        <v>HWKREPORT-2314</v>
      </c>
      <c r="C1139" s="1" t="s">
        <v>2362</v>
      </c>
      <c r="D1139" s="1" t="s">
        <v>23</v>
      </c>
      <c r="E1139" s="1" t="s">
        <v>35</v>
      </c>
      <c r="F1139" s="4">
        <v>45163.74952546296</v>
      </c>
      <c r="G1139" s="3" t="str">
        <f>HYPERLINK("https://hawk-eye.atlassian.net/browse/RTT-6937?atlOrigin=eyJpIjoiYzgwYTQ0ZjEyNzQzNGJhN2JmNjEyZTM0NmRhZWZhNjIiLCJwIjoic2hlZXRzLWppcmEifQ","RTT-6937")</f>
        <v>RTT-6937</v>
      </c>
      <c r="H1139" s="1" t="s">
        <v>1058</v>
      </c>
      <c r="I1139" s="1" t="s">
        <v>28</v>
      </c>
      <c r="J1139" s="1" t="s">
        <v>26</v>
      </c>
      <c r="K1139" s="1" t="s">
        <v>1072</v>
      </c>
      <c r="L1139" s="1" t="s">
        <v>26</v>
      </c>
      <c r="M1139" s="1" t="s">
        <v>27</v>
      </c>
      <c r="N1139" s="1" t="s">
        <v>26</v>
      </c>
      <c r="O1139" s="1" t="s">
        <v>26</v>
      </c>
      <c r="P1139" s="4">
        <v>45167.580613425926</v>
      </c>
    </row>
    <row r="1140" hidden="1">
      <c r="A1140" s="1" t="s">
        <v>21</v>
      </c>
      <c r="B1140" s="3" t="str">
        <f>HYPERLINK("https://hawk-eye.atlassian.net/browse/HWKREPORT-2315?atlOrigin=eyJpIjoiYzgwYTQ0ZjEyNzQzNGJhN2JmNjEyZTM0NmRhZWZhNjIiLCJwIjoic2hlZXRzLWppcmEifQ","HWKREPORT-2315")</f>
        <v>HWKREPORT-2315</v>
      </c>
      <c r="C1140" s="1" t="s">
        <v>2363</v>
      </c>
      <c r="D1140" s="1" t="s">
        <v>23</v>
      </c>
      <c r="E1140" s="1" t="s">
        <v>35</v>
      </c>
      <c r="F1140" s="4">
        <v>45167.52787037037</v>
      </c>
      <c r="G1140" s="3" t="str">
        <f>HYPERLINK("https://hawk-eye.atlassian.net/browse/RTT-6944?atlOrigin=eyJpIjoiYzgwYTQ0ZjEyNzQzNGJhN2JmNjEyZTM0NmRhZWZhNjIiLCJwIjoic2hlZXRzLWppcmEifQ","RTT-6944")</f>
        <v>RTT-6944</v>
      </c>
      <c r="H1140" s="1" t="s">
        <v>1058</v>
      </c>
      <c r="I1140" s="1" t="s">
        <v>1082</v>
      </c>
      <c r="J1140" s="1" t="s">
        <v>26</v>
      </c>
      <c r="K1140" s="1" t="s">
        <v>1072</v>
      </c>
      <c r="L1140" s="1" t="s">
        <v>26</v>
      </c>
      <c r="M1140" s="1" t="s">
        <v>27</v>
      </c>
      <c r="N1140" s="1" t="s">
        <v>26</v>
      </c>
      <c r="O1140" s="1" t="s">
        <v>26</v>
      </c>
      <c r="P1140" s="4">
        <v>45183.46199074074</v>
      </c>
    </row>
    <row r="1141">
      <c r="A1141" s="1" t="s">
        <v>21</v>
      </c>
      <c r="B1141" s="3" t="str">
        <f>HYPERLINK("https://hawk-eye.atlassian.net/browse/HWKREPORT-2316?atlOrigin=eyJpIjoiYzgwYTQ0ZjEyNzQzNGJhN2JmNjEyZTM0NmRhZWZhNjIiLCJwIjoic2hlZXRzLWppcmEifQ","HWKREPORT-2316")</f>
        <v>HWKREPORT-2316</v>
      </c>
      <c r="C1141" s="1" t="s">
        <v>2364</v>
      </c>
      <c r="D1141" s="1" t="s">
        <v>34</v>
      </c>
      <c r="E1141" s="1" t="s">
        <v>35</v>
      </c>
      <c r="F1141" s="4">
        <v>45167.57438657407</v>
      </c>
      <c r="G1141" s="3" t="str">
        <f>HYPERLINK("https://hawk-eye.atlassian.net/browse/RTT-6954?atlOrigin=eyJpIjoiYzgwYTQ0ZjEyNzQzNGJhN2JmNjEyZTM0NmRhZWZhNjIiLCJwIjoic2hlZXRzLWppcmEifQ","RTT-6954")</f>
        <v>RTT-6954</v>
      </c>
      <c r="H1141" s="1" t="s">
        <v>1058</v>
      </c>
      <c r="I1141" s="1" t="s">
        <v>28</v>
      </c>
      <c r="J1141" s="1" t="s">
        <v>26</v>
      </c>
      <c r="K1141" s="1" t="s">
        <v>1072</v>
      </c>
      <c r="L1141" s="1" t="s">
        <v>26</v>
      </c>
      <c r="M1141" s="1" t="s">
        <v>27</v>
      </c>
      <c r="N1141" s="1" t="s">
        <v>26</v>
      </c>
      <c r="O1141" s="1" t="s">
        <v>26</v>
      </c>
      <c r="P1141" s="4">
        <v>45210.57582175926</v>
      </c>
    </row>
    <row r="1142" hidden="1">
      <c r="A1142" s="1" t="s">
        <v>21</v>
      </c>
      <c r="B1142" s="3" t="str">
        <f>HYPERLINK("https://hawk-eye.atlassian.net/browse/HWKREPORT-2317?atlOrigin=eyJpIjoiYzgwYTQ0ZjEyNzQzNGJhN2JmNjEyZTM0NmRhZWZhNjIiLCJwIjoic2hlZXRzLWppcmEifQ","HWKREPORT-2317")</f>
        <v>HWKREPORT-2317</v>
      </c>
      <c r="C1142" s="1" t="s">
        <v>2365</v>
      </c>
      <c r="D1142" s="1" t="s">
        <v>23</v>
      </c>
      <c r="E1142" s="1" t="s">
        <v>1207</v>
      </c>
      <c r="F1142" s="4">
        <v>45167.61565972222</v>
      </c>
      <c r="G1142" s="3" t="str">
        <f>HYPERLINK("https://hawk-eye.atlassian.net/browse/RTT-6955?atlOrigin=eyJpIjoiYzgwYTQ0ZjEyNzQzNGJhN2JmNjEyZTM0NmRhZWZhNjIiLCJwIjoic2hlZXRzLWppcmEifQ","RTT-6955")</f>
        <v>RTT-6955</v>
      </c>
      <c r="H1142" s="1" t="s">
        <v>1058</v>
      </c>
      <c r="I1142" s="1" t="s">
        <v>1082</v>
      </c>
      <c r="J1142" s="1" t="s">
        <v>26</v>
      </c>
      <c r="K1142" s="1" t="s">
        <v>1312</v>
      </c>
      <c r="L1142" s="1" t="s">
        <v>26</v>
      </c>
      <c r="M1142" s="1" t="s">
        <v>27</v>
      </c>
      <c r="N1142" s="1" t="s">
        <v>26</v>
      </c>
      <c r="O1142" s="1" t="s">
        <v>26</v>
      </c>
      <c r="P1142" s="4">
        <v>45215.56283564815</v>
      </c>
    </row>
    <row r="1143" hidden="1">
      <c r="A1143" s="1" t="s">
        <v>21</v>
      </c>
      <c r="B1143" s="3" t="str">
        <f>HYPERLINK("https://hawk-eye.atlassian.net/browse/HWKREPORT-2318?atlOrigin=eyJpIjoiYzgwYTQ0ZjEyNzQzNGJhN2JmNjEyZTM0NmRhZWZhNjIiLCJwIjoic2hlZXRzLWppcmEifQ","HWKREPORT-2318")</f>
        <v>HWKREPORT-2318</v>
      </c>
      <c r="C1143" s="1" t="s">
        <v>2366</v>
      </c>
      <c r="D1143" s="1" t="s">
        <v>23</v>
      </c>
      <c r="E1143" s="1" t="s">
        <v>1207</v>
      </c>
      <c r="F1143" s="4">
        <v>45167.656122685185</v>
      </c>
      <c r="G1143" s="3" t="str">
        <f>HYPERLINK("https://hawk-eye.atlassian.net/browse/RTT-6956?atlOrigin=eyJpIjoiYzgwYTQ0ZjEyNzQzNGJhN2JmNjEyZTM0NmRhZWZhNjIiLCJwIjoic2hlZXRzLWppcmEifQ","RTT-6956")</f>
        <v>RTT-6956</v>
      </c>
      <c r="H1143" s="1" t="s">
        <v>1058</v>
      </c>
      <c r="I1143" s="1" t="s">
        <v>1082</v>
      </c>
      <c r="J1143" s="1" t="s">
        <v>26</v>
      </c>
      <c r="K1143" s="1" t="s">
        <v>1312</v>
      </c>
      <c r="L1143" s="1" t="s">
        <v>26</v>
      </c>
      <c r="M1143" s="1" t="s">
        <v>27</v>
      </c>
      <c r="N1143" s="1" t="s">
        <v>26</v>
      </c>
      <c r="O1143" s="1" t="s">
        <v>26</v>
      </c>
      <c r="P1143" s="4">
        <v>45259.452314814815</v>
      </c>
    </row>
    <row r="1144" hidden="1">
      <c r="A1144" s="1" t="s">
        <v>21</v>
      </c>
      <c r="B1144" s="3" t="str">
        <f>HYPERLINK("https://hawk-eye.atlassian.net/browse/HWKREPORT-2319?atlOrigin=eyJpIjoiYzgwYTQ0ZjEyNzQzNGJhN2JmNjEyZTM0NmRhZWZhNjIiLCJwIjoic2hlZXRzLWppcmEifQ","HWKREPORT-2319")</f>
        <v>HWKREPORT-2319</v>
      </c>
      <c r="C1144" s="1" t="s">
        <v>2367</v>
      </c>
      <c r="D1144" s="1" t="s">
        <v>83</v>
      </c>
      <c r="E1144" s="1" t="s">
        <v>1207</v>
      </c>
      <c r="F1144" s="4">
        <v>45167.66459490741</v>
      </c>
      <c r="G1144" s="3" t="str">
        <f>HYPERLINK("https://hawk-eye.atlassian.net/browse/RTT-6957?atlOrigin=eyJpIjoiYzgwYTQ0ZjEyNzQzNGJhN2JmNjEyZTM0NmRhZWZhNjIiLCJwIjoic2hlZXRzLWppcmEifQ","RTT-6957")</f>
        <v>RTT-6957</v>
      </c>
      <c r="H1144" s="1" t="s">
        <v>1058</v>
      </c>
      <c r="I1144" s="1" t="s">
        <v>1082</v>
      </c>
      <c r="J1144" s="1" t="s">
        <v>26</v>
      </c>
      <c r="K1144" s="1" t="s">
        <v>1312</v>
      </c>
      <c r="L1144" s="1" t="s">
        <v>26</v>
      </c>
      <c r="M1144" s="1" t="s">
        <v>27</v>
      </c>
      <c r="N1144" s="1" t="s">
        <v>26</v>
      </c>
      <c r="O1144" s="1" t="s">
        <v>26</v>
      </c>
      <c r="P1144" s="4">
        <v>45191.70414351852</v>
      </c>
    </row>
    <row r="1145" hidden="1">
      <c r="A1145" s="1" t="s">
        <v>1055</v>
      </c>
      <c r="B1145" s="3" t="str">
        <f>HYPERLINK("https://hawk-eye.atlassian.net/browse/HWKREPORT-2320?atlOrigin=eyJpIjoiYzgwYTQ0ZjEyNzQzNGJhN2JmNjEyZTM0NmRhZWZhNjIiLCJwIjoic2hlZXRzLWppcmEifQ","HWKREPORT-2320")</f>
        <v>HWKREPORT-2320</v>
      </c>
      <c r="C1145" s="1" t="s">
        <v>2368</v>
      </c>
      <c r="D1145" s="1" t="s">
        <v>48</v>
      </c>
      <c r="E1145" s="1" t="s">
        <v>35</v>
      </c>
      <c r="F1145" s="4">
        <v>45168.605219907404</v>
      </c>
      <c r="G1145" s="3" t="str">
        <f>HYPERLINK("https://hawk-eye.atlassian.net/browse/RTT-6968?atlOrigin=eyJpIjoiYzgwYTQ0ZjEyNzQzNGJhN2JmNjEyZTM0NmRhZWZhNjIiLCJwIjoic2hlZXRzLWppcmEifQ","RTT-6968")</f>
        <v>RTT-6968</v>
      </c>
      <c r="H1145" s="1" t="s">
        <v>1058</v>
      </c>
      <c r="I1145" s="1" t="s">
        <v>28</v>
      </c>
      <c r="J1145" s="1" t="s">
        <v>26</v>
      </c>
      <c r="K1145" s="1" t="s">
        <v>1072</v>
      </c>
      <c r="L1145" s="1" t="s">
        <v>26</v>
      </c>
      <c r="M1145" s="1" t="s">
        <v>27</v>
      </c>
      <c r="N1145" s="1" t="s">
        <v>26</v>
      </c>
      <c r="O1145" s="1" t="s">
        <v>26</v>
      </c>
      <c r="P1145" s="4">
        <v>45524.72928240741</v>
      </c>
    </row>
    <row r="1146" hidden="1">
      <c r="A1146" s="1" t="s">
        <v>21</v>
      </c>
      <c r="B1146" s="3" t="str">
        <f>HYPERLINK("https://hawk-eye.atlassian.net/browse/HWKREPORT-2321?atlOrigin=eyJpIjoiYzgwYTQ0ZjEyNzQzNGJhN2JmNjEyZTM0NmRhZWZhNjIiLCJwIjoic2hlZXRzLWppcmEifQ","HWKREPORT-2321")</f>
        <v>HWKREPORT-2321</v>
      </c>
      <c r="C1146" s="1" t="s">
        <v>2369</v>
      </c>
      <c r="D1146" s="1" t="s">
        <v>40</v>
      </c>
      <c r="E1146" s="1" t="s">
        <v>1057</v>
      </c>
      <c r="F1146" s="4">
        <v>45168.71979166667</v>
      </c>
      <c r="G1146" s="3" t="str">
        <f>HYPERLINK("https://hawk-eye.atlassian.net/browse/AL-915?atlOrigin=eyJpIjoiYzgwYTQ0ZjEyNzQzNGJhN2JmNjEyZTM0NmRhZWZhNjIiLCJwIjoic2hlZXRzLWppcmEifQ","AL-915")</f>
        <v>AL-915</v>
      </c>
      <c r="H1146" s="1" t="s">
        <v>1058</v>
      </c>
      <c r="I1146" s="1" t="s">
        <v>1085</v>
      </c>
      <c r="J1146" s="1" t="s">
        <v>26</v>
      </c>
      <c r="K1146" s="1" t="s">
        <v>1219</v>
      </c>
      <c r="L1146" s="1" t="s">
        <v>26</v>
      </c>
      <c r="M1146" s="1" t="s">
        <v>27</v>
      </c>
      <c r="N1146" s="1" t="s">
        <v>26</v>
      </c>
      <c r="O1146" s="1" t="s">
        <v>26</v>
      </c>
      <c r="P1146" s="4">
        <v>45168.71979166667</v>
      </c>
    </row>
    <row r="1147" hidden="1">
      <c r="A1147" s="1" t="s">
        <v>21</v>
      </c>
      <c r="B1147" s="3" t="str">
        <f>HYPERLINK("https://hawk-eye.atlassian.net/browse/HWKREPORT-2322?atlOrigin=eyJpIjoiYzgwYTQ0ZjEyNzQzNGJhN2JmNjEyZTM0NmRhZWZhNjIiLCJwIjoic2hlZXRzLWppcmEifQ","HWKREPORT-2322")</f>
        <v>HWKREPORT-2322</v>
      </c>
      <c r="C1147" s="1" t="s">
        <v>2370</v>
      </c>
      <c r="D1147" s="1" t="s">
        <v>34</v>
      </c>
      <c r="E1147" s="1" t="s">
        <v>1057</v>
      </c>
      <c r="F1147" s="4">
        <v>45168.72498842593</v>
      </c>
      <c r="G1147" s="3" t="str">
        <f>HYPERLINK("https://hawk-eye.atlassian.net/browse/AL-914?atlOrigin=eyJpIjoiYzgwYTQ0ZjEyNzQzNGJhN2JmNjEyZTM0NmRhZWZhNjIiLCJwIjoic2hlZXRzLWppcmEifQ","AL-914")</f>
        <v>AL-914</v>
      </c>
      <c r="H1147" s="1" t="s">
        <v>1058</v>
      </c>
      <c r="I1147" s="1" t="s">
        <v>1085</v>
      </c>
      <c r="J1147" s="1" t="s">
        <v>26</v>
      </c>
      <c r="K1147" s="1" t="s">
        <v>1219</v>
      </c>
      <c r="L1147" s="1" t="s">
        <v>26</v>
      </c>
      <c r="M1147" s="1" t="s">
        <v>27</v>
      </c>
      <c r="N1147" s="1" t="s">
        <v>26</v>
      </c>
      <c r="O1147" s="1" t="s">
        <v>26</v>
      </c>
      <c r="P1147" s="4">
        <v>45168.72498842593</v>
      </c>
    </row>
    <row r="1148" hidden="1">
      <c r="A1148" s="1" t="s">
        <v>1055</v>
      </c>
      <c r="B1148" s="3" t="str">
        <f>HYPERLINK("https://hawk-eye.atlassian.net/browse/HWKREPORT-2323?atlOrigin=eyJpIjoiYzgwYTQ0ZjEyNzQzNGJhN2JmNjEyZTM0NmRhZWZhNjIiLCJwIjoic2hlZXRzLWppcmEifQ","HWKREPORT-2323")</f>
        <v>HWKREPORT-2323</v>
      </c>
      <c r="C1148" s="1" t="s">
        <v>2371</v>
      </c>
      <c r="D1148" s="1" t="s">
        <v>48</v>
      </c>
      <c r="E1148" s="1" t="s">
        <v>1057</v>
      </c>
      <c r="F1148" s="4">
        <v>45168.75821759259</v>
      </c>
      <c r="G1148" s="3" t="str">
        <f>HYPERLINK("https://hawk-eye.atlassian.net/browse/AL-916?atlOrigin=eyJpIjoiYzgwYTQ0ZjEyNzQzNGJhN2JmNjEyZTM0NmRhZWZhNjIiLCJwIjoic2hlZXRzLWppcmEifQ","AL-916")</f>
        <v>AL-916</v>
      </c>
      <c r="H1148" s="1" t="s">
        <v>1058</v>
      </c>
      <c r="I1148" s="1" t="s">
        <v>1085</v>
      </c>
      <c r="J1148" s="1" t="s">
        <v>26</v>
      </c>
      <c r="K1148" s="1" t="s">
        <v>1219</v>
      </c>
      <c r="L1148" s="1" t="s">
        <v>26</v>
      </c>
      <c r="M1148" s="1" t="s">
        <v>27</v>
      </c>
      <c r="N1148" s="1" t="s">
        <v>26</v>
      </c>
      <c r="O1148" s="1" t="s">
        <v>26</v>
      </c>
      <c r="P1148" s="4">
        <v>45168.75822916667</v>
      </c>
    </row>
    <row r="1149" hidden="1">
      <c r="A1149" s="1" t="s">
        <v>21</v>
      </c>
      <c r="B1149" s="3" t="str">
        <f>HYPERLINK("https://hawk-eye.atlassian.net/browse/HWKREPORT-2324?atlOrigin=eyJpIjoiYzgwYTQ0ZjEyNzQzNGJhN2JmNjEyZTM0NmRhZWZhNjIiLCJwIjoic2hlZXRzLWppcmEifQ","HWKREPORT-2324")</f>
        <v>HWKREPORT-2324</v>
      </c>
      <c r="C1149" s="1" t="s">
        <v>2372</v>
      </c>
      <c r="D1149" s="1" t="s">
        <v>40</v>
      </c>
      <c r="E1149" s="1" t="s">
        <v>1057</v>
      </c>
      <c r="F1149" s="4">
        <v>45168.78938657408</v>
      </c>
      <c r="G1149" s="3" t="str">
        <f>HYPERLINK("https://hawk-eye.atlassian.net/issues/?atlOrigin=eyJpIjoiYzgwYTQ0ZjEyNzQzNGJhN2JmNjEyZTM0NmRhZWZhNjIiLCJwIjoic2hlZXRzLWppcmEifQ&amp;jql=key+in+%28TTS-17%2CAL-917%29","TTS-17;AL-917")</f>
        <v>TTS-17;AL-917</v>
      </c>
      <c r="H1149" s="1" t="s">
        <v>1058</v>
      </c>
      <c r="I1149" s="1" t="s">
        <v>1085</v>
      </c>
      <c r="J1149" s="1" t="s">
        <v>26</v>
      </c>
      <c r="K1149" s="1" t="s">
        <v>1219</v>
      </c>
      <c r="L1149" s="1" t="s">
        <v>26</v>
      </c>
      <c r="M1149" s="1" t="s">
        <v>27</v>
      </c>
      <c r="N1149" s="1" t="s">
        <v>26</v>
      </c>
      <c r="O1149" s="1" t="s">
        <v>26</v>
      </c>
      <c r="P1149" s="4">
        <v>45168.78939814815</v>
      </c>
    </row>
    <row r="1150" hidden="1">
      <c r="A1150" s="1" t="s">
        <v>21</v>
      </c>
      <c r="B1150" s="3" t="str">
        <f>HYPERLINK("https://hawk-eye.atlassian.net/browse/HWKREPORT-2325?atlOrigin=eyJpIjoiYzgwYTQ0ZjEyNzQzNGJhN2JmNjEyZTM0NmRhZWZhNjIiLCJwIjoic2hlZXRzLWppcmEifQ","HWKREPORT-2325")</f>
        <v>HWKREPORT-2325</v>
      </c>
      <c r="C1150" s="1" t="s">
        <v>2373</v>
      </c>
      <c r="D1150" s="1" t="s">
        <v>23</v>
      </c>
      <c r="E1150" s="1" t="s">
        <v>1057</v>
      </c>
      <c r="F1150" s="4">
        <v>45168.840104166666</v>
      </c>
      <c r="G1150" s="3" t="str">
        <f>HYPERLINK("https://hawk-eye.atlassian.net/browse/AL-918?atlOrigin=eyJpIjoiYzgwYTQ0ZjEyNzQzNGJhN2JmNjEyZTM0NmRhZWZhNjIiLCJwIjoic2hlZXRzLWppcmEifQ","AL-918")</f>
        <v>AL-918</v>
      </c>
      <c r="H1150" s="1" t="s">
        <v>1058</v>
      </c>
      <c r="I1150" s="1" t="s">
        <v>1085</v>
      </c>
      <c r="J1150" s="1" t="s">
        <v>26</v>
      </c>
      <c r="K1150" s="1" t="s">
        <v>1219</v>
      </c>
      <c r="L1150" s="1" t="s">
        <v>26</v>
      </c>
      <c r="M1150" s="1" t="s">
        <v>27</v>
      </c>
      <c r="N1150" s="1" t="s">
        <v>26</v>
      </c>
      <c r="O1150" s="1" t="s">
        <v>26</v>
      </c>
      <c r="P1150" s="4">
        <v>45168.84011574074</v>
      </c>
    </row>
    <row r="1151" hidden="1">
      <c r="A1151" s="1" t="s">
        <v>1055</v>
      </c>
      <c r="B1151" s="3" t="str">
        <f>HYPERLINK("https://hawk-eye.atlassian.net/browse/HWKREPORT-2326?atlOrigin=eyJpIjoiYzgwYTQ0ZjEyNzQzNGJhN2JmNjEyZTM0NmRhZWZhNjIiLCJwIjoic2hlZXRzLWppcmEifQ","HWKREPORT-2326")</f>
        <v>HWKREPORT-2326</v>
      </c>
      <c r="C1151" s="1" t="s">
        <v>2374</v>
      </c>
      <c r="D1151" s="1" t="s">
        <v>48</v>
      </c>
      <c r="E1151" s="1" t="s">
        <v>1057</v>
      </c>
      <c r="F1151" s="4">
        <v>45168.84633101852</v>
      </c>
      <c r="G1151" s="3" t="str">
        <f>HYPERLINK("https://hawk-eye.atlassian.net/browse/AL-919?atlOrigin=eyJpIjoiYzgwYTQ0ZjEyNzQzNGJhN2JmNjEyZTM0NmRhZWZhNjIiLCJwIjoic2hlZXRzLWppcmEifQ","AL-919")</f>
        <v>AL-919</v>
      </c>
      <c r="H1151" s="1" t="s">
        <v>1058</v>
      </c>
      <c r="I1151" s="1" t="s">
        <v>1085</v>
      </c>
      <c r="J1151" s="1" t="s">
        <v>26</v>
      </c>
      <c r="K1151" s="1" t="s">
        <v>1219</v>
      </c>
      <c r="L1151" s="1" t="s">
        <v>26</v>
      </c>
      <c r="M1151" s="1" t="s">
        <v>27</v>
      </c>
      <c r="N1151" s="1" t="s">
        <v>26</v>
      </c>
      <c r="O1151" s="1" t="s">
        <v>26</v>
      </c>
      <c r="P1151" s="4">
        <v>45168.846342592595</v>
      </c>
    </row>
    <row r="1152" hidden="1">
      <c r="A1152" s="1" t="s">
        <v>1055</v>
      </c>
      <c r="B1152" s="3" t="str">
        <f>HYPERLINK("https://hawk-eye.atlassian.net/browse/HWKREPORT-2327?atlOrigin=eyJpIjoiYzgwYTQ0ZjEyNzQzNGJhN2JmNjEyZTM0NmRhZWZhNjIiLCJwIjoic2hlZXRzLWppcmEifQ","HWKREPORT-2327")</f>
        <v>HWKREPORT-2327</v>
      </c>
      <c r="C1152" s="1" t="s">
        <v>2375</v>
      </c>
      <c r="D1152" s="1" t="s">
        <v>48</v>
      </c>
      <c r="E1152" s="1" t="s">
        <v>1057</v>
      </c>
      <c r="F1152" s="4">
        <v>45169.37165509259</v>
      </c>
      <c r="G1152" s="3" t="str">
        <f>HYPERLINK("https://hawk-eye.atlassian.net/browse/AL-920?atlOrigin=eyJpIjoiYzgwYTQ0ZjEyNzQzNGJhN2JmNjEyZTM0NmRhZWZhNjIiLCJwIjoic2hlZXRzLWppcmEifQ","AL-920")</f>
        <v>AL-920</v>
      </c>
      <c r="H1152" s="1" t="s">
        <v>1058</v>
      </c>
      <c r="I1152" s="1" t="s">
        <v>1085</v>
      </c>
      <c r="J1152" s="1" t="s">
        <v>26</v>
      </c>
      <c r="K1152" s="1" t="s">
        <v>1219</v>
      </c>
      <c r="L1152" s="1" t="s">
        <v>26</v>
      </c>
      <c r="M1152" s="1" t="s">
        <v>27</v>
      </c>
      <c r="N1152" s="1" t="s">
        <v>26</v>
      </c>
      <c r="O1152" s="1" t="s">
        <v>26</v>
      </c>
      <c r="P1152" s="4">
        <v>45169.37165509259</v>
      </c>
    </row>
    <row r="1153" hidden="1">
      <c r="A1153" s="1" t="s">
        <v>1055</v>
      </c>
      <c r="B1153" s="3" t="str">
        <f>HYPERLINK("https://hawk-eye.atlassian.net/browse/HWKREPORT-2328?atlOrigin=eyJpIjoiYzgwYTQ0ZjEyNzQzNGJhN2JmNjEyZTM0NmRhZWZhNjIiLCJwIjoic2hlZXRzLWppcmEifQ","HWKREPORT-2328")</f>
        <v>HWKREPORT-2328</v>
      </c>
      <c r="C1153" s="1" t="s">
        <v>2376</v>
      </c>
      <c r="D1153" s="1" t="s">
        <v>48</v>
      </c>
      <c r="E1153" s="1" t="s">
        <v>1057</v>
      </c>
      <c r="F1153" s="4">
        <v>45169.37596064815</v>
      </c>
      <c r="G1153" s="3" t="str">
        <f>HYPERLINK("https://hawk-eye.atlassian.net/browse/AL-921?atlOrigin=eyJpIjoiYzgwYTQ0ZjEyNzQzNGJhN2JmNjEyZTM0NmRhZWZhNjIiLCJwIjoic2hlZXRzLWppcmEifQ","AL-921")</f>
        <v>AL-921</v>
      </c>
      <c r="H1153" s="1" t="s">
        <v>1058</v>
      </c>
      <c r="I1153" s="1" t="s">
        <v>1085</v>
      </c>
      <c r="J1153" s="1" t="s">
        <v>26</v>
      </c>
      <c r="K1153" s="1" t="s">
        <v>1219</v>
      </c>
      <c r="L1153" s="1" t="s">
        <v>26</v>
      </c>
      <c r="M1153" s="1" t="s">
        <v>27</v>
      </c>
      <c r="N1153" s="1" t="s">
        <v>26</v>
      </c>
      <c r="O1153" s="1" t="s">
        <v>26</v>
      </c>
      <c r="P1153" s="4">
        <v>45169.37598379629</v>
      </c>
    </row>
    <row r="1154" hidden="1">
      <c r="A1154" s="1" t="s">
        <v>1055</v>
      </c>
      <c r="B1154" s="3" t="str">
        <f>HYPERLINK("https://hawk-eye.atlassian.net/browse/HWKREPORT-2329?atlOrigin=eyJpIjoiYzgwYTQ0ZjEyNzQzNGJhN2JmNjEyZTM0NmRhZWZhNjIiLCJwIjoic2hlZXRzLWppcmEifQ","HWKREPORT-2329")</f>
        <v>HWKREPORT-2329</v>
      </c>
      <c r="C1154" s="1" t="s">
        <v>2377</v>
      </c>
      <c r="D1154" s="1" t="s">
        <v>48</v>
      </c>
      <c r="E1154" s="1" t="s">
        <v>1057</v>
      </c>
      <c r="F1154" s="4">
        <v>45169.41678240741</v>
      </c>
      <c r="G1154" s="3" t="str">
        <f>HYPERLINK("https://hawk-eye.atlassian.net/browse/AL-913?atlOrigin=eyJpIjoiYzgwYTQ0ZjEyNzQzNGJhN2JmNjEyZTM0NmRhZWZhNjIiLCJwIjoic2hlZXRzLWppcmEifQ","AL-913")</f>
        <v>AL-913</v>
      </c>
      <c r="H1154" s="1" t="s">
        <v>1058</v>
      </c>
      <c r="I1154" s="1" t="s">
        <v>1085</v>
      </c>
      <c r="J1154" s="1" t="s">
        <v>26</v>
      </c>
      <c r="K1154" s="1" t="s">
        <v>1219</v>
      </c>
      <c r="L1154" s="1" t="s">
        <v>26</v>
      </c>
      <c r="M1154" s="1" t="s">
        <v>27</v>
      </c>
      <c r="N1154" s="1" t="s">
        <v>26</v>
      </c>
      <c r="O1154" s="1" t="s">
        <v>26</v>
      </c>
      <c r="P1154" s="4">
        <v>45169.41680555556</v>
      </c>
    </row>
    <row r="1155" hidden="1">
      <c r="A1155" s="1" t="s">
        <v>1055</v>
      </c>
      <c r="B1155" s="3" t="str">
        <f>HYPERLINK("https://hawk-eye.atlassian.net/browse/HWKREPORT-2330?atlOrigin=eyJpIjoiYzgwYTQ0ZjEyNzQzNGJhN2JmNjEyZTM0NmRhZWZhNjIiLCJwIjoic2hlZXRzLWppcmEifQ","HWKREPORT-2330")</f>
        <v>HWKREPORT-2330</v>
      </c>
      <c r="C1155" s="1" t="s">
        <v>2378</v>
      </c>
      <c r="D1155" s="1" t="s">
        <v>48</v>
      </c>
      <c r="E1155" s="1" t="s">
        <v>1057</v>
      </c>
      <c r="F1155" s="4">
        <v>45169.427453703705</v>
      </c>
      <c r="G1155" s="3" t="str">
        <f>HYPERLINK("https://hawk-eye.atlassian.net/browse/AL-922?atlOrigin=eyJpIjoiYzgwYTQ0ZjEyNzQzNGJhN2JmNjEyZTM0NmRhZWZhNjIiLCJwIjoic2hlZXRzLWppcmEifQ","AL-922")</f>
        <v>AL-922</v>
      </c>
      <c r="H1155" s="1" t="s">
        <v>1058</v>
      </c>
      <c r="I1155" s="1" t="s">
        <v>1085</v>
      </c>
      <c r="J1155" s="1" t="s">
        <v>26</v>
      </c>
      <c r="K1155" s="1" t="s">
        <v>1219</v>
      </c>
      <c r="L1155" s="1" t="s">
        <v>26</v>
      </c>
      <c r="M1155" s="1" t="s">
        <v>27</v>
      </c>
      <c r="N1155" s="1" t="s">
        <v>26</v>
      </c>
      <c r="O1155" s="1" t="s">
        <v>26</v>
      </c>
      <c r="P1155" s="4">
        <v>45169.42747685185</v>
      </c>
    </row>
    <row r="1156" hidden="1">
      <c r="A1156" s="1" t="s">
        <v>21</v>
      </c>
      <c r="B1156" s="3" t="str">
        <f>HYPERLINK("https://hawk-eye.atlassian.net/browse/HWKREPORT-2331?atlOrigin=eyJpIjoiYzgwYTQ0ZjEyNzQzNGJhN2JmNjEyZTM0NmRhZWZhNjIiLCJwIjoic2hlZXRzLWppcmEifQ","HWKREPORT-2331")</f>
        <v>HWKREPORT-2331</v>
      </c>
      <c r="C1156" s="1" t="s">
        <v>2379</v>
      </c>
      <c r="D1156" s="1" t="s">
        <v>40</v>
      </c>
      <c r="E1156" s="1" t="s">
        <v>35</v>
      </c>
      <c r="F1156" s="4">
        <v>45169.655324074076</v>
      </c>
      <c r="G1156" s="3" t="str">
        <f>HYPERLINK("https://hawk-eye.atlassian.net/browse/RTT-6974?atlOrigin=eyJpIjoiYzgwYTQ0ZjEyNzQzNGJhN2JmNjEyZTM0NmRhZWZhNjIiLCJwIjoic2hlZXRzLWppcmEifQ","RTT-6974")</f>
        <v>RTT-6974</v>
      </c>
      <c r="H1156" s="1" t="s">
        <v>1058</v>
      </c>
      <c r="I1156" s="1" t="s">
        <v>1085</v>
      </c>
      <c r="J1156" s="1" t="s">
        <v>26</v>
      </c>
      <c r="K1156" s="1" t="s">
        <v>1072</v>
      </c>
      <c r="L1156" s="1" t="s">
        <v>26</v>
      </c>
      <c r="M1156" s="1" t="s">
        <v>27</v>
      </c>
      <c r="N1156" s="1" t="s">
        <v>26</v>
      </c>
      <c r="O1156" s="1" t="s">
        <v>26</v>
      </c>
      <c r="P1156" s="4">
        <v>45210.478796296295</v>
      </c>
    </row>
    <row r="1157" hidden="1">
      <c r="A1157" s="1" t="s">
        <v>1055</v>
      </c>
      <c r="B1157" s="3" t="str">
        <f>HYPERLINK("https://hawk-eye.atlassian.net/browse/HWKREPORT-2332?atlOrigin=eyJpIjoiYzgwYTQ0ZjEyNzQzNGJhN2JmNjEyZTM0NmRhZWZhNjIiLCJwIjoic2hlZXRzLWppcmEifQ","HWKREPORT-2332")</f>
        <v>HWKREPORT-2332</v>
      </c>
      <c r="C1157" s="1" t="s">
        <v>2380</v>
      </c>
      <c r="D1157" s="1" t="s">
        <v>48</v>
      </c>
      <c r="E1157" s="1" t="s">
        <v>35</v>
      </c>
      <c r="F1157" s="4">
        <v>45169.95</v>
      </c>
      <c r="G1157" s="3" t="str">
        <f>HYPERLINK("https://hawk-eye.atlassian.net/browse/?atlOrigin=eyJpIjoiYzgwYTQ0ZjEyNzQzNGJhN2JmNjEyZTM0NmRhZWZhNjIiLCJwIjoic2hlZXRzLWppcmEifQ","")</f>
        <v/>
      </c>
      <c r="H1157" s="1" t="s">
        <v>1058</v>
      </c>
      <c r="I1157" s="1" t="s">
        <v>28</v>
      </c>
      <c r="J1157" s="1" t="s">
        <v>26</v>
      </c>
      <c r="K1157" s="1" t="s">
        <v>1072</v>
      </c>
      <c r="L1157" s="1" t="s">
        <v>26</v>
      </c>
      <c r="M1157" s="1" t="s">
        <v>27</v>
      </c>
      <c r="N1157" s="1" t="s">
        <v>26</v>
      </c>
      <c r="O1157" s="1" t="s">
        <v>26</v>
      </c>
      <c r="P1157" s="4">
        <v>45216.398668981485</v>
      </c>
    </row>
    <row r="1158" hidden="1">
      <c r="A1158" s="1" t="s">
        <v>1055</v>
      </c>
      <c r="B1158" s="3" t="str">
        <f>HYPERLINK("https://hawk-eye.atlassian.net/browse/HWKREPORT-2333?atlOrigin=eyJpIjoiYzgwYTQ0ZjEyNzQzNGJhN2JmNjEyZTM0NmRhZWZhNjIiLCJwIjoic2hlZXRzLWppcmEifQ","HWKREPORT-2333")</f>
        <v>HWKREPORT-2333</v>
      </c>
      <c r="C1158" s="1" t="s">
        <v>2381</v>
      </c>
      <c r="D1158" s="1" t="s">
        <v>48</v>
      </c>
      <c r="E1158" s="1" t="s">
        <v>1057</v>
      </c>
      <c r="F1158" s="4">
        <v>45173.4303125</v>
      </c>
      <c r="G1158" s="3" t="str">
        <f>HYPERLINK("https://hawk-eye.atlassian.net/browse/AL-923?atlOrigin=eyJpIjoiYzgwYTQ0ZjEyNzQzNGJhN2JmNjEyZTM0NmRhZWZhNjIiLCJwIjoic2hlZXRzLWppcmEifQ","AL-923")</f>
        <v>AL-923</v>
      </c>
      <c r="H1158" s="1" t="s">
        <v>1058</v>
      </c>
      <c r="I1158" s="1" t="s">
        <v>1085</v>
      </c>
      <c r="J1158" s="1" t="s">
        <v>26</v>
      </c>
      <c r="K1158" s="1" t="s">
        <v>1219</v>
      </c>
      <c r="L1158" s="1" t="s">
        <v>26</v>
      </c>
      <c r="M1158" s="1" t="s">
        <v>27</v>
      </c>
      <c r="N1158" s="1" t="s">
        <v>26</v>
      </c>
      <c r="O1158" s="1" t="s">
        <v>26</v>
      </c>
      <c r="P1158" s="4">
        <v>45173.43032407408</v>
      </c>
    </row>
    <row r="1159" hidden="1">
      <c r="A1159" s="1" t="s">
        <v>21</v>
      </c>
      <c r="B1159" s="3" t="str">
        <f>HYPERLINK("https://hawk-eye.atlassian.net/browse/HWKREPORT-2334?atlOrigin=eyJpIjoiYzgwYTQ0ZjEyNzQzNGJhN2JmNjEyZTM0NmRhZWZhNjIiLCJwIjoic2hlZXRzLWppcmEifQ","HWKREPORT-2334")</f>
        <v>HWKREPORT-2334</v>
      </c>
      <c r="C1159" s="1" t="s">
        <v>2382</v>
      </c>
      <c r="D1159" s="1" t="s">
        <v>83</v>
      </c>
      <c r="E1159" s="1" t="s">
        <v>1207</v>
      </c>
      <c r="F1159" s="4">
        <v>45173.59724537037</v>
      </c>
      <c r="G1159" s="3" t="str">
        <f>HYPERLINK("https://hawk-eye.atlassian.net/browse/RTT-6979?atlOrigin=eyJpIjoiYzgwYTQ0ZjEyNzQzNGJhN2JmNjEyZTM0NmRhZWZhNjIiLCJwIjoic2hlZXRzLWppcmEifQ","RTT-6979")</f>
        <v>RTT-6979</v>
      </c>
      <c r="H1159" s="1" t="s">
        <v>1058</v>
      </c>
      <c r="I1159" s="1" t="s">
        <v>1085</v>
      </c>
      <c r="J1159" s="1" t="s">
        <v>26</v>
      </c>
      <c r="K1159" s="1" t="s">
        <v>1072</v>
      </c>
      <c r="L1159" s="1" t="s">
        <v>26</v>
      </c>
      <c r="M1159" s="1" t="s">
        <v>27</v>
      </c>
      <c r="N1159" s="1" t="s">
        <v>26</v>
      </c>
      <c r="O1159" s="1" t="s">
        <v>26</v>
      </c>
      <c r="P1159" s="4">
        <v>45196.47195601852</v>
      </c>
    </row>
    <row r="1160" hidden="1">
      <c r="A1160" s="1" t="s">
        <v>21</v>
      </c>
      <c r="B1160" s="3" t="str">
        <f>HYPERLINK("https://hawk-eye.atlassian.net/browse/HWKREPORT-2335?atlOrigin=eyJpIjoiYzgwYTQ0ZjEyNzQzNGJhN2JmNjEyZTM0NmRhZWZhNjIiLCJwIjoic2hlZXRzLWppcmEifQ","HWKREPORT-2335")</f>
        <v>HWKREPORT-2335</v>
      </c>
      <c r="C1160" s="1" t="s">
        <v>2383</v>
      </c>
      <c r="D1160" s="1" t="s">
        <v>48</v>
      </c>
      <c r="E1160" s="1" t="s">
        <v>1074</v>
      </c>
      <c r="F1160" s="4">
        <v>45174.71314814815</v>
      </c>
      <c r="G1160" s="3" t="str">
        <f>HYPERLINK("https://hawk-eye.atlassian.net/browse/TOOL-207?atlOrigin=eyJpIjoiYzgwYTQ0ZjEyNzQzNGJhN2JmNjEyZTM0NmRhZWZhNjIiLCJwIjoic2hlZXRzLWppcmEifQ","TOOL-207")</f>
        <v>TOOL-207</v>
      </c>
      <c r="H1160" s="1" t="s">
        <v>1058</v>
      </c>
      <c r="I1160" s="1" t="s">
        <v>1085</v>
      </c>
      <c r="J1160" s="1" t="s">
        <v>26</v>
      </c>
      <c r="K1160" s="1" t="s">
        <v>1134</v>
      </c>
      <c r="L1160" s="1" t="s">
        <v>26</v>
      </c>
      <c r="M1160" s="1" t="s">
        <v>27</v>
      </c>
      <c r="N1160" s="1" t="s">
        <v>26</v>
      </c>
      <c r="O1160" s="1" t="s">
        <v>26</v>
      </c>
      <c r="P1160" s="4">
        <v>45771.58346064815</v>
      </c>
    </row>
    <row r="1161" hidden="1">
      <c r="A1161" s="1" t="s">
        <v>1055</v>
      </c>
      <c r="B1161" s="3" t="str">
        <f>HYPERLINK("https://hawk-eye.atlassian.net/browse/HWKREPORT-2336?atlOrigin=eyJpIjoiYzgwYTQ0ZjEyNzQzNGJhN2JmNjEyZTM0NmRhZWZhNjIiLCJwIjoic2hlZXRzLWppcmEifQ","HWKREPORT-2336")</f>
        <v>HWKREPORT-2336</v>
      </c>
      <c r="C1161" s="1" t="s">
        <v>2384</v>
      </c>
      <c r="D1161" s="1" t="s">
        <v>48</v>
      </c>
      <c r="E1161" s="1" t="s">
        <v>1057</v>
      </c>
      <c r="F1161" s="4">
        <v>45174.75619212963</v>
      </c>
      <c r="G1161" s="3" t="str">
        <f>HYPERLINK("https://hawk-eye.atlassian.net/browse/RTT-6987?atlOrigin=eyJpIjoiYzgwYTQ0ZjEyNzQzNGJhN2JmNjEyZTM0NmRhZWZhNjIiLCJwIjoic2hlZXRzLWppcmEifQ","RTT-6987")</f>
        <v>RTT-6987</v>
      </c>
      <c r="H1161" s="1" t="s">
        <v>1058</v>
      </c>
      <c r="I1161" s="1" t="s">
        <v>1151</v>
      </c>
      <c r="J1161" s="1" t="s">
        <v>26</v>
      </c>
      <c r="K1161" s="1" t="s">
        <v>1072</v>
      </c>
      <c r="L1161" s="1" t="s">
        <v>26</v>
      </c>
      <c r="M1161" s="1" t="s">
        <v>27</v>
      </c>
      <c r="N1161" s="1" t="s">
        <v>26</v>
      </c>
      <c r="O1161" s="1" t="s">
        <v>26</v>
      </c>
      <c r="P1161" s="4">
        <v>45174.75619212963</v>
      </c>
    </row>
    <row r="1162" hidden="1">
      <c r="A1162" s="1" t="s">
        <v>21</v>
      </c>
      <c r="B1162" s="3" t="str">
        <f>HYPERLINK("https://hawk-eye.atlassian.net/browse/HWKREPORT-2337?atlOrigin=eyJpIjoiYzgwYTQ0ZjEyNzQzNGJhN2JmNjEyZTM0NmRhZWZhNjIiLCJwIjoic2hlZXRzLWppcmEifQ","HWKREPORT-2337")</f>
        <v>HWKREPORT-2337</v>
      </c>
      <c r="C1162" s="1" t="s">
        <v>2385</v>
      </c>
      <c r="D1162" s="1" t="s">
        <v>83</v>
      </c>
      <c r="E1162" s="1" t="s">
        <v>35</v>
      </c>
      <c r="F1162" s="4">
        <v>45175.53800925926</v>
      </c>
      <c r="G1162" s="3" t="str">
        <f>HYPERLINK("https://hawk-eye.atlassian.net/browse/SO-1102?atlOrigin=eyJpIjoiYzgwYTQ0ZjEyNzQzNGJhN2JmNjEyZTM0NmRhZWZhNjIiLCJwIjoic2hlZXRzLWppcmEifQ","SO-1102")</f>
        <v>SO-1102</v>
      </c>
      <c r="H1162" s="1" t="s">
        <v>1058</v>
      </c>
      <c r="I1162" s="1" t="s">
        <v>1085</v>
      </c>
      <c r="J1162" s="1" t="s">
        <v>26</v>
      </c>
      <c r="K1162" s="1" t="s">
        <v>2386</v>
      </c>
      <c r="L1162" s="1" t="s">
        <v>26</v>
      </c>
      <c r="M1162" s="1" t="s">
        <v>27</v>
      </c>
      <c r="N1162" s="1" t="s">
        <v>26</v>
      </c>
      <c r="O1162" s="1" t="s">
        <v>26</v>
      </c>
      <c r="P1162" s="4">
        <v>45271.61491898148</v>
      </c>
    </row>
    <row r="1163" hidden="1">
      <c r="A1163" s="1" t="s">
        <v>21</v>
      </c>
      <c r="B1163" s="3" t="str">
        <f>HYPERLINK("https://hawk-eye.atlassian.net/browse/HWKREPORT-2338?atlOrigin=eyJpIjoiYzgwYTQ0ZjEyNzQzNGJhN2JmNjEyZTM0NmRhZWZhNjIiLCJwIjoic2hlZXRzLWppcmEifQ","HWKREPORT-2338")</f>
        <v>HWKREPORT-2338</v>
      </c>
      <c r="C1163" s="1" t="s">
        <v>2387</v>
      </c>
      <c r="D1163" s="1" t="s">
        <v>83</v>
      </c>
      <c r="E1163" s="1" t="s">
        <v>35</v>
      </c>
      <c r="F1163" s="4">
        <v>45175.62766203703</v>
      </c>
      <c r="G1163" s="3" t="str">
        <f>HYPERLINK("https://hawk-eye.atlassian.net/browse/?atlOrigin=eyJpIjoiYzgwYTQ0ZjEyNzQzNGJhN2JmNjEyZTM0NmRhZWZhNjIiLCJwIjoic2hlZXRzLWppcmEifQ","")</f>
        <v/>
      </c>
      <c r="H1163" s="1" t="s">
        <v>1058</v>
      </c>
      <c r="I1163" s="1" t="s">
        <v>1059</v>
      </c>
      <c r="J1163" s="1" t="s">
        <v>26</v>
      </c>
      <c r="K1163" s="1" t="s">
        <v>1219</v>
      </c>
      <c r="L1163" s="1" t="s">
        <v>26</v>
      </c>
      <c r="M1163" s="1" t="s">
        <v>27</v>
      </c>
      <c r="N1163" s="1" t="s">
        <v>26</v>
      </c>
      <c r="O1163" s="1" t="s">
        <v>26</v>
      </c>
      <c r="P1163" s="4">
        <v>45663.64326388889</v>
      </c>
    </row>
    <row r="1164" hidden="1">
      <c r="A1164" s="1" t="s">
        <v>1055</v>
      </c>
      <c r="B1164" s="3" t="str">
        <f>HYPERLINK("https://hawk-eye.atlassian.net/browse/HWKREPORT-2339?atlOrigin=eyJpIjoiYzgwYTQ0ZjEyNzQzNGJhN2JmNjEyZTM0NmRhZWZhNjIiLCJwIjoic2hlZXRzLWppcmEifQ","HWKREPORT-2339")</f>
        <v>HWKREPORT-2339</v>
      </c>
      <c r="C1164" s="1" t="s">
        <v>2388</v>
      </c>
      <c r="D1164" s="1" t="s">
        <v>48</v>
      </c>
      <c r="E1164" s="1" t="s">
        <v>35</v>
      </c>
      <c r="F1164" s="4">
        <v>45175.63928240741</v>
      </c>
      <c r="G1164" s="3" t="str">
        <f>HYPERLINK("https://hawk-eye.atlassian.net/browse/RTT-7074?atlOrigin=eyJpIjoiYzgwYTQ0ZjEyNzQzNGJhN2JmNjEyZTM0NmRhZWZhNjIiLCJwIjoic2hlZXRzLWppcmEifQ","RTT-7074")</f>
        <v>RTT-7074</v>
      </c>
      <c r="H1164" s="1" t="s">
        <v>1058</v>
      </c>
      <c r="I1164" s="1" t="s">
        <v>1071</v>
      </c>
      <c r="J1164" s="1" t="s">
        <v>26</v>
      </c>
      <c r="K1164" s="1" t="s">
        <v>1072</v>
      </c>
      <c r="L1164" s="1" t="s">
        <v>26</v>
      </c>
      <c r="M1164" s="1" t="s">
        <v>27</v>
      </c>
      <c r="N1164" s="1" t="s">
        <v>26</v>
      </c>
      <c r="O1164" s="1" t="s">
        <v>26</v>
      </c>
      <c r="P1164" s="4">
        <v>45217.5183912037</v>
      </c>
    </row>
    <row r="1165" hidden="1">
      <c r="A1165" s="1" t="s">
        <v>1055</v>
      </c>
      <c r="B1165" s="3" t="str">
        <f>HYPERLINK("https://hawk-eye.atlassian.net/browse/HWKREPORT-2340?atlOrigin=eyJpIjoiYzgwYTQ0ZjEyNzQzNGJhN2JmNjEyZTM0NmRhZWZhNjIiLCJwIjoic2hlZXRzLWppcmEifQ","HWKREPORT-2340")</f>
        <v>HWKREPORT-2340</v>
      </c>
      <c r="C1165" s="1" t="s">
        <v>2389</v>
      </c>
      <c r="D1165" s="1" t="s">
        <v>48</v>
      </c>
      <c r="E1165" s="1" t="s">
        <v>35</v>
      </c>
      <c r="F1165" s="4">
        <v>45175.64141203704</v>
      </c>
      <c r="G1165" s="3" t="str">
        <f>HYPERLINK("https://hawk-eye.atlassian.net/browse/?atlOrigin=eyJpIjoiYzgwYTQ0ZjEyNzQzNGJhN2JmNjEyZTM0NmRhZWZhNjIiLCJwIjoic2hlZXRzLWppcmEifQ","")</f>
        <v/>
      </c>
      <c r="H1165" s="1" t="s">
        <v>1058</v>
      </c>
      <c r="I1165" s="1" t="s">
        <v>1059</v>
      </c>
      <c r="J1165" s="1" t="s">
        <v>26</v>
      </c>
      <c r="K1165" s="1" t="s">
        <v>1312</v>
      </c>
      <c r="L1165" s="1" t="s">
        <v>26</v>
      </c>
      <c r="M1165" s="1" t="s">
        <v>27</v>
      </c>
      <c r="N1165" s="1" t="s">
        <v>26</v>
      </c>
      <c r="O1165" s="1" t="s">
        <v>26</v>
      </c>
      <c r="P1165" s="4">
        <v>45663.64278935185</v>
      </c>
    </row>
    <row r="1166" hidden="1">
      <c r="A1166" s="1" t="s">
        <v>21</v>
      </c>
      <c r="B1166" s="3" t="str">
        <f>HYPERLINK("https://hawk-eye.atlassian.net/browse/HWKREPORT-2341?atlOrigin=eyJpIjoiYzgwYTQ0ZjEyNzQzNGJhN2JmNjEyZTM0NmRhZWZhNjIiLCJwIjoic2hlZXRzLWppcmEifQ","HWKREPORT-2341")</f>
        <v>HWKREPORT-2341</v>
      </c>
      <c r="C1166" s="1" t="s">
        <v>2390</v>
      </c>
      <c r="D1166" s="1" t="s">
        <v>40</v>
      </c>
      <c r="E1166" s="1" t="s">
        <v>1207</v>
      </c>
      <c r="F1166" s="4">
        <v>45175.70887731481</v>
      </c>
      <c r="G1166" s="3" t="str">
        <f>HYPERLINK("https://hawk-eye.atlassian.net/browse/RTT-6995?atlOrigin=eyJpIjoiYzgwYTQ0ZjEyNzQzNGJhN2JmNjEyZTM0NmRhZWZhNjIiLCJwIjoic2hlZXRzLWppcmEifQ","RTT-6995")</f>
        <v>RTT-6995</v>
      </c>
      <c r="H1166" s="1" t="s">
        <v>1058</v>
      </c>
      <c r="I1166" s="1" t="s">
        <v>1071</v>
      </c>
      <c r="J1166" s="1" t="s">
        <v>26</v>
      </c>
      <c r="K1166" s="1" t="s">
        <v>1072</v>
      </c>
      <c r="L1166" s="1" t="s">
        <v>26</v>
      </c>
      <c r="M1166" s="1" t="s">
        <v>27</v>
      </c>
      <c r="N1166" s="1" t="s">
        <v>26</v>
      </c>
      <c r="O1166" s="1" t="s">
        <v>26</v>
      </c>
      <c r="P1166" s="4">
        <v>45184.43331018519</v>
      </c>
    </row>
    <row r="1167" hidden="1">
      <c r="A1167" s="1" t="s">
        <v>21</v>
      </c>
      <c r="B1167" s="3" t="str">
        <f>HYPERLINK("https://hawk-eye.atlassian.net/browse/HWKREPORT-2342?atlOrigin=eyJpIjoiYzgwYTQ0ZjEyNzQzNGJhN2JmNjEyZTM0NmRhZWZhNjIiLCJwIjoic2hlZXRzLWppcmEifQ","HWKREPORT-2342")</f>
        <v>HWKREPORT-2342</v>
      </c>
      <c r="C1167" s="1" t="s">
        <v>2391</v>
      </c>
      <c r="D1167" s="1" t="s">
        <v>40</v>
      </c>
      <c r="E1167" s="1" t="s">
        <v>1207</v>
      </c>
      <c r="F1167" s="4">
        <v>45175.70966435185</v>
      </c>
      <c r="G1167" s="3" t="str">
        <f>HYPERLINK("https://hawk-eye.atlassian.net/browse/RTT-6996?atlOrigin=eyJpIjoiYzgwYTQ0ZjEyNzQzNGJhN2JmNjEyZTM0NmRhZWZhNjIiLCJwIjoic2hlZXRzLWppcmEifQ","RTT-6996")</f>
        <v>RTT-6996</v>
      </c>
      <c r="H1167" s="1" t="s">
        <v>1058</v>
      </c>
      <c r="I1167" s="1" t="s">
        <v>1071</v>
      </c>
      <c r="J1167" s="1" t="s">
        <v>26</v>
      </c>
      <c r="K1167" s="1" t="s">
        <v>1072</v>
      </c>
      <c r="L1167" s="1" t="s">
        <v>26</v>
      </c>
      <c r="M1167" s="1" t="s">
        <v>27</v>
      </c>
      <c r="N1167" s="1" t="s">
        <v>26</v>
      </c>
      <c r="O1167" s="1" t="s">
        <v>26</v>
      </c>
      <c r="P1167" s="4">
        <v>45182.70755787037</v>
      </c>
    </row>
    <row r="1168" hidden="1">
      <c r="A1168" s="1" t="s">
        <v>1055</v>
      </c>
      <c r="B1168" s="3" t="str">
        <f>HYPERLINK("https://hawk-eye.atlassian.net/browse/HWKREPORT-2343?atlOrigin=eyJpIjoiYzgwYTQ0ZjEyNzQzNGJhN2JmNjEyZTM0NmRhZWZhNjIiLCJwIjoic2hlZXRzLWppcmEifQ","HWKREPORT-2343")</f>
        <v>HWKREPORT-2343</v>
      </c>
      <c r="C1168" s="1" t="s">
        <v>2392</v>
      </c>
      <c r="D1168" s="1" t="s">
        <v>48</v>
      </c>
      <c r="E1168" s="1" t="s">
        <v>1057</v>
      </c>
      <c r="F1168" s="4">
        <v>45176.492731481485</v>
      </c>
      <c r="G1168" s="3" t="str">
        <f t="shared" ref="G1168:G1169" si="109">HYPERLINK("https://hawk-eye.atlassian.net/browse/?atlOrigin=eyJpIjoiYzgwYTQ0ZjEyNzQzNGJhN2JmNjEyZTM0NmRhZWZhNjIiLCJwIjoic2hlZXRzLWppcmEifQ","")</f>
        <v/>
      </c>
      <c r="H1168" s="1" t="s">
        <v>1058</v>
      </c>
      <c r="I1168" s="1" t="s">
        <v>1085</v>
      </c>
      <c r="J1168" s="1" t="s">
        <v>26</v>
      </c>
      <c r="K1168" s="1" t="s">
        <v>1724</v>
      </c>
      <c r="L1168" s="1" t="s">
        <v>26</v>
      </c>
      <c r="M1168" s="1" t="s">
        <v>27</v>
      </c>
      <c r="N1168" s="1" t="s">
        <v>26</v>
      </c>
      <c r="O1168" s="1" t="s">
        <v>26</v>
      </c>
      <c r="P1168" s="4">
        <v>45176.492731481485</v>
      </c>
    </row>
    <row r="1169" hidden="1">
      <c r="A1169" s="1" t="s">
        <v>1055</v>
      </c>
      <c r="B1169" s="3" t="str">
        <f>HYPERLINK("https://hawk-eye.atlassian.net/browse/HWKREPORT-2344?atlOrigin=eyJpIjoiYzgwYTQ0ZjEyNzQzNGJhN2JmNjEyZTM0NmRhZWZhNjIiLCJwIjoic2hlZXRzLWppcmEifQ","HWKREPORT-2344")</f>
        <v>HWKREPORT-2344</v>
      </c>
      <c r="C1169" s="1" t="s">
        <v>2393</v>
      </c>
      <c r="D1169" s="1" t="s">
        <v>48</v>
      </c>
      <c r="E1169" s="1" t="s">
        <v>1057</v>
      </c>
      <c r="F1169" s="4">
        <v>45176.67875</v>
      </c>
      <c r="G1169" s="3" t="str">
        <f t="shared" si="109"/>
        <v/>
      </c>
      <c r="H1169" s="1" t="s">
        <v>1058</v>
      </c>
      <c r="I1169" s="1" t="s">
        <v>1085</v>
      </c>
      <c r="J1169" s="1" t="s">
        <v>26</v>
      </c>
      <c r="K1169" s="1" t="s">
        <v>1072</v>
      </c>
      <c r="L1169" s="1" t="s">
        <v>26</v>
      </c>
      <c r="M1169" s="1" t="s">
        <v>27</v>
      </c>
      <c r="N1169" s="1" t="s">
        <v>26</v>
      </c>
      <c r="O1169" s="1" t="s">
        <v>26</v>
      </c>
      <c r="P1169" s="4">
        <v>45176.678761574076</v>
      </c>
    </row>
    <row r="1170" hidden="1">
      <c r="A1170" s="1" t="s">
        <v>21</v>
      </c>
      <c r="B1170" s="3" t="str">
        <f>HYPERLINK("https://hawk-eye.atlassian.net/browse/HWKREPORT-2345?atlOrigin=eyJpIjoiYzgwYTQ0ZjEyNzQzNGJhN2JmNjEyZTM0NmRhZWZhNjIiLCJwIjoic2hlZXRzLWppcmEifQ","HWKREPORT-2345")</f>
        <v>HWKREPORT-2345</v>
      </c>
      <c r="C1170" s="1" t="s">
        <v>2394</v>
      </c>
      <c r="D1170" s="1" t="s">
        <v>34</v>
      </c>
      <c r="E1170" s="1" t="s">
        <v>1207</v>
      </c>
      <c r="F1170" s="4">
        <v>45176.709398148145</v>
      </c>
      <c r="G1170" s="3" t="str">
        <f>HYPERLINK("https://hawk-eye.atlassian.net/browse/RTT-7003?atlOrigin=eyJpIjoiYzgwYTQ0ZjEyNzQzNGJhN2JmNjEyZTM0NmRhZWZhNjIiLCJwIjoic2hlZXRzLWppcmEifQ","RTT-7003")</f>
        <v>RTT-7003</v>
      </c>
      <c r="H1170" s="1" t="s">
        <v>1058</v>
      </c>
      <c r="I1170" s="1" t="s">
        <v>1071</v>
      </c>
      <c r="J1170" s="1" t="s">
        <v>26</v>
      </c>
      <c r="K1170" s="1" t="s">
        <v>1072</v>
      </c>
      <c r="L1170" s="1" t="s">
        <v>26</v>
      </c>
      <c r="M1170" s="1" t="s">
        <v>27</v>
      </c>
      <c r="N1170" s="1" t="s">
        <v>26</v>
      </c>
      <c r="O1170" s="1" t="s">
        <v>26</v>
      </c>
      <c r="P1170" s="4">
        <v>45187.44259259259</v>
      </c>
    </row>
    <row r="1171" hidden="1">
      <c r="A1171" s="1" t="s">
        <v>21</v>
      </c>
      <c r="B1171" s="3" t="str">
        <f>HYPERLINK("https://hawk-eye.atlassian.net/browse/HWKREPORT-2346?atlOrigin=eyJpIjoiYzgwYTQ0ZjEyNzQzNGJhN2JmNjEyZTM0NmRhZWZhNjIiLCJwIjoic2hlZXRzLWppcmEifQ","HWKREPORT-2346")</f>
        <v>HWKREPORT-2346</v>
      </c>
      <c r="C1171" s="1" t="s">
        <v>2395</v>
      </c>
      <c r="D1171" s="1" t="s">
        <v>40</v>
      </c>
      <c r="E1171" s="1" t="s">
        <v>1207</v>
      </c>
      <c r="F1171" s="4">
        <v>45177.6737037037</v>
      </c>
      <c r="G1171" s="3" t="str">
        <f>HYPERLINK("https://hawk-eye.atlassian.net/browse/RTT-7010?atlOrigin=eyJpIjoiYzgwYTQ0ZjEyNzQzNGJhN2JmNjEyZTM0NmRhZWZhNjIiLCJwIjoic2hlZXRzLWppcmEifQ","RTT-7010")</f>
        <v>RTT-7010</v>
      </c>
      <c r="H1171" s="1" t="s">
        <v>1058</v>
      </c>
      <c r="I1171" s="1" t="s">
        <v>1085</v>
      </c>
      <c r="J1171" s="1" t="s">
        <v>26</v>
      </c>
      <c r="K1171" s="1" t="s">
        <v>1072</v>
      </c>
      <c r="L1171" s="1" t="s">
        <v>26</v>
      </c>
      <c r="M1171" s="1" t="s">
        <v>27</v>
      </c>
      <c r="N1171" s="1" t="s">
        <v>26</v>
      </c>
      <c r="O1171" s="1" t="s">
        <v>26</v>
      </c>
      <c r="P1171" s="4">
        <v>45231.43682870371</v>
      </c>
    </row>
    <row r="1172" hidden="1">
      <c r="A1172" s="1" t="s">
        <v>21</v>
      </c>
      <c r="B1172" s="3" t="str">
        <f>HYPERLINK("https://hawk-eye.atlassian.net/browse/HWKREPORT-2347?atlOrigin=eyJpIjoiYzgwYTQ0ZjEyNzQzNGJhN2JmNjEyZTM0NmRhZWZhNjIiLCJwIjoic2hlZXRzLWppcmEifQ","HWKREPORT-2347")</f>
        <v>HWKREPORT-2347</v>
      </c>
      <c r="C1172" s="1" t="s">
        <v>2396</v>
      </c>
      <c r="D1172" s="1" t="s">
        <v>23</v>
      </c>
      <c r="E1172" s="1" t="s">
        <v>1207</v>
      </c>
      <c r="F1172" s="4">
        <v>45180.54589120371</v>
      </c>
      <c r="G1172" s="3" t="str">
        <f>HYPERLINK("https://hawk-eye.atlassian.net/browse/RTT-7015?atlOrigin=eyJpIjoiYzgwYTQ0ZjEyNzQzNGJhN2JmNjEyZTM0NmRhZWZhNjIiLCJwIjoic2hlZXRzLWppcmEifQ","RTT-7015")</f>
        <v>RTT-7015</v>
      </c>
      <c r="H1172" s="1" t="s">
        <v>1058</v>
      </c>
      <c r="I1172" s="1" t="s">
        <v>1085</v>
      </c>
      <c r="J1172" s="1" t="s">
        <v>26</v>
      </c>
      <c r="K1172" s="1" t="s">
        <v>1072</v>
      </c>
      <c r="L1172" s="1" t="s">
        <v>26</v>
      </c>
      <c r="M1172" s="1" t="s">
        <v>27</v>
      </c>
      <c r="N1172" s="1" t="s">
        <v>26</v>
      </c>
      <c r="O1172" s="1" t="s">
        <v>26</v>
      </c>
      <c r="P1172" s="4">
        <v>45272.71084490741</v>
      </c>
    </row>
    <row r="1173" hidden="1">
      <c r="A1173" s="1" t="s">
        <v>1055</v>
      </c>
      <c r="B1173" s="3" t="str">
        <f>HYPERLINK("https://hawk-eye.atlassian.net/browse/HWKREPORT-2348?atlOrigin=eyJpIjoiYzgwYTQ0ZjEyNzQzNGJhN2JmNjEyZTM0NmRhZWZhNjIiLCJwIjoic2hlZXRzLWppcmEifQ","HWKREPORT-2348")</f>
        <v>HWKREPORT-2348</v>
      </c>
      <c r="C1173" s="1" t="s">
        <v>2397</v>
      </c>
      <c r="D1173" s="1" t="s">
        <v>48</v>
      </c>
      <c r="E1173" s="1" t="s">
        <v>1207</v>
      </c>
      <c r="F1173" s="4">
        <v>45180.54927083333</v>
      </c>
      <c r="G1173" s="3" t="str">
        <f>HYPERLINK("https://hawk-eye.atlassian.net/browse/RTT-7014?atlOrigin=eyJpIjoiYzgwYTQ0ZjEyNzQzNGJhN2JmNjEyZTM0NmRhZWZhNjIiLCJwIjoic2hlZXRzLWppcmEifQ","RTT-7014")</f>
        <v>RTT-7014</v>
      </c>
      <c r="H1173" s="1" t="s">
        <v>1058</v>
      </c>
      <c r="I1173" s="1" t="s">
        <v>1085</v>
      </c>
      <c r="J1173" s="1" t="s">
        <v>26</v>
      </c>
      <c r="K1173" s="1" t="s">
        <v>1072</v>
      </c>
      <c r="L1173" s="1" t="s">
        <v>26</v>
      </c>
      <c r="M1173" s="1" t="s">
        <v>27</v>
      </c>
      <c r="N1173" s="1" t="s">
        <v>26</v>
      </c>
      <c r="O1173" s="1" t="s">
        <v>26</v>
      </c>
      <c r="P1173" s="4">
        <v>45230.59355324074</v>
      </c>
    </row>
    <row r="1174" hidden="1">
      <c r="A1174" s="1" t="s">
        <v>1055</v>
      </c>
      <c r="B1174" s="3" t="str">
        <f>HYPERLINK("https://hawk-eye.atlassian.net/browse/HWKREPORT-2349?atlOrigin=eyJpIjoiYzgwYTQ0ZjEyNzQzNGJhN2JmNjEyZTM0NmRhZWZhNjIiLCJwIjoic2hlZXRzLWppcmEifQ","HWKREPORT-2349")</f>
        <v>HWKREPORT-2349</v>
      </c>
      <c r="C1174" s="1" t="s">
        <v>2398</v>
      </c>
      <c r="D1174" s="1" t="s">
        <v>48</v>
      </c>
      <c r="E1174" s="1" t="s">
        <v>1057</v>
      </c>
      <c r="F1174" s="4">
        <v>45180.55431712963</v>
      </c>
      <c r="G1174" s="3" t="str">
        <f>HYPERLINK("https://hawk-eye.atlassian.net/browse/?atlOrigin=eyJpIjoiYzgwYTQ0ZjEyNzQzNGJhN2JmNjEyZTM0NmRhZWZhNjIiLCJwIjoic2hlZXRzLWppcmEifQ","")</f>
        <v/>
      </c>
      <c r="H1174" s="1" t="s">
        <v>1058</v>
      </c>
      <c r="I1174" s="1" t="s">
        <v>1085</v>
      </c>
      <c r="J1174" s="1" t="s">
        <v>26</v>
      </c>
      <c r="K1174" s="1" t="s">
        <v>1072</v>
      </c>
      <c r="L1174" s="1" t="s">
        <v>26</v>
      </c>
      <c r="M1174" s="1" t="s">
        <v>27</v>
      </c>
      <c r="N1174" s="1" t="s">
        <v>26</v>
      </c>
      <c r="O1174" s="1" t="s">
        <v>26</v>
      </c>
      <c r="P1174" s="4">
        <v>45180.55431712963</v>
      </c>
    </row>
    <row r="1175">
      <c r="A1175" s="1" t="s">
        <v>21</v>
      </c>
      <c r="B1175" s="3" t="str">
        <f>HYPERLINK("https://hawk-eye.atlassian.net/browse/HWKREPORT-2350?atlOrigin=eyJpIjoiYzgwYTQ0ZjEyNzQzNGJhN2JmNjEyZTM0NmRhZWZhNjIiLCJwIjoic2hlZXRzLWppcmEifQ","HWKREPORT-2350")</f>
        <v>HWKREPORT-2350</v>
      </c>
      <c r="C1175" s="1" t="s">
        <v>2399</v>
      </c>
      <c r="D1175" s="1" t="s">
        <v>23</v>
      </c>
      <c r="E1175" s="1" t="s">
        <v>1057</v>
      </c>
      <c r="F1175" s="4">
        <v>45180.67905092592</v>
      </c>
      <c r="G1175" s="3" t="str">
        <f>HYPERLINK("https://hawk-eye.atlassian.net/browse/RTT-7016?atlOrigin=eyJpIjoiYzgwYTQ0ZjEyNzQzNGJhN2JmNjEyZTM0NmRhZWZhNjIiLCJwIjoic2hlZXRzLWppcmEifQ","RTT-7016")</f>
        <v>RTT-7016</v>
      </c>
      <c r="H1175" s="1" t="s">
        <v>1058</v>
      </c>
      <c r="I1175" s="1" t="s">
        <v>28</v>
      </c>
      <c r="J1175" s="1" t="s">
        <v>26</v>
      </c>
      <c r="K1175" s="1" t="s">
        <v>1134</v>
      </c>
      <c r="L1175" s="1" t="s">
        <v>26</v>
      </c>
      <c r="M1175" s="1" t="s">
        <v>27</v>
      </c>
      <c r="N1175" s="1" t="s">
        <v>26</v>
      </c>
      <c r="O1175" s="1" t="s">
        <v>26</v>
      </c>
      <c r="P1175" s="4">
        <v>45180.6790625</v>
      </c>
    </row>
    <row r="1176" hidden="1">
      <c r="A1176" s="1" t="s">
        <v>21</v>
      </c>
      <c r="B1176" s="3" t="str">
        <f>HYPERLINK("https://hawk-eye.atlassian.net/browse/HWKREPORT-2351?atlOrigin=eyJpIjoiYzgwYTQ0ZjEyNzQzNGJhN2JmNjEyZTM0NmRhZWZhNjIiLCJwIjoic2hlZXRzLWppcmEifQ","HWKREPORT-2351")</f>
        <v>HWKREPORT-2351</v>
      </c>
      <c r="C1176" s="1" t="s">
        <v>2400</v>
      </c>
      <c r="D1176" s="1" t="s">
        <v>23</v>
      </c>
      <c r="E1176" s="1" t="s">
        <v>1057</v>
      </c>
      <c r="F1176" s="4">
        <v>45181.65645833333</v>
      </c>
      <c r="G1176" s="3" t="str">
        <f>HYPERLINK("https://hawk-eye.atlassian.net/browse/RTT-7081?atlOrigin=eyJpIjoiYzgwYTQ0ZjEyNzQzNGJhN2JmNjEyZTM0NmRhZWZhNjIiLCJwIjoic2hlZXRzLWppcmEifQ","RTT-7081")</f>
        <v>RTT-7081</v>
      </c>
      <c r="H1176" s="1" t="s">
        <v>1058</v>
      </c>
      <c r="I1176" s="1" t="s">
        <v>1085</v>
      </c>
      <c r="J1176" s="1" t="s">
        <v>26</v>
      </c>
      <c r="K1176" s="1" t="s">
        <v>1072</v>
      </c>
      <c r="L1176" s="1" t="s">
        <v>26</v>
      </c>
      <c r="M1176" s="1" t="s">
        <v>27</v>
      </c>
      <c r="N1176" s="1" t="s">
        <v>26</v>
      </c>
      <c r="O1176" s="1" t="s">
        <v>26</v>
      </c>
      <c r="P1176" s="4">
        <v>45181.65646990741</v>
      </c>
    </row>
    <row r="1177">
      <c r="A1177" s="1" t="s">
        <v>21</v>
      </c>
      <c r="B1177" s="3" t="str">
        <f>HYPERLINK("https://hawk-eye.atlassian.net/browse/HWKREPORT-2352?atlOrigin=eyJpIjoiYzgwYTQ0ZjEyNzQzNGJhN2JmNjEyZTM0NmRhZWZhNjIiLCJwIjoic2hlZXRzLWppcmEifQ","HWKREPORT-2352")</f>
        <v>HWKREPORT-2352</v>
      </c>
      <c r="C1177" s="1" t="s">
        <v>2401</v>
      </c>
      <c r="D1177" s="1" t="s">
        <v>34</v>
      </c>
      <c r="E1177" s="1" t="s">
        <v>35</v>
      </c>
      <c r="F1177" s="4">
        <v>45181.7221412037</v>
      </c>
      <c r="G1177" s="3" t="str">
        <f>HYPERLINK("https://hawk-eye.atlassian.net/browse/RTT-7036?atlOrigin=eyJpIjoiYzgwYTQ0ZjEyNzQzNGJhN2JmNjEyZTM0NmRhZWZhNjIiLCJwIjoic2hlZXRzLWppcmEifQ","RTT-7036")</f>
        <v>RTT-7036</v>
      </c>
      <c r="H1177" s="1" t="s">
        <v>1058</v>
      </c>
      <c r="I1177" s="1" t="s">
        <v>28</v>
      </c>
      <c r="J1177" s="1" t="s">
        <v>26</v>
      </c>
      <c r="K1177" s="1" t="s">
        <v>1072</v>
      </c>
      <c r="L1177" s="1" t="s">
        <v>26</v>
      </c>
      <c r="M1177" s="1" t="s">
        <v>27</v>
      </c>
      <c r="N1177" s="1" t="s">
        <v>26</v>
      </c>
      <c r="O1177" s="1" t="s">
        <v>26</v>
      </c>
      <c r="P1177" s="4">
        <v>45524.729212962964</v>
      </c>
    </row>
    <row r="1178" hidden="1">
      <c r="A1178" s="1" t="s">
        <v>21</v>
      </c>
      <c r="B1178" s="3" t="str">
        <f>HYPERLINK("https://hawk-eye.atlassian.net/browse/HWKREPORT-2353?atlOrigin=eyJpIjoiYzgwYTQ0ZjEyNzQzNGJhN2JmNjEyZTM0NmRhZWZhNjIiLCJwIjoic2hlZXRzLWppcmEifQ","HWKREPORT-2353")</f>
        <v>HWKREPORT-2353</v>
      </c>
      <c r="C1178" s="1" t="s">
        <v>2402</v>
      </c>
      <c r="D1178" s="1" t="s">
        <v>83</v>
      </c>
      <c r="E1178" s="1" t="s">
        <v>1057</v>
      </c>
      <c r="F1178" s="4">
        <v>45181.72628472222</v>
      </c>
      <c r="G1178" s="3" t="str">
        <f>HYPERLINK("https://hawk-eye.atlassian.net/browse/BDP-1556?atlOrigin=eyJpIjoiYzgwYTQ0ZjEyNzQzNGJhN2JmNjEyZTM0NmRhZWZhNjIiLCJwIjoic2hlZXRzLWppcmEifQ","BDP-1556")</f>
        <v>BDP-1556</v>
      </c>
      <c r="H1178" s="1" t="s">
        <v>1058</v>
      </c>
      <c r="I1178" s="1" t="s">
        <v>1071</v>
      </c>
      <c r="J1178" s="1" t="s">
        <v>26</v>
      </c>
      <c r="K1178" s="1" t="s">
        <v>1130</v>
      </c>
      <c r="L1178" s="1" t="s">
        <v>26</v>
      </c>
      <c r="M1178" s="1" t="s">
        <v>27</v>
      </c>
      <c r="N1178" s="1" t="s">
        <v>26</v>
      </c>
      <c r="O1178" s="1" t="s">
        <v>26</v>
      </c>
      <c r="P1178" s="4">
        <v>45181.72628472222</v>
      </c>
    </row>
    <row r="1179" hidden="1">
      <c r="A1179" s="1" t="s">
        <v>21</v>
      </c>
      <c r="B1179" s="3" t="str">
        <f>HYPERLINK("https://hawk-eye.atlassian.net/browse/HWKREPORT-2354?atlOrigin=eyJpIjoiYzgwYTQ0ZjEyNzQzNGJhN2JmNjEyZTM0NmRhZWZhNjIiLCJwIjoic2hlZXRzLWppcmEifQ","HWKREPORT-2354")</f>
        <v>HWKREPORT-2354</v>
      </c>
      <c r="C1179" s="1" t="s">
        <v>2403</v>
      </c>
      <c r="D1179" s="1" t="s">
        <v>23</v>
      </c>
      <c r="E1179" s="1" t="s">
        <v>1207</v>
      </c>
      <c r="F1179" s="4">
        <v>45181.82811342592</v>
      </c>
      <c r="G1179" s="3" t="str">
        <f>HYPERLINK("https://hawk-eye.atlassian.net/browse/BDS-448?atlOrigin=eyJpIjoiYzgwYTQ0ZjEyNzQzNGJhN2JmNjEyZTM0NmRhZWZhNjIiLCJwIjoic2hlZXRzLWppcmEifQ","BDS-448")</f>
        <v>BDS-448</v>
      </c>
      <c r="H1179" s="1" t="s">
        <v>1058</v>
      </c>
      <c r="I1179" s="1" t="s">
        <v>1071</v>
      </c>
      <c r="J1179" s="1" t="s">
        <v>26</v>
      </c>
      <c r="K1179" s="1" t="s">
        <v>1762</v>
      </c>
      <c r="L1179" s="1" t="s">
        <v>26</v>
      </c>
      <c r="M1179" s="1" t="s">
        <v>27</v>
      </c>
      <c r="N1179" s="1" t="s">
        <v>26</v>
      </c>
      <c r="O1179" s="1" t="s">
        <v>26</v>
      </c>
      <c r="P1179" s="4">
        <v>45181.828125</v>
      </c>
    </row>
    <row r="1180" hidden="1">
      <c r="A1180" s="1" t="s">
        <v>21</v>
      </c>
      <c r="B1180" s="3" t="str">
        <f>HYPERLINK("https://hawk-eye.atlassian.net/browse/HWKREPORT-2355?atlOrigin=eyJpIjoiYzgwYTQ0ZjEyNzQzNGJhN2JmNjEyZTM0NmRhZWZhNjIiLCJwIjoic2hlZXRzLWppcmEifQ","HWKREPORT-2355")</f>
        <v>HWKREPORT-2355</v>
      </c>
      <c r="C1180" s="1" t="s">
        <v>2404</v>
      </c>
      <c r="D1180" s="1" t="s">
        <v>23</v>
      </c>
      <c r="E1180" s="1" t="s">
        <v>35</v>
      </c>
      <c r="F1180" s="4">
        <v>45182.41217592593</v>
      </c>
      <c r="G1180" s="3" t="str">
        <f>HYPERLINK("https://hawk-eye.atlassian.net/browse/CTK-144?atlOrigin=eyJpIjoiYzgwYTQ0ZjEyNzQzNGJhN2JmNjEyZTM0NmRhZWZhNjIiLCJwIjoic2hlZXRzLWppcmEifQ","CTK-144")</f>
        <v>CTK-144</v>
      </c>
      <c r="H1180" s="1" t="s">
        <v>1058</v>
      </c>
      <c r="I1180" s="1" t="s">
        <v>1082</v>
      </c>
      <c r="J1180" s="1" t="s">
        <v>26</v>
      </c>
      <c r="K1180" s="1" t="s">
        <v>1083</v>
      </c>
      <c r="L1180" s="1" t="s">
        <v>26</v>
      </c>
      <c r="M1180" s="1" t="s">
        <v>27</v>
      </c>
      <c r="N1180" s="1" t="s">
        <v>26</v>
      </c>
      <c r="O1180" s="1" t="s">
        <v>26</v>
      </c>
      <c r="P1180" s="4">
        <v>45252.39944444445</v>
      </c>
    </row>
    <row r="1181" hidden="1">
      <c r="A1181" s="1" t="s">
        <v>21</v>
      </c>
      <c r="B1181" s="3" t="str">
        <f>HYPERLINK("https://hawk-eye.atlassian.net/browse/HWKREPORT-2356?atlOrigin=eyJpIjoiYzgwYTQ0ZjEyNzQzNGJhN2JmNjEyZTM0NmRhZWZhNjIiLCJwIjoic2hlZXRzLWppcmEifQ","HWKREPORT-2356")</f>
        <v>HWKREPORT-2356</v>
      </c>
      <c r="C1181" s="1" t="s">
        <v>2405</v>
      </c>
      <c r="D1181" s="1" t="s">
        <v>34</v>
      </c>
      <c r="E1181" s="1" t="s">
        <v>35</v>
      </c>
      <c r="F1181" s="4">
        <v>45182.44782407407</v>
      </c>
      <c r="G1181" s="3" t="str">
        <f>HYPERLINK("https://hawk-eye.atlassian.net/browse/CTK-145?atlOrigin=eyJpIjoiYzgwYTQ0ZjEyNzQzNGJhN2JmNjEyZTM0NmRhZWZhNjIiLCJwIjoic2hlZXRzLWppcmEifQ","CTK-145")</f>
        <v>CTK-145</v>
      </c>
      <c r="H1181" s="1" t="s">
        <v>1058</v>
      </c>
      <c r="I1181" s="1" t="s">
        <v>1082</v>
      </c>
      <c r="J1181" s="1" t="s">
        <v>26</v>
      </c>
      <c r="K1181" s="1" t="s">
        <v>1083</v>
      </c>
      <c r="L1181" s="1" t="s">
        <v>26</v>
      </c>
      <c r="M1181" s="1" t="s">
        <v>27</v>
      </c>
      <c r="N1181" s="1" t="s">
        <v>26</v>
      </c>
      <c r="O1181" s="1" t="s">
        <v>26</v>
      </c>
      <c r="P1181" s="4">
        <v>45252.399409722224</v>
      </c>
    </row>
    <row r="1182" hidden="1">
      <c r="A1182" s="1" t="s">
        <v>21</v>
      </c>
      <c r="B1182" s="3" t="str">
        <f>HYPERLINK("https://hawk-eye.atlassian.net/browse/HWKREPORT-2357?atlOrigin=eyJpIjoiYzgwYTQ0ZjEyNzQzNGJhN2JmNjEyZTM0NmRhZWZhNjIiLCJwIjoic2hlZXRzLWppcmEifQ","HWKREPORT-2357")</f>
        <v>HWKREPORT-2357</v>
      </c>
      <c r="C1182" s="1" t="s">
        <v>2406</v>
      </c>
      <c r="D1182" s="1" t="s">
        <v>23</v>
      </c>
      <c r="E1182" s="1" t="s">
        <v>1057</v>
      </c>
      <c r="F1182" s="4">
        <v>45182.71024305555</v>
      </c>
      <c r="G1182" s="3" t="str">
        <f>HYPERLINK("https://hawk-eye.atlassian.net/browse/RTT-7051?atlOrigin=eyJpIjoiYzgwYTQ0ZjEyNzQzNGJhN2JmNjEyZTM0NmRhZWZhNjIiLCJwIjoic2hlZXRzLWppcmEifQ","RTT-7051")</f>
        <v>RTT-7051</v>
      </c>
      <c r="H1182" s="1" t="s">
        <v>1058</v>
      </c>
      <c r="I1182" s="1" t="s">
        <v>1082</v>
      </c>
      <c r="J1182" s="1" t="s">
        <v>26</v>
      </c>
      <c r="K1182" s="1" t="s">
        <v>2407</v>
      </c>
      <c r="L1182" s="1" t="s">
        <v>26</v>
      </c>
      <c r="M1182" s="1" t="s">
        <v>27</v>
      </c>
      <c r="N1182" s="1" t="s">
        <v>26</v>
      </c>
      <c r="O1182" s="1" t="s">
        <v>26</v>
      </c>
      <c r="P1182" s="4">
        <v>45182.71025462963</v>
      </c>
    </row>
    <row r="1183" hidden="1">
      <c r="A1183" s="1" t="s">
        <v>21</v>
      </c>
      <c r="B1183" s="3" t="str">
        <f>HYPERLINK("https://hawk-eye.atlassian.net/browse/HWKREPORT-2358?atlOrigin=eyJpIjoiYzgwYTQ0ZjEyNzQzNGJhN2JmNjEyZTM0NmRhZWZhNjIiLCJwIjoic2hlZXRzLWppcmEifQ","HWKREPORT-2358")</f>
        <v>HWKREPORT-2358</v>
      </c>
      <c r="C1183" s="1" t="s">
        <v>2408</v>
      </c>
      <c r="D1183" s="1" t="s">
        <v>34</v>
      </c>
      <c r="E1183" s="1" t="s">
        <v>1207</v>
      </c>
      <c r="F1183" s="4">
        <v>45182.752430555556</v>
      </c>
      <c r="G1183" s="3" t="str">
        <f>HYPERLINK("https://hawk-eye.atlassian.net/browse/RTT-7052?atlOrigin=eyJpIjoiYzgwYTQ0ZjEyNzQzNGJhN2JmNjEyZTM0NmRhZWZhNjIiLCJwIjoic2hlZXRzLWppcmEifQ","RTT-7052")</f>
        <v>RTT-7052</v>
      </c>
      <c r="H1183" s="1" t="s">
        <v>1058</v>
      </c>
      <c r="I1183" s="1" t="s">
        <v>1085</v>
      </c>
      <c r="J1183" s="1" t="s">
        <v>26</v>
      </c>
      <c r="K1183" s="1" t="s">
        <v>1072</v>
      </c>
      <c r="L1183" s="1" t="s">
        <v>26</v>
      </c>
      <c r="M1183" s="1" t="s">
        <v>27</v>
      </c>
      <c r="N1183" s="1" t="s">
        <v>26</v>
      </c>
      <c r="O1183" s="1" t="s">
        <v>26</v>
      </c>
      <c r="P1183" s="4">
        <v>45204.43635416667</v>
      </c>
    </row>
    <row r="1184" hidden="1">
      <c r="A1184" s="1" t="s">
        <v>1055</v>
      </c>
      <c r="B1184" s="3" t="str">
        <f>HYPERLINK("https://hawk-eye.atlassian.net/browse/HWKREPORT-2359?atlOrigin=eyJpIjoiYzgwYTQ0ZjEyNzQzNGJhN2JmNjEyZTM0NmRhZWZhNjIiLCJwIjoic2hlZXRzLWppcmEifQ","HWKREPORT-2359")</f>
        <v>HWKREPORT-2359</v>
      </c>
      <c r="C1184" s="1" t="s">
        <v>2409</v>
      </c>
      <c r="D1184" s="1" t="s">
        <v>48</v>
      </c>
      <c r="E1184" s="1" t="s">
        <v>35</v>
      </c>
      <c r="F1184" s="4">
        <v>45182.80872685185</v>
      </c>
      <c r="G1184" s="3" t="str">
        <f>HYPERLINK("https://hawk-eye.atlassian.net/browse/?atlOrigin=eyJpIjoiYzgwYTQ0ZjEyNzQzNGJhN2JmNjEyZTM0NmRhZWZhNjIiLCJwIjoic2hlZXRzLWppcmEifQ","")</f>
        <v/>
      </c>
      <c r="H1184" s="1" t="s">
        <v>1058</v>
      </c>
      <c r="I1184" s="1" t="s">
        <v>1071</v>
      </c>
      <c r="J1184" s="1" t="s">
        <v>26</v>
      </c>
      <c r="K1184" s="1" t="s">
        <v>1072</v>
      </c>
      <c r="L1184" s="1" t="s">
        <v>26</v>
      </c>
      <c r="M1184" s="1" t="s">
        <v>27</v>
      </c>
      <c r="N1184" s="1" t="s">
        <v>26</v>
      </c>
      <c r="O1184" s="1" t="s">
        <v>26</v>
      </c>
      <c r="P1184" s="4">
        <v>45328.627233796295</v>
      </c>
    </row>
    <row r="1185" hidden="1">
      <c r="A1185" s="1" t="s">
        <v>1055</v>
      </c>
      <c r="B1185" s="3" t="str">
        <f>HYPERLINK("https://hawk-eye.atlassian.net/browse/HWKREPORT-2360?atlOrigin=eyJpIjoiYzgwYTQ0ZjEyNzQzNGJhN2JmNjEyZTM0NmRhZWZhNjIiLCJwIjoic2hlZXRzLWppcmEifQ","HWKREPORT-2360")</f>
        <v>HWKREPORT-2360</v>
      </c>
      <c r="C1185" s="1" t="s">
        <v>2410</v>
      </c>
      <c r="D1185" s="1" t="s">
        <v>48</v>
      </c>
      <c r="E1185" s="1" t="s">
        <v>35</v>
      </c>
      <c r="F1185" s="4">
        <v>45182.88011574074</v>
      </c>
      <c r="G1185" s="3" t="str">
        <f>HYPERLINK("https://hawk-eye.atlassian.net/issues/?atlOrigin=eyJpIjoiYzgwYTQ0ZjEyNzQzNGJhN2JmNjEyZTM0NmRhZWZhNjIiLCJwIjoic2hlZXRzLWppcmEifQ&amp;jql=key+in+%28RTT-7261%2CRTT-7076%29","RTT-7261;RTT-7076")</f>
        <v>RTT-7261;RTT-7076</v>
      </c>
      <c r="H1185" s="1" t="s">
        <v>1058</v>
      </c>
      <c r="I1185" s="1" t="s">
        <v>1085</v>
      </c>
      <c r="J1185" s="1" t="s">
        <v>26</v>
      </c>
      <c r="K1185" s="1" t="s">
        <v>1072</v>
      </c>
      <c r="L1185" s="1" t="s">
        <v>26</v>
      </c>
      <c r="M1185" s="1" t="s">
        <v>27</v>
      </c>
      <c r="N1185" s="1" t="s">
        <v>26</v>
      </c>
      <c r="O1185" s="1" t="s">
        <v>26</v>
      </c>
      <c r="P1185" s="4">
        <v>45364.50136574074</v>
      </c>
    </row>
    <row r="1186" hidden="1">
      <c r="A1186" s="1" t="s">
        <v>21</v>
      </c>
      <c r="B1186" s="3" t="str">
        <f>HYPERLINK("https://hawk-eye.atlassian.net/browse/HWKREPORT-2361?atlOrigin=eyJpIjoiYzgwYTQ0ZjEyNzQzNGJhN2JmNjEyZTM0NmRhZWZhNjIiLCJwIjoic2hlZXRzLWppcmEifQ","HWKREPORT-2361")</f>
        <v>HWKREPORT-2361</v>
      </c>
      <c r="C1186" s="1" t="s">
        <v>2411</v>
      </c>
      <c r="D1186" s="1" t="s">
        <v>34</v>
      </c>
      <c r="E1186" s="1" t="s">
        <v>35</v>
      </c>
      <c r="F1186" s="4">
        <v>45182.923680555556</v>
      </c>
      <c r="G1186" s="3" t="str">
        <f>HYPERLINK("https://hawk-eye.atlassian.net/browse/CORE-232?atlOrigin=eyJpIjoiYzgwYTQ0ZjEyNzQzNGJhN2JmNjEyZTM0NmRhZWZhNjIiLCJwIjoic2hlZXRzLWppcmEifQ","CORE-232")</f>
        <v>CORE-232</v>
      </c>
      <c r="H1186" s="1" t="s">
        <v>1058</v>
      </c>
      <c r="I1186" s="1" t="s">
        <v>1071</v>
      </c>
      <c r="J1186" s="1" t="s">
        <v>26</v>
      </c>
      <c r="K1186" s="1" t="s">
        <v>1134</v>
      </c>
      <c r="L1186" s="1" t="s">
        <v>26</v>
      </c>
      <c r="M1186" s="1" t="s">
        <v>27</v>
      </c>
      <c r="N1186" s="1" t="s">
        <v>26</v>
      </c>
      <c r="O1186" s="1" t="s">
        <v>26</v>
      </c>
      <c r="P1186" s="4">
        <v>45195.64665509259</v>
      </c>
    </row>
    <row r="1187" hidden="1">
      <c r="A1187" s="1" t="s">
        <v>1055</v>
      </c>
      <c r="B1187" s="3" t="str">
        <f>HYPERLINK("https://hawk-eye.atlassian.net/browse/HWKREPORT-2362?atlOrigin=eyJpIjoiYzgwYTQ0ZjEyNzQzNGJhN2JmNjEyZTM0NmRhZWZhNjIiLCJwIjoic2hlZXRzLWppcmEifQ","HWKREPORT-2362")</f>
        <v>HWKREPORT-2362</v>
      </c>
      <c r="C1187" s="1" t="s">
        <v>2412</v>
      </c>
      <c r="D1187" s="1" t="s">
        <v>48</v>
      </c>
      <c r="E1187" s="1" t="s">
        <v>1057</v>
      </c>
      <c r="F1187" s="4">
        <v>45183.497708333336</v>
      </c>
      <c r="G1187" s="3" t="str">
        <f>HYPERLINK("https://hawk-eye.atlassian.net/browse/?atlOrigin=eyJpIjoiYzgwYTQ0ZjEyNzQzNGJhN2JmNjEyZTM0NmRhZWZhNjIiLCJwIjoic2hlZXRzLWppcmEifQ","")</f>
        <v/>
      </c>
      <c r="H1187" s="1" t="s">
        <v>1058</v>
      </c>
      <c r="I1187" s="1" t="s">
        <v>1082</v>
      </c>
      <c r="J1187" s="1" t="s">
        <v>26</v>
      </c>
      <c r="K1187" s="1" t="s">
        <v>1148</v>
      </c>
      <c r="L1187" s="1" t="s">
        <v>26</v>
      </c>
      <c r="M1187" s="1" t="s">
        <v>27</v>
      </c>
      <c r="N1187" s="1" t="s">
        <v>26</v>
      </c>
      <c r="O1187" s="1" t="s">
        <v>26</v>
      </c>
      <c r="P1187" s="4">
        <v>45183.497719907406</v>
      </c>
    </row>
    <row r="1188" hidden="1">
      <c r="A1188" s="1" t="s">
        <v>1055</v>
      </c>
      <c r="B1188" s="3" t="str">
        <f>HYPERLINK("https://hawk-eye.atlassian.net/browse/HWKREPORT-2363?atlOrigin=eyJpIjoiYzgwYTQ0ZjEyNzQzNGJhN2JmNjEyZTM0NmRhZWZhNjIiLCJwIjoic2hlZXRzLWppcmEifQ","HWKREPORT-2363")</f>
        <v>HWKREPORT-2363</v>
      </c>
      <c r="C1188" s="1" t="s">
        <v>2413</v>
      </c>
      <c r="D1188" s="1" t="s">
        <v>48</v>
      </c>
      <c r="E1188" s="1" t="s">
        <v>35</v>
      </c>
      <c r="F1188" s="4">
        <v>45184.48054398148</v>
      </c>
      <c r="G1188" s="3" t="str">
        <f>HYPERLINK("https://hawk-eye.atlassian.net/browse/SO-1024?atlOrigin=eyJpIjoiYzgwYTQ0ZjEyNzQzNGJhN2JmNjEyZTM0NmRhZWZhNjIiLCJwIjoic2hlZXRzLWppcmEifQ","SO-1024")</f>
        <v>SO-1024</v>
      </c>
      <c r="H1188" s="1" t="s">
        <v>1058</v>
      </c>
      <c r="I1188" s="1" t="s">
        <v>1085</v>
      </c>
      <c r="J1188" s="1" t="s">
        <v>26</v>
      </c>
      <c r="K1188" s="1" t="s">
        <v>1116</v>
      </c>
      <c r="L1188" s="1" t="s">
        <v>26</v>
      </c>
      <c r="M1188" s="1" t="s">
        <v>27</v>
      </c>
      <c r="N1188" s="1" t="s">
        <v>26</v>
      </c>
      <c r="O1188" s="1" t="s">
        <v>26</v>
      </c>
      <c r="P1188" s="4">
        <v>45376.404814814814</v>
      </c>
    </row>
    <row r="1189" hidden="1">
      <c r="A1189" s="1" t="s">
        <v>21</v>
      </c>
      <c r="B1189" s="3" t="str">
        <f>HYPERLINK("https://hawk-eye.atlassian.net/browse/HWKREPORT-2364?atlOrigin=eyJpIjoiYzgwYTQ0ZjEyNzQzNGJhN2JmNjEyZTM0NmRhZWZhNjIiLCJwIjoic2hlZXRzLWppcmEifQ","HWKREPORT-2364")</f>
        <v>HWKREPORT-2364</v>
      </c>
      <c r="C1189" s="1" t="s">
        <v>2414</v>
      </c>
      <c r="D1189" s="1" t="s">
        <v>23</v>
      </c>
      <c r="E1189" s="1" t="s">
        <v>1057</v>
      </c>
      <c r="F1189" s="4">
        <v>45184.49101851852</v>
      </c>
      <c r="G1189" s="3" t="str">
        <f t="shared" ref="G1189:G1190" si="110">HYPERLINK("https://hawk-eye.atlassian.net/browse/?atlOrigin=eyJpIjoiYzgwYTQ0ZjEyNzQzNGJhN2JmNjEyZTM0NmRhZWZhNjIiLCJwIjoic2hlZXRzLWppcmEifQ","")</f>
        <v/>
      </c>
      <c r="H1189" s="1" t="s">
        <v>1058</v>
      </c>
      <c r="I1189" s="1" t="s">
        <v>1085</v>
      </c>
      <c r="J1189" s="1" t="s">
        <v>26</v>
      </c>
      <c r="K1189" s="1" t="s">
        <v>1072</v>
      </c>
      <c r="L1189" s="1" t="s">
        <v>26</v>
      </c>
      <c r="M1189" s="1" t="s">
        <v>27</v>
      </c>
      <c r="N1189" s="1" t="s">
        <v>26</v>
      </c>
      <c r="O1189" s="1" t="s">
        <v>26</v>
      </c>
      <c r="P1189" s="4">
        <v>45184.49101851852</v>
      </c>
    </row>
    <row r="1190" hidden="1">
      <c r="A1190" s="1" t="s">
        <v>21</v>
      </c>
      <c r="B1190" s="3" t="str">
        <f>HYPERLINK("https://hawk-eye.atlassian.net/browse/HWKREPORT-2365?atlOrigin=eyJpIjoiYzgwYTQ0ZjEyNzQzNGJhN2JmNjEyZTM0NmRhZWZhNjIiLCJwIjoic2hlZXRzLWppcmEifQ","HWKREPORT-2365")</f>
        <v>HWKREPORT-2365</v>
      </c>
      <c r="C1190" s="1" t="s">
        <v>2415</v>
      </c>
      <c r="D1190" s="1" t="s">
        <v>83</v>
      </c>
      <c r="E1190" s="1" t="s">
        <v>1057</v>
      </c>
      <c r="F1190" s="4">
        <v>45184.496712962966</v>
      </c>
      <c r="G1190" s="3" t="str">
        <f t="shared" si="110"/>
        <v/>
      </c>
      <c r="H1190" s="1" t="s">
        <v>1058</v>
      </c>
      <c r="I1190" s="1" t="s">
        <v>1085</v>
      </c>
      <c r="J1190" s="1" t="s">
        <v>26</v>
      </c>
      <c r="K1190" s="1" t="s">
        <v>1072</v>
      </c>
      <c r="L1190" s="1" t="s">
        <v>26</v>
      </c>
      <c r="M1190" s="1" t="s">
        <v>27</v>
      </c>
      <c r="N1190" s="1" t="s">
        <v>26</v>
      </c>
      <c r="O1190" s="1" t="s">
        <v>26</v>
      </c>
      <c r="P1190" s="4">
        <v>45184.496712962966</v>
      </c>
    </row>
    <row r="1191" hidden="1">
      <c r="A1191" s="1" t="s">
        <v>21</v>
      </c>
      <c r="B1191" s="3" t="str">
        <f>HYPERLINK("https://hawk-eye.atlassian.net/browse/HWKREPORT-2366?atlOrigin=eyJpIjoiYzgwYTQ0ZjEyNzQzNGJhN2JmNjEyZTM0NmRhZWZhNjIiLCJwIjoic2hlZXRzLWppcmEifQ","HWKREPORT-2366")</f>
        <v>HWKREPORT-2366</v>
      </c>
      <c r="C1191" s="1" t="s">
        <v>2416</v>
      </c>
      <c r="D1191" s="1" t="s">
        <v>23</v>
      </c>
      <c r="E1191" s="1" t="s">
        <v>35</v>
      </c>
      <c r="F1191" s="4">
        <v>45184.49964120371</v>
      </c>
      <c r="G1191" s="3" t="str">
        <f>HYPERLINK("https://hawk-eye.atlassian.net/browse/SO-1003?atlOrigin=eyJpIjoiYzgwYTQ0ZjEyNzQzNGJhN2JmNjEyZTM0NmRhZWZhNjIiLCJwIjoic2hlZXRzLWppcmEifQ","SO-1003")</f>
        <v>SO-1003</v>
      </c>
      <c r="H1191" s="1" t="s">
        <v>1058</v>
      </c>
      <c r="I1191" s="1" t="s">
        <v>1085</v>
      </c>
      <c r="J1191" s="1" t="s">
        <v>26</v>
      </c>
      <c r="K1191" s="1" t="s">
        <v>1116</v>
      </c>
      <c r="L1191" s="1" t="s">
        <v>26</v>
      </c>
      <c r="M1191" s="1" t="s">
        <v>27</v>
      </c>
      <c r="N1191" s="1" t="s">
        <v>26</v>
      </c>
      <c r="O1191" s="1" t="s">
        <v>26</v>
      </c>
      <c r="P1191" s="4">
        <v>45202.72621527778</v>
      </c>
    </row>
    <row r="1192" hidden="1">
      <c r="A1192" s="1" t="s">
        <v>21</v>
      </c>
      <c r="B1192" s="3" t="str">
        <f>HYPERLINK("https://hawk-eye.atlassian.net/browse/HWKREPORT-2367?atlOrigin=eyJpIjoiYzgwYTQ0ZjEyNzQzNGJhN2JmNjEyZTM0NmRhZWZhNjIiLCJwIjoic2hlZXRzLWppcmEifQ","HWKREPORT-2367")</f>
        <v>HWKREPORT-2367</v>
      </c>
      <c r="C1192" s="1" t="s">
        <v>2417</v>
      </c>
      <c r="D1192" s="1" t="s">
        <v>23</v>
      </c>
      <c r="E1192" s="1" t="s">
        <v>1057</v>
      </c>
      <c r="F1192" s="4">
        <v>45184.51011574074</v>
      </c>
      <c r="G1192" s="3" t="str">
        <f t="shared" ref="G1192:G1193" si="111">HYPERLINK("https://hawk-eye.atlassian.net/browse/?atlOrigin=eyJpIjoiYzgwYTQ0ZjEyNzQzNGJhN2JmNjEyZTM0NmRhZWZhNjIiLCJwIjoic2hlZXRzLWppcmEifQ","")</f>
        <v/>
      </c>
      <c r="H1192" s="1" t="s">
        <v>1058</v>
      </c>
      <c r="I1192" s="1" t="s">
        <v>1085</v>
      </c>
      <c r="J1192" s="1" t="s">
        <v>26</v>
      </c>
      <c r="K1192" s="1" t="s">
        <v>1312</v>
      </c>
      <c r="L1192" s="1" t="s">
        <v>26</v>
      </c>
      <c r="M1192" s="1" t="s">
        <v>27</v>
      </c>
      <c r="N1192" s="1" t="s">
        <v>26</v>
      </c>
      <c r="O1192" s="1" t="s">
        <v>26</v>
      </c>
      <c r="P1192" s="4">
        <v>45184.51012731482</v>
      </c>
    </row>
    <row r="1193" hidden="1">
      <c r="A1193" s="1" t="s">
        <v>21</v>
      </c>
      <c r="B1193" s="3" t="str">
        <f>HYPERLINK("https://hawk-eye.atlassian.net/browse/HWKREPORT-2368?atlOrigin=eyJpIjoiYzgwYTQ0ZjEyNzQzNGJhN2JmNjEyZTM0NmRhZWZhNjIiLCJwIjoic2hlZXRzLWppcmEifQ","HWKREPORT-2368")</f>
        <v>HWKREPORT-2368</v>
      </c>
      <c r="C1193" s="1" t="s">
        <v>2418</v>
      </c>
      <c r="D1193" s="1" t="s">
        <v>34</v>
      </c>
      <c r="E1193" s="1" t="s">
        <v>35</v>
      </c>
      <c r="F1193" s="4">
        <v>45184.94048611111</v>
      </c>
      <c r="G1193" s="3" t="str">
        <f t="shared" si="111"/>
        <v/>
      </c>
      <c r="H1193" s="1" t="s">
        <v>1058</v>
      </c>
      <c r="I1193" s="1" t="s">
        <v>1126</v>
      </c>
      <c r="J1193" s="1" t="s">
        <v>26</v>
      </c>
      <c r="K1193" s="1" t="s">
        <v>1211</v>
      </c>
      <c r="L1193" s="1" t="s">
        <v>26</v>
      </c>
      <c r="M1193" s="1" t="s">
        <v>27</v>
      </c>
      <c r="N1193" s="1" t="s">
        <v>26</v>
      </c>
      <c r="O1193" s="1" t="s">
        <v>26</v>
      </c>
      <c r="P1193" s="4">
        <v>45397.511608796296</v>
      </c>
    </row>
    <row r="1194" hidden="1">
      <c r="A1194" s="1" t="s">
        <v>21</v>
      </c>
      <c r="B1194" s="3" t="str">
        <f>HYPERLINK("https://hawk-eye.atlassian.net/browse/HWKREPORT-2369?atlOrigin=eyJpIjoiYzgwYTQ0ZjEyNzQzNGJhN2JmNjEyZTM0NmRhZWZhNjIiLCJwIjoic2hlZXRzLWppcmEifQ","HWKREPORT-2369")</f>
        <v>HWKREPORT-2369</v>
      </c>
      <c r="C1194" s="1" t="s">
        <v>2419</v>
      </c>
      <c r="D1194" s="1" t="s">
        <v>34</v>
      </c>
      <c r="E1194" s="1" t="s">
        <v>1074</v>
      </c>
      <c r="F1194" s="4">
        <v>45186.58908564815</v>
      </c>
      <c r="G1194" s="3" t="str">
        <f>HYPERLINK("https://hawk-eye.atlassian.net/browse/TGM-42?atlOrigin=eyJpIjoiYzgwYTQ0ZjEyNzQzNGJhN2JmNjEyZTM0NmRhZWZhNjIiLCJwIjoic2hlZXRzLWppcmEifQ","TGM-42")</f>
        <v>TGM-42</v>
      </c>
      <c r="H1194" s="1" t="s">
        <v>1058</v>
      </c>
      <c r="I1194" s="1" t="s">
        <v>1126</v>
      </c>
      <c r="J1194" s="1" t="s">
        <v>26</v>
      </c>
      <c r="K1194" s="1" t="s">
        <v>2420</v>
      </c>
      <c r="L1194" s="1" t="s">
        <v>26</v>
      </c>
      <c r="M1194" s="1" t="s">
        <v>27</v>
      </c>
      <c r="N1194" s="1" t="s">
        <v>26</v>
      </c>
      <c r="O1194" s="1" t="s">
        <v>26</v>
      </c>
      <c r="P1194" s="4">
        <v>45761.52657407407</v>
      </c>
    </row>
    <row r="1195" hidden="1">
      <c r="A1195" s="1" t="s">
        <v>21</v>
      </c>
      <c r="B1195" s="3" t="str">
        <f>HYPERLINK("https://hawk-eye.atlassian.net/browse/HWKREPORT-2371?atlOrigin=eyJpIjoiYzgwYTQ0ZjEyNzQzNGJhN2JmNjEyZTM0NmRhZWZhNjIiLCJwIjoic2hlZXRzLWppcmEifQ","HWKREPORT-2371")</f>
        <v>HWKREPORT-2371</v>
      </c>
      <c r="C1195" s="1" t="s">
        <v>2421</v>
      </c>
      <c r="D1195" s="1" t="s">
        <v>40</v>
      </c>
      <c r="E1195" s="1" t="s">
        <v>1057</v>
      </c>
      <c r="F1195" s="4">
        <v>45189.31581018519</v>
      </c>
      <c r="G1195" s="3" t="str">
        <f t="shared" ref="G1195:G1196" si="112">HYPERLINK("https://hawk-eye.atlassian.net/browse/?atlOrigin=eyJpIjoiYzgwYTQ0ZjEyNzQzNGJhN2JmNjEyZTM0NmRhZWZhNjIiLCJwIjoic2hlZXRzLWppcmEifQ","")</f>
        <v/>
      </c>
      <c r="H1195" s="1" t="s">
        <v>1058</v>
      </c>
      <c r="I1195" s="1" t="s">
        <v>1071</v>
      </c>
      <c r="J1195" s="1" t="s">
        <v>26</v>
      </c>
      <c r="K1195" s="1" t="s">
        <v>1813</v>
      </c>
      <c r="L1195" s="1" t="s">
        <v>26</v>
      </c>
      <c r="M1195" s="1" t="s">
        <v>27</v>
      </c>
      <c r="N1195" s="1" t="s">
        <v>26</v>
      </c>
      <c r="O1195" s="1" t="s">
        <v>26</v>
      </c>
      <c r="P1195" s="4">
        <v>45189.31581018519</v>
      </c>
    </row>
    <row r="1196" hidden="1">
      <c r="A1196" s="1" t="s">
        <v>21</v>
      </c>
      <c r="B1196" s="3" t="str">
        <f>HYPERLINK("https://hawk-eye.atlassian.net/browse/HWKREPORT-2372?atlOrigin=eyJpIjoiYzgwYTQ0ZjEyNzQzNGJhN2JmNjEyZTM0NmRhZWZhNjIiLCJwIjoic2hlZXRzLWppcmEifQ","HWKREPORT-2372")</f>
        <v>HWKREPORT-2372</v>
      </c>
      <c r="C1196" s="1" t="s">
        <v>2422</v>
      </c>
      <c r="D1196" s="1" t="s">
        <v>34</v>
      </c>
      <c r="E1196" s="1" t="s">
        <v>35</v>
      </c>
      <c r="F1196" s="4">
        <v>45190.4203587963</v>
      </c>
      <c r="G1196" s="3" t="str">
        <f t="shared" si="112"/>
        <v/>
      </c>
      <c r="H1196" s="1" t="s">
        <v>1058</v>
      </c>
      <c r="I1196" s="1" t="s">
        <v>1082</v>
      </c>
      <c r="J1196" s="1" t="s">
        <v>26</v>
      </c>
      <c r="K1196" s="1" t="s">
        <v>2423</v>
      </c>
      <c r="L1196" s="1" t="s">
        <v>26</v>
      </c>
      <c r="M1196" s="1" t="s">
        <v>27</v>
      </c>
      <c r="N1196" s="1" t="s">
        <v>26</v>
      </c>
      <c r="O1196" s="1" t="s">
        <v>26</v>
      </c>
      <c r="P1196" s="4">
        <v>45211.679143518515</v>
      </c>
    </row>
    <row r="1197" hidden="1">
      <c r="A1197" s="1" t="s">
        <v>1055</v>
      </c>
      <c r="B1197" s="3" t="str">
        <f>HYPERLINK("https://hawk-eye.atlassian.net/browse/HWKREPORT-2373?atlOrigin=eyJpIjoiYzgwYTQ0ZjEyNzQzNGJhN2JmNjEyZTM0NmRhZWZhNjIiLCJwIjoic2hlZXRzLWppcmEifQ","HWKREPORT-2373")</f>
        <v>HWKREPORT-2373</v>
      </c>
      <c r="C1197" s="1" t="s">
        <v>2424</v>
      </c>
      <c r="D1197" s="1" t="s">
        <v>48</v>
      </c>
      <c r="E1197" s="1" t="s">
        <v>1207</v>
      </c>
      <c r="F1197" s="4">
        <v>45191.80950231481</v>
      </c>
      <c r="G1197" s="3" t="str">
        <f>HYPERLINK("https://hawk-eye.atlassian.net/browse/RTT-7683?atlOrigin=eyJpIjoiYzgwYTQ0ZjEyNzQzNGJhN2JmNjEyZTM0NmRhZWZhNjIiLCJwIjoic2hlZXRzLWppcmEifQ","RTT-7683")</f>
        <v>RTT-7683</v>
      </c>
      <c r="H1197" s="1" t="s">
        <v>1058</v>
      </c>
      <c r="I1197" s="1" t="s">
        <v>1071</v>
      </c>
      <c r="J1197" s="1" t="s">
        <v>26</v>
      </c>
      <c r="K1197" s="1" t="s">
        <v>1093</v>
      </c>
      <c r="L1197" s="1" t="s">
        <v>26</v>
      </c>
      <c r="M1197" s="1" t="s">
        <v>27</v>
      </c>
      <c r="N1197" s="1" t="s">
        <v>26</v>
      </c>
      <c r="O1197" s="1" t="s">
        <v>26</v>
      </c>
      <c r="P1197" s="4">
        <v>45337.40353009259</v>
      </c>
    </row>
    <row r="1198" hidden="1">
      <c r="A1198" s="1" t="s">
        <v>1055</v>
      </c>
      <c r="B1198" s="3" t="str">
        <f>HYPERLINK("https://hawk-eye.atlassian.net/browse/HWKREPORT-2374?atlOrigin=eyJpIjoiYzgwYTQ0ZjEyNzQzNGJhN2JmNjEyZTM0NmRhZWZhNjIiLCJwIjoic2hlZXRzLWppcmEifQ","HWKREPORT-2374")</f>
        <v>HWKREPORT-2374</v>
      </c>
      <c r="C1198" s="1" t="s">
        <v>2425</v>
      </c>
      <c r="D1198" s="1" t="s">
        <v>48</v>
      </c>
      <c r="E1198" s="1" t="s">
        <v>1207</v>
      </c>
      <c r="F1198" s="4">
        <v>45191.81306712963</v>
      </c>
      <c r="G1198" s="3" t="str">
        <f>HYPERLINK("https://hawk-eye.atlassian.net/browse/RTT-7469?atlOrigin=eyJpIjoiYzgwYTQ0ZjEyNzQzNGJhN2JmNjEyZTM0NmRhZWZhNjIiLCJwIjoic2hlZXRzLWppcmEifQ","RTT-7469")</f>
        <v>RTT-7469</v>
      </c>
      <c r="H1198" s="1" t="s">
        <v>1058</v>
      </c>
      <c r="I1198" s="1" t="s">
        <v>1071</v>
      </c>
      <c r="J1198" s="1" t="s">
        <v>26</v>
      </c>
      <c r="K1198" s="1" t="s">
        <v>1072</v>
      </c>
      <c r="L1198" s="1" t="s">
        <v>26</v>
      </c>
      <c r="M1198" s="1" t="s">
        <v>27</v>
      </c>
      <c r="N1198" s="1" t="s">
        <v>26</v>
      </c>
      <c r="O1198" s="1" t="s">
        <v>26</v>
      </c>
      <c r="P1198" s="4">
        <v>45316.77043981481</v>
      </c>
    </row>
    <row r="1199" hidden="1">
      <c r="A1199" s="1" t="s">
        <v>1055</v>
      </c>
      <c r="B1199" s="3" t="str">
        <f>HYPERLINK("https://hawk-eye.atlassian.net/browse/HWKREPORT-2375?atlOrigin=eyJpIjoiYzgwYTQ0ZjEyNzQzNGJhN2JmNjEyZTM0NmRhZWZhNjIiLCJwIjoic2hlZXRzLWppcmEifQ","HWKREPORT-2375")</f>
        <v>HWKREPORT-2375</v>
      </c>
      <c r="C1199" s="1" t="s">
        <v>2426</v>
      </c>
      <c r="D1199" s="1" t="s">
        <v>48</v>
      </c>
      <c r="E1199" s="1" t="s">
        <v>1057</v>
      </c>
      <c r="F1199" s="4">
        <v>45191.815567129626</v>
      </c>
      <c r="G1199" s="3" t="str">
        <f>HYPERLINK("https://hawk-eye.atlassian.net/browse/?atlOrigin=eyJpIjoiYzgwYTQ0ZjEyNzQzNGJhN2JmNjEyZTM0NmRhZWZhNjIiLCJwIjoic2hlZXRzLWppcmEifQ","")</f>
        <v/>
      </c>
      <c r="H1199" s="1" t="s">
        <v>1058</v>
      </c>
      <c r="I1199" s="1" t="s">
        <v>1071</v>
      </c>
      <c r="J1199" s="1" t="s">
        <v>26</v>
      </c>
      <c r="K1199" s="1" t="s">
        <v>1072</v>
      </c>
      <c r="L1199" s="1" t="s">
        <v>26</v>
      </c>
      <c r="M1199" s="1" t="s">
        <v>27</v>
      </c>
      <c r="N1199" s="1" t="s">
        <v>26</v>
      </c>
      <c r="O1199" s="1" t="s">
        <v>26</v>
      </c>
      <c r="P1199" s="4">
        <v>45191.8155787037</v>
      </c>
    </row>
    <row r="1200" hidden="1">
      <c r="A1200" s="1" t="s">
        <v>1055</v>
      </c>
      <c r="B1200" s="3" t="str">
        <f>HYPERLINK("https://hawk-eye.atlassian.net/browse/HWKREPORT-2376?atlOrigin=eyJpIjoiYzgwYTQ0ZjEyNzQzNGJhN2JmNjEyZTM0NmRhZWZhNjIiLCJwIjoic2hlZXRzLWppcmEifQ","HWKREPORT-2376")</f>
        <v>HWKREPORT-2376</v>
      </c>
      <c r="C1200" s="1" t="s">
        <v>2427</v>
      </c>
      <c r="D1200" s="1" t="s">
        <v>48</v>
      </c>
      <c r="E1200" s="1" t="s">
        <v>1207</v>
      </c>
      <c r="F1200" s="4">
        <v>45191.83053240741</v>
      </c>
      <c r="G1200" s="3" t="str">
        <f>HYPERLINK("https://hawk-eye.atlassian.net/browse/RTT-7472?atlOrigin=eyJpIjoiYzgwYTQ0ZjEyNzQzNGJhN2JmNjEyZTM0NmRhZWZhNjIiLCJwIjoic2hlZXRzLWppcmEifQ","RTT-7472")</f>
        <v>RTT-7472</v>
      </c>
      <c r="H1200" s="1" t="s">
        <v>1058</v>
      </c>
      <c r="I1200" s="1" t="s">
        <v>1071</v>
      </c>
      <c r="J1200" s="1" t="s">
        <v>26</v>
      </c>
      <c r="K1200" s="1" t="s">
        <v>1072</v>
      </c>
      <c r="L1200" s="1" t="s">
        <v>26</v>
      </c>
      <c r="M1200" s="1" t="s">
        <v>27</v>
      </c>
      <c r="N1200" s="1" t="s">
        <v>26</v>
      </c>
      <c r="O1200" s="1" t="s">
        <v>26</v>
      </c>
      <c r="P1200" s="4">
        <v>45301.440729166665</v>
      </c>
    </row>
    <row r="1201" hidden="1">
      <c r="A1201" s="1" t="s">
        <v>1055</v>
      </c>
      <c r="B1201" s="3" t="str">
        <f>HYPERLINK("https://hawk-eye.atlassian.net/browse/HWKREPORT-2377?atlOrigin=eyJpIjoiYzgwYTQ0ZjEyNzQzNGJhN2JmNjEyZTM0NmRhZWZhNjIiLCJwIjoic2hlZXRzLWppcmEifQ","HWKREPORT-2377")</f>
        <v>HWKREPORT-2377</v>
      </c>
      <c r="C1201" s="1" t="s">
        <v>2428</v>
      </c>
      <c r="D1201" s="1" t="s">
        <v>48</v>
      </c>
      <c r="E1201" s="1" t="s">
        <v>1057</v>
      </c>
      <c r="F1201" s="4">
        <v>45191.83609953704</v>
      </c>
      <c r="G1201" s="3" t="str">
        <f>HYPERLINK("https://hawk-eye.atlassian.net/browse/?atlOrigin=eyJpIjoiYzgwYTQ0ZjEyNzQzNGJhN2JmNjEyZTM0NmRhZWZhNjIiLCJwIjoic2hlZXRzLWppcmEifQ","")</f>
        <v/>
      </c>
      <c r="H1201" s="1" t="s">
        <v>1058</v>
      </c>
      <c r="I1201" s="1" t="s">
        <v>1071</v>
      </c>
      <c r="J1201" s="1" t="s">
        <v>26</v>
      </c>
      <c r="K1201" s="1" t="s">
        <v>1072</v>
      </c>
      <c r="L1201" s="1" t="s">
        <v>26</v>
      </c>
      <c r="M1201" s="1" t="s">
        <v>27</v>
      </c>
      <c r="N1201" s="1" t="s">
        <v>26</v>
      </c>
      <c r="O1201" s="1" t="s">
        <v>26</v>
      </c>
      <c r="P1201" s="4">
        <v>45191.83611111111</v>
      </c>
    </row>
    <row r="1202" hidden="1">
      <c r="A1202" s="1" t="s">
        <v>21</v>
      </c>
      <c r="B1202" s="3" t="str">
        <f>HYPERLINK("https://hawk-eye.atlassian.net/browse/HWKREPORT-2177?atlOrigin=eyJpIjoiYzgwYTQ0ZjEyNzQzNGJhN2JmNjEyZTM0NmRhZWZhNjIiLCJwIjoic2hlZXRzLWppcmEifQ","HWKREPORT-2177")</f>
        <v>HWKREPORT-2177</v>
      </c>
      <c r="C1202" s="1" t="s">
        <v>2429</v>
      </c>
      <c r="D1202" s="1" t="s">
        <v>34</v>
      </c>
      <c r="E1202" s="1" t="s">
        <v>35</v>
      </c>
      <c r="F1202" s="4">
        <v>45093.53902777778</v>
      </c>
      <c r="G1202" s="3" t="str">
        <f>HYPERLINK("https://hawk-eye.atlassian.net/browse/GT-1112?atlOrigin=eyJpIjoiYzgwYTQ0ZjEyNzQzNGJhN2JmNjEyZTM0NmRhZWZhNjIiLCJwIjoic2hlZXRzLWppcmEifQ","GT-1112")</f>
        <v>GT-1112</v>
      </c>
      <c r="H1202" s="1" t="s">
        <v>1058</v>
      </c>
      <c r="I1202" s="1" t="s">
        <v>1085</v>
      </c>
      <c r="J1202" s="1" t="s">
        <v>26</v>
      </c>
      <c r="K1202" s="1" t="s">
        <v>1148</v>
      </c>
      <c r="L1202" s="1" t="s">
        <v>26</v>
      </c>
      <c r="M1202" s="1" t="s">
        <v>27</v>
      </c>
      <c r="N1202" s="1" t="s">
        <v>26</v>
      </c>
      <c r="O1202" s="1" t="s">
        <v>26</v>
      </c>
      <c r="P1202" s="4">
        <v>45104.41752314815</v>
      </c>
    </row>
    <row r="1203" hidden="1">
      <c r="A1203" s="1" t="s">
        <v>1055</v>
      </c>
      <c r="B1203" s="3" t="str">
        <f>HYPERLINK("https://hawk-eye.atlassian.net/browse/HWKREPORT-2178?atlOrigin=eyJpIjoiYzgwYTQ0ZjEyNzQzNGJhN2JmNjEyZTM0NmRhZWZhNjIiLCJwIjoic2hlZXRzLWppcmEifQ","HWKREPORT-2178")</f>
        <v>HWKREPORT-2178</v>
      </c>
      <c r="C1203" s="1" t="s">
        <v>2430</v>
      </c>
      <c r="D1203" s="1" t="s">
        <v>48</v>
      </c>
      <c r="E1203" s="1" t="s">
        <v>1207</v>
      </c>
      <c r="F1203" s="4">
        <v>45097.35496527778</v>
      </c>
      <c r="G1203" s="3" t="str">
        <f>HYPERLINK("https://hawk-eye.atlassian.net/browse/RTT-6596?atlOrigin=eyJpIjoiYzgwYTQ0ZjEyNzQzNGJhN2JmNjEyZTM0NmRhZWZhNjIiLCJwIjoic2hlZXRzLWppcmEifQ","RTT-6596")</f>
        <v>RTT-6596</v>
      </c>
      <c r="H1203" s="1" t="s">
        <v>1058</v>
      </c>
      <c r="I1203" s="1" t="s">
        <v>1085</v>
      </c>
      <c r="J1203" s="1" t="s">
        <v>26</v>
      </c>
      <c r="K1203" s="1" t="s">
        <v>1545</v>
      </c>
      <c r="L1203" s="1" t="s">
        <v>26</v>
      </c>
      <c r="M1203" s="1" t="s">
        <v>27</v>
      </c>
      <c r="N1203" s="1" t="s">
        <v>26</v>
      </c>
      <c r="O1203" s="1" t="s">
        <v>26</v>
      </c>
      <c r="P1203" s="4">
        <v>45203.777037037034</v>
      </c>
    </row>
    <row r="1204" hidden="1">
      <c r="A1204" s="1" t="s">
        <v>1055</v>
      </c>
      <c r="B1204" s="3" t="str">
        <f>HYPERLINK("https://hawk-eye.atlassian.net/browse/HWKREPORT-2179?atlOrigin=eyJpIjoiYzgwYTQ0ZjEyNzQzNGJhN2JmNjEyZTM0NmRhZWZhNjIiLCJwIjoic2hlZXRzLWppcmEifQ","HWKREPORT-2179")</f>
        <v>HWKREPORT-2179</v>
      </c>
      <c r="C1204" s="1" t="s">
        <v>2431</v>
      </c>
      <c r="D1204" s="1" t="s">
        <v>48</v>
      </c>
      <c r="E1204" s="1" t="s">
        <v>35</v>
      </c>
      <c r="F1204" s="4">
        <v>45097.35821759259</v>
      </c>
      <c r="G1204" s="3" t="str">
        <f>HYPERLINK("https://hawk-eye.atlassian.net/browse/RTT-6594?atlOrigin=eyJpIjoiYzgwYTQ0ZjEyNzQzNGJhN2JmNjEyZTM0NmRhZWZhNjIiLCJwIjoic2hlZXRzLWppcmEifQ","RTT-6594")</f>
        <v>RTT-6594</v>
      </c>
      <c r="H1204" s="1" t="s">
        <v>1058</v>
      </c>
      <c r="I1204" s="1" t="s">
        <v>1085</v>
      </c>
      <c r="J1204" s="1" t="s">
        <v>26</v>
      </c>
      <c r="K1204" s="1" t="s">
        <v>1545</v>
      </c>
      <c r="L1204" s="1" t="s">
        <v>26</v>
      </c>
      <c r="M1204" s="1" t="s">
        <v>27</v>
      </c>
      <c r="N1204" s="1" t="s">
        <v>26</v>
      </c>
      <c r="O1204" s="1" t="s">
        <v>26</v>
      </c>
      <c r="P1204" s="4">
        <v>45264.58736111111</v>
      </c>
    </row>
    <row r="1205" hidden="1">
      <c r="A1205" s="1" t="s">
        <v>21</v>
      </c>
      <c r="B1205" s="3" t="str">
        <f>HYPERLINK("https://hawk-eye.atlassian.net/browse/HWKREPORT-2180?atlOrigin=eyJpIjoiYzgwYTQ0ZjEyNzQzNGJhN2JmNjEyZTM0NmRhZWZhNjIiLCJwIjoic2hlZXRzLWppcmEifQ","HWKREPORT-2180")</f>
        <v>HWKREPORT-2180</v>
      </c>
      <c r="C1205" s="1" t="s">
        <v>2432</v>
      </c>
      <c r="D1205" s="1" t="s">
        <v>23</v>
      </c>
      <c r="E1205" s="1" t="s">
        <v>35</v>
      </c>
      <c r="F1205" s="4">
        <v>45097.438263888886</v>
      </c>
      <c r="G1205" s="3" t="str">
        <f>HYPERLINK("https://hawk-eye.atlassian.net/browse/TDP-1694?atlOrigin=eyJpIjoiYzgwYTQ0ZjEyNzQzNGJhN2JmNjEyZTM0NmRhZWZhNjIiLCJwIjoic2hlZXRzLWppcmEifQ","TDP-1694")</f>
        <v>TDP-1694</v>
      </c>
      <c r="H1205" s="1" t="s">
        <v>1058</v>
      </c>
      <c r="I1205" s="1" t="s">
        <v>1126</v>
      </c>
      <c r="J1205" s="1" t="s">
        <v>26</v>
      </c>
      <c r="K1205" s="1" t="s">
        <v>1211</v>
      </c>
      <c r="L1205" s="1" t="s">
        <v>26</v>
      </c>
      <c r="M1205" s="1" t="s">
        <v>27</v>
      </c>
      <c r="N1205" s="1" t="s">
        <v>26</v>
      </c>
      <c r="O1205" s="1" t="s">
        <v>26</v>
      </c>
      <c r="P1205" s="4">
        <v>45126.92915509259</v>
      </c>
    </row>
    <row r="1206" hidden="1">
      <c r="A1206" s="1" t="s">
        <v>21</v>
      </c>
      <c r="B1206" s="3" t="str">
        <f>HYPERLINK("https://hawk-eye.atlassian.net/browse/HWKREPORT-2181?atlOrigin=eyJpIjoiYzgwYTQ0ZjEyNzQzNGJhN2JmNjEyZTM0NmRhZWZhNjIiLCJwIjoic2hlZXRzLWppcmEifQ","HWKREPORT-2181")</f>
        <v>HWKREPORT-2181</v>
      </c>
      <c r="C1206" s="1" t="s">
        <v>2433</v>
      </c>
      <c r="D1206" s="1" t="s">
        <v>23</v>
      </c>
      <c r="E1206" s="1" t="s">
        <v>35</v>
      </c>
      <c r="F1206" s="4">
        <v>45097.44865740741</v>
      </c>
      <c r="G1206" s="3" t="str">
        <f>HYPERLINK("https://hawk-eye.atlassian.net/browse/TMP-89?atlOrigin=eyJpIjoiYzgwYTQ0ZjEyNzQzNGJhN2JmNjEyZTM0NmRhZWZhNjIiLCJwIjoic2hlZXRzLWppcmEifQ","TMP-89")</f>
        <v>TMP-89</v>
      </c>
      <c r="H1206" s="1" t="s">
        <v>1058</v>
      </c>
      <c r="I1206" s="1" t="s">
        <v>1126</v>
      </c>
      <c r="J1206" s="1" t="s">
        <v>26</v>
      </c>
      <c r="K1206" s="1" t="s">
        <v>1211</v>
      </c>
      <c r="L1206" s="1" t="s">
        <v>26</v>
      </c>
      <c r="M1206" s="1" t="s">
        <v>27</v>
      </c>
      <c r="N1206" s="1" t="s">
        <v>26</v>
      </c>
      <c r="O1206" s="1" t="s">
        <v>26</v>
      </c>
      <c r="P1206" s="4">
        <v>45113.50344907407</v>
      </c>
    </row>
    <row r="1207" hidden="1">
      <c r="A1207" s="1" t="s">
        <v>21</v>
      </c>
      <c r="B1207" s="3" t="str">
        <f>HYPERLINK("https://hawk-eye.atlassian.net/browse/HWKREPORT-2182?atlOrigin=eyJpIjoiYzgwYTQ0ZjEyNzQzNGJhN2JmNjEyZTM0NmRhZWZhNjIiLCJwIjoic2hlZXRzLWppcmEifQ","HWKREPORT-2182")</f>
        <v>HWKREPORT-2182</v>
      </c>
      <c r="C1207" s="1" t="s">
        <v>2434</v>
      </c>
      <c r="D1207" s="1" t="s">
        <v>40</v>
      </c>
      <c r="E1207" s="1" t="s">
        <v>35</v>
      </c>
      <c r="F1207" s="4">
        <v>45097.63945601852</v>
      </c>
      <c r="G1207" s="3" t="str">
        <f>HYPERLINK("https://hawk-eye.atlassian.net/browse/RTT-6569?atlOrigin=eyJpIjoiYzgwYTQ0ZjEyNzQzNGJhN2JmNjEyZTM0NmRhZWZhNjIiLCJwIjoic2hlZXRzLWppcmEifQ","RTT-6569")</f>
        <v>RTT-6569</v>
      </c>
      <c r="H1207" s="1" t="s">
        <v>1058</v>
      </c>
      <c r="I1207" s="1" t="s">
        <v>1071</v>
      </c>
      <c r="J1207" s="1" t="s">
        <v>26</v>
      </c>
      <c r="K1207" s="1" t="s">
        <v>1072</v>
      </c>
      <c r="L1207" s="1" t="s">
        <v>26</v>
      </c>
      <c r="M1207" s="1" t="s">
        <v>27</v>
      </c>
      <c r="N1207" s="1" t="s">
        <v>26</v>
      </c>
      <c r="O1207" s="1" t="s">
        <v>26</v>
      </c>
      <c r="P1207" s="4">
        <v>45216.394849537035</v>
      </c>
    </row>
    <row r="1208" hidden="1">
      <c r="A1208" s="1" t="s">
        <v>1055</v>
      </c>
      <c r="B1208" s="3" t="str">
        <f>HYPERLINK("https://hawk-eye.atlassian.net/browse/HWKREPORT-2183?atlOrigin=eyJpIjoiYzgwYTQ0ZjEyNzQzNGJhN2JmNjEyZTM0NmRhZWZhNjIiLCJwIjoic2hlZXRzLWppcmEifQ","HWKREPORT-2183")</f>
        <v>HWKREPORT-2183</v>
      </c>
      <c r="C1208" s="1" t="s">
        <v>2435</v>
      </c>
      <c r="D1208" s="1" t="s">
        <v>48</v>
      </c>
      <c r="E1208" s="1" t="s">
        <v>35</v>
      </c>
      <c r="F1208" s="4">
        <v>45097.83572916667</v>
      </c>
      <c r="G1208" s="3" t="str">
        <f>HYPERLINK("https://hawk-eye.atlassian.net/browse/RTT-6559?atlOrigin=eyJpIjoiYzgwYTQ0ZjEyNzQzNGJhN2JmNjEyZTM0NmRhZWZhNjIiLCJwIjoic2hlZXRzLWppcmEifQ","RTT-6559")</f>
        <v>RTT-6559</v>
      </c>
      <c r="H1208" s="1" t="s">
        <v>1058</v>
      </c>
      <c r="I1208" s="1" t="s">
        <v>28</v>
      </c>
      <c r="J1208" s="1" t="s">
        <v>26</v>
      </c>
      <c r="K1208" s="1" t="s">
        <v>1072</v>
      </c>
      <c r="L1208" s="1" t="s">
        <v>26</v>
      </c>
      <c r="M1208" s="1" t="s">
        <v>27</v>
      </c>
      <c r="N1208" s="1" t="s">
        <v>26</v>
      </c>
      <c r="O1208" s="1" t="s">
        <v>26</v>
      </c>
      <c r="P1208" s="4">
        <v>45245.49240740741</v>
      </c>
    </row>
    <row r="1209" hidden="1">
      <c r="A1209" s="1" t="s">
        <v>1055</v>
      </c>
      <c r="B1209" s="3" t="str">
        <f>HYPERLINK("https://hawk-eye.atlassian.net/browse/HWKREPORT-2184?atlOrigin=eyJpIjoiYzgwYTQ0ZjEyNzQzNGJhN2JmNjEyZTM0NmRhZWZhNjIiLCJwIjoic2hlZXRzLWppcmEifQ","HWKREPORT-2184")</f>
        <v>HWKREPORT-2184</v>
      </c>
      <c r="C1209" s="1" t="s">
        <v>2436</v>
      </c>
      <c r="D1209" s="1" t="s">
        <v>48</v>
      </c>
      <c r="E1209" s="1" t="s">
        <v>1074</v>
      </c>
      <c r="F1209" s="4">
        <v>45098.71627314815</v>
      </c>
      <c r="G1209" s="3" t="str">
        <f>HYPERLINK("https://hawk-eye.atlassian.net/browse/GT-1122?atlOrigin=eyJpIjoiYzgwYTQ0ZjEyNzQzNGJhN2JmNjEyZTM0NmRhZWZhNjIiLCJwIjoic2hlZXRzLWppcmEifQ","GT-1122")</f>
        <v>GT-1122</v>
      </c>
      <c r="H1209" s="1" t="s">
        <v>1058</v>
      </c>
      <c r="I1209" s="1" t="s">
        <v>1085</v>
      </c>
      <c r="J1209" s="1" t="s">
        <v>26</v>
      </c>
      <c r="K1209" s="1" t="s">
        <v>1114</v>
      </c>
      <c r="L1209" s="1" t="s">
        <v>26</v>
      </c>
      <c r="M1209" s="1" t="s">
        <v>27</v>
      </c>
      <c r="N1209" s="1" t="s">
        <v>26</v>
      </c>
      <c r="O1209" s="1" t="s">
        <v>26</v>
      </c>
      <c r="P1209" s="4">
        <v>45727.439884259256</v>
      </c>
    </row>
    <row r="1210" hidden="1">
      <c r="A1210" s="1" t="s">
        <v>21</v>
      </c>
      <c r="B1210" s="3" t="str">
        <f>HYPERLINK("https://hawk-eye.atlassian.net/browse/HWKREPORT-2185?atlOrigin=eyJpIjoiYzgwYTQ0ZjEyNzQzNGJhN2JmNjEyZTM0NmRhZWZhNjIiLCJwIjoic2hlZXRzLWppcmEifQ","HWKREPORT-2185")</f>
        <v>HWKREPORT-2185</v>
      </c>
      <c r="C1210" s="1" t="s">
        <v>2437</v>
      </c>
      <c r="D1210" s="1" t="s">
        <v>23</v>
      </c>
      <c r="E1210" s="1" t="s">
        <v>35</v>
      </c>
      <c r="F1210" s="4">
        <v>45098.77033564815</v>
      </c>
      <c r="G1210" s="3" t="str">
        <f>HYPERLINK("https://hawk-eye.atlassian.net/browse/?atlOrigin=eyJpIjoiYzgwYTQ0ZjEyNzQzNGJhN2JmNjEyZTM0NmRhZWZhNjIiLCJwIjoic2hlZXRzLWppcmEifQ","")</f>
        <v/>
      </c>
      <c r="H1210" s="1" t="s">
        <v>1058</v>
      </c>
      <c r="I1210" s="1" t="s">
        <v>1085</v>
      </c>
      <c r="J1210" s="1" t="s">
        <v>26</v>
      </c>
      <c r="K1210" s="1" t="s">
        <v>1072</v>
      </c>
      <c r="L1210" s="1" t="s">
        <v>26</v>
      </c>
      <c r="M1210" s="1" t="s">
        <v>27</v>
      </c>
      <c r="N1210" s="1" t="s">
        <v>26</v>
      </c>
      <c r="O1210" s="1" t="s">
        <v>26</v>
      </c>
      <c r="P1210" s="4">
        <v>45216.395682870374</v>
      </c>
    </row>
    <row r="1211">
      <c r="A1211" s="1" t="s">
        <v>21</v>
      </c>
      <c r="B1211" s="3" t="str">
        <f>HYPERLINK("https://hawk-eye.atlassian.net/browse/HWKREPORT-2186?atlOrigin=eyJpIjoiYzgwYTQ0ZjEyNzQzNGJhN2JmNjEyZTM0NmRhZWZhNjIiLCJwIjoic2hlZXRzLWppcmEifQ","HWKREPORT-2186")</f>
        <v>HWKREPORT-2186</v>
      </c>
      <c r="C1211" s="1" t="s">
        <v>2438</v>
      </c>
      <c r="D1211" s="1" t="s">
        <v>83</v>
      </c>
      <c r="E1211" s="1" t="s">
        <v>35</v>
      </c>
      <c r="F1211" s="4">
        <v>45098.937997685185</v>
      </c>
      <c r="G1211" s="3" t="str">
        <f>HYPERLINK("https://hawk-eye.atlassian.net/browse/RTT-6581?atlOrigin=eyJpIjoiYzgwYTQ0ZjEyNzQzNGJhN2JmNjEyZTM0NmRhZWZhNjIiLCJwIjoic2hlZXRzLWppcmEifQ","RTT-6581")</f>
        <v>RTT-6581</v>
      </c>
      <c r="H1211" s="1" t="s">
        <v>1058</v>
      </c>
      <c r="I1211" s="1" t="s">
        <v>28</v>
      </c>
      <c r="J1211" s="1" t="s">
        <v>26</v>
      </c>
      <c r="K1211" s="1" t="s">
        <v>1072</v>
      </c>
      <c r="L1211" s="1" t="s">
        <v>26</v>
      </c>
      <c r="M1211" s="1" t="s">
        <v>27</v>
      </c>
      <c r="N1211" s="1" t="s">
        <v>26</v>
      </c>
      <c r="O1211" s="1" t="s">
        <v>26</v>
      </c>
      <c r="P1211" s="4">
        <v>45524.73008101852</v>
      </c>
    </row>
    <row r="1212" hidden="1">
      <c r="A1212" s="1" t="s">
        <v>21</v>
      </c>
      <c r="B1212" s="3" t="str">
        <f>HYPERLINK("https://hawk-eye.atlassian.net/browse/HWKREPORT-2187?atlOrigin=eyJpIjoiYzgwYTQ0ZjEyNzQzNGJhN2JmNjEyZTM0NmRhZWZhNjIiLCJwIjoic2hlZXRzLWppcmEifQ","HWKREPORT-2187")</f>
        <v>HWKREPORT-2187</v>
      </c>
      <c r="C1212" s="1" t="s">
        <v>2439</v>
      </c>
      <c r="D1212" s="1" t="s">
        <v>23</v>
      </c>
      <c r="E1212" s="1" t="s">
        <v>35</v>
      </c>
      <c r="F1212" s="4">
        <v>45099.71833333333</v>
      </c>
      <c r="G1212" s="3" t="str">
        <f>HYPERLINK("https://hawk-eye.atlassian.net/browse/RTT-6592?atlOrigin=eyJpIjoiYzgwYTQ0ZjEyNzQzNGJhN2JmNjEyZTM0NmRhZWZhNjIiLCJwIjoic2hlZXRzLWppcmEifQ","RTT-6592")</f>
        <v>RTT-6592</v>
      </c>
      <c r="H1212" s="1" t="s">
        <v>1058</v>
      </c>
      <c r="I1212" s="1" t="s">
        <v>1071</v>
      </c>
      <c r="J1212" s="1" t="s">
        <v>26</v>
      </c>
      <c r="K1212" s="1" t="s">
        <v>1072</v>
      </c>
      <c r="L1212" s="1" t="s">
        <v>26</v>
      </c>
      <c r="M1212" s="1" t="s">
        <v>27</v>
      </c>
      <c r="N1212" s="1" t="s">
        <v>26</v>
      </c>
      <c r="O1212" s="1" t="s">
        <v>26</v>
      </c>
      <c r="P1212" s="4">
        <v>45266.44657407407</v>
      </c>
    </row>
    <row r="1213" hidden="1">
      <c r="A1213" s="1" t="s">
        <v>21</v>
      </c>
      <c r="B1213" s="3" t="str">
        <f>HYPERLINK("https://hawk-eye.atlassian.net/browse/HWKREPORT-2188?atlOrigin=eyJpIjoiYzgwYTQ0ZjEyNzQzNGJhN2JmNjEyZTM0NmRhZWZhNjIiLCJwIjoic2hlZXRzLWppcmEifQ","HWKREPORT-2188")</f>
        <v>HWKREPORT-2188</v>
      </c>
      <c r="C1213" s="1" t="s">
        <v>2440</v>
      </c>
      <c r="D1213" s="1" t="s">
        <v>23</v>
      </c>
      <c r="E1213" s="1" t="s">
        <v>35</v>
      </c>
      <c r="F1213" s="4">
        <v>45099.72777777778</v>
      </c>
      <c r="G1213" s="3" t="str">
        <f>HYPERLINK("https://hawk-eye.atlassian.net/browse/RTT-6582?atlOrigin=eyJpIjoiYzgwYTQ0ZjEyNzQzNGJhN2JmNjEyZTM0NmRhZWZhNjIiLCJwIjoic2hlZXRzLWppcmEifQ","RTT-6582")</f>
        <v>RTT-6582</v>
      </c>
      <c r="H1213" s="1" t="s">
        <v>1058</v>
      </c>
      <c r="I1213" s="1" t="s">
        <v>1071</v>
      </c>
      <c r="J1213" s="1" t="s">
        <v>26</v>
      </c>
      <c r="K1213" s="1" t="s">
        <v>1072</v>
      </c>
      <c r="L1213" s="1" t="s">
        <v>26</v>
      </c>
      <c r="M1213" s="1" t="s">
        <v>27</v>
      </c>
      <c r="N1213" s="1" t="s">
        <v>26</v>
      </c>
      <c r="O1213" s="1" t="s">
        <v>26</v>
      </c>
      <c r="P1213" s="4">
        <v>45306.69173611111</v>
      </c>
    </row>
    <row r="1214">
      <c r="A1214" s="1" t="s">
        <v>21</v>
      </c>
      <c r="B1214" s="3" t="str">
        <f>HYPERLINK("https://hawk-eye.atlassian.net/browse/HWKREPORT-2189?atlOrigin=eyJpIjoiYzgwYTQ0ZjEyNzQzNGJhN2JmNjEyZTM0NmRhZWZhNjIiLCJwIjoic2hlZXRzLWppcmEifQ","HWKREPORT-2189")</f>
        <v>HWKREPORT-2189</v>
      </c>
      <c r="C1214" s="1" t="s">
        <v>2441</v>
      </c>
      <c r="D1214" s="1" t="s">
        <v>23</v>
      </c>
      <c r="E1214" s="1" t="s">
        <v>35</v>
      </c>
      <c r="F1214" s="4">
        <v>45099.7790625</v>
      </c>
      <c r="G1214" s="3" t="str">
        <f>HYPERLINK("https://hawk-eye.atlassian.net/browse/RTT-6578?atlOrigin=eyJpIjoiYzgwYTQ0ZjEyNzQzNGJhN2JmNjEyZTM0NmRhZWZhNjIiLCJwIjoic2hlZXRzLWppcmEifQ","RTT-6578")</f>
        <v>RTT-6578</v>
      </c>
      <c r="H1214" s="1" t="s">
        <v>1058</v>
      </c>
      <c r="I1214" s="1" t="s">
        <v>28</v>
      </c>
      <c r="J1214" s="1" t="s">
        <v>26</v>
      </c>
      <c r="K1214" s="1" t="s">
        <v>1072</v>
      </c>
      <c r="L1214" s="1" t="s">
        <v>26</v>
      </c>
      <c r="M1214" s="1" t="s">
        <v>27</v>
      </c>
      <c r="N1214" s="1" t="s">
        <v>26</v>
      </c>
      <c r="O1214" s="1" t="s">
        <v>26</v>
      </c>
      <c r="P1214" s="4">
        <v>45524.73</v>
      </c>
    </row>
    <row r="1215" hidden="1">
      <c r="A1215" s="1" t="s">
        <v>21</v>
      </c>
      <c r="B1215" s="3" t="str">
        <f>HYPERLINK("https://hawk-eye.atlassian.net/browse/HWKREPORT-2190?atlOrigin=eyJpIjoiYzgwYTQ0ZjEyNzQzNGJhN2JmNjEyZTM0NmRhZWZhNjIiLCJwIjoic2hlZXRzLWppcmEifQ","HWKREPORT-2190")</f>
        <v>HWKREPORT-2190</v>
      </c>
      <c r="C1215" s="1" t="s">
        <v>2442</v>
      </c>
      <c r="D1215" s="1" t="s">
        <v>23</v>
      </c>
      <c r="E1215" s="1" t="s">
        <v>1057</v>
      </c>
      <c r="F1215" s="4">
        <v>45101.43493055556</v>
      </c>
      <c r="G1215" s="3" t="str">
        <f>HYPERLINK("https://hawk-eye.atlassian.net/browse/GT-1150?atlOrigin=eyJpIjoiYzgwYTQ0ZjEyNzQzNGJhN2JmNjEyZTM0NmRhZWZhNjIiLCJwIjoic2hlZXRzLWppcmEifQ","GT-1150")</f>
        <v>GT-1150</v>
      </c>
      <c r="H1215" s="1" t="s">
        <v>1058</v>
      </c>
      <c r="I1215" s="1" t="s">
        <v>1082</v>
      </c>
      <c r="J1215" s="1" t="s">
        <v>26</v>
      </c>
      <c r="K1215" s="1" t="s">
        <v>1105</v>
      </c>
      <c r="L1215" s="1" t="s">
        <v>26</v>
      </c>
      <c r="M1215" s="1" t="s">
        <v>27</v>
      </c>
      <c r="N1215" s="1" t="s">
        <v>26</v>
      </c>
      <c r="O1215" s="1" t="s">
        <v>26</v>
      </c>
      <c r="P1215" s="4">
        <v>45101.43494212963</v>
      </c>
    </row>
    <row r="1216" hidden="1">
      <c r="A1216" s="1" t="s">
        <v>21</v>
      </c>
      <c r="B1216" s="3" t="str">
        <f>HYPERLINK("https://hawk-eye.atlassian.net/browse/HWKREPORT-2191?atlOrigin=eyJpIjoiYzgwYTQ0ZjEyNzQzNGJhN2JmNjEyZTM0NmRhZWZhNjIiLCJwIjoic2hlZXRzLWppcmEifQ","HWKREPORT-2191")</f>
        <v>HWKREPORT-2191</v>
      </c>
      <c r="C1216" s="1" t="s">
        <v>2443</v>
      </c>
      <c r="D1216" s="1" t="s">
        <v>83</v>
      </c>
      <c r="E1216" s="1" t="s">
        <v>35</v>
      </c>
      <c r="F1216" s="4">
        <v>45103.49019675926</v>
      </c>
      <c r="G1216" s="3" t="str">
        <f>HYPERLINK("https://hawk-eye.atlassian.net/browse/?atlOrigin=eyJpIjoiYzgwYTQ0ZjEyNzQzNGJhN2JmNjEyZTM0NmRhZWZhNjIiLCJwIjoic2hlZXRzLWppcmEifQ","")</f>
        <v/>
      </c>
      <c r="H1216" s="1" t="s">
        <v>1058</v>
      </c>
      <c r="I1216" s="1" t="s">
        <v>1082</v>
      </c>
      <c r="J1216" s="1" t="s">
        <v>26</v>
      </c>
      <c r="K1216" s="1" t="s">
        <v>1105</v>
      </c>
      <c r="L1216" s="1" t="s">
        <v>26</v>
      </c>
      <c r="M1216" s="1" t="s">
        <v>27</v>
      </c>
      <c r="N1216" s="1" t="s">
        <v>26</v>
      </c>
      <c r="O1216" s="1" t="s">
        <v>26</v>
      </c>
      <c r="P1216" s="4">
        <v>45110.708402777775</v>
      </c>
    </row>
    <row r="1217" hidden="1">
      <c r="A1217" s="1" t="s">
        <v>21</v>
      </c>
      <c r="B1217" s="3" t="str">
        <f>HYPERLINK("https://hawk-eye.atlassian.net/browse/HWKREPORT-2192?atlOrigin=eyJpIjoiYzgwYTQ0ZjEyNzQzNGJhN2JmNjEyZTM0NmRhZWZhNjIiLCJwIjoic2hlZXRzLWppcmEifQ","HWKREPORT-2192")</f>
        <v>HWKREPORT-2192</v>
      </c>
      <c r="C1217" s="1" t="s">
        <v>2444</v>
      </c>
      <c r="D1217" s="1" t="s">
        <v>34</v>
      </c>
      <c r="E1217" s="1" t="s">
        <v>1207</v>
      </c>
      <c r="F1217" s="4">
        <v>45104.63998842592</v>
      </c>
      <c r="G1217" s="3" t="str">
        <f>HYPERLINK("https://hawk-eye.atlassian.net/browse/RTT-6612?atlOrigin=eyJpIjoiYzgwYTQ0ZjEyNzQzNGJhN2JmNjEyZTM0NmRhZWZhNjIiLCJwIjoic2hlZXRzLWppcmEifQ","RTT-6612")</f>
        <v>RTT-6612</v>
      </c>
      <c r="H1217" s="1" t="s">
        <v>1058</v>
      </c>
      <c r="I1217" s="1" t="s">
        <v>1085</v>
      </c>
      <c r="J1217" s="1" t="s">
        <v>26</v>
      </c>
      <c r="K1217" s="1" t="s">
        <v>2173</v>
      </c>
      <c r="L1217" s="1" t="s">
        <v>26</v>
      </c>
      <c r="M1217" s="1" t="s">
        <v>27</v>
      </c>
      <c r="N1217" s="1" t="s">
        <v>26</v>
      </c>
      <c r="O1217" s="1" t="s">
        <v>26</v>
      </c>
      <c r="P1217" s="4">
        <v>45131.421851851854</v>
      </c>
    </row>
    <row r="1218">
      <c r="A1218" s="1" t="s">
        <v>21</v>
      </c>
      <c r="B1218" s="3" t="str">
        <f>HYPERLINK("https://hawk-eye.atlassian.net/browse/HWKREPORT-2193?atlOrigin=eyJpIjoiYzgwYTQ0ZjEyNzQzNGJhN2JmNjEyZTM0NmRhZWZhNjIiLCJwIjoic2hlZXRzLWppcmEifQ","HWKREPORT-2193")</f>
        <v>HWKREPORT-2193</v>
      </c>
      <c r="C1218" s="1" t="s">
        <v>2445</v>
      </c>
      <c r="D1218" s="1" t="s">
        <v>23</v>
      </c>
      <c r="E1218" s="1" t="s">
        <v>35</v>
      </c>
      <c r="F1218" s="4">
        <v>45104.69537037037</v>
      </c>
      <c r="G1218" s="3" t="str">
        <f>HYPERLINK("https://hawk-eye.atlassian.net/browse/RTT-6583?atlOrigin=eyJpIjoiYzgwYTQ0ZjEyNzQzNGJhN2JmNjEyZTM0NmRhZWZhNjIiLCJwIjoic2hlZXRzLWppcmEifQ","RTT-6583")</f>
        <v>RTT-6583</v>
      </c>
      <c r="H1218" s="1" t="s">
        <v>1058</v>
      </c>
      <c r="I1218" s="1" t="s">
        <v>28</v>
      </c>
      <c r="J1218" s="1" t="s">
        <v>26</v>
      </c>
      <c r="K1218" s="1" t="s">
        <v>1072</v>
      </c>
      <c r="L1218" s="1" t="s">
        <v>26</v>
      </c>
      <c r="M1218" s="1" t="s">
        <v>27</v>
      </c>
      <c r="N1218" s="1" t="s">
        <v>26</v>
      </c>
      <c r="O1218" s="1" t="s">
        <v>26</v>
      </c>
      <c r="P1218" s="4">
        <v>45134.66166666667</v>
      </c>
    </row>
    <row r="1219" hidden="1">
      <c r="A1219" s="1" t="s">
        <v>1055</v>
      </c>
      <c r="B1219" s="3" t="str">
        <f>HYPERLINK("https://hawk-eye.atlassian.net/browse/HWKREPORT-2194?atlOrigin=eyJpIjoiYzgwYTQ0ZjEyNzQzNGJhN2JmNjEyZTM0NmRhZWZhNjIiLCJwIjoic2hlZXRzLWppcmEifQ","HWKREPORT-2194")</f>
        <v>HWKREPORT-2194</v>
      </c>
      <c r="C1219" s="1" t="s">
        <v>2446</v>
      </c>
      <c r="D1219" s="1" t="s">
        <v>48</v>
      </c>
      <c r="E1219" s="1" t="s">
        <v>1057</v>
      </c>
      <c r="F1219" s="4">
        <v>45106.452256944445</v>
      </c>
      <c r="G1219" s="3" t="str">
        <f>HYPERLINK("https://hawk-eye.atlassian.net/issues/?atlOrigin=eyJpIjoiYzgwYTQ0ZjEyNzQzNGJhN2JmNjEyZTM0NmRhZWZhNjIiLCJwIjoic2hlZXRzLWppcmEifQ&amp;jql=key+in+%28TTS-9%2CAL-861%29","TTS-9;AL-861")</f>
        <v>TTS-9;AL-861</v>
      </c>
      <c r="H1219" s="1" t="s">
        <v>1058</v>
      </c>
      <c r="I1219" s="1" t="s">
        <v>1085</v>
      </c>
      <c r="J1219" s="1" t="s">
        <v>26</v>
      </c>
      <c r="K1219" s="1" t="s">
        <v>1717</v>
      </c>
      <c r="L1219" s="1" t="s">
        <v>26</v>
      </c>
      <c r="M1219" s="1" t="s">
        <v>27</v>
      </c>
      <c r="N1219" s="1" t="s">
        <v>26</v>
      </c>
      <c r="O1219" s="1" t="s">
        <v>26</v>
      </c>
      <c r="P1219" s="4">
        <v>45106.45226851852</v>
      </c>
    </row>
    <row r="1220" hidden="1">
      <c r="A1220" s="1" t="s">
        <v>21</v>
      </c>
      <c r="B1220" s="3" t="str">
        <f>HYPERLINK("https://hawk-eye.atlassian.net/browse/HWKREPORT-2195?atlOrigin=eyJpIjoiYzgwYTQ0ZjEyNzQzNGJhN2JmNjEyZTM0NmRhZWZhNjIiLCJwIjoic2hlZXRzLWppcmEifQ","HWKREPORT-2195")</f>
        <v>HWKREPORT-2195</v>
      </c>
      <c r="C1220" s="1" t="s">
        <v>2447</v>
      </c>
      <c r="D1220" s="1" t="s">
        <v>23</v>
      </c>
      <c r="E1220" s="1" t="s">
        <v>1207</v>
      </c>
      <c r="F1220" s="4">
        <v>45106.61510416667</v>
      </c>
      <c r="G1220" s="3" t="str">
        <f>HYPERLINK("https://hawk-eye.atlassian.net/browse/RTT-6584?atlOrigin=eyJpIjoiYzgwYTQ0ZjEyNzQzNGJhN2JmNjEyZTM0NmRhZWZhNjIiLCJwIjoic2hlZXRzLWppcmEifQ","RTT-6584")</f>
        <v>RTT-6584</v>
      </c>
      <c r="H1220" s="1" t="s">
        <v>1058</v>
      </c>
      <c r="I1220" s="1" t="s">
        <v>1085</v>
      </c>
      <c r="J1220" s="1" t="s">
        <v>26</v>
      </c>
      <c r="K1220" s="1" t="s">
        <v>1362</v>
      </c>
      <c r="L1220" s="1" t="s">
        <v>26</v>
      </c>
      <c r="M1220" s="1" t="s">
        <v>27</v>
      </c>
      <c r="N1220" s="1" t="s">
        <v>26</v>
      </c>
      <c r="O1220" s="1" t="s">
        <v>26</v>
      </c>
      <c r="P1220" s="4">
        <v>45187.43914351852</v>
      </c>
    </row>
    <row r="1221" hidden="1">
      <c r="A1221" s="1" t="s">
        <v>1055</v>
      </c>
      <c r="B1221" s="3" t="str">
        <f>HYPERLINK("https://hawk-eye.atlassian.net/browse/HWKREPORT-2196?atlOrigin=eyJpIjoiYzgwYTQ0ZjEyNzQzNGJhN2JmNjEyZTM0NmRhZWZhNjIiLCJwIjoic2hlZXRzLWppcmEifQ","HWKREPORT-2196")</f>
        <v>HWKREPORT-2196</v>
      </c>
      <c r="C1221" s="1" t="s">
        <v>2448</v>
      </c>
      <c r="D1221" s="1" t="s">
        <v>48</v>
      </c>
      <c r="E1221" s="1" t="s">
        <v>35</v>
      </c>
      <c r="F1221" s="4">
        <v>45106.70214120371</v>
      </c>
      <c r="G1221" s="3" t="str">
        <f>HYPERLINK("https://hawk-eye.atlassian.net/browse/AT-987?atlOrigin=eyJpIjoiYzgwYTQ0ZjEyNzQzNGJhN2JmNjEyZTM0NmRhZWZhNjIiLCJwIjoic2hlZXRzLWppcmEifQ","AT-987")</f>
        <v>AT-987</v>
      </c>
      <c r="H1221" s="1" t="s">
        <v>1058</v>
      </c>
      <c r="I1221" s="1" t="s">
        <v>1085</v>
      </c>
      <c r="J1221" s="1" t="s">
        <v>26</v>
      </c>
      <c r="K1221" s="1" t="s">
        <v>1105</v>
      </c>
      <c r="L1221" s="1" t="s">
        <v>26</v>
      </c>
      <c r="M1221" s="1" t="s">
        <v>27</v>
      </c>
      <c r="N1221" s="1" t="s">
        <v>26</v>
      </c>
      <c r="O1221" s="1" t="s">
        <v>26</v>
      </c>
      <c r="P1221" s="4">
        <v>45132.45605324074</v>
      </c>
    </row>
    <row r="1222" hidden="1">
      <c r="A1222" s="1" t="s">
        <v>21</v>
      </c>
      <c r="B1222" s="3" t="str">
        <f>HYPERLINK("https://hawk-eye.atlassian.net/browse/HWKREPORT-2197?atlOrigin=eyJpIjoiYzgwYTQ0ZjEyNzQzNGJhN2JmNjEyZTM0NmRhZWZhNjIiLCJwIjoic2hlZXRzLWppcmEifQ","HWKREPORT-2197")</f>
        <v>HWKREPORT-2197</v>
      </c>
      <c r="C1222" s="1" t="s">
        <v>2449</v>
      </c>
      <c r="D1222" s="1" t="s">
        <v>40</v>
      </c>
      <c r="E1222" s="1" t="s">
        <v>35</v>
      </c>
      <c r="F1222" s="4">
        <v>45107.56034722222</v>
      </c>
      <c r="G1222" s="3" t="str">
        <f>HYPERLINK("https://hawk-eye.atlassian.net/browse/RTT-6587?atlOrigin=eyJpIjoiYzgwYTQ0ZjEyNzQzNGJhN2JmNjEyZTM0NmRhZWZhNjIiLCJwIjoic2hlZXRzLWppcmEifQ","RTT-6587")</f>
        <v>RTT-6587</v>
      </c>
      <c r="H1222" s="1" t="s">
        <v>1058</v>
      </c>
      <c r="I1222" s="1" t="s">
        <v>1071</v>
      </c>
      <c r="J1222" s="1" t="s">
        <v>26</v>
      </c>
      <c r="K1222" s="1" t="s">
        <v>1099</v>
      </c>
      <c r="L1222" s="1" t="s">
        <v>26</v>
      </c>
      <c r="M1222" s="1" t="s">
        <v>27</v>
      </c>
      <c r="N1222" s="1" t="s">
        <v>26</v>
      </c>
      <c r="O1222" s="1" t="s">
        <v>26</v>
      </c>
      <c r="P1222" s="4">
        <v>45709.64876157408</v>
      </c>
    </row>
    <row r="1223" hidden="1">
      <c r="A1223" s="1" t="s">
        <v>21</v>
      </c>
      <c r="B1223" s="3" t="str">
        <f>HYPERLINK("https://hawk-eye.atlassian.net/browse/HWKREPORT-2198?atlOrigin=eyJpIjoiYzgwYTQ0ZjEyNzQzNGJhN2JmNjEyZTM0NmRhZWZhNjIiLCJwIjoic2hlZXRzLWppcmEifQ","HWKREPORT-2198")</f>
        <v>HWKREPORT-2198</v>
      </c>
      <c r="C1223" s="1" t="s">
        <v>2450</v>
      </c>
      <c r="D1223" s="1" t="s">
        <v>40</v>
      </c>
      <c r="E1223" s="1" t="s">
        <v>35</v>
      </c>
      <c r="F1223" s="4">
        <v>45107.56300925926</v>
      </c>
      <c r="G1223" s="3" t="str">
        <f>HYPERLINK("https://hawk-eye.atlassian.net/browse/RTT-6586?atlOrigin=eyJpIjoiYzgwYTQ0ZjEyNzQzNGJhN2JmNjEyZTM0NmRhZWZhNjIiLCJwIjoic2hlZXRzLWppcmEifQ","RTT-6586")</f>
        <v>RTT-6586</v>
      </c>
      <c r="H1223" s="1" t="s">
        <v>1058</v>
      </c>
      <c r="I1223" s="1" t="s">
        <v>1071</v>
      </c>
      <c r="J1223" s="1" t="s">
        <v>26</v>
      </c>
      <c r="K1223" s="1" t="s">
        <v>1099</v>
      </c>
      <c r="L1223" s="1" t="s">
        <v>26</v>
      </c>
      <c r="M1223" s="1" t="s">
        <v>27</v>
      </c>
      <c r="N1223" s="1" t="s">
        <v>26</v>
      </c>
      <c r="O1223" s="1" t="s">
        <v>26</v>
      </c>
      <c r="P1223" s="4">
        <v>45709.64895833333</v>
      </c>
    </row>
    <row r="1224" hidden="1">
      <c r="A1224" s="1" t="s">
        <v>21</v>
      </c>
      <c r="B1224" s="3" t="str">
        <f>HYPERLINK("https://hawk-eye.atlassian.net/browse/HWKREPORT-2199?atlOrigin=eyJpIjoiYzgwYTQ0ZjEyNzQzNGJhN2JmNjEyZTM0NmRhZWZhNjIiLCJwIjoic2hlZXRzLWppcmEifQ","HWKREPORT-2199")</f>
        <v>HWKREPORT-2199</v>
      </c>
      <c r="C1224" s="1" t="s">
        <v>2451</v>
      </c>
      <c r="D1224" s="1" t="s">
        <v>34</v>
      </c>
      <c r="E1224" s="1" t="s">
        <v>35</v>
      </c>
      <c r="F1224" s="4">
        <v>45107.685162037036</v>
      </c>
      <c r="G1224" s="3" t="str">
        <f>HYPERLINK("https://hawk-eye.atlassian.net/browse/CORE-222?atlOrigin=eyJpIjoiYzgwYTQ0ZjEyNzQzNGJhN2JmNjEyZTM0NmRhZWZhNjIiLCJwIjoic2hlZXRzLWppcmEifQ","CORE-222")</f>
        <v>CORE-222</v>
      </c>
      <c r="H1224" s="1" t="s">
        <v>1058</v>
      </c>
      <c r="I1224" s="1" t="s">
        <v>1085</v>
      </c>
      <c r="J1224" s="1" t="s">
        <v>26</v>
      </c>
      <c r="K1224" s="1" t="s">
        <v>2452</v>
      </c>
      <c r="L1224" s="1" t="s">
        <v>26</v>
      </c>
      <c r="M1224" s="1" t="s">
        <v>27</v>
      </c>
      <c r="N1224" s="1" t="s">
        <v>26</v>
      </c>
      <c r="O1224" s="1" t="s">
        <v>26</v>
      </c>
      <c r="P1224" s="4">
        <v>45124.545277777775</v>
      </c>
    </row>
    <row r="1225" hidden="1">
      <c r="A1225" s="1" t="s">
        <v>1055</v>
      </c>
      <c r="B1225" s="3" t="str">
        <f>HYPERLINK("https://hawk-eye.atlassian.net/browse/HWKREPORT-2200?atlOrigin=eyJpIjoiYzgwYTQ0ZjEyNzQzNGJhN2JmNjEyZTM0NmRhZWZhNjIiLCJwIjoic2hlZXRzLWppcmEifQ","HWKREPORT-2200")</f>
        <v>HWKREPORT-2200</v>
      </c>
      <c r="C1225" s="1" t="s">
        <v>2453</v>
      </c>
      <c r="D1225" s="1" t="s">
        <v>48</v>
      </c>
      <c r="E1225" s="1" t="s">
        <v>35</v>
      </c>
      <c r="F1225" s="4">
        <v>45111.65142361111</v>
      </c>
      <c r="G1225" s="3" t="str">
        <f>HYPERLINK("https://hawk-eye.atlassian.net/browse/AT-986?atlOrigin=eyJpIjoiYzgwYTQ0ZjEyNzQzNGJhN2JmNjEyZTM0NmRhZWZhNjIiLCJwIjoic2hlZXRzLWppcmEifQ","AT-986")</f>
        <v>AT-986</v>
      </c>
      <c r="H1225" s="1" t="s">
        <v>1058</v>
      </c>
      <c r="I1225" s="1" t="s">
        <v>1085</v>
      </c>
      <c r="J1225" s="1" t="s">
        <v>26</v>
      </c>
      <c r="K1225" s="1" t="s">
        <v>2454</v>
      </c>
      <c r="L1225" s="1" t="s">
        <v>26</v>
      </c>
      <c r="M1225" s="1" t="s">
        <v>27</v>
      </c>
      <c r="N1225" s="1" t="s">
        <v>26</v>
      </c>
      <c r="O1225" s="1" t="s">
        <v>26</v>
      </c>
      <c r="P1225" s="4">
        <v>45153.45280092592</v>
      </c>
    </row>
    <row r="1226" hidden="1">
      <c r="A1226" s="1" t="s">
        <v>1055</v>
      </c>
      <c r="B1226" s="3" t="str">
        <f>HYPERLINK("https://hawk-eye.atlassian.net/browse/HWKREPORT-2201?atlOrigin=eyJpIjoiYzgwYTQ0ZjEyNzQzNGJhN2JmNjEyZTM0NmRhZWZhNjIiLCJwIjoic2hlZXRzLWppcmEifQ","HWKREPORT-2201")</f>
        <v>HWKREPORT-2201</v>
      </c>
      <c r="C1226" s="1" t="s">
        <v>2455</v>
      </c>
      <c r="D1226" s="1" t="s">
        <v>48</v>
      </c>
      <c r="E1226" s="1" t="s">
        <v>35</v>
      </c>
      <c r="F1226" s="4">
        <v>45111.653599537036</v>
      </c>
      <c r="G1226" s="3" t="str">
        <f>HYPERLINK("https://hawk-eye.atlassian.net/browse/AT-985?atlOrigin=eyJpIjoiYzgwYTQ0ZjEyNzQzNGJhN2JmNjEyZTM0NmRhZWZhNjIiLCJwIjoic2hlZXRzLWppcmEifQ","AT-985")</f>
        <v>AT-985</v>
      </c>
      <c r="H1226" s="1" t="s">
        <v>1058</v>
      </c>
      <c r="I1226" s="1" t="s">
        <v>1085</v>
      </c>
      <c r="J1226" s="1" t="s">
        <v>26</v>
      </c>
      <c r="K1226" s="1" t="s">
        <v>2454</v>
      </c>
      <c r="L1226" s="1" t="s">
        <v>26</v>
      </c>
      <c r="M1226" s="1" t="s">
        <v>27</v>
      </c>
      <c r="N1226" s="1" t="s">
        <v>26</v>
      </c>
      <c r="O1226" s="1" t="s">
        <v>26</v>
      </c>
      <c r="P1226" s="4">
        <v>45209.449328703704</v>
      </c>
    </row>
    <row r="1227" hidden="1">
      <c r="A1227" s="1" t="s">
        <v>1055</v>
      </c>
      <c r="B1227" s="3" t="str">
        <f>HYPERLINK("https://hawk-eye.atlassian.net/browse/HWKREPORT-2202?atlOrigin=eyJpIjoiYzgwYTQ0ZjEyNzQzNGJhN2JmNjEyZTM0NmRhZWZhNjIiLCJwIjoic2hlZXRzLWppcmEifQ","HWKREPORT-2202")</f>
        <v>HWKREPORT-2202</v>
      </c>
      <c r="C1227" s="1" t="s">
        <v>2456</v>
      </c>
      <c r="D1227" s="1" t="s">
        <v>48</v>
      </c>
      <c r="E1227" s="1" t="s">
        <v>35</v>
      </c>
      <c r="F1227" s="4">
        <v>45111.654953703706</v>
      </c>
      <c r="G1227" s="3" t="str">
        <f>HYPERLINK("https://hawk-eye.atlassian.net/browse/AT-984?atlOrigin=eyJpIjoiYzgwYTQ0ZjEyNzQzNGJhN2JmNjEyZTM0NmRhZWZhNjIiLCJwIjoic2hlZXRzLWppcmEifQ","AT-984")</f>
        <v>AT-984</v>
      </c>
      <c r="H1227" s="1" t="s">
        <v>1058</v>
      </c>
      <c r="I1227" s="1" t="s">
        <v>1085</v>
      </c>
      <c r="J1227" s="1" t="s">
        <v>26</v>
      </c>
      <c r="K1227" s="1" t="s">
        <v>2454</v>
      </c>
      <c r="L1227" s="1" t="s">
        <v>26</v>
      </c>
      <c r="M1227" s="1" t="s">
        <v>27</v>
      </c>
      <c r="N1227" s="1" t="s">
        <v>26</v>
      </c>
      <c r="O1227" s="1" t="s">
        <v>26</v>
      </c>
      <c r="P1227" s="4">
        <v>45153.452835648146</v>
      </c>
    </row>
    <row r="1228" hidden="1">
      <c r="A1228" s="1" t="s">
        <v>1055</v>
      </c>
      <c r="B1228" s="3" t="str">
        <f>HYPERLINK("https://hawk-eye.atlassian.net/browse/HWKREPORT-2203?atlOrigin=eyJpIjoiYzgwYTQ0ZjEyNzQzNGJhN2JmNjEyZTM0NmRhZWZhNjIiLCJwIjoic2hlZXRzLWppcmEifQ","HWKREPORT-2203")</f>
        <v>HWKREPORT-2203</v>
      </c>
      <c r="C1228" s="1" t="s">
        <v>2457</v>
      </c>
      <c r="D1228" s="1" t="s">
        <v>48</v>
      </c>
      <c r="E1228" s="1" t="s">
        <v>35</v>
      </c>
      <c r="F1228" s="4">
        <v>45112.44525462963</v>
      </c>
      <c r="G1228" s="3" t="str">
        <f>HYPERLINK("https://hawk-eye.atlassian.net/browse/CTK-132?atlOrigin=eyJpIjoiYzgwYTQ0ZjEyNzQzNGJhN2JmNjEyZTM0NmRhZWZhNjIiLCJwIjoic2hlZXRzLWppcmEifQ","CTK-132")</f>
        <v>CTK-132</v>
      </c>
      <c r="H1228" s="1" t="s">
        <v>1058</v>
      </c>
      <c r="I1228" s="1" t="s">
        <v>1082</v>
      </c>
      <c r="J1228" s="1" t="s">
        <v>26</v>
      </c>
      <c r="K1228" s="1" t="s">
        <v>26</v>
      </c>
      <c r="L1228" s="1" t="s">
        <v>26</v>
      </c>
      <c r="M1228" s="1" t="s">
        <v>27</v>
      </c>
      <c r="N1228" s="1" t="s">
        <v>26</v>
      </c>
      <c r="O1228" s="1" t="s">
        <v>26</v>
      </c>
      <c r="P1228" s="4">
        <v>45252.400717592594</v>
      </c>
    </row>
    <row r="1229" hidden="1">
      <c r="A1229" s="1" t="s">
        <v>1055</v>
      </c>
      <c r="B1229" s="3" t="str">
        <f>HYPERLINK("https://hawk-eye.atlassian.net/browse/HWKREPORT-2204?atlOrigin=eyJpIjoiYzgwYTQ0ZjEyNzQzNGJhN2JmNjEyZTM0NmRhZWZhNjIiLCJwIjoic2hlZXRzLWppcmEifQ","HWKREPORT-2204")</f>
        <v>HWKREPORT-2204</v>
      </c>
      <c r="C1229" s="1" t="s">
        <v>2458</v>
      </c>
      <c r="D1229" s="1" t="s">
        <v>48</v>
      </c>
      <c r="E1229" s="1" t="s">
        <v>35</v>
      </c>
      <c r="F1229" s="4">
        <v>45112.44872685185</v>
      </c>
      <c r="G1229" s="3" t="str">
        <f>HYPERLINK("https://hawk-eye.atlassian.net/browse/CTK-133?atlOrigin=eyJpIjoiYzgwYTQ0ZjEyNzQzNGJhN2JmNjEyZTM0NmRhZWZhNjIiLCJwIjoic2hlZXRzLWppcmEifQ","CTK-133")</f>
        <v>CTK-133</v>
      </c>
      <c r="H1229" s="1" t="s">
        <v>1058</v>
      </c>
      <c r="I1229" s="1" t="s">
        <v>1082</v>
      </c>
      <c r="J1229" s="1" t="s">
        <v>26</v>
      </c>
      <c r="K1229" s="1" t="s">
        <v>26</v>
      </c>
      <c r="L1229" s="1" t="s">
        <v>26</v>
      </c>
      <c r="M1229" s="1" t="s">
        <v>27</v>
      </c>
      <c r="N1229" s="1" t="s">
        <v>26</v>
      </c>
      <c r="O1229" s="1" t="s">
        <v>26</v>
      </c>
      <c r="P1229" s="4">
        <v>45252.40079861111</v>
      </c>
    </row>
    <row r="1230" hidden="1">
      <c r="A1230" s="1" t="s">
        <v>1055</v>
      </c>
      <c r="B1230" s="3" t="str">
        <f>HYPERLINK("https://hawk-eye.atlassian.net/browse/HWKREPORT-2205?atlOrigin=eyJpIjoiYzgwYTQ0ZjEyNzQzNGJhN2JmNjEyZTM0NmRhZWZhNjIiLCJwIjoic2hlZXRzLWppcmEifQ","HWKREPORT-2205")</f>
        <v>HWKREPORT-2205</v>
      </c>
      <c r="C1230" s="1" t="s">
        <v>2459</v>
      </c>
      <c r="D1230" s="1" t="s">
        <v>48</v>
      </c>
      <c r="E1230" s="1" t="s">
        <v>35</v>
      </c>
      <c r="F1230" s="4">
        <v>45112.456192129626</v>
      </c>
      <c r="G1230" s="3" t="str">
        <f>HYPERLINK("https://hawk-eye.atlassian.net/browse/CTK-134?atlOrigin=eyJpIjoiYzgwYTQ0ZjEyNzQzNGJhN2JmNjEyZTM0NmRhZWZhNjIiLCJwIjoic2hlZXRzLWppcmEifQ","CTK-134")</f>
        <v>CTK-134</v>
      </c>
      <c r="H1230" s="1" t="s">
        <v>1058</v>
      </c>
      <c r="I1230" s="1" t="s">
        <v>1082</v>
      </c>
      <c r="J1230" s="1" t="s">
        <v>26</v>
      </c>
      <c r="K1230" s="1" t="s">
        <v>1083</v>
      </c>
      <c r="L1230" s="1" t="s">
        <v>26</v>
      </c>
      <c r="M1230" s="1" t="s">
        <v>27</v>
      </c>
      <c r="N1230" s="1" t="s">
        <v>26</v>
      </c>
      <c r="O1230" s="1" t="s">
        <v>26</v>
      </c>
      <c r="P1230" s="4">
        <v>45252.40084490741</v>
      </c>
    </row>
    <row r="1231" hidden="1">
      <c r="A1231" s="1" t="s">
        <v>1055</v>
      </c>
      <c r="B1231" s="3" t="str">
        <f>HYPERLINK("https://hawk-eye.atlassian.net/browse/HWKREPORT-2206?atlOrigin=eyJpIjoiYzgwYTQ0ZjEyNzQzNGJhN2JmNjEyZTM0NmRhZWZhNjIiLCJwIjoic2hlZXRzLWppcmEifQ","HWKREPORT-2206")</f>
        <v>HWKREPORT-2206</v>
      </c>
      <c r="C1231" s="1" t="s">
        <v>2460</v>
      </c>
      <c r="D1231" s="1" t="s">
        <v>48</v>
      </c>
      <c r="E1231" s="1" t="s">
        <v>35</v>
      </c>
      <c r="F1231" s="4">
        <v>45112.45956018518</v>
      </c>
      <c r="G1231" s="3" t="str">
        <f>HYPERLINK("https://hawk-eye.atlassian.net/browse/CTK-135?atlOrigin=eyJpIjoiYzgwYTQ0ZjEyNzQzNGJhN2JmNjEyZTM0NmRhZWZhNjIiLCJwIjoic2hlZXRzLWppcmEifQ","CTK-135")</f>
        <v>CTK-135</v>
      </c>
      <c r="H1231" s="1" t="s">
        <v>1058</v>
      </c>
      <c r="I1231" s="1" t="s">
        <v>1082</v>
      </c>
      <c r="J1231" s="1" t="s">
        <v>26</v>
      </c>
      <c r="K1231" s="1" t="s">
        <v>1083</v>
      </c>
      <c r="L1231" s="1" t="s">
        <v>26</v>
      </c>
      <c r="M1231" s="1" t="s">
        <v>27</v>
      </c>
      <c r="N1231" s="1" t="s">
        <v>26</v>
      </c>
      <c r="O1231" s="1" t="s">
        <v>26</v>
      </c>
      <c r="P1231" s="4">
        <v>45252.400868055556</v>
      </c>
    </row>
    <row r="1232" hidden="1">
      <c r="A1232" s="1" t="s">
        <v>1055</v>
      </c>
      <c r="B1232" s="3" t="str">
        <f>HYPERLINK("https://hawk-eye.atlassian.net/browse/HWKREPORT-2207?atlOrigin=eyJpIjoiYzgwYTQ0ZjEyNzQzNGJhN2JmNjEyZTM0NmRhZWZhNjIiLCJwIjoic2hlZXRzLWppcmEifQ","HWKREPORT-2207")</f>
        <v>HWKREPORT-2207</v>
      </c>
      <c r="C1232" s="1" t="s">
        <v>2461</v>
      </c>
      <c r="D1232" s="1" t="s">
        <v>48</v>
      </c>
      <c r="E1232" s="1" t="s">
        <v>35</v>
      </c>
      <c r="F1232" s="4">
        <v>45112.47655092592</v>
      </c>
      <c r="G1232" s="3" t="str">
        <f>HYPERLINK("https://hawk-eye.atlassian.net/browse/CTK-131?atlOrigin=eyJpIjoiYzgwYTQ0ZjEyNzQzNGJhN2JmNjEyZTM0NmRhZWZhNjIiLCJwIjoic2hlZXRzLWppcmEifQ","CTK-131")</f>
        <v>CTK-131</v>
      </c>
      <c r="H1232" s="1" t="s">
        <v>1058</v>
      </c>
      <c r="I1232" s="1" t="s">
        <v>1082</v>
      </c>
      <c r="J1232" s="1" t="s">
        <v>26</v>
      </c>
      <c r="K1232" s="1" t="s">
        <v>1083</v>
      </c>
      <c r="L1232" s="1" t="s">
        <v>26</v>
      </c>
      <c r="M1232" s="1" t="s">
        <v>27</v>
      </c>
      <c r="N1232" s="1" t="s">
        <v>26</v>
      </c>
      <c r="O1232" s="1" t="s">
        <v>26</v>
      </c>
      <c r="P1232" s="4">
        <v>45252.40087962963</v>
      </c>
    </row>
    <row r="1233" hidden="1">
      <c r="A1233" s="1" t="s">
        <v>21</v>
      </c>
      <c r="B1233" s="3" t="str">
        <f>HYPERLINK("https://hawk-eye.atlassian.net/browse/HWKREPORT-2208?atlOrigin=eyJpIjoiYzgwYTQ0ZjEyNzQzNGJhN2JmNjEyZTM0NmRhZWZhNjIiLCJwIjoic2hlZXRzLWppcmEifQ","HWKREPORT-2208")</f>
        <v>HWKREPORT-2208</v>
      </c>
      <c r="C1233" s="1" t="s">
        <v>2462</v>
      </c>
      <c r="D1233" s="1" t="s">
        <v>48</v>
      </c>
      <c r="E1233" s="1" t="s">
        <v>1057</v>
      </c>
      <c r="F1233" s="4">
        <v>45112.68824074074</v>
      </c>
      <c r="G1233" s="3" t="str">
        <f>HYPERLINK("https://hawk-eye.atlassian.net/browse/?atlOrigin=eyJpIjoiYzgwYTQ0ZjEyNzQzNGJhN2JmNjEyZTM0NmRhZWZhNjIiLCJwIjoic2hlZXRzLWppcmEifQ","")</f>
        <v/>
      </c>
      <c r="H1233" s="1" t="s">
        <v>1058</v>
      </c>
      <c r="I1233" s="1" t="s">
        <v>1071</v>
      </c>
      <c r="J1233" s="1" t="s">
        <v>26</v>
      </c>
      <c r="K1233" s="1" t="s">
        <v>1072</v>
      </c>
      <c r="L1233" s="1" t="s">
        <v>26</v>
      </c>
      <c r="M1233" s="1" t="s">
        <v>27</v>
      </c>
      <c r="N1233" s="1" t="s">
        <v>26</v>
      </c>
      <c r="O1233" s="1" t="s">
        <v>26</v>
      </c>
      <c r="P1233" s="4">
        <v>45112.688252314816</v>
      </c>
    </row>
    <row r="1234" hidden="1">
      <c r="A1234" s="1" t="s">
        <v>1055</v>
      </c>
      <c r="B1234" s="3" t="str">
        <f>HYPERLINK("https://hawk-eye.atlassian.net/browse/HWKREPORT-2209?atlOrigin=eyJpIjoiYzgwYTQ0ZjEyNzQzNGJhN2JmNjEyZTM0NmRhZWZhNjIiLCJwIjoic2hlZXRzLWppcmEifQ","HWKREPORT-2209")</f>
        <v>HWKREPORT-2209</v>
      </c>
      <c r="C1234" s="1" t="s">
        <v>2463</v>
      </c>
      <c r="D1234" s="1" t="s">
        <v>48</v>
      </c>
      <c r="E1234" s="1" t="s">
        <v>35</v>
      </c>
      <c r="F1234" s="4">
        <v>45114.44482638889</v>
      </c>
      <c r="G1234" s="3" t="str">
        <f>HYPERLINK("https://hawk-eye.atlassian.net/browse/CTK-136?atlOrigin=eyJpIjoiYzgwYTQ0ZjEyNzQzNGJhN2JmNjEyZTM0NmRhZWZhNjIiLCJwIjoic2hlZXRzLWppcmEifQ","CTK-136")</f>
        <v>CTK-136</v>
      </c>
      <c r="H1234" s="1" t="s">
        <v>1058</v>
      </c>
      <c r="I1234" s="1" t="s">
        <v>1082</v>
      </c>
      <c r="J1234" s="1" t="s">
        <v>26</v>
      </c>
      <c r="K1234" s="1" t="s">
        <v>1083</v>
      </c>
      <c r="L1234" s="1" t="s">
        <v>26</v>
      </c>
      <c r="M1234" s="1" t="s">
        <v>27</v>
      </c>
      <c r="N1234" s="1" t="s">
        <v>26</v>
      </c>
      <c r="O1234" s="1" t="s">
        <v>26</v>
      </c>
      <c r="P1234" s="4">
        <v>45252.400925925926</v>
      </c>
    </row>
    <row r="1235" hidden="1">
      <c r="A1235" s="1" t="s">
        <v>21</v>
      </c>
      <c r="B1235" s="3" t="str">
        <f>HYPERLINK("https://hawk-eye.atlassian.net/browse/HWKREPORT-2210?atlOrigin=eyJpIjoiYzgwYTQ0ZjEyNzQzNGJhN2JmNjEyZTM0NmRhZWZhNjIiLCJwIjoic2hlZXRzLWppcmEifQ","HWKREPORT-2210")</f>
        <v>HWKREPORT-2210</v>
      </c>
      <c r="C1235" s="1" t="s">
        <v>2464</v>
      </c>
      <c r="D1235" s="1" t="s">
        <v>34</v>
      </c>
      <c r="E1235" s="1" t="s">
        <v>35</v>
      </c>
      <c r="F1235" s="4">
        <v>45117.98302083334</v>
      </c>
      <c r="G1235" s="3" t="str">
        <f>HYPERLINK("https://hawk-eye.atlassian.net/browse/CORE-223?atlOrigin=eyJpIjoiYzgwYTQ0ZjEyNzQzNGJhN2JmNjEyZTM0NmRhZWZhNjIiLCJwIjoic2hlZXRzLWppcmEifQ","CORE-223")</f>
        <v>CORE-223</v>
      </c>
      <c r="H1235" s="1" t="s">
        <v>1058</v>
      </c>
      <c r="I1235" s="1" t="s">
        <v>1071</v>
      </c>
      <c r="J1235" s="1" t="s">
        <v>26</v>
      </c>
      <c r="K1235" s="1" t="s">
        <v>1116</v>
      </c>
      <c r="L1235" s="1" t="s">
        <v>26</v>
      </c>
      <c r="M1235" s="1" t="s">
        <v>27</v>
      </c>
      <c r="N1235" s="1" t="s">
        <v>26</v>
      </c>
      <c r="O1235" s="1" t="s">
        <v>26</v>
      </c>
      <c r="P1235" s="4">
        <v>45155.49466435185</v>
      </c>
    </row>
    <row r="1236" hidden="1">
      <c r="A1236" s="1" t="s">
        <v>21</v>
      </c>
      <c r="B1236" s="3" t="str">
        <f>HYPERLINK("https://hawk-eye.atlassian.net/browse/HWKREPORT-2211?atlOrigin=eyJpIjoiYzgwYTQ0ZjEyNzQzNGJhN2JmNjEyZTM0NmRhZWZhNjIiLCJwIjoic2hlZXRzLWppcmEifQ","HWKREPORT-2211")</f>
        <v>HWKREPORT-2211</v>
      </c>
      <c r="C1236" s="1" t="s">
        <v>2465</v>
      </c>
      <c r="D1236" s="1" t="s">
        <v>23</v>
      </c>
      <c r="E1236" s="1" t="s">
        <v>1207</v>
      </c>
      <c r="F1236" s="4">
        <v>45119.64607638889</v>
      </c>
      <c r="G1236" s="3" t="str">
        <f>HYPERLINK("https://hawk-eye.atlassian.net/browse/RTT-6718?atlOrigin=eyJpIjoiYzgwYTQ0ZjEyNzQzNGJhN2JmNjEyZTM0NmRhZWZhNjIiLCJwIjoic2hlZXRzLWppcmEifQ","RTT-6718")</f>
        <v>RTT-6718</v>
      </c>
      <c r="H1236" s="1" t="s">
        <v>1058</v>
      </c>
      <c r="I1236" s="1" t="s">
        <v>1071</v>
      </c>
      <c r="J1236" s="1" t="s">
        <v>26</v>
      </c>
      <c r="K1236" s="1" t="s">
        <v>1072</v>
      </c>
      <c r="L1236" s="1" t="s">
        <v>26</v>
      </c>
      <c r="M1236" s="1" t="s">
        <v>27</v>
      </c>
      <c r="N1236" s="1" t="s">
        <v>26</v>
      </c>
      <c r="O1236" s="1" t="s">
        <v>26</v>
      </c>
      <c r="P1236" s="4">
        <v>45162.77478009259</v>
      </c>
    </row>
    <row r="1237" hidden="1">
      <c r="A1237" s="1" t="s">
        <v>1055</v>
      </c>
      <c r="B1237" s="3" t="str">
        <f>HYPERLINK("https://hawk-eye.atlassian.net/browse/HWKREPORT-2212?atlOrigin=eyJpIjoiYzgwYTQ0ZjEyNzQzNGJhN2JmNjEyZTM0NmRhZWZhNjIiLCJwIjoic2hlZXRzLWppcmEifQ","HWKREPORT-2212")</f>
        <v>HWKREPORT-2212</v>
      </c>
      <c r="C1237" s="1" t="s">
        <v>2466</v>
      </c>
      <c r="D1237" s="1" t="s">
        <v>48</v>
      </c>
      <c r="E1237" s="1" t="s">
        <v>35</v>
      </c>
      <c r="F1237" s="4">
        <v>45119.717685185184</v>
      </c>
      <c r="G1237" s="3" t="str">
        <f>HYPERLINK("https://hawk-eye.atlassian.net/issues/?atlOrigin=eyJpIjoiYzgwYTQ0ZjEyNzQzNGJhN2JmNjEyZTM0NmRhZWZhNjIiLCJwIjoic2hlZXRzLWppcmEifQ&amp;jql=key+in+%28RTT-6679%2CRTT-6680%29","RTT-6679;RTT-6680")</f>
        <v>RTT-6679;RTT-6680</v>
      </c>
      <c r="H1237" s="1" t="s">
        <v>1058</v>
      </c>
      <c r="I1237" s="1" t="s">
        <v>1085</v>
      </c>
      <c r="J1237" s="1" t="s">
        <v>26</v>
      </c>
      <c r="K1237" s="1" t="s">
        <v>1072</v>
      </c>
      <c r="L1237" s="1" t="s">
        <v>26</v>
      </c>
      <c r="M1237" s="1" t="s">
        <v>27</v>
      </c>
      <c r="N1237" s="1" t="s">
        <v>26</v>
      </c>
      <c r="O1237" s="1" t="s">
        <v>26</v>
      </c>
      <c r="P1237" s="4">
        <v>45180.703148148146</v>
      </c>
    </row>
    <row r="1238" hidden="1">
      <c r="A1238" s="1" t="s">
        <v>1055</v>
      </c>
      <c r="B1238" s="3" t="str">
        <f>HYPERLINK("https://hawk-eye.atlassian.net/browse/HWKREPORT-2213?atlOrigin=eyJpIjoiYzgwYTQ0ZjEyNzQzNGJhN2JmNjEyZTM0NmRhZWZhNjIiLCJwIjoic2hlZXRzLWppcmEifQ","HWKREPORT-2213")</f>
        <v>HWKREPORT-2213</v>
      </c>
      <c r="C1238" s="1" t="s">
        <v>2467</v>
      </c>
      <c r="D1238" s="1" t="s">
        <v>48</v>
      </c>
      <c r="E1238" s="1" t="s">
        <v>1207</v>
      </c>
      <c r="F1238" s="4">
        <v>45120.70523148148</v>
      </c>
      <c r="G1238" s="3" t="str">
        <f>HYPERLINK("https://hawk-eye.atlassian.net/browse/RTT-6702?atlOrigin=eyJpIjoiYzgwYTQ0ZjEyNzQzNGJhN2JmNjEyZTM0NmRhZWZhNjIiLCJwIjoic2hlZXRzLWppcmEifQ","RTT-6702")</f>
        <v>RTT-6702</v>
      </c>
      <c r="H1238" s="1" t="s">
        <v>1058</v>
      </c>
      <c r="I1238" s="1" t="s">
        <v>1082</v>
      </c>
      <c r="J1238" s="1" t="s">
        <v>26</v>
      </c>
      <c r="K1238" s="1" t="s">
        <v>1247</v>
      </c>
      <c r="L1238" s="1" t="s">
        <v>26</v>
      </c>
      <c r="M1238" s="1" t="s">
        <v>27</v>
      </c>
      <c r="N1238" s="1" t="s">
        <v>26</v>
      </c>
      <c r="O1238" s="1" t="s">
        <v>26</v>
      </c>
      <c r="P1238" s="4">
        <v>45155.49208333333</v>
      </c>
    </row>
    <row r="1239" hidden="1">
      <c r="A1239" s="1" t="s">
        <v>1055</v>
      </c>
      <c r="B1239" s="3" t="str">
        <f>HYPERLINK("https://hawk-eye.atlassian.net/browse/HWKREPORT-2214?atlOrigin=eyJpIjoiYzgwYTQ0ZjEyNzQzNGJhN2JmNjEyZTM0NmRhZWZhNjIiLCJwIjoic2hlZXRzLWppcmEifQ","HWKREPORT-2214")</f>
        <v>HWKREPORT-2214</v>
      </c>
      <c r="C1239" s="1" t="s">
        <v>2468</v>
      </c>
      <c r="D1239" s="1" t="s">
        <v>48</v>
      </c>
      <c r="E1239" s="1" t="s">
        <v>1057</v>
      </c>
      <c r="F1239" s="4">
        <v>45120.81116898148</v>
      </c>
      <c r="G1239" s="3" t="str">
        <f>HYPERLINK("https://hawk-eye.atlassian.net/browse/?atlOrigin=eyJpIjoiYzgwYTQ0ZjEyNzQzNGJhN2JmNjEyZTM0NmRhZWZhNjIiLCJwIjoic2hlZXRzLWppcmEifQ","")</f>
        <v/>
      </c>
      <c r="H1239" s="1" t="s">
        <v>1058</v>
      </c>
      <c r="I1239" s="1" t="s">
        <v>1126</v>
      </c>
      <c r="J1239" s="1" t="s">
        <v>26</v>
      </c>
      <c r="K1239" s="1" t="s">
        <v>1134</v>
      </c>
      <c r="L1239" s="1" t="s">
        <v>26</v>
      </c>
      <c r="M1239" s="1" t="s">
        <v>27</v>
      </c>
      <c r="N1239" s="1" t="s">
        <v>26</v>
      </c>
      <c r="O1239" s="1" t="s">
        <v>26</v>
      </c>
      <c r="P1239" s="4">
        <v>45120.81118055555</v>
      </c>
    </row>
    <row r="1240" hidden="1">
      <c r="A1240" s="1" t="s">
        <v>21</v>
      </c>
      <c r="B1240" s="3" t="str">
        <f>HYPERLINK("https://hawk-eye.atlassian.net/browse/HWKREPORT-2215?atlOrigin=eyJpIjoiYzgwYTQ0ZjEyNzQzNGJhN2JmNjEyZTM0NmRhZWZhNjIiLCJwIjoic2hlZXRzLWppcmEifQ","HWKREPORT-2215")</f>
        <v>HWKREPORT-2215</v>
      </c>
      <c r="C1240" s="1" t="s">
        <v>2469</v>
      </c>
      <c r="D1240" s="1" t="s">
        <v>23</v>
      </c>
      <c r="E1240" s="1" t="s">
        <v>1207</v>
      </c>
      <c r="F1240" s="4">
        <v>45121.36861111111</v>
      </c>
      <c r="G1240" s="3" t="str">
        <f>HYPERLINK("https://hawk-eye.atlassian.net/browse/RTT-6695?atlOrigin=eyJpIjoiYzgwYTQ0ZjEyNzQzNGJhN2JmNjEyZTM0NmRhZWZhNjIiLCJwIjoic2hlZXRzLWppcmEifQ","RTT-6695")</f>
        <v>RTT-6695</v>
      </c>
      <c r="H1240" s="1" t="s">
        <v>1058</v>
      </c>
      <c r="I1240" s="1" t="s">
        <v>1085</v>
      </c>
      <c r="J1240" s="1" t="s">
        <v>26</v>
      </c>
      <c r="K1240" s="1" t="s">
        <v>1072</v>
      </c>
      <c r="L1240" s="1" t="s">
        <v>26</v>
      </c>
      <c r="M1240" s="1" t="s">
        <v>27</v>
      </c>
      <c r="N1240" s="1" t="s">
        <v>26</v>
      </c>
      <c r="O1240" s="1" t="s">
        <v>26</v>
      </c>
      <c r="P1240" s="4">
        <v>45139.486805555556</v>
      </c>
    </row>
    <row r="1241" hidden="1">
      <c r="A1241" s="1" t="s">
        <v>21</v>
      </c>
      <c r="B1241" s="3" t="str">
        <f>HYPERLINK("https://hawk-eye.atlassian.net/browse/HWKREPORT-2216?atlOrigin=eyJpIjoiYzgwYTQ0ZjEyNzQzNGJhN2JmNjEyZTM0NmRhZWZhNjIiLCJwIjoic2hlZXRzLWppcmEifQ","HWKREPORT-2216")</f>
        <v>HWKREPORT-2216</v>
      </c>
      <c r="C1241" s="1" t="s">
        <v>2470</v>
      </c>
      <c r="D1241" s="1" t="s">
        <v>34</v>
      </c>
      <c r="E1241" s="1" t="s">
        <v>1207</v>
      </c>
      <c r="F1241" s="4">
        <v>45121.37416666667</v>
      </c>
      <c r="G1241" s="3" t="str">
        <f>HYPERLINK("https://hawk-eye.atlassian.net/browse/RTT-6696?atlOrigin=eyJpIjoiYzgwYTQ0ZjEyNzQzNGJhN2JmNjEyZTM0NmRhZWZhNjIiLCJwIjoic2hlZXRzLWppcmEifQ","RTT-6696")</f>
        <v>RTT-6696</v>
      </c>
      <c r="H1241" s="1" t="s">
        <v>1058</v>
      </c>
      <c r="I1241" s="1" t="s">
        <v>1085</v>
      </c>
      <c r="J1241" s="1" t="s">
        <v>26</v>
      </c>
      <c r="K1241" s="1" t="s">
        <v>1072</v>
      </c>
      <c r="L1241" s="1" t="s">
        <v>26</v>
      </c>
      <c r="M1241" s="1" t="s">
        <v>27</v>
      </c>
      <c r="N1241" s="1" t="s">
        <v>26</v>
      </c>
      <c r="O1241" s="1" t="s">
        <v>26</v>
      </c>
      <c r="P1241" s="4">
        <v>45164.0371875</v>
      </c>
    </row>
    <row r="1242" hidden="1">
      <c r="A1242" s="1" t="s">
        <v>21</v>
      </c>
      <c r="B1242" s="3" t="str">
        <f>HYPERLINK("https://hawk-eye.atlassian.net/browse/HWKREPORT-2217?atlOrigin=eyJpIjoiYzgwYTQ0ZjEyNzQzNGJhN2JmNjEyZTM0NmRhZWZhNjIiLCJwIjoic2hlZXRzLWppcmEifQ","HWKREPORT-2217")</f>
        <v>HWKREPORT-2217</v>
      </c>
      <c r="C1242" s="1" t="s">
        <v>2471</v>
      </c>
      <c r="D1242" s="1" t="s">
        <v>23</v>
      </c>
      <c r="E1242" s="1" t="s">
        <v>35</v>
      </c>
      <c r="F1242" s="4">
        <v>45121.91150462963</v>
      </c>
      <c r="G1242" s="3" t="str">
        <f>HYPERLINK("https://hawk-eye.atlassian.net/browse/RTT-6719?atlOrigin=eyJpIjoiYzgwYTQ0ZjEyNzQzNGJhN2JmNjEyZTM0NmRhZWZhNjIiLCJwIjoic2hlZXRzLWppcmEifQ","RTT-6719")</f>
        <v>RTT-6719</v>
      </c>
      <c r="H1242" s="1" t="s">
        <v>1058</v>
      </c>
      <c r="I1242" s="1" t="s">
        <v>1071</v>
      </c>
      <c r="J1242" s="1" t="s">
        <v>26</v>
      </c>
      <c r="K1242" s="1" t="s">
        <v>1072</v>
      </c>
      <c r="L1242" s="1" t="s">
        <v>26</v>
      </c>
      <c r="M1242" s="1" t="s">
        <v>27</v>
      </c>
      <c r="N1242" s="1" t="s">
        <v>26</v>
      </c>
      <c r="O1242" s="1" t="s">
        <v>26</v>
      </c>
      <c r="P1242" s="4">
        <v>45190.70048611111</v>
      </c>
    </row>
    <row r="1243" hidden="1">
      <c r="A1243" s="1" t="s">
        <v>21</v>
      </c>
      <c r="B1243" s="3" t="str">
        <f>HYPERLINK("https://hawk-eye.atlassian.net/browse/HWKREPORT-2218?atlOrigin=eyJpIjoiYzgwYTQ0ZjEyNzQzNGJhN2JmNjEyZTM0NmRhZWZhNjIiLCJwIjoic2hlZXRzLWppcmEifQ","HWKREPORT-2218")</f>
        <v>HWKREPORT-2218</v>
      </c>
      <c r="C1243" s="1" t="s">
        <v>2472</v>
      </c>
      <c r="D1243" s="1" t="s">
        <v>34</v>
      </c>
      <c r="E1243" s="1" t="s">
        <v>1207</v>
      </c>
      <c r="F1243" s="4">
        <v>45122.043333333335</v>
      </c>
      <c r="G1243" s="3" t="str">
        <f>HYPERLINK("https://hawk-eye.atlassian.net/browse/RTT-6727?atlOrigin=eyJpIjoiYzgwYTQ0ZjEyNzQzNGJhN2JmNjEyZTM0NmRhZWZhNjIiLCJwIjoic2hlZXRzLWppcmEifQ","RTT-6727")</f>
        <v>RTT-6727</v>
      </c>
      <c r="H1243" s="1" t="s">
        <v>1058</v>
      </c>
      <c r="I1243" s="1" t="s">
        <v>1071</v>
      </c>
      <c r="J1243" s="1" t="s">
        <v>26</v>
      </c>
      <c r="K1243" s="1" t="s">
        <v>1312</v>
      </c>
      <c r="L1243" s="1" t="s">
        <v>26</v>
      </c>
      <c r="M1243" s="1" t="s">
        <v>27</v>
      </c>
      <c r="N1243" s="1" t="s">
        <v>26</v>
      </c>
      <c r="O1243" s="1" t="s">
        <v>26</v>
      </c>
      <c r="P1243" s="4">
        <v>45176.65824074074</v>
      </c>
    </row>
    <row r="1244" hidden="1">
      <c r="A1244" s="1" t="s">
        <v>21</v>
      </c>
      <c r="B1244" s="3" t="str">
        <f>HYPERLINK("https://hawk-eye.atlassian.net/browse/HWKREPORT-2219?atlOrigin=eyJpIjoiYzgwYTQ0ZjEyNzQzNGJhN2JmNjEyZTM0NmRhZWZhNjIiLCJwIjoic2hlZXRzLWppcmEifQ","HWKREPORT-2219")</f>
        <v>HWKREPORT-2219</v>
      </c>
      <c r="C1244" s="1" t="s">
        <v>2473</v>
      </c>
      <c r="D1244" s="1" t="s">
        <v>23</v>
      </c>
      <c r="E1244" s="1" t="s">
        <v>35</v>
      </c>
      <c r="F1244" s="4">
        <v>45124.419386574074</v>
      </c>
      <c r="G1244" s="3" t="str">
        <f>HYPERLINK("https://hawk-eye.atlassian.net/browse/CTK-137?atlOrigin=eyJpIjoiYzgwYTQ0ZjEyNzQzNGJhN2JmNjEyZTM0NmRhZWZhNjIiLCJwIjoic2hlZXRzLWppcmEifQ","CTK-137")</f>
        <v>CTK-137</v>
      </c>
      <c r="H1244" s="1" t="s">
        <v>1058</v>
      </c>
      <c r="I1244" s="1" t="s">
        <v>1082</v>
      </c>
      <c r="J1244" s="1" t="s">
        <v>26</v>
      </c>
      <c r="K1244" s="1" t="s">
        <v>1083</v>
      </c>
      <c r="L1244" s="1" t="s">
        <v>26</v>
      </c>
      <c r="M1244" s="1" t="s">
        <v>27</v>
      </c>
      <c r="N1244" s="1" t="s">
        <v>26</v>
      </c>
      <c r="O1244" s="1" t="s">
        <v>26</v>
      </c>
      <c r="P1244" s="4">
        <v>45252.40167824074</v>
      </c>
    </row>
    <row r="1245" hidden="1">
      <c r="A1245" s="1" t="s">
        <v>21</v>
      </c>
      <c r="B1245" s="3" t="str">
        <f>HYPERLINK("https://hawk-eye.atlassian.net/browse/HWKREPORT-2220?atlOrigin=eyJpIjoiYzgwYTQ0ZjEyNzQzNGJhN2JmNjEyZTM0NmRhZWZhNjIiLCJwIjoic2hlZXRzLWppcmEifQ","HWKREPORT-2220")</f>
        <v>HWKREPORT-2220</v>
      </c>
      <c r="C1245" s="1" t="s">
        <v>2474</v>
      </c>
      <c r="D1245" s="1" t="s">
        <v>34</v>
      </c>
      <c r="E1245" s="1" t="s">
        <v>1207</v>
      </c>
      <c r="F1245" s="4">
        <v>45124.443819444445</v>
      </c>
      <c r="G1245" s="3" t="str">
        <f>HYPERLINK("https://hawk-eye.atlassian.net/browse/RTT-6703?atlOrigin=eyJpIjoiYzgwYTQ0ZjEyNzQzNGJhN2JmNjEyZTM0NmRhZWZhNjIiLCJwIjoic2hlZXRzLWppcmEifQ","RTT-6703")</f>
        <v>RTT-6703</v>
      </c>
      <c r="H1245" s="1" t="s">
        <v>1058</v>
      </c>
      <c r="I1245" s="1" t="s">
        <v>1126</v>
      </c>
      <c r="J1245" s="1" t="s">
        <v>26</v>
      </c>
      <c r="K1245" s="1" t="s">
        <v>1251</v>
      </c>
      <c r="L1245" s="1" t="s">
        <v>26</v>
      </c>
      <c r="M1245" s="1" t="s">
        <v>27</v>
      </c>
      <c r="N1245" s="1" t="s">
        <v>26</v>
      </c>
      <c r="O1245" s="1" t="s">
        <v>26</v>
      </c>
      <c r="P1245" s="4">
        <v>45139.4012037037</v>
      </c>
    </row>
    <row r="1246" hidden="1">
      <c r="A1246" s="1" t="s">
        <v>1055</v>
      </c>
      <c r="B1246" s="3" t="str">
        <f>HYPERLINK("https://hawk-eye.atlassian.net/browse/HWKREPORT-2221?atlOrigin=eyJpIjoiYzgwYTQ0ZjEyNzQzNGJhN2JmNjEyZTM0NmRhZWZhNjIiLCJwIjoic2hlZXRzLWppcmEifQ","HWKREPORT-2221")</f>
        <v>HWKREPORT-2221</v>
      </c>
      <c r="C1246" s="1" t="s">
        <v>2475</v>
      </c>
      <c r="D1246" s="1" t="s">
        <v>48</v>
      </c>
      <c r="E1246" s="1" t="s">
        <v>35</v>
      </c>
      <c r="F1246" s="4">
        <v>45124.48479166667</v>
      </c>
      <c r="G1246" s="3" t="str">
        <f>HYPERLINK("https://hawk-eye.atlassian.net/browse/CTK-138?atlOrigin=eyJpIjoiYzgwYTQ0ZjEyNzQzNGJhN2JmNjEyZTM0NmRhZWZhNjIiLCJwIjoic2hlZXRzLWppcmEifQ","CTK-138")</f>
        <v>CTK-138</v>
      </c>
      <c r="H1246" s="1" t="s">
        <v>1058</v>
      </c>
      <c r="I1246" s="1" t="s">
        <v>1082</v>
      </c>
      <c r="J1246" s="1" t="s">
        <v>26</v>
      </c>
      <c r="K1246" s="1" t="s">
        <v>1083</v>
      </c>
      <c r="L1246" s="1" t="s">
        <v>26</v>
      </c>
      <c r="M1246" s="1" t="s">
        <v>27</v>
      </c>
      <c r="N1246" s="1" t="s">
        <v>26</v>
      </c>
      <c r="O1246" s="1" t="s">
        <v>26</v>
      </c>
      <c r="P1246" s="4">
        <v>45252.40094907407</v>
      </c>
    </row>
    <row r="1247" hidden="1">
      <c r="A1247" s="1" t="s">
        <v>1055</v>
      </c>
      <c r="B1247" s="3" t="str">
        <f>HYPERLINK("https://hawk-eye.atlassian.net/browse/HWKREPORT-2222?atlOrigin=eyJpIjoiYzgwYTQ0ZjEyNzQzNGJhN2JmNjEyZTM0NmRhZWZhNjIiLCJwIjoic2hlZXRzLWppcmEifQ","HWKREPORT-2222")</f>
        <v>HWKREPORT-2222</v>
      </c>
      <c r="C1247" s="1" t="s">
        <v>2476</v>
      </c>
      <c r="D1247" s="1" t="s">
        <v>48</v>
      </c>
      <c r="E1247" s="1" t="s">
        <v>35</v>
      </c>
      <c r="F1247" s="4">
        <v>45124.65480324074</v>
      </c>
      <c r="G1247" s="3" t="str">
        <f>HYPERLINK("https://hawk-eye.atlassian.net/browse/RTT-6704?atlOrigin=eyJpIjoiYzgwYTQ0ZjEyNzQzNGJhN2JmNjEyZTM0NmRhZWZhNjIiLCJwIjoic2hlZXRzLWppcmEifQ","RTT-6704")</f>
        <v>RTT-6704</v>
      </c>
      <c r="H1247" s="1" t="s">
        <v>1058</v>
      </c>
      <c r="I1247" s="1" t="s">
        <v>2477</v>
      </c>
      <c r="J1247" s="1" t="s">
        <v>26</v>
      </c>
      <c r="K1247" s="1" t="s">
        <v>1072</v>
      </c>
      <c r="L1247" s="1" t="s">
        <v>26</v>
      </c>
      <c r="M1247" s="1" t="s">
        <v>27</v>
      </c>
      <c r="N1247" s="1" t="s">
        <v>26</v>
      </c>
      <c r="O1247" s="1" t="s">
        <v>26</v>
      </c>
      <c r="P1247" s="4">
        <v>45524.72993055556</v>
      </c>
    </row>
    <row r="1248" hidden="1">
      <c r="A1248" s="1" t="s">
        <v>21</v>
      </c>
      <c r="B1248" s="3" t="str">
        <f>HYPERLINK("https://hawk-eye.atlassian.net/browse/HWKREPORT-2223?atlOrigin=eyJpIjoiYzgwYTQ0ZjEyNzQzNGJhN2JmNjEyZTM0NmRhZWZhNjIiLCJwIjoic2hlZXRzLWppcmEifQ","HWKREPORT-2223")</f>
        <v>HWKREPORT-2223</v>
      </c>
      <c r="C1248" s="1" t="s">
        <v>2478</v>
      </c>
      <c r="D1248" s="1" t="s">
        <v>34</v>
      </c>
      <c r="E1248" s="1" t="s">
        <v>1207</v>
      </c>
      <c r="F1248" s="4">
        <v>45124.77560185185</v>
      </c>
      <c r="G1248" s="3" t="str">
        <f>HYPERLINK("https://hawk-eye.atlassian.net/browse/AL-883?atlOrigin=eyJpIjoiYzgwYTQ0ZjEyNzQzNGJhN2JmNjEyZTM0NmRhZWZhNjIiLCJwIjoic2hlZXRzLWppcmEifQ","AL-883")</f>
        <v>AL-883</v>
      </c>
      <c r="H1248" s="1" t="s">
        <v>1058</v>
      </c>
      <c r="I1248" s="1" t="s">
        <v>1071</v>
      </c>
      <c r="J1248" s="1" t="s">
        <v>26</v>
      </c>
      <c r="K1248" s="1" t="s">
        <v>1143</v>
      </c>
      <c r="L1248" s="1" t="s">
        <v>26</v>
      </c>
      <c r="M1248" s="1" t="s">
        <v>27</v>
      </c>
      <c r="N1248" s="1" t="s">
        <v>26</v>
      </c>
      <c r="O1248" s="1" t="s">
        <v>26</v>
      </c>
      <c r="P1248" s="4">
        <v>45128.39244212963</v>
      </c>
    </row>
    <row r="1249" hidden="1">
      <c r="A1249" s="1" t="s">
        <v>21</v>
      </c>
      <c r="B1249" s="3" t="str">
        <f>HYPERLINK("https://hawk-eye.atlassian.net/browse/HWKREPORT-2224?atlOrigin=eyJpIjoiYzgwYTQ0ZjEyNzQzNGJhN2JmNjEyZTM0NmRhZWZhNjIiLCJwIjoic2hlZXRzLWppcmEifQ","HWKREPORT-2224")</f>
        <v>HWKREPORT-2224</v>
      </c>
      <c r="C1249" s="1" t="s">
        <v>2479</v>
      </c>
      <c r="D1249" s="1" t="s">
        <v>23</v>
      </c>
      <c r="E1249" s="1" t="s">
        <v>1057</v>
      </c>
      <c r="F1249" s="4">
        <v>45124.83561342592</v>
      </c>
      <c r="G1249" s="3" t="str">
        <f>HYPERLINK("https://hawk-eye.atlassian.net/browse/?atlOrigin=eyJpIjoiYzgwYTQ0ZjEyNzQzNGJhN2JmNjEyZTM0NmRhZWZhNjIiLCJwIjoic2hlZXRzLWppcmEifQ","")</f>
        <v/>
      </c>
      <c r="H1249" s="1" t="s">
        <v>1058</v>
      </c>
      <c r="I1249" s="1" t="s">
        <v>1071</v>
      </c>
      <c r="J1249" s="1" t="s">
        <v>26</v>
      </c>
      <c r="K1249" s="1" t="s">
        <v>1312</v>
      </c>
      <c r="L1249" s="1" t="s">
        <v>26</v>
      </c>
      <c r="M1249" s="1" t="s">
        <v>27</v>
      </c>
      <c r="N1249" s="1" t="s">
        <v>26</v>
      </c>
      <c r="O1249" s="1" t="s">
        <v>26</v>
      </c>
      <c r="P1249" s="4">
        <v>45124.835625</v>
      </c>
    </row>
    <row r="1250" hidden="1">
      <c r="A1250" s="1" t="s">
        <v>1055</v>
      </c>
      <c r="B1250" s="3" t="str">
        <f>HYPERLINK("https://hawk-eye.atlassian.net/browse/HWKREPORT-2225?atlOrigin=eyJpIjoiYzgwYTQ0ZjEyNzQzNGJhN2JmNjEyZTM0NmRhZWZhNjIiLCJwIjoic2hlZXRzLWppcmEifQ","HWKREPORT-2225")</f>
        <v>HWKREPORT-2225</v>
      </c>
      <c r="C1250" s="1" t="s">
        <v>2480</v>
      </c>
      <c r="D1250" s="1" t="s">
        <v>48</v>
      </c>
      <c r="E1250" s="1" t="s">
        <v>35</v>
      </c>
      <c r="F1250" s="4">
        <v>45125.66869212963</v>
      </c>
      <c r="G1250" s="3" t="str">
        <f>HYPERLINK("https://hawk-eye.atlassian.net/browse/CORE-226?atlOrigin=eyJpIjoiYzgwYTQ0ZjEyNzQzNGJhN2JmNjEyZTM0NmRhZWZhNjIiLCJwIjoic2hlZXRzLWppcmEifQ","CORE-226")</f>
        <v>CORE-226</v>
      </c>
      <c r="H1250" s="1" t="s">
        <v>1058</v>
      </c>
      <c r="I1250" s="1" t="s">
        <v>1085</v>
      </c>
      <c r="J1250" s="1" t="s">
        <v>26</v>
      </c>
      <c r="K1250" s="1" t="s">
        <v>2481</v>
      </c>
      <c r="L1250" s="1" t="s">
        <v>26</v>
      </c>
      <c r="M1250" s="1" t="s">
        <v>27</v>
      </c>
      <c r="N1250" s="1" t="s">
        <v>26</v>
      </c>
      <c r="O1250" s="1" t="s">
        <v>26</v>
      </c>
      <c r="P1250" s="4">
        <v>45189.65771990741</v>
      </c>
    </row>
    <row r="1251" hidden="1">
      <c r="A1251" s="1" t="s">
        <v>1055</v>
      </c>
      <c r="B1251" s="3" t="str">
        <f>HYPERLINK("https://hawk-eye.atlassian.net/browse/HWKREPORT-2226?atlOrigin=eyJpIjoiYzgwYTQ0ZjEyNzQzNGJhN2JmNjEyZTM0NmRhZWZhNjIiLCJwIjoic2hlZXRzLWppcmEifQ","HWKREPORT-2226")</f>
        <v>HWKREPORT-2226</v>
      </c>
      <c r="C1251" s="1" t="s">
        <v>2482</v>
      </c>
      <c r="D1251" s="1" t="s">
        <v>48</v>
      </c>
      <c r="E1251" s="1" t="s">
        <v>35</v>
      </c>
      <c r="F1251" s="4">
        <v>45126.45552083333</v>
      </c>
      <c r="G1251" s="3" t="str">
        <f>HYPERLINK("https://hawk-eye.atlassian.net/browse/RTT-6729?atlOrigin=eyJpIjoiYzgwYTQ0ZjEyNzQzNGJhN2JmNjEyZTM0NmRhZWZhNjIiLCJwIjoic2hlZXRzLWppcmEifQ","RTT-6729")</f>
        <v>RTT-6729</v>
      </c>
      <c r="H1251" s="1" t="s">
        <v>1058</v>
      </c>
      <c r="I1251" s="1" t="s">
        <v>1085</v>
      </c>
      <c r="J1251" s="1" t="s">
        <v>26</v>
      </c>
      <c r="K1251" s="1" t="s">
        <v>1312</v>
      </c>
      <c r="L1251" s="1" t="s">
        <v>26</v>
      </c>
      <c r="M1251" s="1" t="s">
        <v>27</v>
      </c>
      <c r="N1251" s="1" t="s">
        <v>26</v>
      </c>
      <c r="O1251" s="1" t="s">
        <v>26</v>
      </c>
      <c r="P1251" s="4">
        <v>45130.93059027778</v>
      </c>
    </row>
    <row r="1252" hidden="1">
      <c r="A1252" s="1" t="s">
        <v>1055</v>
      </c>
      <c r="B1252" s="3" t="str">
        <f>HYPERLINK("https://hawk-eye.atlassian.net/browse/HWKREPORT-2227?atlOrigin=eyJpIjoiYzgwYTQ0ZjEyNzQzNGJhN2JmNjEyZTM0NmRhZWZhNjIiLCJwIjoic2hlZXRzLWppcmEifQ","HWKREPORT-2227")</f>
        <v>HWKREPORT-2227</v>
      </c>
      <c r="C1252" s="1" t="s">
        <v>2483</v>
      </c>
      <c r="D1252" s="1" t="s">
        <v>48</v>
      </c>
      <c r="E1252" s="1" t="s">
        <v>35</v>
      </c>
      <c r="F1252" s="4">
        <v>45127.50550925926</v>
      </c>
      <c r="G1252" s="3" t="str">
        <f t="shared" ref="G1252:G1253" si="113">HYPERLINK("https://hawk-eye.atlassian.net/browse/?atlOrigin=eyJpIjoiYzgwYTQ0ZjEyNzQzNGJhN2JmNjEyZTM0NmRhZWZhNjIiLCJwIjoic2hlZXRzLWppcmEifQ","")</f>
        <v/>
      </c>
      <c r="H1252" s="1" t="s">
        <v>1058</v>
      </c>
      <c r="I1252" s="1" t="s">
        <v>1082</v>
      </c>
      <c r="J1252" s="1" t="s">
        <v>26</v>
      </c>
      <c r="K1252" s="1" t="s">
        <v>1148</v>
      </c>
      <c r="L1252" s="1" t="s">
        <v>26</v>
      </c>
      <c r="M1252" s="1" t="s">
        <v>27</v>
      </c>
      <c r="N1252" s="1" t="s">
        <v>26</v>
      </c>
      <c r="O1252" s="1" t="s">
        <v>26</v>
      </c>
      <c r="P1252" s="4">
        <v>45142.575104166666</v>
      </c>
    </row>
    <row r="1253" hidden="1">
      <c r="A1253" s="1" t="s">
        <v>1055</v>
      </c>
      <c r="B1253" s="3" t="str">
        <f>HYPERLINK("https://hawk-eye.atlassian.net/browse/HWKREPORT-2228?atlOrigin=eyJpIjoiYzgwYTQ0ZjEyNzQzNGJhN2JmNjEyZTM0NmRhZWZhNjIiLCJwIjoic2hlZXRzLWppcmEifQ","HWKREPORT-2228")</f>
        <v>HWKREPORT-2228</v>
      </c>
      <c r="C1253" s="1" t="s">
        <v>2484</v>
      </c>
      <c r="D1253" s="1" t="s">
        <v>48</v>
      </c>
      <c r="E1253" s="1" t="s">
        <v>35</v>
      </c>
      <c r="F1253" s="4">
        <v>45127.64487268519</v>
      </c>
      <c r="G1253" s="3" t="str">
        <f t="shared" si="113"/>
        <v/>
      </c>
      <c r="H1253" s="1" t="s">
        <v>1058</v>
      </c>
      <c r="I1253" s="1" t="s">
        <v>1082</v>
      </c>
      <c r="J1253" s="1" t="s">
        <v>26</v>
      </c>
      <c r="K1253" s="1" t="s">
        <v>1148</v>
      </c>
      <c r="L1253" s="1" t="s">
        <v>26</v>
      </c>
      <c r="M1253" s="1" t="s">
        <v>27</v>
      </c>
      <c r="N1253" s="1" t="s">
        <v>26</v>
      </c>
      <c r="O1253" s="1" t="s">
        <v>26</v>
      </c>
      <c r="P1253" s="4">
        <v>45142.575277777774</v>
      </c>
    </row>
    <row r="1254" hidden="1">
      <c r="A1254" s="1" t="s">
        <v>21</v>
      </c>
      <c r="B1254" s="3" t="str">
        <f>HYPERLINK("https://hawk-eye.atlassian.net/browse/HWKREPORT-2229?atlOrigin=eyJpIjoiYzgwYTQ0ZjEyNzQzNGJhN2JmNjEyZTM0NmRhZWZhNjIiLCJwIjoic2hlZXRzLWppcmEifQ","HWKREPORT-2229")</f>
        <v>HWKREPORT-2229</v>
      </c>
      <c r="C1254" s="1" t="s">
        <v>2485</v>
      </c>
      <c r="D1254" s="1" t="s">
        <v>40</v>
      </c>
      <c r="E1254" s="1" t="s">
        <v>35</v>
      </c>
      <c r="F1254" s="4">
        <v>45128.335011574076</v>
      </c>
      <c r="G1254" s="3" t="str">
        <f>HYPERLINK("https://hawk-eye.atlassian.net/browse/SO-916?atlOrigin=eyJpIjoiYzgwYTQ0ZjEyNzQzNGJhN2JmNjEyZTM0NmRhZWZhNjIiLCJwIjoic2hlZXRzLWppcmEifQ","SO-916")</f>
        <v>SO-916</v>
      </c>
      <c r="H1254" s="1" t="s">
        <v>1058</v>
      </c>
      <c r="I1254" s="1" t="s">
        <v>1085</v>
      </c>
      <c r="J1254" s="1" t="s">
        <v>26</v>
      </c>
      <c r="K1254" s="1" t="s">
        <v>1116</v>
      </c>
      <c r="L1254" s="1" t="s">
        <v>26</v>
      </c>
      <c r="M1254" s="1" t="s">
        <v>27</v>
      </c>
      <c r="N1254" s="1" t="s">
        <v>26</v>
      </c>
      <c r="O1254" s="1" t="s">
        <v>26</v>
      </c>
      <c r="P1254" s="4">
        <v>45128.72045138889</v>
      </c>
    </row>
    <row r="1255" hidden="1">
      <c r="A1255" s="1" t="s">
        <v>21</v>
      </c>
      <c r="B1255" s="3" t="str">
        <f>HYPERLINK("https://hawk-eye.atlassian.net/browse/HWKREPORT-2230?atlOrigin=eyJpIjoiYzgwYTQ0ZjEyNzQzNGJhN2JmNjEyZTM0NmRhZWZhNjIiLCJwIjoic2hlZXRzLWppcmEifQ","HWKREPORT-2230")</f>
        <v>HWKREPORT-2230</v>
      </c>
      <c r="C1255" s="1" t="s">
        <v>2486</v>
      </c>
      <c r="D1255" s="1" t="s">
        <v>34</v>
      </c>
      <c r="E1255" s="1" t="s">
        <v>35</v>
      </c>
      <c r="F1255" s="4">
        <v>45128.337372685186</v>
      </c>
      <c r="G1255" s="3" t="str">
        <f>HYPERLINK("https://hawk-eye.atlassian.net/browse/SO-918?atlOrigin=eyJpIjoiYzgwYTQ0ZjEyNzQzNGJhN2JmNjEyZTM0NmRhZWZhNjIiLCJwIjoic2hlZXRzLWppcmEifQ","SO-918")</f>
        <v>SO-918</v>
      </c>
      <c r="H1255" s="1" t="s">
        <v>1058</v>
      </c>
      <c r="I1255" s="1" t="s">
        <v>1085</v>
      </c>
      <c r="J1255" s="1" t="s">
        <v>26</v>
      </c>
      <c r="K1255" s="1" t="s">
        <v>1116</v>
      </c>
      <c r="L1255" s="1" t="s">
        <v>26</v>
      </c>
      <c r="M1255" s="1" t="s">
        <v>27</v>
      </c>
      <c r="N1255" s="1" t="s">
        <v>26</v>
      </c>
      <c r="O1255" s="1" t="s">
        <v>26</v>
      </c>
      <c r="P1255" s="4">
        <v>45128.72621527778</v>
      </c>
    </row>
    <row r="1256" hidden="1">
      <c r="A1256" s="1" t="s">
        <v>1055</v>
      </c>
      <c r="B1256" s="3" t="str">
        <f>HYPERLINK("https://hawk-eye.atlassian.net/browse/HWKREPORT-2231?atlOrigin=eyJpIjoiYzgwYTQ0ZjEyNzQzNGJhN2JmNjEyZTM0NmRhZWZhNjIiLCJwIjoic2hlZXRzLWppcmEifQ","HWKREPORT-2231")</f>
        <v>HWKREPORT-2231</v>
      </c>
      <c r="C1256" s="1" t="s">
        <v>2487</v>
      </c>
      <c r="D1256" s="1" t="s">
        <v>48</v>
      </c>
      <c r="E1256" s="1" t="s">
        <v>35</v>
      </c>
      <c r="F1256" s="4">
        <v>45128.349282407406</v>
      </c>
      <c r="G1256" s="3" t="str">
        <f>HYPERLINK("https://hawk-eye.atlassian.net/browse/SO-917?atlOrigin=eyJpIjoiYzgwYTQ0ZjEyNzQzNGJhN2JmNjEyZTM0NmRhZWZhNjIiLCJwIjoic2hlZXRzLWppcmEifQ","SO-917")</f>
        <v>SO-917</v>
      </c>
      <c r="H1256" s="1" t="s">
        <v>1058</v>
      </c>
      <c r="I1256" s="1" t="s">
        <v>1085</v>
      </c>
      <c r="J1256" s="1" t="s">
        <v>26</v>
      </c>
      <c r="K1256" s="1" t="s">
        <v>26</v>
      </c>
      <c r="L1256" s="1" t="s">
        <v>26</v>
      </c>
      <c r="M1256" s="1" t="s">
        <v>27</v>
      </c>
      <c r="N1256" s="1" t="s">
        <v>26</v>
      </c>
      <c r="O1256" s="1" t="s">
        <v>26</v>
      </c>
      <c r="P1256" s="4">
        <v>45128.63085648148</v>
      </c>
    </row>
    <row r="1257" hidden="1">
      <c r="A1257" s="1" t="s">
        <v>21</v>
      </c>
      <c r="B1257" s="3" t="str">
        <f>HYPERLINK("https://hawk-eye.atlassian.net/browse/HWKREPORT-2232?atlOrigin=eyJpIjoiYzgwYTQ0ZjEyNzQzNGJhN2JmNjEyZTM0NmRhZWZhNjIiLCJwIjoic2hlZXRzLWppcmEifQ","HWKREPORT-2232")</f>
        <v>HWKREPORT-2232</v>
      </c>
      <c r="C1257" s="1" t="s">
        <v>2488</v>
      </c>
      <c r="D1257" s="1" t="s">
        <v>34</v>
      </c>
      <c r="E1257" s="1" t="s">
        <v>35</v>
      </c>
      <c r="F1257" s="4">
        <v>45128.38726851852</v>
      </c>
      <c r="G1257" s="3" t="str">
        <f>HYPERLINK("https://hawk-eye.atlassian.net/browse/SO-919?atlOrigin=eyJpIjoiYzgwYTQ0ZjEyNzQzNGJhN2JmNjEyZTM0NmRhZWZhNjIiLCJwIjoic2hlZXRzLWppcmEifQ","SO-919")</f>
        <v>SO-919</v>
      </c>
      <c r="H1257" s="1" t="s">
        <v>1058</v>
      </c>
      <c r="I1257" s="1" t="s">
        <v>1085</v>
      </c>
      <c r="J1257" s="1" t="s">
        <v>26</v>
      </c>
      <c r="K1257" s="1" t="s">
        <v>1116</v>
      </c>
      <c r="L1257" s="1" t="s">
        <v>26</v>
      </c>
      <c r="M1257" s="1" t="s">
        <v>27</v>
      </c>
      <c r="N1257" s="1" t="s">
        <v>26</v>
      </c>
      <c r="O1257" s="1" t="s">
        <v>26</v>
      </c>
      <c r="P1257" s="4">
        <v>45128.72636574074</v>
      </c>
    </row>
    <row r="1258" hidden="1">
      <c r="A1258" s="1" t="s">
        <v>1055</v>
      </c>
      <c r="B1258" s="3" t="str">
        <f>HYPERLINK("https://hawk-eye.atlassian.net/browse/HWKREPORT-2233?atlOrigin=eyJpIjoiYzgwYTQ0ZjEyNzQzNGJhN2JmNjEyZTM0NmRhZWZhNjIiLCJwIjoic2hlZXRzLWppcmEifQ","HWKREPORT-2233")</f>
        <v>HWKREPORT-2233</v>
      </c>
      <c r="C1258" s="1" t="s">
        <v>2489</v>
      </c>
      <c r="D1258" s="1" t="s">
        <v>48</v>
      </c>
      <c r="E1258" s="1" t="s">
        <v>35</v>
      </c>
      <c r="F1258" s="4">
        <v>45131.09622685185</v>
      </c>
      <c r="G1258" s="3" t="str">
        <f>HYPERLINK("https://hawk-eye.atlassian.net/browse/AT-1004?atlOrigin=eyJpIjoiYzgwYTQ0ZjEyNzQzNGJhN2JmNjEyZTM0NmRhZWZhNjIiLCJwIjoic2hlZXRzLWppcmEifQ","AT-1004")</f>
        <v>AT-1004</v>
      </c>
      <c r="H1258" s="1" t="s">
        <v>1058</v>
      </c>
      <c r="I1258" s="1" t="s">
        <v>1085</v>
      </c>
      <c r="J1258" s="1" t="s">
        <v>26</v>
      </c>
      <c r="K1258" s="1" t="s">
        <v>1105</v>
      </c>
      <c r="L1258" s="1" t="s">
        <v>26</v>
      </c>
      <c r="M1258" s="1" t="s">
        <v>27</v>
      </c>
      <c r="N1258" s="1" t="s">
        <v>26</v>
      </c>
      <c r="O1258" s="1" t="s">
        <v>26</v>
      </c>
      <c r="P1258" s="4">
        <v>45153.452893518515</v>
      </c>
    </row>
    <row r="1259" hidden="1">
      <c r="A1259" s="1" t="s">
        <v>21</v>
      </c>
      <c r="B1259" s="3" t="str">
        <f>HYPERLINK("https://hawk-eye.atlassian.net/browse/HWKREPORT-2234?atlOrigin=eyJpIjoiYzgwYTQ0ZjEyNzQzNGJhN2JmNjEyZTM0NmRhZWZhNjIiLCJwIjoic2hlZXRzLWppcmEifQ","HWKREPORT-2234")</f>
        <v>HWKREPORT-2234</v>
      </c>
      <c r="C1259" s="1" t="s">
        <v>2490</v>
      </c>
      <c r="D1259" s="1" t="s">
        <v>23</v>
      </c>
      <c r="E1259" s="1" t="s">
        <v>35</v>
      </c>
      <c r="F1259" s="4">
        <v>45131.58085648148</v>
      </c>
      <c r="G1259" s="3" t="str">
        <f>HYPERLINK("https://hawk-eye.atlassian.net/browse/RTT-6760?atlOrigin=eyJpIjoiYzgwYTQ0ZjEyNzQzNGJhN2JmNjEyZTM0NmRhZWZhNjIiLCJwIjoic2hlZXRzLWppcmEifQ","RTT-6760")</f>
        <v>RTT-6760</v>
      </c>
      <c r="H1259" s="1" t="s">
        <v>1058</v>
      </c>
      <c r="I1259" s="1" t="s">
        <v>1085</v>
      </c>
      <c r="J1259" s="1" t="s">
        <v>26</v>
      </c>
      <c r="K1259" s="1" t="s">
        <v>1196</v>
      </c>
      <c r="L1259" s="1" t="s">
        <v>26</v>
      </c>
      <c r="M1259" s="1" t="s">
        <v>27</v>
      </c>
      <c r="N1259" s="1" t="s">
        <v>26</v>
      </c>
      <c r="O1259" s="1" t="s">
        <v>26</v>
      </c>
      <c r="P1259" s="4">
        <v>45154.4753125</v>
      </c>
    </row>
    <row r="1260" hidden="1">
      <c r="A1260" s="1" t="s">
        <v>1055</v>
      </c>
      <c r="B1260" s="3" t="str">
        <f>HYPERLINK("https://hawk-eye.atlassian.net/browse/HWKREPORT-2235?atlOrigin=eyJpIjoiYzgwYTQ0ZjEyNzQzNGJhN2JmNjEyZTM0NmRhZWZhNjIiLCJwIjoic2hlZXRzLWppcmEifQ","HWKREPORT-2235")</f>
        <v>HWKREPORT-2235</v>
      </c>
      <c r="C1260" s="1" t="s">
        <v>2491</v>
      </c>
      <c r="D1260" s="1" t="s">
        <v>48</v>
      </c>
      <c r="E1260" s="1" t="s">
        <v>1207</v>
      </c>
      <c r="F1260" s="4">
        <v>45131.58640046296</v>
      </c>
      <c r="G1260" s="3" t="str">
        <f>HYPERLINK("https://hawk-eye.atlassian.net/browse/RTT-6763?atlOrigin=eyJpIjoiYzgwYTQ0ZjEyNzQzNGJhN2JmNjEyZTM0NmRhZWZhNjIiLCJwIjoic2hlZXRzLWppcmEifQ","RTT-6763")</f>
        <v>RTT-6763</v>
      </c>
      <c r="H1260" s="1" t="s">
        <v>1058</v>
      </c>
      <c r="I1260" s="1" t="s">
        <v>1085</v>
      </c>
      <c r="J1260" s="1" t="s">
        <v>26</v>
      </c>
      <c r="K1260" s="1" t="s">
        <v>1545</v>
      </c>
      <c r="L1260" s="1" t="s">
        <v>26</v>
      </c>
      <c r="M1260" s="1" t="s">
        <v>27</v>
      </c>
      <c r="N1260" s="1" t="s">
        <v>26</v>
      </c>
      <c r="O1260" s="1" t="s">
        <v>26</v>
      </c>
      <c r="P1260" s="4">
        <v>45148.6874537037</v>
      </c>
    </row>
    <row r="1261" hidden="1">
      <c r="A1261" s="1" t="s">
        <v>1055</v>
      </c>
      <c r="B1261" s="3" t="str">
        <f>HYPERLINK("https://hawk-eye.atlassian.net/browse/HWKREPORT-2236?atlOrigin=eyJpIjoiYzgwYTQ0ZjEyNzQzNGJhN2JmNjEyZTM0NmRhZWZhNjIiLCJwIjoic2hlZXRzLWppcmEifQ","HWKREPORT-2236")</f>
        <v>HWKREPORT-2236</v>
      </c>
      <c r="C1261" s="1" t="s">
        <v>2492</v>
      </c>
      <c r="D1261" s="1" t="s">
        <v>48</v>
      </c>
      <c r="E1261" s="1" t="s">
        <v>35</v>
      </c>
      <c r="F1261" s="4">
        <v>45131.58841435185</v>
      </c>
      <c r="G1261" s="3" t="str">
        <f>HYPERLINK("https://hawk-eye.atlassian.net/browse/RTT-6762?atlOrigin=eyJpIjoiYzgwYTQ0ZjEyNzQzNGJhN2JmNjEyZTM0NmRhZWZhNjIiLCJwIjoic2hlZXRzLWppcmEifQ","RTT-6762")</f>
        <v>RTT-6762</v>
      </c>
      <c r="H1261" s="1" t="s">
        <v>1058</v>
      </c>
      <c r="I1261" s="1" t="s">
        <v>1085</v>
      </c>
      <c r="J1261" s="1" t="s">
        <v>26</v>
      </c>
      <c r="K1261" s="1" t="s">
        <v>1545</v>
      </c>
      <c r="L1261" s="1" t="s">
        <v>26</v>
      </c>
      <c r="M1261" s="1" t="s">
        <v>27</v>
      </c>
      <c r="N1261" s="1" t="s">
        <v>26</v>
      </c>
      <c r="O1261" s="1" t="s">
        <v>26</v>
      </c>
      <c r="P1261" s="4">
        <v>45264.58635416667</v>
      </c>
    </row>
    <row r="1262" hidden="1">
      <c r="A1262" s="1" t="s">
        <v>21</v>
      </c>
      <c r="B1262" s="3" t="str">
        <f>HYPERLINK("https://hawk-eye.atlassian.net/browse/HWKREPORT-2237?atlOrigin=eyJpIjoiYzgwYTQ0ZjEyNzQzNGJhN2JmNjEyZTM0NmRhZWZhNjIiLCJwIjoic2hlZXRzLWppcmEifQ","HWKREPORT-2237")</f>
        <v>HWKREPORT-2237</v>
      </c>
      <c r="C1262" s="1" t="s">
        <v>2493</v>
      </c>
      <c r="D1262" s="1" t="s">
        <v>23</v>
      </c>
      <c r="E1262" s="1" t="s">
        <v>35</v>
      </c>
      <c r="F1262" s="4">
        <v>45131.60744212963</v>
      </c>
      <c r="G1262" s="3" t="str">
        <f>HYPERLINK("https://hawk-eye.atlassian.net/browse/RTT-6761?atlOrigin=eyJpIjoiYzgwYTQ0ZjEyNzQzNGJhN2JmNjEyZTM0NmRhZWZhNjIiLCJwIjoic2hlZXRzLWppcmEifQ","RTT-6761")</f>
        <v>RTT-6761</v>
      </c>
      <c r="H1262" s="1" t="s">
        <v>1058</v>
      </c>
      <c r="I1262" s="1" t="s">
        <v>1085</v>
      </c>
      <c r="J1262" s="1" t="s">
        <v>26</v>
      </c>
      <c r="K1262" s="1" t="s">
        <v>1196</v>
      </c>
      <c r="L1262" s="1" t="s">
        <v>26</v>
      </c>
      <c r="M1262" s="1" t="s">
        <v>27</v>
      </c>
      <c r="N1262" s="1" t="s">
        <v>26</v>
      </c>
      <c r="O1262" s="1" t="s">
        <v>26</v>
      </c>
      <c r="P1262" s="4">
        <v>45217.68472222222</v>
      </c>
    </row>
    <row r="1263" hidden="1">
      <c r="A1263" s="1" t="s">
        <v>1055</v>
      </c>
      <c r="B1263" s="3" t="str">
        <f>HYPERLINK("https://hawk-eye.atlassian.net/browse/HWKREPORT-2238?atlOrigin=eyJpIjoiYzgwYTQ0ZjEyNzQzNGJhN2JmNjEyZTM0NmRhZWZhNjIiLCJwIjoic2hlZXRzLWppcmEifQ","HWKREPORT-2238")</f>
        <v>HWKREPORT-2238</v>
      </c>
      <c r="C1263" s="1" t="s">
        <v>2494</v>
      </c>
      <c r="D1263" s="1" t="s">
        <v>48</v>
      </c>
      <c r="E1263" s="1" t="s">
        <v>35</v>
      </c>
      <c r="F1263" s="4">
        <v>45131.67229166667</v>
      </c>
      <c r="G1263" s="3" t="str">
        <f>HYPERLINK("https://hawk-eye.atlassian.net/browse/SO-937?atlOrigin=eyJpIjoiYzgwYTQ0ZjEyNzQzNGJhN2JmNjEyZTM0NmRhZWZhNjIiLCJwIjoic2hlZXRzLWppcmEifQ","SO-937")</f>
        <v>SO-937</v>
      </c>
      <c r="H1263" s="1" t="s">
        <v>1058</v>
      </c>
      <c r="I1263" s="1" t="s">
        <v>1085</v>
      </c>
      <c r="J1263" s="1" t="s">
        <v>26</v>
      </c>
      <c r="K1263" s="1" t="s">
        <v>1116</v>
      </c>
      <c r="L1263" s="1" t="s">
        <v>26</v>
      </c>
      <c r="M1263" s="1" t="s">
        <v>27</v>
      </c>
      <c r="N1263" s="1" t="s">
        <v>26</v>
      </c>
      <c r="O1263" s="1" t="s">
        <v>26</v>
      </c>
      <c r="P1263" s="4">
        <v>45328.415625</v>
      </c>
    </row>
    <row r="1264" hidden="1">
      <c r="A1264" s="1" t="s">
        <v>21</v>
      </c>
      <c r="B1264" s="3" t="str">
        <f>HYPERLINK("https://hawk-eye.atlassian.net/browse/HWKREPORT-2239?atlOrigin=eyJpIjoiYzgwYTQ0ZjEyNzQzNGJhN2JmNjEyZTM0NmRhZWZhNjIiLCJwIjoic2hlZXRzLWppcmEifQ","HWKREPORT-2239")</f>
        <v>HWKREPORT-2239</v>
      </c>
      <c r="C1264" s="1" t="s">
        <v>2495</v>
      </c>
      <c r="D1264" s="1" t="s">
        <v>83</v>
      </c>
      <c r="E1264" s="1" t="s">
        <v>35</v>
      </c>
      <c r="F1264" s="4">
        <v>45131.684895833336</v>
      </c>
      <c r="G1264" s="3" t="str">
        <f>HYPERLINK("https://hawk-eye.atlassian.net/browse/RTT-6764?atlOrigin=eyJpIjoiYzgwYTQ0ZjEyNzQzNGJhN2JmNjEyZTM0NmRhZWZhNjIiLCJwIjoic2hlZXRzLWppcmEifQ","RTT-6764")</f>
        <v>RTT-6764</v>
      </c>
      <c r="H1264" s="1" t="s">
        <v>1058</v>
      </c>
      <c r="I1264" s="1" t="s">
        <v>1085</v>
      </c>
      <c r="J1264" s="1" t="s">
        <v>26</v>
      </c>
      <c r="K1264" s="1" t="s">
        <v>1072</v>
      </c>
      <c r="L1264" s="1" t="s">
        <v>26</v>
      </c>
      <c r="M1264" s="1" t="s">
        <v>27</v>
      </c>
      <c r="N1264" s="1" t="s">
        <v>26</v>
      </c>
      <c r="O1264" s="1" t="s">
        <v>26</v>
      </c>
      <c r="P1264" s="4">
        <v>45477.32643518518</v>
      </c>
    </row>
    <row r="1265" hidden="1">
      <c r="A1265" s="1" t="s">
        <v>21</v>
      </c>
      <c r="B1265" s="3" t="str">
        <f>HYPERLINK("https://hawk-eye.atlassian.net/browse/HWKREPORT-2240?atlOrigin=eyJpIjoiYzgwYTQ0ZjEyNzQzNGJhN2JmNjEyZTM0NmRhZWZhNjIiLCJwIjoic2hlZXRzLWppcmEifQ","HWKREPORT-2240")</f>
        <v>HWKREPORT-2240</v>
      </c>
      <c r="C1265" s="1" t="s">
        <v>2496</v>
      </c>
      <c r="D1265" s="1" t="s">
        <v>34</v>
      </c>
      <c r="E1265" s="1" t="s">
        <v>1207</v>
      </c>
      <c r="F1265" s="4">
        <v>45133.76681712963</v>
      </c>
      <c r="G1265" s="3" t="str">
        <f>HYPERLINK("https://hawk-eye.atlassian.net/browse/RTT-6770?atlOrigin=eyJpIjoiYzgwYTQ0ZjEyNzQzNGJhN2JmNjEyZTM0NmRhZWZhNjIiLCJwIjoic2hlZXRzLWppcmEifQ","RTT-6770")</f>
        <v>RTT-6770</v>
      </c>
      <c r="H1265" s="1" t="s">
        <v>1058</v>
      </c>
      <c r="I1265" s="1" t="s">
        <v>1071</v>
      </c>
      <c r="J1265" s="1" t="s">
        <v>26</v>
      </c>
      <c r="K1265" s="1" t="s">
        <v>1072</v>
      </c>
      <c r="L1265" s="1" t="s">
        <v>26</v>
      </c>
      <c r="M1265" s="1" t="s">
        <v>27</v>
      </c>
      <c r="N1265" s="1" t="s">
        <v>26</v>
      </c>
      <c r="O1265" s="1" t="s">
        <v>26</v>
      </c>
      <c r="P1265" s="4">
        <v>45175.45400462963</v>
      </c>
    </row>
    <row r="1266" hidden="1">
      <c r="A1266" s="1" t="s">
        <v>21</v>
      </c>
      <c r="B1266" s="3" t="str">
        <f>HYPERLINK("https://hawk-eye.atlassian.net/browse/HWKREPORT-2241?atlOrigin=eyJpIjoiYzgwYTQ0ZjEyNzQzNGJhN2JmNjEyZTM0NmRhZWZhNjIiLCJwIjoic2hlZXRzLWppcmEifQ","HWKREPORT-2241")</f>
        <v>HWKREPORT-2241</v>
      </c>
      <c r="C1266" s="1" t="s">
        <v>2497</v>
      </c>
      <c r="D1266" s="1" t="s">
        <v>34</v>
      </c>
      <c r="E1266" s="1" t="s">
        <v>1207</v>
      </c>
      <c r="F1266" s="4">
        <v>45134.35561342593</v>
      </c>
      <c r="G1266" s="3" t="str">
        <f>HYPERLINK("https://hawk-eye.atlassian.net/browse/AL-932?atlOrigin=eyJpIjoiYzgwYTQ0ZjEyNzQzNGJhN2JmNjEyZTM0NmRhZWZhNjIiLCJwIjoic2hlZXRzLWppcmEifQ","AL-932")</f>
        <v>AL-932</v>
      </c>
      <c r="H1266" s="1" t="s">
        <v>1058</v>
      </c>
      <c r="I1266" s="1" t="s">
        <v>1085</v>
      </c>
      <c r="J1266" s="1" t="s">
        <v>26</v>
      </c>
      <c r="K1266" s="1" t="s">
        <v>1717</v>
      </c>
      <c r="L1266" s="1" t="s">
        <v>26</v>
      </c>
      <c r="M1266" s="1" t="s">
        <v>27</v>
      </c>
      <c r="N1266" s="1" t="s">
        <v>26</v>
      </c>
      <c r="O1266" s="1" t="s">
        <v>26</v>
      </c>
      <c r="P1266" s="4">
        <v>45205.557337962964</v>
      </c>
    </row>
    <row r="1267" hidden="1">
      <c r="A1267" s="1" t="s">
        <v>21</v>
      </c>
      <c r="B1267" s="3" t="str">
        <f>HYPERLINK("https://hawk-eye.atlassian.net/browse/HWKREPORT-2242?atlOrigin=eyJpIjoiYzgwYTQ0ZjEyNzQzNGJhN2JmNjEyZTM0NmRhZWZhNjIiLCJwIjoic2hlZXRzLWppcmEifQ","HWKREPORT-2242")</f>
        <v>HWKREPORT-2242</v>
      </c>
      <c r="C1267" s="1" t="s">
        <v>2498</v>
      </c>
      <c r="D1267" s="1" t="s">
        <v>40</v>
      </c>
      <c r="E1267" s="1" t="s">
        <v>1207</v>
      </c>
      <c r="F1267" s="4">
        <v>45134.40913194444</v>
      </c>
      <c r="G1267" s="3" t="str">
        <f>HYPERLINK("https://hawk-eye.atlassian.net/browse/RTT-6768?atlOrigin=eyJpIjoiYzgwYTQ0ZjEyNzQzNGJhN2JmNjEyZTM0NmRhZWZhNjIiLCJwIjoic2hlZXRzLWppcmEifQ","RTT-6768")</f>
        <v>RTT-6768</v>
      </c>
      <c r="H1267" s="1" t="s">
        <v>1058</v>
      </c>
      <c r="I1267" s="1" t="s">
        <v>1085</v>
      </c>
      <c r="J1267" s="1" t="s">
        <v>26</v>
      </c>
      <c r="K1267" s="1" t="s">
        <v>1072</v>
      </c>
      <c r="L1267" s="1" t="s">
        <v>26</v>
      </c>
      <c r="M1267" s="1" t="s">
        <v>27</v>
      </c>
      <c r="N1267" s="1" t="s">
        <v>26</v>
      </c>
      <c r="O1267" s="1" t="s">
        <v>26</v>
      </c>
      <c r="P1267" s="4">
        <v>45139.452581018515</v>
      </c>
    </row>
    <row r="1268" hidden="1">
      <c r="A1268" s="1" t="s">
        <v>21</v>
      </c>
      <c r="B1268" s="3" t="str">
        <f>HYPERLINK("https://hawk-eye.atlassian.net/browse/HWKREPORT-2243?atlOrigin=eyJpIjoiYzgwYTQ0ZjEyNzQzNGJhN2JmNjEyZTM0NmRhZWZhNjIiLCJwIjoic2hlZXRzLWppcmEifQ","HWKREPORT-2243")</f>
        <v>HWKREPORT-2243</v>
      </c>
      <c r="C1268" s="1" t="s">
        <v>2499</v>
      </c>
      <c r="D1268" s="1" t="s">
        <v>34</v>
      </c>
      <c r="E1268" s="1" t="s">
        <v>1207</v>
      </c>
      <c r="F1268" s="4">
        <v>45134.41153935185</v>
      </c>
      <c r="G1268" s="3" t="str">
        <f>HYPERLINK("https://hawk-eye.atlassian.net/browse/RTT-6769?atlOrigin=eyJpIjoiYzgwYTQ0ZjEyNzQzNGJhN2JmNjEyZTM0NmRhZWZhNjIiLCJwIjoic2hlZXRzLWppcmEifQ","RTT-6769")</f>
        <v>RTT-6769</v>
      </c>
      <c r="H1268" s="1" t="s">
        <v>1058</v>
      </c>
      <c r="I1268" s="1" t="s">
        <v>1085</v>
      </c>
      <c r="J1268" s="1" t="s">
        <v>26</v>
      </c>
      <c r="K1268" s="1" t="s">
        <v>1072</v>
      </c>
      <c r="L1268" s="1" t="s">
        <v>26</v>
      </c>
      <c r="M1268" s="1" t="s">
        <v>27</v>
      </c>
      <c r="N1268" s="1" t="s">
        <v>26</v>
      </c>
      <c r="O1268" s="1" t="s">
        <v>26</v>
      </c>
      <c r="P1268" s="4">
        <v>45154.47642361111</v>
      </c>
    </row>
    <row r="1269" hidden="1">
      <c r="A1269" s="1" t="s">
        <v>21</v>
      </c>
      <c r="B1269" s="3" t="str">
        <f>HYPERLINK("https://hawk-eye.atlassian.net/browse/HWKREPORT-2244?atlOrigin=eyJpIjoiYzgwYTQ0ZjEyNzQzNGJhN2JmNjEyZTM0NmRhZWZhNjIiLCJwIjoic2hlZXRzLWppcmEifQ","HWKREPORT-2244")</f>
        <v>HWKREPORT-2244</v>
      </c>
      <c r="C1269" s="1" t="s">
        <v>2500</v>
      </c>
      <c r="D1269" s="1" t="s">
        <v>40</v>
      </c>
      <c r="E1269" s="1" t="s">
        <v>35</v>
      </c>
      <c r="F1269" s="4">
        <v>45134.83671296296</v>
      </c>
      <c r="G1269" s="3" t="str">
        <f>HYPERLINK("https://hawk-eye.atlassian.net/browse/RTT-6787?atlOrigin=eyJpIjoiYzgwYTQ0ZjEyNzQzNGJhN2JmNjEyZTM0NmRhZWZhNjIiLCJwIjoic2hlZXRzLWppcmEifQ","RTT-6787")</f>
        <v>RTT-6787</v>
      </c>
      <c r="H1269" s="1" t="s">
        <v>1058</v>
      </c>
      <c r="I1269" s="1" t="s">
        <v>1071</v>
      </c>
      <c r="J1269" s="1" t="s">
        <v>26</v>
      </c>
      <c r="K1269" s="1" t="s">
        <v>1072</v>
      </c>
      <c r="L1269" s="1" t="s">
        <v>26</v>
      </c>
      <c r="M1269" s="1" t="s">
        <v>27</v>
      </c>
      <c r="N1269" s="1" t="s">
        <v>26</v>
      </c>
      <c r="O1269" s="1" t="s">
        <v>26</v>
      </c>
      <c r="P1269" s="4">
        <v>45160.42275462963</v>
      </c>
    </row>
    <row r="1270" hidden="1">
      <c r="A1270" s="1" t="s">
        <v>1055</v>
      </c>
      <c r="B1270" s="3" t="str">
        <f>HYPERLINK("https://hawk-eye.atlassian.net/browse/HWKREPORT-2245?atlOrigin=eyJpIjoiYzgwYTQ0ZjEyNzQzNGJhN2JmNjEyZTM0NmRhZWZhNjIiLCJwIjoic2hlZXRzLWppcmEifQ","HWKREPORT-2245")</f>
        <v>HWKREPORT-2245</v>
      </c>
      <c r="C1270" s="1" t="s">
        <v>2501</v>
      </c>
      <c r="D1270" s="1" t="s">
        <v>48</v>
      </c>
      <c r="E1270" s="1" t="s">
        <v>35</v>
      </c>
      <c r="F1270" s="4">
        <v>45134.8458912037</v>
      </c>
      <c r="G1270" s="3" t="str">
        <f>HYPERLINK("https://hawk-eye.atlassian.net/browse/RTT-6783?atlOrigin=eyJpIjoiYzgwYTQ0ZjEyNzQzNGJhN2JmNjEyZTM0NmRhZWZhNjIiLCJwIjoic2hlZXRzLWppcmEifQ","RTT-6783")</f>
        <v>RTT-6783</v>
      </c>
      <c r="H1270" s="1" t="s">
        <v>1058</v>
      </c>
      <c r="I1270" s="1" t="s">
        <v>1071</v>
      </c>
      <c r="J1270" s="1" t="s">
        <v>26</v>
      </c>
      <c r="K1270" s="1" t="s">
        <v>1099</v>
      </c>
      <c r="L1270" s="1" t="s">
        <v>26</v>
      </c>
      <c r="M1270" s="1" t="s">
        <v>27</v>
      </c>
      <c r="N1270" s="1" t="s">
        <v>26</v>
      </c>
      <c r="O1270" s="1" t="s">
        <v>26</v>
      </c>
      <c r="P1270" s="4">
        <v>45168.64443287037</v>
      </c>
    </row>
    <row r="1271" hidden="1">
      <c r="A1271" s="1" t="s">
        <v>1055</v>
      </c>
      <c r="B1271" s="3" t="str">
        <f>HYPERLINK("https://hawk-eye.atlassian.net/browse/HWKREPORT-2246?atlOrigin=eyJpIjoiYzgwYTQ0ZjEyNzQzNGJhN2JmNjEyZTM0NmRhZWZhNjIiLCJwIjoic2hlZXRzLWppcmEifQ","HWKREPORT-2246")</f>
        <v>HWKREPORT-2246</v>
      </c>
      <c r="C1271" s="1" t="s">
        <v>2502</v>
      </c>
      <c r="D1271" s="1" t="s">
        <v>48</v>
      </c>
      <c r="E1271" s="1" t="s">
        <v>1057</v>
      </c>
      <c r="F1271" s="4">
        <v>45135.453993055555</v>
      </c>
      <c r="G1271" s="3" t="str">
        <f>HYPERLINK("https://hawk-eye.atlassian.net/browse/?atlOrigin=eyJpIjoiYzgwYTQ0ZjEyNzQzNGJhN2JmNjEyZTM0NmRhZWZhNjIiLCJwIjoic2hlZXRzLWppcmEifQ","")</f>
        <v/>
      </c>
      <c r="H1271" s="1" t="s">
        <v>1058</v>
      </c>
      <c r="I1271" s="1" t="s">
        <v>1085</v>
      </c>
      <c r="J1271" s="1" t="s">
        <v>26</v>
      </c>
      <c r="K1271" s="1" t="s">
        <v>1116</v>
      </c>
      <c r="L1271" s="1" t="s">
        <v>26</v>
      </c>
      <c r="M1271" s="1" t="s">
        <v>27</v>
      </c>
      <c r="N1271" s="1" t="s">
        <v>26</v>
      </c>
      <c r="O1271" s="1" t="s">
        <v>26</v>
      </c>
      <c r="P1271" s="4">
        <v>45135.453993055555</v>
      </c>
    </row>
    <row r="1272" hidden="1">
      <c r="A1272" s="1" t="s">
        <v>1055</v>
      </c>
      <c r="B1272" s="3" t="str">
        <f>HYPERLINK("https://hawk-eye.atlassian.net/browse/HWKREPORT-2247?atlOrigin=eyJpIjoiYzgwYTQ0ZjEyNzQzNGJhN2JmNjEyZTM0NmRhZWZhNjIiLCJwIjoic2hlZXRzLWppcmEifQ","HWKREPORT-2247")</f>
        <v>HWKREPORT-2247</v>
      </c>
      <c r="C1272" s="1" t="s">
        <v>2503</v>
      </c>
      <c r="D1272" s="1" t="s">
        <v>48</v>
      </c>
      <c r="E1272" s="1" t="s">
        <v>1057</v>
      </c>
      <c r="F1272" s="4">
        <v>45135.65350694444</v>
      </c>
      <c r="G1272" s="3" t="str">
        <f>HYPERLINK("https://hawk-eye.atlassian.net/browse/SO-975?atlOrigin=eyJpIjoiYzgwYTQ0ZjEyNzQzNGJhN2JmNjEyZTM0NmRhZWZhNjIiLCJwIjoic2hlZXRzLWppcmEifQ","SO-975")</f>
        <v>SO-975</v>
      </c>
      <c r="H1272" s="1" t="s">
        <v>1058</v>
      </c>
      <c r="I1272" s="1" t="s">
        <v>1085</v>
      </c>
      <c r="J1272" s="1" t="s">
        <v>26</v>
      </c>
      <c r="K1272" s="1" t="s">
        <v>1116</v>
      </c>
      <c r="L1272" s="1" t="s">
        <v>26</v>
      </c>
      <c r="M1272" s="1" t="s">
        <v>27</v>
      </c>
      <c r="N1272" s="1" t="s">
        <v>26</v>
      </c>
      <c r="O1272" s="1" t="s">
        <v>26</v>
      </c>
      <c r="P1272" s="4">
        <v>45135.65350694444</v>
      </c>
    </row>
    <row r="1273" hidden="1">
      <c r="A1273" s="1" t="s">
        <v>21</v>
      </c>
      <c r="B1273" s="3" t="str">
        <f>HYPERLINK("https://hawk-eye.atlassian.net/browse/HWKREPORT-2248?atlOrigin=eyJpIjoiYzgwYTQ0ZjEyNzQzNGJhN2JmNjEyZTM0NmRhZWZhNjIiLCJwIjoic2hlZXRzLWppcmEifQ","HWKREPORT-2248")</f>
        <v>HWKREPORT-2248</v>
      </c>
      <c r="C1273" s="1" t="s">
        <v>2504</v>
      </c>
      <c r="D1273" s="1" t="s">
        <v>34</v>
      </c>
      <c r="E1273" s="1" t="s">
        <v>1207</v>
      </c>
      <c r="F1273" s="4">
        <v>45135.69923611111</v>
      </c>
      <c r="G1273" s="3" t="str">
        <f>HYPERLINK("https://hawk-eye.atlassian.net/browse/RTT-6795?atlOrigin=eyJpIjoiYzgwYTQ0ZjEyNzQzNGJhN2JmNjEyZTM0NmRhZWZhNjIiLCJwIjoic2hlZXRzLWppcmEifQ","RTT-6795")</f>
        <v>RTT-6795</v>
      </c>
      <c r="H1273" s="1" t="s">
        <v>1058</v>
      </c>
      <c r="I1273" s="1" t="s">
        <v>1071</v>
      </c>
      <c r="J1273" s="1" t="s">
        <v>26</v>
      </c>
      <c r="K1273" s="1" t="s">
        <v>1072</v>
      </c>
      <c r="L1273" s="1" t="s">
        <v>26</v>
      </c>
      <c r="M1273" s="1" t="s">
        <v>27</v>
      </c>
      <c r="N1273" s="1" t="s">
        <v>26</v>
      </c>
      <c r="O1273" s="1" t="s">
        <v>26</v>
      </c>
      <c r="P1273" s="4">
        <v>45187.44258101852</v>
      </c>
    </row>
    <row r="1274" hidden="1">
      <c r="A1274" s="1" t="s">
        <v>21</v>
      </c>
      <c r="B1274" s="3" t="str">
        <f>HYPERLINK("https://hawk-eye.atlassian.net/browse/HWKREPORT-2249?atlOrigin=eyJpIjoiYzgwYTQ0ZjEyNzQzNGJhN2JmNjEyZTM0NmRhZWZhNjIiLCJwIjoic2hlZXRzLWppcmEifQ","HWKREPORT-2249")</f>
        <v>HWKREPORT-2249</v>
      </c>
      <c r="C1274" s="1" t="s">
        <v>2505</v>
      </c>
      <c r="D1274" s="1" t="s">
        <v>23</v>
      </c>
      <c r="E1274" s="1" t="s">
        <v>35</v>
      </c>
      <c r="F1274" s="4">
        <v>45136.26189814815</v>
      </c>
      <c r="G1274" s="3" t="str">
        <f>HYPERLINK("https://hawk-eye.atlassian.net/browse/SO-941?atlOrigin=eyJpIjoiYzgwYTQ0ZjEyNzQzNGJhN2JmNjEyZTM0NmRhZWZhNjIiLCJwIjoic2hlZXRzLWppcmEifQ","SO-941")</f>
        <v>SO-941</v>
      </c>
      <c r="H1274" s="1" t="s">
        <v>1058</v>
      </c>
      <c r="I1274" s="1" t="s">
        <v>1085</v>
      </c>
      <c r="J1274" s="1" t="s">
        <v>26</v>
      </c>
      <c r="K1274" s="1" t="s">
        <v>1116</v>
      </c>
      <c r="L1274" s="1" t="s">
        <v>26</v>
      </c>
      <c r="M1274" s="1" t="s">
        <v>27</v>
      </c>
      <c r="N1274" s="1" t="s">
        <v>26</v>
      </c>
      <c r="O1274" s="1" t="s">
        <v>26</v>
      </c>
      <c r="P1274" s="4">
        <v>45161.719722222224</v>
      </c>
    </row>
    <row r="1275" hidden="1">
      <c r="A1275" s="1" t="s">
        <v>21</v>
      </c>
      <c r="B1275" s="3" t="str">
        <f>HYPERLINK("https://hawk-eye.atlassian.net/browse/HWKREPORT-2250?atlOrigin=eyJpIjoiYzgwYTQ0ZjEyNzQzNGJhN2JmNjEyZTM0NmRhZWZhNjIiLCJwIjoic2hlZXRzLWppcmEifQ","HWKREPORT-2250")</f>
        <v>HWKREPORT-2250</v>
      </c>
      <c r="C1275" s="1" t="s">
        <v>2506</v>
      </c>
      <c r="D1275" s="1" t="s">
        <v>40</v>
      </c>
      <c r="E1275" s="1" t="s">
        <v>35</v>
      </c>
      <c r="F1275" s="4">
        <v>45138.47982638889</v>
      </c>
      <c r="G1275" s="3" t="str">
        <f>HYPERLINK("https://hawk-eye.atlassian.net/browse/?atlOrigin=eyJpIjoiYzgwYTQ0ZjEyNzQzNGJhN2JmNjEyZTM0NmRhZWZhNjIiLCJwIjoic2hlZXRzLWppcmEifQ","")</f>
        <v/>
      </c>
      <c r="H1275" s="1" t="s">
        <v>1058</v>
      </c>
      <c r="I1275" s="1" t="s">
        <v>1085</v>
      </c>
      <c r="J1275" s="1" t="s">
        <v>26</v>
      </c>
      <c r="K1275" s="1" t="s">
        <v>2022</v>
      </c>
      <c r="L1275" s="1" t="s">
        <v>26</v>
      </c>
      <c r="M1275" s="1" t="s">
        <v>27</v>
      </c>
      <c r="N1275" s="1" t="s">
        <v>26</v>
      </c>
      <c r="O1275" s="1" t="s">
        <v>26</v>
      </c>
      <c r="P1275" s="4">
        <v>45139.49986111111</v>
      </c>
    </row>
    <row r="1276" hidden="1">
      <c r="A1276" s="1" t="s">
        <v>21</v>
      </c>
      <c r="B1276" s="3" t="str">
        <f>HYPERLINK("https://hawk-eye.atlassian.net/browse/HWKREPORT-2251?atlOrigin=eyJpIjoiYzgwYTQ0ZjEyNzQzNGJhN2JmNjEyZTM0NmRhZWZhNjIiLCJwIjoic2hlZXRzLWppcmEifQ","HWKREPORT-2251")</f>
        <v>HWKREPORT-2251</v>
      </c>
      <c r="C1276" s="1" t="s">
        <v>2507</v>
      </c>
      <c r="D1276" s="1" t="s">
        <v>40</v>
      </c>
      <c r="E1276" s="1" t="s">
        <v>1207</v>
      </c>
      <c r="F1276" s="4">
        <v>45138.563263888886</v>
      </c>
      <c r="G1276" s="3" t="str">
        <f>HYPERLINK("https://hawk-eye.atlassian.net/browse/RTT-6798?atlOrigin=eyJpIjoiYzgwYTQ0ZjEyNzQzNGJhN2JmNjEyZTM0NmRhZWZhNjIiLCJwIjoic2hlZXRzLWppcmEifQ","RTT-6798")</f>
        <v>RTT-6798</v>
      </c>
      <c r="H1276" s="1" t="s">
        <v>1058</v>
      </c>
      <c r="I1276" s="1" t="s">
        <v>1085</v>
      </c>
      <c r="J1276" s="1" t="s">
        <v>26</v>
      </c>
      <c r="K1276" s="1" t="s">
        <v>1072</v>
      </c>
      <c r="L1276" s="1" t="s">
        <v>26</v>
      </c>
      <c r="M1276" s="1" t="s">
        <v>27</v>
      </c>
      <c r="N1276" s="1" t="s">
        <v>26</v>
      </c>
      <c r="O1276" s="1" t="s">
        <v>26</v>
      </c>
      <c r="P1276" s="4">
        <v>45216.39613425926</v>
      </c>
    </row>
    <row r="1277" hidden="1">
      <c r="A1277" s="1" t="s">
        <v>21</v>
      </c>
      <c r="B1277" s="3" t="str">
        <f>HYPERLINK("https://hawk-eye.atlassian.net/browse/HWKREPORT-2252?atlOrigin=eyJpIjoiYzgwYTQ0ZjEyNzQzNGJhN2JmNjEyZTM0NmRhZWZhNjIiLCJwIjoic2hlZXRzLWppcmEifQ","HWKREPORT-2252")</f>
        <v>HWKREPORT-2252</v>
      </c>
      <c r="C1277" s="1" t="s">
        <v>2508</v>
      </c>
      <c r="D1277" s="1" t="s">
        <v>34</v>
      </c>
      <c r="E1277" s="1" t="s">
        <v>1057</v>
      </c>
      <c r="F1277" s="4">
        <v>45138.62106481481</v>
      </c>
      <c r="G1277" s="3" t="str">
        <f>HYPERLINK("https://hawk-eye.atlassian.net/browse/?atlOrigin=eyJpIjoiYzgwYTQ0ZjEyNzQzNGJhN2JmNjEyZTM0NmRhZWZhNjIiLCJwIjoic2hlZXRzLWppcmEifQ","")</f>
        <v/>
      </c>
      <c r="H1277" s="1" t="s">
        <v>1058</v>
      </c>
      <c r="I1277" s="1" t="s">
        <v>1085</v>
      </c>
      <c r="J1277" s="1" t="s">
        <v>26</v>
      </c>
      <c r="K1277" s="1" t="s">
        <v>1219</v>
      </c>
      <c r="L1277" s="1" t="s">
        <v>26</v>
      </c>
      <c r="M1277" s="1" t="s">
        <v>27</v>
      </c>
      <c r="N1277" s="1" t="s">
        <v>26</v>
      </c>
      <c r="O1277" s="1" t="s">
        <v>26</v>
      </c>
      <c r="P1277" s="4">
        <v>45138.62107638889</v>
      </c>
    </row>
    <row r="1278" hidden="1">
      <c r="A1278" s="1" t="s">
        <v>21</v>
      </c>
      <c r="B1278" s="3" t="str">
        <f>HYPERLINK("https://hawk-eye.atlassian.net/browse/HWKREPORT-2253?atlOrigin=eyJpIjoiYzgwYTQ0ZjEyNzQzNGJhN2JmNjEyZTM0NmRhZWZhNjIiLCJwIjoic2hlZXRzLWppcmEifQ","HWKREPORT-2253")</f>
        <v>HWKREPORT-2253</v>
      </c>
      <c r="C1278" s="1" t="s">
        <v>2509</v>
      </c>
      <c r="D1278" s="1" t="s">
        <v>40</v>
      </c>
      <c r="E1278" s="1" t="s">
        <v>35</v>
      </c>
      <c r="F1278" s="4">
        <v>45138.64517361111</v>
      </c>
      <c r="G1278" s="3" t="str">
        <f>HYPERLINK("https://hawk-eye.atlassian.net/browse/RTT-6811?atlOrigin=eyJpIjoiYzgwYTQ0ZjEyNzQzNGJhN2JmNjEyZTM0NmRhZWZhNjIiLCJwIjoic2hlZXRzLWppcmEifQ","RTT-6811")</f>
        <v>RTT-6811</v>
      </c>
      <c r="H1278" s="1" t="s">
        <v>1058</v>
      </c>
      <c r="I1278" s="1" t="s">
        <v>1071</v>
      </c>
      <c r="J1278" s="1" t="s">
        <v>26</v>
      </c>
      <c r="K1278" s="1" t="s">
        <v>2197</v>
      </c>
      <c r="L1278" s="1" t="s">
        <v>26</v>
      </c>
      <c r="M1278" s="1" t="s">
        <v>27</v>
      </c>
      <c r="N1278" s="1" t="s">
        <v>26</v>
      </c>
      <c r="O1278" s="1" t="s">
        <v>26</v>
      </c>
      <c r="P1278" s="4">
        <v>45516.66600694445</v>
      </c>
    </row>
    <row r="1279" hidden="1">
      <c r="A1279" s="1" t="s">
        <v>1055</v>
      </c>
      <c r="B1279" s="3" t="str">
        <f>HYPERLINK("https://hawk-eye.atlassian.net/browse/HWKREPORT-2254?atlOrigin=eyJpIjoiYzgwYTQ0ZjEyNzQzNGJhN2JmNjEyZTM0NmRhZWZhNjIiLCJwIjoic2hlZXRzLWppcmEifQ","HWKREPORT-2254")</f>
        <v>HWKREPORT-2254</v>
      </c>
      <c r="C1279" s="1" t="s">
        <v>2510</v>
      </c>
      <c r="D1279" s="1" t="s">
        <v>48</v>
      </c>
      <c r="E1279" s="1" t="s">
        <v>35</v>
      </c>
      <c r="F1279" s="4">
        <v>45138.69712962963</v>
      </c>
      <c r="G1279" s="3" t="str">
        <f>HYPERLINK("https://hawk-eye.atlassian.net/browse/HWKREPORT-2398?atlOrigin=eyJpIjoiYzgwYTQ0ZjEyNzQzNGJhN2JmNjEyZTM0NmRhZWZhNjIiLCJwIjoic2hlZXRzLWppcmEifQ","HWKREPORT-2398")</f>
        <v>HWKREPORT-2398</v>
      </c>
      <c r="H1279" s="1" t="s">
        <v>1058</v>
      </c>
      <c r="I1279" s="1" t="s">
        <v>1071</v>
      </c>
      <c r="J1279" s="1" t="s">
        <v>26</v>
      </c>
      <c r="K1279" s="1" t="s">
        <v>1247</v>
      </c>
      <c r="L1279" s="1" t="s">
        <v>26</v>
      </c>
      <c r="M1279" s="1" t="s">
        <v>27</v>
      </c>
      <c r="N1279" s="1" t="s">
        <v>26</v>
      </c>
      <c r="O1279" s="1" t="s">
        <v>26</v>
      </c>
      <c r="P1279" s="4">
        <v>45315.5225</v>
      </c>
    </row>
    <row r="1280">
      <c r="A1280" s="1" t="s">
        <v>21</v>
      </c>
      <c r="B1280" s="3" t="str">
        <f>HYPERLINK("https://hawk-eye.atlassian.net/browse/HWKREPORT-2255?atlOrigin=eyJpIjoiYzgwYTQ0ZjEyNzQzNGJhN2JmNjEyZTM0NmRhZWZhNjIiLCJwIjoic2hlZXRzLWppcmEifQ","HWKREPORT-2255")</f>
        <v>HWKREPORT-2255</v>
      </c>
      <c r="C1280" s="1" t="s">
        <v>2511</v>
      </c>
      <c r="D1280" s="1" t="s">
        <v>23</v>
      </c>
      <c r="E1280" s="1" t="s">
        <v>35</v>
      </c>
      <c r="F1280" s="4">
        <v>45138.74663194444</v>
      </c>
      <c r="G1280" s="3" t="str">
        <f>HYPERLINK("https://hawk-eye.atlassian.net/browse/RTT-6807?atlOrigin=eyJpIjoiYzgwYTQ0ZjEyNzQzNGJhN2JmNjEyZTM0NmRhZWZhNjIiLCJwIjoic2hlZXRzLWppcmEifQ","RTT-6807")</f>
        <v>RTT-6807</v>
      </c>
      <c r="H1280" s="1" t="s">
        <v>1058</v>
      </c>
      <c r="I1280" s="1" t="s">
        <v>28</v>
      </c>
      <c r="J1280" s="1" t="s">
        <v>26</v>
      </c>
      <c r="K1280" s="1" t="s">
        <v>1072</v>
      </c>
      <c r="L1280" s="1" t="s">
        <v>26</v>
      </c>
      <c r="M1280" s="1" t="s">
        <v>27</v>
      </c>
      <c r="N1280" s="1" t="s">
        <v>26</v>
      </c>
      <c r="O1280" s="1" t="s">
        <v>26</v>
      </c>
      <c r="P1280" s="4">
        <v>45524.729849537034</v>
      </c>
    </row>
    <row r="1281">
      <c r="A1281" s="1" t="s">
        <v>21</v>
      </c>
      <c r="B1281" s="3" t="str">
        <f>HYPERLINK("https://hawk-eye.atlassian.net/browse/HWKREPORT-2256?atlOrigin=eyJpIjoiYzgwYTQ0ZjEyNzQzNGJhN2JmNjEyZTM0NmRhZWZhNjIiLCJwIjoic2hlZXRzLWppcmEifQ","HWKREPORT-2256")</f>
        <v>HWKREPORT-2256</v>
      </c>
      <c r="C1281" s="1" t="s">
        <v>2512</v>
      </c>
      <c r="D1281" s="1" t="s">
        <v>23</v>
      </c>
      <c r="E1281" s="1" t="s">
        <v>35</v>
      </c>
      <c r="F1281" s="4">
        <v>45138.74797453704</v>
      </c>
      <c r="G1281" s="3" t="str">
        <f>HYPERLINK("https://hawk-eye.atlassian.net/browse/RTT-6808?atlOrigin=eyJpIjoiYzgwYTQ0ZjEyNzQzNGJhN2JmNjEyZTM0NmRhZWZhNjIiLCJwIjoic2hlZXRzLWppcmEifQ","RTT-6808")</f>
        <v>RTT-6808</v>
      </c>
      <c r="H1281" s="1" t="s">
        <v>1058</v>
      </c>
      <c r="I1281" s="1" t="s">
        <v>28</v>
      </c>
      <c r="J1281" s="1" t="s">
        <v>26</v>
      </c>
      <c r="K1281" s="1" t="s">
        <v>1072</v>
      </c>
      <c r="L1281" s="1" t="s">
        <v>26</v>
      </c>
      <c r="M1281" s="1" t="s">
        <v>27</v>
      </c>
      <c r="N1281" s="1" t="s">
        <v>26</v>
      </c>
      <c r="O1281" s="1" t="s">
        <v>26</v>
      </c>
      <c r="P1281" s="4">
        <v>45210.54267361111</v>
      </c>
    </row>
    <row r="1282">
      <c r="A1282" s="1" t="s">
        <v>21</v>
      </c>
      <c r="B1282" s="3" t="str">
        <f>HYPERLINK("https://hawk-eye.atlassian.net/browse/HWKREPORT-2257?atlOrigin=eyJpIjoiYzgwYTQ0ZjEyNzQzNGJhN2JmNjEyZTM0NmRhZWZhNjIiLCJwIjoic2hlZXRzLWppcmEifQ","HWKREPORT-2257")</f>
        <v>HWKREPORT-2257</v>
      </c>
      <c r="C1282" s="1" t="s">
        <v>2513</v>
      </c>
      <c r="D1282" s="1" t="s">
        <v>48</v>
      </c>
      <c r="E1282" s="1" t="s">
        <v>35</v>
      </c>
      <c r="F1282" s="4">
        <v>45138.75299768519</v>
      </c>
      <c r="G1282" s="3" t="str">
        <f>HYPERLINK("https://hawk-eye.atlassian.net/browse/RTT-6809?atlOrigin=eyJpIjoiYzgwYTQ0ZjEyNzQzNGJhN2JmNjEyZTM0NmRhZWZhNjIiLCJwIjoic2hlZXRzLWppcmEifQ","RTT-6809")</f>
        <v>RTT-6809</v>
      </c>
      <c r="H1282" s="1" t="s">
        <v>1058</v>
      </c>
      <c r="I1282" s="1" t="s">
        <v>28</v>
      </c>
      <c r="J1282" s="1" t="s">
        <v>26</v>
      </c>
      <c r="K1282" s="1" t="s">
        <v>1072</v>
      </c>
      <c r="L1282" s="1" t="s">
        <v>26</v>
      </c>
      <c r="M1282" s="1" t="s">
        <v>27</v>
      </c>
      <c r="N1282" s="1" t="s">
        <v>26</v>
      </c>
      <c r="O1282" s="1" t="s">
        <v>26</v>
      </c>
      <c r="P1282" s="4">
        <v>45226.647939814815</v>
      </c>
    </row>
    <row r="1283" hidden="1">
      <c r="A1283" s="1" t="s">
        <v>21</v>
      </c>
      <c r="B1283" s="3" t="str">
        <f>HYPERLINK("https://hawk-eye.atlassian.net/browse/HWKREPORT-2258?atlOrigin=eyJpIjoiYzgwYTQ0ZjEyNzQzNGJhN2JmNjEyZTM0NmRhZWZhNjIiLCJwIjoic2hlZXRzLWppcmEifQ","HWKREPORT-2258")</f>
        <v>HWKREPORT-2258</v>
      </c>
      <c r="C1283" s="1" t="s">
        <v>2514</v>
      </c>
      <c r="D1283" s="1" t="s">
        <v>34</v>
      </c>
      <c r="E1283" s="1" t="s">
        <v>1057</v>
      </c>
      <c r="F1283" s="4">
        <v>45138.86252314815</v>
      </c>
      <c r="G1283" s="3" t="str">
        <f>HYPERLINK("https://hawk-eye.atlassian.net/browse/?atlOrigin=eyJpIjoiYzgwYTQ0ZjEyNzQzNGJhN2JmNjEyZTM0NmRhZWZhNjIiLCJwIjoic2hlZXRzLWppcmEifQ","")</f>
        <v/>
      </c>
      <c r="H1283" s="1" t="s">
        <v>1058</v>
      </c>
      <c r="I1283" s="1" t="s">
        <v>1071</v>
      </c>
      <c r="J1283" s="1" t="s">
        <v>26</v>
      </c>
      <c r="K1283" s="1" t="s">
        <v>1762</v>
      </c>
      <c r="L1283" s="1" t="s">
        <v>26</v>
      </c>
      <c r="M1283" s="1" t="s">
        <v>27</v>
      </c>
      <c r="N1283" s="1" t="s">
        <v>26</v>
      </c>
      <c r="O1283" s="1" t="s">
        <v>26</v>
      </c>
      <c r="P1283" s="4">
        <v>45138.86253472222</v>
      </c>
    </row>
    <row r="1284" hidden="1">
      <c r="A1284" s="1" t="s">
        <v>21</v>
      </c>
      <c r="B1284" s="3" t="str">
        <f>HYPERLINK("https://hawk-eye.atlassian.net/browse/HWKREPORT-2259?atlOrigin=eyJpIjoiYzgwYTQ0ZjEyNzQzNGJhN2JmNjEyZTM0NmRhZWZhNjIiLCJwIjoic2hlZXRzLWppcmEifQ","HWKREPORT-2259")</f>
        <v>HWKREPORT-2259</v>
      </c>
      <c r="C1284" s="1" t="s">
        <v>2515</v>
      </c>
      <c r="D1284" s="1" t="s">
        <v>34</v>
      </c>
      <c r="E1284" s="1" t="s">
        <v>1207</v>
      </c>
      <c r="F1284" s="4">
        <v>45139.32324074074</v>
      </c>
      <c r="G1284" s="3" t="str">
        <f>HYPERLINK("https://hawk-eye.atlassian.net/browse/RTT-6810?atlOrigin=eyJpIjoiYzgwYTQ0ZjEyNzQzNGJhN2JmNjEyZTM0NmRhZWZhNjIiLCJwIjoic2hlZXRzLWppcmEifQ","RTT-6810")</f>
        <v>RTT-6810</v>
      </c>
      <c r="H1284" s="1" t="s">
        <v>1058</v>
      </c>
      <c r="I1284" s="1" t="s">
        <v>1085</v>
      </c>
      <c r="J1284" s="1" t="s">
        <v>26</v>
      </c>
      <c r="K1284" s="1" t="s">
        <v>1196</v>
      </c>
      <c r="L1284" s="1" t="s">
        <v>26</v>
      </c>
      <c r="M1284" s="1" t="s">
        <v>27</v>
      </c>
      <c r="N1284" s="1" t="s">
        <v>26</v>
      </c>
      <c r="O1284" s="1" t="s">
        <v>26</v>
      </c>
      <c r="P1284" s="4">
        <v>45154.47557870371</v>
      </c>
    </row>
    <row r="1285" hidden="1">
      <c r="A1285" s="1" t="s">
        <v>1055</v>
      </c>
      <c r="B1285" s="3" t="str">
        <f>HYPERLINK("https://hawk-eye.atlassian.net/browse/HWKREPORT-2260?atlOrigin=eyJpIjoiYzgwYTQ0ZjEyNzQzNGJhN2JmNjEyZTM0NmRhZWZhNjIiLCJwIjoic2hlZXRzLWppcmEifQ","HWKREPORT-2260")</f>
        <v>HWKREPORT-2260</v>
      </c>
      <c r="C1285" s="1" t="s">
        <v>2516</v>
      </c>
      <c r="D1285" s="1" t="s">
        <v>48</v>
      </c>
      <c r="E1285" s="1" t="s">
        <v>1057</v>
      </c>
      <c r="F1285" s="4">
        <v>45139.44049768519</v>
      </c>
      <c r="G1285" s="3" t="str">
        <f>HYPERLINK("https://hawk-eye.atlassian.net/browse/RTT-6824?atlOrigin=eyJpIjoiYzgwYTQ0ZjEyNzQzNGJhN2JmNjEyZTM0NmRhZWZhNjIiLCJwIjoic2hlZXRzLWppcmEifQ","RTT-6824")</f>
        <v>RTT-6824</v>
      </c>
      <c r="H1285" s="1" t="s">
        <v>1058</v>
      </c>
      <c r="I1285" s="1" t="s">
        <v>1085</v>
      </c>
      <c r="J1285" s="1" t="s">
        <v>26</v>
      </c>
      <c r="K1285" s="1" t="s">
        <v>1072</v>
      </c>
      <c r="L1285" s="1" t="s">
        <v>26</v>
      </c>
      <c r="M1285" s="1" t="s">
        <v>27</v>
      </c>
      <c r="N1285" s="1" t="s">
        <v>26</v>
      </c>
      <c r="O1285" s="1" t="s">
        <v>26</v>
      </c>
      <c r="P1285" s="4">
        <v>45139.44049768519</v>
      </c>
    </row>
    <row r="1286" hidden="1">
      <c r="A1286" s="1" t="s">
        <v>1055</v>
      </c>
      <c r="B1286" s="3" t="str">
        <f>HYPERLINK("https://hawk-eye.atlassian.net/browse/HWKREPORT-2261?atlOrigin=eyJpIjoiYzgwYTQ0ZjEyNzQzNGJhN2JmNjEyZTM0NmRhZWZhNjIiLCJwIjoic2hlZXRzLWppcmEifQ","HWKREPORT-2261")</f>
        <v>HWKREPORT-2261</v>
      </c>
      <c r="C1286" s="1" t="s">
        <v>2517</v>
      </c>
      <c r="D1286" s="1" t="s">
        <v>48</v>
      </c>
      <c r="E1286" s="1" t="s">
        <v>1057</v>
      </c>
      <c r="F1286" s="4">
        <v>45139.44472222222</v>
      </c>
      <c r="G1286" s="3" t="str">
        <f>HYPERLINK("https://hawk-eye.atlassian.net/browse/?atlOrigin=eyJpIjoiYzgwYTQ0ZjEyNzQzNGJhN2JmNjEyZTM0NmRhZWZhNjIiLCJwIjoic2hlZXRzLWppcmEifQ","")</f>
        <v/>
      </c>
      <c r="H1286" s="1" t="s">
        <v>1058</v>
      </c>
      <c r="I1286" s="1" t="s">
        <v>1085</v>
      </c>
      <c r="J1286" s="1" t="s">
        <v>26</v>
      </c>
      <c r="K1286" s="1" t="s">
        <v>1072</v>
      </c>
      <c r="L1286" s="1" t="s">
        <v>26</v>
      </c>
      <c r="M1286" s="1" t="s">
        <v>27</v>
      </c>
      <c r="N1286" s="1" t="s">
        <v>26</v>
      </c>
      <c r="O1286" s="1" t="s">
        <v>26</v>
      </c>
      <c r="P1286" s="4">
        <v>45139.4447337963</v>
      </c>
    </row>
    <row r="1287" hidden="1">
      <c r="A1287" s="1" t="s">
        <v>1055</v>
      </c>
      <c r="B1287" s="3" t="str">
        <f>HYPERLINK("https://hawk-eye.atlassian.net/browse/HWKREPORT-2262?atlOrigin=eyJpIjoiYzgwYTQ0ZjEyNzQzNGJhN2JmNjEyZTM0NmRhZWZhNjIiLCJwIjoic2hlZXRzLWppcmEifQ","HWKREPORT-2262")</f>
        <v>HWKREPORT-2262</v>
      </c>
      <c r="C1287" s="1" t="s">
        <v>2518</v>
      </c>
      <c r="D1287" s="1" t="s">
        <v>48</v>
      </c>
      <c r="E1287" s="1" t="s">
        <v>1057</v>
      </c>
      <c r="F1287" s="4">
        <v>45139.44813657407</v>
      </c>
      <c r="G1287" s="3" t="str">
        <f>HYPERLINK("https://hawk-eye.atlassian.net/browse/RTT-6823?atlOrigin=eyJpIjoiYzgwYTQ0ZjEyNzQzNGJhN2JmNjEyZTM0NmRhZWZhNjIiLCJwIjoic2hlZXRzLWppcmEifQ","RTT-6823")</f>
        <v>RTT-6823</v>
      </c>
      <c r="H1287" s="1" t="s">
        <v>1058</v>
      </c>
      <c r="I1287" s="1" t="s">
        <v>1085</v>
      </c>
      <c r="J1287" s="1" t="s">
        <v>26</v>
      </c>
      <c r="K1287" s="1" t="s">
        <v>1072</v>
      </c>
      <c r="L1287" s="1" t="s">
        <v>26</v>
      </c>
      <c r="M1287" s="1" t="s">
        <v>27</v>
      </c>
      <c r="N1287" s="1" t="s">
        <v>26</v>
      </c>
      <c r="O1287" s="1" t="s">
        <v>26</v>
      </c>
      <c r="P1287" s="4">
        <v>45301.43111111111</v>
      </c>
    </row>
    <row r="1288" hidden="1">
      <c r="A1288" s="1" t="s">
        <v>1055</v>
      </c>
      <c r="B1288" s="3" t="str">
        <f>HYPERLINK("https://hawk-eye.atlassian.net/browse/HWKREPORT-2263?atlOrigin=eyJpIjoiYzgwYTQ0ZjEyNzQzNGJhN2JmNjEyZTM0NmRhZWZhNjIiLCJwIjoic2hlZXRzLWppcmEifQ","HWKREPORT-2263")</f>
        <v>HWKREPORT-2263</v>
      </c>
      <c r="C1288" s="1" t="s">
        <v>2519</v>
      </c>
      <c r="D1288" s="1" t="s">
        <v>48</v>
      </c>
      <c r="E1288" s="1" t="s">
        <v>35</v>
      </c>
      <c r="F1288" s="4">
        <v>45139.490625</v>
      </c>
      <c r="G1288" s="3" t="str">
        <f>HYPERLINK("https://hawk-eye.atlassian.net/browse/CTK-139?atlOrigin=eyJpIjoiYzgwYTQ0ZjEyNzQzNGJhN2JmNjEyZTM0NmRhZWZhNjIiLCJwIjoic2hlZXRzLWppcmEifQ","CTK-139")</f>
        <v>CTK-139</v>
      </c>
      <c r="H1288" s="1" t="s">
        <v>1058</v>
      </c>
      <c r="I1288" s="1" t="s">
        <v>1082</v>
      </c>
      <c r="J1288" s="1" t="s">
        <v>26</v>
      </c>
      <c r="K1288" s="1" t="s">
        <v>1083</v>
      </c>
      <c r="L1288" s="1" t="s">
        <v>26</v>
      </c>
      <c r="M1288" s="1" t="s">
        <v>27</v>
      </c>
      <c r="N1288" s="1" t="s">
        <v>26</v>
      </c>
      <c r="O1288" s="1" t="s">
        <v>26</v>
      </c>
      <c r="P1288" s="4">
        <v>45252.400983796295</v>
      </c>
    </row>
    <row r="1289" hidden="1">
      <c r="A1289" s="1" t="s">
        <v>1055</v>
      </c>
      <c r="B1289" s="3" t="str">
        <f>HYPERLINK("https://hawk-eye.atlassian.net/browse/HWKREPORT-2264?atlOrigin=eyJpIjoiYzgwYTQ0ZjEyNzQzNGJhN2JmNjEyZTM0NmRhZWZhNjIiLCJwIjoic2hlZXRzLWppcmEifQ","HWKREPORT-2264")</f>
        <v>HWKREPORT-2264</v>
      </c>
      <c r="C1289" s="1" t="s">
        <v>2520</v>
      </c>
      <c r="D1289" s="1" t="s">
        <v>48</v>
      </c>
      <c r="E1289" s="1" t="s">
        <v>35</v>
      </c>
      <c r="F1289" s="4">
        <v>45140.47582175926</v>
      </c>
      <c r="G1289" s="3" t="str">
        <f>HYPERLINK("https://hawk-eye.atlassian.net/browse/SO-940?atlOrigin=eyJpIjoiYzgwYTQ0ZjEyNzQzNGJhN2JmNjEyZTM0NmRhZWZhNjIiLCJwIjoic2hlZXRzLWppcmEifQ","SO-940")</f>
        <v>SO-940</v>
      </c>
      <c r="H1289" s="1" t="s">
        <v>1058</v>
      </c>
      <c r="I1289" s="1" t="s">
        <v>1085</v>
      </c>
      <c r="J1289" s="1" t="s">
        <v>26</v>
      </c>
      <c r="K1289" s="1" t="s">
        <v>1116</v>
      </c>
      <c r="L1289" s="1" t="s">
        <v>26</v>
      </c>
      <c r="M1289" s="1" t="s">
        <v>27</v>
      </c>
      <c r="N1289" s="1" t="s">
        <v>26</v>
      </c>
      <c r="O1289" s="1" t="s">
        <v>26</v>
      </c>
      <c r="P1289" s="4">
        <v>45204.40002314815</v>
      </c>
    </row>
    <row r="1290" hidden="1">
      <c r="A1290" s="1" t="s">
        <v>21</v>
      </c>
      <c r="B1290" s="3" t="str">
        <f>HYPERLINK("https://hawk-eye.atlassian.net/browse/HWKREPORT-2265?atlOrigin=eyJpIjoiYzgwYTQ0ZjEyNzQzNGJhN2JmNjEyZTM0NmRhZWZhNjIiLCJwIjoic2hlZXRzLWppcmEifQ","HWKREPORT-2265")</f>
        <v>HWKREPORT-2265</v>
      </c>
      <c r="C1290" s="1" t="s">
        <v>2521</v>
      </c>
      <c r="D1290" s="1" t="s">
        <v>34</v>
      </c>
      <c r="E1290" s="1" t="s">
        <v>35</v>
      </c>
      <c r="F1290" s="4">
        <v>45141.52538194445</v>
      </c>
      <c r="G1290" s="3" t="str">
        <f>HYPERLINK("https://hawk-eye.atlassian.net/browse/CTK-140?atlOrigin=eyJpIjoiYzgwYTQ0ZjEyNzQzNGJhN2JmNjEyZTM0NmRhZWZhNjIiLCJwIjoic2hlZXRzLWppcmEifQ","CTK-140")</f>
        <v>CTK-140</v>
      </c>
      <c r="H1290" s="1" t="s">
        <v>1058</v>
      </c>
      <c r="I1290" s="1" t="s">
        <v>1082</v>
      </c>
      <c r="J1290" s="1" t="s">
        <v>26</v>
      </c>
      <c r="K1290" s="1" t="s">
        <v>1083</v>
      </c>
      <c r="L1290" s="1" t="s">
        <v>26</v>
      </c>
      <c r="M1290" s="1" t="s">
        <v>27</v>
      </c>
      <c r="N1290" s="1" t="s">
        <v>26</v>
      </c>
      <c r="O1290" s="1" t="s">
        <v>26</v>
      </c>
      <c r="P1290" s="4">
        <v>45252.39949074074</v>
      </c>
    </row>
    <row r="1291" hidden="1">
      <c r="A1291" s="1" t="s">
        <v>21</v>
      </c>
      <c r="B1291" s="3" t="str">
        <f>HYPERLINK("https://hawk-eye.atlassian.net/browse/HWKREPORT-2266?atlOrigin=eyJpIjoiYzgwYTQ0ZjEyNzQzNGJhN2JmNjEyZTM0NmRhZWZhNjIiLCJwIjoic2hlZXRzLWppcmEifQ","HWKREPORT-2266")</f>
        <v>HWKREPORT-2266</v>
      </c>
      <c r="C1291" s="1" t="s">
        <v>2522</v>
      </c>
      <c r="D1291" s="1" t="s">
        <v>23</v>
      </c>
      <c r="E1291" s="1" t="s">
        <v>1057</v>
      </c>
      <c r="F1291" s="4">
        <v>45142.93369212963</v>
      </c>
      <c r="G1291" s="3" t="str">
        <f>HYPERLINK("https://hawk-eye.atlassian.net/browse/BDP-1498?atlOrigin=eyJpIjoiYzgwYTQ0ZjEyNzQzNGJhN2JmNjEyZTM0NmRhZWZhNjIiLCJwIjoic2hlZXRzLWppcmEifQ","BDP-1498")</f>
        <v>BDP-1498</v>
      </c>
      <c r="H1291" s="1" t="s">
        <v>1058</v>
      </c>
      <c r="I1291" s="1" t="s">
        <v>1071</v>
      </c>
      <c r="J1291" s="1" t="s">
        <v>26</v>
      </c>
      <c r="K1291" s="1" t="s">
        <v>1130</v>
      </c>
      <c r="L1291" s="1" t="s">
        <v>26</v>
      </c>
      <c r="M1291" s="1" t="s">
        <v>27</v>
      </c>
      <c r="N1291" s="1" t="s">
        <v>26</v>
      </c>
      <c r="O1291" s="1" t="s">
        <v>26</v>
      </c>
      <c r="P1291" s="4">
        <v>45142.933703703704</v>
      </c>
    </row>
    <row r="1292" hidden="1">
      <c r="A1292" s="1" t="s">
        <v>21</v>
      </c>
      <c r="B1292" s="3" t="str">
        <f>HYPERLINK("https://hawk-eye.atlassian.net/browse/HWKREPORT-2267?atlOrigin=eyJpIjoiYzgwYTQ0ZjEyNzQzNGJhN2JmNjEyZTM0NmRhZWZhNjIiLCJwIjoic2hlZXRzLWppcmEifQ","HWKREPORT-2267")</f>
        <v>HWKREPORT-2267</v>
      </c>
      <c r="C1292" s="1" t="s">
        <v>2523</v>
      </c>
      <c r="D1292" s="1" t="s">
        <v>48</v>
      </c>
      <c r="E1292" s="1" t="s">
        <v>1057</v>
      </c>
      <c r="F1292" s="4">
        <v>45145.49199074074</v>
      </c>
      <c r="G1292" s="3" t="str">
        <f>HYPERLINK("https://hawk-eye.atlassian.net/browse/?atlOrigin=eyJpIjoiYzgwYTQ0ZjEyNzQzNGJhN2JmNjEyZTM0NmRhZWZhNjIiLCJwIjoic2hlZXRzLWppcmEifQ","")</f>
        <v/>
      </c>
      <c r="H1292" s="1" t="s">
        <v>1058</v>
      </c>
      <c r="I1292" s="1" t="s">
        <v>1193</v>
      </c>
      <c r="J1292" s="1" t="s">
        <v>26</v>
      </c>
      <c r="K1292" s="1" t="s">
        <v>1362</v>
      </c>
      <c r="L1292" s="1" t="s">
        <v>26</v>
      </c>
      <c r="M1292" s="1" t="s">
        <v>27</v>
      </c>
      <c r="N1292" s="1" t="s">
        <v>26</v>
      </c>
      <c r="O1292" s="1" t="s">
        <v>26</v>
      </c>
      <c r="P1292" s="4">
        <v>45145.49199074074</v>
      </c>
    </row>
    <row r="1293" hidden="1">
      <c r="A1293" s="1" t="s">
        <v>21</v>
      </c>
      <c r="B1293" s="3" t="str">
        <f>HYPERLINK("https://hawk-eye.atlassian.net/browse/HWKREPORT-2268?atlOrigin=eyJpIjoiYzgwYTQ0ZjEyNzQzNGJhN2JmNjEyZTM0NmRhZWZhNjIiLCJwIjoic2hlZXRzLWppcmEifQ","HWKREPORT-2268")</f>
        <v>HWKREPORT-2268</v>
      </c>
      <c r="C1293" s="1" t="s">
        <v>2524</v>
      </c>
      <c r="D1293" s="1" t="s">
        <v>34</v>
      </c>
      <c r="E1293" s="1" t="s">
        <v>1207</v>
      </c>
      <c r="F1293" s="4">
        <v>45145.601875</v>
      </c>
      <c r="G1293" s="3" t="str">
        <f>HYPERLINK("https://hawk-eye.atlassian.net/browse/RTT-6836?atlOrigin=eyJpIjoiYzgwYTQ0ZjEyNzQzNGJhN2JmNjEyZTM0NmRhZWZhNjIiLCJwIjoic2hlZXRzLWppcmEifQ","RTT-6836")</f>
        <v>RTT-6836</v>
      </c>
      <c r="H1293" s="1" t="s">
        <v>1058</v>
      </c>
      <c r="I1293" s="1" t="s">
        <v>1377</v>
      </c>
      <c r="J1293" s="1" t="s">
        <v>26</v>
      </c>
      <c r="K1293" s="1" t="s">
        <v>1312</v>
      </c>
      <c r="L1293" s="1" t="s">
        <v>26</v>
      </c>
      <c r="M1293" s="1" t="s">
        <v>27</v>
      </c>
      <c r="N1293" s="1" t="s">
        <v>26</v>
      </c>
      <c r="O1293" s="1" t="s">
        <v>26</v>
      </c>
      <c r="P1293" s="4">
        <v>45148.63706018519</v>
      </c>
    </row>
    <row r="1294" hidden="1">
      <c r="A1294" s="1" t="s">
        <v>1055</v>
      </c>
      <c r="B1294" s="3" t="str">
        <f>HYPERLINK("https://hawk-eye.atlassian.net/browse/HWKREPORT-2269?atlOrigin=eyJpIjoiYzgwYTQ0ZjEyNzQzNGJhN2JmNjEyZTM0NmRhZWZhNjIiLCJwIjoic2hlZXRzLWppcmEifQ","HWKREPORT-2269")</f>
        <v>HWKREPORT-2269</v>
      </c>
      <c r="C1294" s="1" t="s">
        <v>2525</v>
      </c>
      <c r="D1294" s="1" t="s">
        <v>48</v>
      </c>
      <c r="E1294" s="1" t="s">
        <v>35</v>
      </c>
      <c r="F1294" s="4">
        <v>45146.18646990741</v>
      </c>
      <c r="G1294" s="3" t="str">
        <f>HYPERLINK("https://hawk-eye.atlassian.net/browse/SO-1263?atlOrigin=eyJpIjoiYzgwYTQ0ZjEyNzQzNGJhN2JmNjEyZTM0NmRhZWZhNjIiLCJwIjoic2hlZXRzLWppcmEifQ","SO-1263")</f>
        <v>SO-1263</v>
      </c>
      <c r="H1294" s="1" t="s">
        <v>1058</v>
      </c>
      <c r="I1294" s="1" t="s">
        <v>1126</v>
      </c>
      <c r="J1294" s="1" t="s">
        <v>26</v>
      </c>
      <c r="K1294" s="1" t="s">
        <v>26</v>
      </c>
      <c r="L1294" s="1" t="s">
        <v>26</v>
      </c>
      <c r="M1294" s="1" t="s">
        <v>27</v>
      </c>
      <c r="N1294" s="1" t="s">
        <v>26</v>
      </c>
      <c r="O1294" s="1" t="s">
        <v>26</v>
      </c>
      <c r="P1294" s="4">
        <v>45447.438206018516</v>
      </c>
    </row>
    <row r="1295" hidden="1">
      <c r="A1295" s="1" t="s">
        <v>21</v>
      </c>
      <c r="B1295" s="3" t="str">
        <f>HYPERLINK("https://hawk-eye.atlassian.net/browse/HWKREPORT-2270?atlOrigin=eyJpIjoiYzgwYTQ0ZjEyNzQzNGJhN2JmNjEyZTM0NmRhZWZhNjIiLCJwIjoic2hlZXRzLWppcmEifQ","HWKREPORT-2270")</f>
        <v>HWKREPORT-2270</v>
      </c>
      <c r="C1295" s="1" t="s">
        <v>2526</v>
      </c>
      <c r="D1295" s="1" t="s">
        <v>23</v>
      </c>
      <c r="E1295" s="1" t="s">
        <v>35</v>
      </c>
      <c r="F1295" s="4">
        <v>45146.39326388889</v>
      </c>
      <c r="G1295" s="3" t="str">
        <f>HYPERLINK("https://hawk-eye.atlassian.net/browse/SO-955?atlOrigin=eyJpIjoiYzgwYTQ0ZjEyNzQzNGJhN2JmNjEyZTM0NmRhZWZhNjIiLCJwIjoic2hlZXRzLWppcmEifQ","SO-955")</f>
        <v>SO-955</v>
      </c>
      <c r="H1295" s="1" t="s">
        <v>1058</v>
      </c>
      <c r="I1295" s="1" t="s">
        <v>1085</v>
      </c>
      <c r="J1295" s="1" t="s">
        <v>26</v>
      </c>
      <c r="K1295" s="1" t="s">
        <v>1116</v>
      </c>
      <c r="L1295" s="1" t="s">
        <v>26</v>
      </c>
      <c r="M1295" s="1" t="s">
        <v>27</v>
      </c>
      <c r="N1295" s="1" t="s">
        <v>26</v>
      </c>
      <c r="O1295" s="1" t="s">
        <v>26</v>
      </c>
      <c r="P1295" s="4">
        <v>45315.49905092592</v>
      </c>
    </row>
    <row r="1296" hidden="1">
      <c r="A1296" s="1" t="s">
        <v>21</v>
      </c>
      <c r="B1296" s="3" t="str">
        <f>HYPERLINK("https://hawk-eye.atlassian.net/browse/HWKREPORT-2271?atlOrigin=eyJpIjoiYzgwYTQ0ZjEyNzQzNGJhN2JmNjEyZTM0NmRhZWZhNjIiLCJwIjoic2hlZXRzLWppcmEifQ","HWKREPORT-2271")</f>
        <v>HWKREPORT-2271</v>
      </c>
      <c r="C1296" s="1" t="s">
        <v>2527</v>
      </c>
      <c r="D1296" s="1" t="s">
        <v>23</v>
      </c>
      <c r="E1296" s="1" t="s">
        <v>35</v>
      </c>
      <c r="F1296" s="4">
        <v>45146.43251157407</v>
      </c>
      <c r="G1296" s="3" t="str">
        <f>HYPERLINK("https://hawk-eye.atlassian.net/browse/RTT-6837?atlOrigin=eyJpIjoiYzgwYTQ0ZjEyNzQzNGJhN2JmNjEyZTM0NmRhZWZhNjIiLCJwIjoic2hlZXRzLWppcmEifQ","RTT-6837")</f>
        <v>RTT-6837</v>
      </c>
      <c r="H1296" s="1" t="s">
        <v>1058</v>
      </c>
      <c r="I1296" s="1" t="s">
        <v>1085</v>
      </c>
      <c r="J1296" s="1" t="s">
        <v>26</v>
      </c>
      <c r="K1296" s="1" t="s">
        <v>1072</v>
      </c>
      <c r="L1296" s="1" t="s">
        <v>26</v>
      </c>
      <c r="M1296" s="1" t="s">
        <v>27</v>
      </c>
      <c r="N1296" s="1" t="s">
        <v>26</v>
      </c>
      <c r="O1296" s="1" t="s">
        <v>26</v>
      </c>
      <c r="P1296" s="4">
        <v>45259.66238425926</v>
      </c>
    </row>
    <row r="1297" hidden="1">
      <c r="A1297" s="1" t="s">
        <v>21</v>
      </c>
      <c r="B1297" s="3" t="str">
        <f>HYPERLINK("https://hawk-eye.atlassian.net/browse/HWKREPORT-2272?atlOrigin=eyJpIjoiYzgwYTQ0ZjEyNzQzNGJhN2JmNjEyZTM0NmRhZWZhNjIiLCJwIjoic2hlZXRzLWppcmEifQ","HWKREPORT-2272")</f>
        <v>HWKREPORT-2272</v>
      </c>
      <c r="C1297" s="1" t="s">
        <v>2528</v>
      </c>
      <c r="D1297" s="1" t="s">
        <v>34</v>
      </c>
      <c r="E1297" s="1" t="s">
        <v>35</v>
      </c>
      <c r="F1297" s="4">
        <v>45146.569756944446</v>
      </c>
      <c r="G1297" s="3" t="str">
        <f>HYPERLINK("https://hawk-eye.atlassian.net/browse/SO-953?atlOrigin=eyJpIjoiYzgwYTQ0ZjEyNzQzNGJhN2JmNjEyZTM0NmRhZWZhNjIiLCJwIjoic2hlZXRzLWppcmEifQ","SO-953")</f>
        <v>SO-953</v>
      </c>
      <c r="H1297" s="1" t="s">
        <v>1058</v>
      </c>
      <c r="I1297" s="1" t="s">
        <v>1085</v>
      </c>
      <c r="J1297" s="1" t="s">
        <v>26</v>
      </c>
      <c r="K1297" s="1" t="s">
        <v>1116</v>
      </c>
      <c r="L1297" s="1" t="s">
        <v>26</v>
      </c>
      <c r="M1297" s="1" t="s">
        <v>27</v>
      </c>
      <c r="N1297" s="1" t="s">
        <v>26</v>
      </c>
      <c r="O1297" s="1" t="s">
        <v>26</v>
      </c>
      <c r="P1297" s="4">
        <v>45170.720659722225</v>
      </c>
    </row>
    <row r="1298" hidden="1">
      <c r="A1298" s="1" t="s">
        <v>21</v>
      </c>
      <c r="B1298" s="3" t="str">
        <f>HYPERLINK("https://hawk-eye.atlassian.net/browse/HWKREPORT-2273?atlOrigin=eyJpIjoiYzgwYTQ0ZjEyNzQzNGJhN2JmNjEyZTM0NmRhZWZhNjIiLCJwIjoic2hlZXRzLWppcmEifQ","HWKREPORT-2273")</f>
        <v>HWKREPORT-2273</v>
      </c>
      <c r="C1298" s="1" t="s">
        <v>2529</v>
      </c>
      <c r="D1298" s="1" t="s">
        <v>23</v>
      </c>
      <c r="E1298" s="1" t="s">
        <v>35</v>
      </c>
      <c r="F1298" s="4">
        <v>45146.61109953704</v>
      </c>
      <c r="G1298" s="3" t="str">
        <f>HYPERLINK("https://hawk-eye.atlassian.net/browse/SO-954?atlOrigin=eyJpIjoiYzgwYTQ0ZjEyNzQzNGJhN2JmNjEyZTM0NmRhZWZhNjIiLCJwIjoic2hlZXRzLWppcmEifQ","SO-954")</f>
        <v>SO-954</v>
      </c>
      <c r="H1298" s="1" t="s">
        <v>1058</v>
      </c>
      <c r="I1298" s="1" t="s">
        <v>1085</v>
      </c>
      <c r="J1298" s="1" t="s">
        <v>26</v>
      </c>
      <c r="K1298" s="1" t="s">
        <v>1116</v>
      </c>
      <c r="L1298" s="1" t="s">
        <v>26</v>
      </c>
      <c r="M1298" s="1" t="s">
        <v>27</v>
      </c>
      <c r="N1298" s="1" t="s">
        <v>26</v>
      </c>
      <c r="O1298" s="1" t="s">
        <v>26</v>
      </c>
      <c r="P1298" s="4">
        <v>45156.6006712963</v>
      </c>
    </row>
    <row r="1299" hidden="1">
      <c r="A1299" s="1" t="s">
        <v>1055</v>
      </c>
      <c r="B1299" s="3" t="str">
        <f>HYPERLINK("https://hawk-eye.atlassian.net/browse/HWKREPORT-2274?atlOrigin=eyJpIjoiYzgwYTQ0ZjEyNzQzNGJhN2JmNjEyZTM0NmRhZWZhNjIiLCJwIjoic2hlZXRzLWppcmEifQ","HWKREPORT-2274")</f>
        <v>HWKREPORT-2274</v>
      </c>
      <c r="C1299" s="1" t="s">
        <v>2530</v>
      </c>
      <c r="D1299" s="1" t="s">
        <v>48</v>
      </c>
      <c r="E1299" s="1" t="s">
        <v>1057</v>
      </c>
      <c r="F1299" s="4">
        <v>45146.62200231481</v>
      </c>
      <c r="G1299" s="3" t="str">
        <f>HYPERLINK("https://hawk-eye.atlassian.net/browse/?atlOrigin=eyJpIjoiYzgwYTQ0ZjEyNzQzNGJhN2JmNjEyZTM0NmRhZWZhNjIiLCJwIjoic2hlZXRzLWppcmEifQ","")</f>
        <v/>
      </c>
      <c r="H1299" s="1" t="s">
        <v>1058</v>
      </c>
      <c r="I1299" s="1" t="s">
        <v>1082</v>
      </c>
      <c r="J1299" s="1" t="s">
        <v>26</v>
      </c>
      <c r="K1299" s="1" t="s">
        <v>1105</v>
      </c>
      <c r="L1299" s="1" t="s">
        <v>26</v>
      </c>
      <c r="M1299" s="1" t="s">
        <v>27</v>
      </c>
      <c r="N1299" s="1" t="s">
        <v>26</v>
      </c>
      <c r="O1299" s="1" t="s">
        <v>26</v>
      </c>
      <c r="P1299" s="4">
        <v>45146.62200231481</v>
      </c>
    </row>
    <row r="1300" hidden="1">
      <c r="A1300" s="1" t="s">
        <v>21</v>
      </c>
      <c r="B1300" s="3" t="str">
        <f>HYPERLINK("https://hawk-eye.atlassian.net/browse/HWKREPORT-2275?atlOrigin=eyJpIjoiYzgwYTQ0ZjEyNzQzNGJhN2JmNjEyZTM0NmRhZWZhNjIiLCJwIjoic2hlZXRzLWppcmEifQ","HWKREPORT-2275")</f>
        <v>HWKREPORT-2275</v>
      </c>
      <c r="C1300" s="1" t="s">
        <v>2531</v>
      </c>
      <c r="D1300" s="1" t="s">
        <v>23</v>
      </c>
      <c r="E1300" s="1" t="s">
        <v>1057</v>
      </c>
      <c r="F1300" s="4">
        <v>45146.881747685184</v>
      </c>
      <c r="G1300" s="3" t="str">
        <f>HYPERLINK("https://hawk-eye.atlassian.net/browse/BSK-498?atlOrigin=eyJpIjoiYzgwYTQ0ZjEyNzQzNGJhN2JmNjEyZTM0NmRhZWZhNjIiLCJwIjoic2hlZXRzLWppcmEifQ","BSK-498")</f>
        <v>BSK-498</v>
      </c>
      <c r="H1300" s="1" t="s">
        <v>1058</v>
      </c>
      <c r="I1300" s="1" t="s">
        <v>1071</v>
      </c>
      <c r="J1300" s="1" t="s">
        <v>26</v>
      </c>
      <c r="K1300" s="1" t="s">
        <v>1813</v>
      </c>
      <c r="L1300" s="1" t="s">
        <v>26</v>
      </c>
      <c r="M1300" s="1" t="s">
        <v>27</v>
      </c>
      <c r="N1300" s="1" t="s">
        <v>26</v>
      </c>
      <c r="O1300" s="1" t="s">
        <v>26</v>
      </c>
      <c r="P1300" s="4">
        <v>45146.88175925926</v>
      </c>
    </row>
    <row r="1301" hidden="1">
      <c r="A1301" s="1" t="s">
        <v>21</v>
      </c>
      <c r="B1301" s="3" t="str">
        <f>HYPERLINK("https://hawk-eye.atlassian.net/browse/HWKREPORT-2276?atlOrigin=eyJpIjoiYzgwYTQ0ZjEyNzQzNGJhN2JmNjEyZTM0NmRhZWZhNjIiLCJwIjoic2hlZXRzLWppcmEifQ","HWKREPORT-2276")</f>
        <v>HWKREPORT-2276</v>
      </c>
      <c r="C1301" s="1" t="s">
        <v>2532</v>
      </c>
      <c r="D1301" s="1" t="s">
        <v>23</v>
      </c>
      <c r="E1301" s="1" t="s">
        <v>1057</v>
      </c>
      <c r="F1301" s="4">
        <v>45147.70753472222</v>
      </c>
      <c r="G1301" s="3" t="str">
        <f>HYPERLINK("https://hawk-eye.atlassian.net/browse/RTT-6847?atlOrigin=eyJpIjoiYzgwYTQ0ZjEyNzQzNGJhN2JmNjEyZTM0NmRhZWZhNjIiLCJwIjoic2hlZXRzLWppcmEifQ","RTT-6847")</f>
        <v>RTT-6847</v>
      </c>
      <c r="H1301" s="1" t="s">
        <v>1058</v>
      </c>
      <c r="I1301" s="1" t="s">
        <v>1082</v>
      </c>
      <c r="J1301" s="1" t="s">
        <v>26</v>
      </c>
      <c r="K1301" s="1" t="s">
        <v>1134</v>
      </c>
      <c r="L1301" s="1" t="s">
        <v>26</v>
      </c>
      <c r="M1301" s="1" t="s">
        <v>27</v>
      </c>
      <c r="N1301" s="1" t="s">
        <v>26</v>
      </c>
      <c r="O1301" s="1" t="s">
        <v>26</v>
      </c>
      <c r="P1301" s="4">
        <v>45147.70753472222</v>
      </c>
    </row>
    <row r="1302" hidden="1">
      <c r="A1302" s="1" t="s">
        <v>1055</v>
      </c>
      <c r="B1302" s="3" t="str">
        <f>HYPERLINK("https://hawk-eye.atlassian.net/browse/HWKREPORT-2076?atlOrigin=eyJpIjoiYzgwYTQ0ZjEyNzQzNGJhN2JmNjEyZTM0NmRhZWZhNjIiLCJwIjoic2hlZXRzLWppcmEifQ","HWKREPORT-2076")</f>
        <v>HWKREPORT-2076</v>
      </c>
      <c r="C1302" s="1" t="s">
        <v>2533</v>
      </c>
      <c r="D1302" s="1" t="s">
        <v>48</v>
      </c>
      <c r="E1302" s="1" t="s">
        <v>35</v>
      </c>
      <c r="F1302" s="4">
        <v>45061.68685185185</v>
      </c>
      <c r="G1302" s="3" t="str">
        <f>HYPERLINK("https://hawk-eye.atlassian.net/browse/CTK-116?atlOrigin=eyJpIjoiYzgwYTQ0ZjEyNzQzNGJhN2JmNjEyZTM0NmRhZWZhNjIiLCJwIjoic2hlZXRzLWppcmEifQ","CTK-116")</f>
        <v>CTK-116</v>
      </c>
      <c r="H1302" s="1" t="s">
        <v>1058</v>
      </c>
      <c r="I1302" s="1" t="s">
        <v>1082</v>
      </c>
      <c r="J1302" s="1" t="s">
        <v>26</v>
      </c>
      <c r="K1302" s="1" t="s">
        <v>1083</v>
      </c>
      <c r="L1302" s="1" t="s">
        <v>26</v>
      </c>
      <c r="M1302" s="1" t="s">
        <v>27</v>
      </c>
      <c r="N1302" s="1" t="s">
        <v>26</v>
      </c>
      <c r="O1302" s="1" t="s">
        <v>26</v>
      </c>
      <c r="P1302" s="4">
        <v>45252.40056712963</v>
      </c>
    </row>
    <row r="1303" hidden="1">
      <c r="A1303" s="1" t="s">
        <v>1055</v>
      </c>
      <c r="B1303" s="3" t="str">
        <f>HYPERLINK("https://hawk-eye.atlassian.net/browse/HWKREPORT-2077?atlOrigin=eyJpIjoiYzgwYTQ0ZjEyNzQzNGJhN2JmNjEyZTM0NmRhZWZhNjIiLCJwIjoic2hlZXRzLWppcmEifQ","HWKREPORT-2077")</f>
        <v>HWKREPORT-2077</v>
      </c>
      <c r="C1303" s="1" t="s">
        <v>2534</v>
      </c>
      <c r="D1303" s="1" t="s">
        <v>48</v>
      </c>
      <c r="E1303" s="1" t="s">
        <v>35</v>
      </c>
      <c r="F1303" s="4">
        <v>45061.69075231482</v>
      </c>
      <c r="G1303" s="3" t="str">
        <f>HYPERLINK("https://hawk-eye.atlassian.net/browse/CTK-115?atlOrigin=eyJpIjoiYzgwYTQ0ZjEyNzQzNGJhN2JmNjEyZTM0NmRhZWZhNjIiLCJwIjoic2hlZXRzLWppcmEifQ","CTK-115")</f>
        <v>CTK-115</v>
      </c>
      <c r="H1303" s="1" t="s">
        <v>1058</v>
      </c>
      <c r="I1303" s="1" t="s">
        <v>1082</v>
      </c>
      <c r="J1303" s="1" t="s">
        <v>26</v>
      </c>
      <c r="K1303" s="1" t="s">
        <v>1083</v>
      </c>
      <c r="L1303" s="1" t="s">
        <v>26</v>
      </c>
      <c r="M1303" s="1" t="s">
        <v>27</v>
      </c>
      <c r="N1303" s="1" t="s">
        <v>26</v>
      </c>
      <c r="O1303" s="1" t="s">
        <v>26</v>
      </c>
      <c r="P1303" s="4">
        <v>45131.50623842593</v>
      </c>
    </row>
    <row r="1304" hidden="1">
      <c r="A1304" s="1" t="s">
        <v>1055</v>
      </c>
      <c r="B1304" s="3" t="str">
        <f>HYPERLINK("https://hawk-eye.atlassian.net/browse/HWKREPORT-2078?atlOrigin=eyJpIjoiYzgwYTQ0ZjEyNzQzNGJhN2JmNjEyZTM0NmRhZWZhNjIiLCJwIjoic2hlZXRzLWppcmEifQ","HWKREPORT-2078")</f>
        <v>HWKREPORT-2078</v>
      </c>
      <c r="C1304" s="1" t="s">
        <v>2535</v>
      </c>
      <c r="D1304" s="1" t="s">
        <v>48</v>
      </c>
      <c r="E1304" s="1" t="s">
        <v>35</v>
      </c>
      <c r="F1304" s="4">
        <v>45061.69252314815</v>
      </c>
      <c r="G1304" s="3" t="str">
        <f>HYPERLINK("https://hawk-eye.atlassian.net/browse/CTK-114?atlOrigin=eyJpIjoiYzgwYTQ0ZjEyNzQzNGJhN2JmNjEyZTM0NmRhZWZhNjIiLCJwIjoic2hlZXRzLWppcmEifQ","CTK-114")</f>
        <v>CTK-114</v>
      </c>
      <c r="H1304" s="1" t="s">
        <v>1058</v>
      </c>
      <c r="I1304" s="1" t="s">
        <v>1082</v>
      </c>
      <c r="J1304" s="1" t="s">
        <v>26</v>
      </c>
      <c r="K1304" s="1" t="s">
        <v>1083</v>
      </c>
      <c r="L1304" s="1" t="s">
        <v>26</v>
      </c>
      <c r="M1304" s="1" t="s">
        <v>27</v>
      </c>
      <c r="N1304" s="1" t="s">
        <v>26</v>
      </c>
      <c r="O1304" s="1" t="s">
        <v>26</v>
      </c>
      <c r="P1304" s="4">
        <v>45252.40063657407</v>
      </c>
    </row>
    <row r="1305" hidden="1">
      <c r="A1305" s="1" t="s">
        <v>21</v>
      </c>
      <c r="B1305" s="3" t="str">
        <f>HYPERLINK("https://hawk-eye.atlassian.net/browse/HWKREPORT-2079?atlOrigin=eyJpIjoiYzgwYTQ0ZjEyNzQzNGJhN2JmNjEyZTM0NmRhZWZhNjIiLCJwIjoic2hlZXRzLWppcmEifQ","HWKREPORT-2079")</f>
        <v>HWKREPORT-2079</v>
      </c>
      <c r="C1305" s="1" t="s">
        <v>2536</v>
      </c>
      <c r="D1305" s="1" t="s">
        <v>34</v>
      </c>
      <c r="E1305" s="1" t="s">
        <v>35</v>
      </c>
      <c r="F1305" s="4">
        <v>45061.69429398148</v>
      </c>
      <c r="G1305" s="3" t="str">
        <f>HYPERLINK("https://hawk-eye.atlassian.net/browse/CTK-112?atlOrigin=eyJpIjoiYzgwYTQ0ZjEyNzQzNGJhN2JmNjEyZTM0NmRhZWZhNjIiLCJwIjoic2hlZXRzLWppcmEifQ","CTK-112")</f>
        <v>CTK-112</v>
      </c>
      <c r="H1305" s="1" t="s">
        <v>1058</v>
      </c>
      <c r="I1305" s="1" t="s">
        <v>1082</v>
      </c>
      <c r="J1305" s="1" t="s">
        <v>26</v>
      </c>
      <c r="K1305" s="1" t="s">
        <v>1083</v>
      </c>
      <c r="L1305" s="1" t="s">
        <v>26</v>
      </c>
      <c r="M1305" s="1" t="s">
        <v>27</v>
      </c>
      <c r="N1305" s="1" t="s">
        <v>26</v>
      </c>
      <c r="O1305" s="1" t="s">
        <v>26</v>
      </c>
      <c r="P1305" s="4">
        <v>45252.40164351852</v>
      </c>
    </row>
    <row r="1306" hidden="1">
      <c r="A1306" s="1" t="s">
        <v>1055</v>
      </c>
      <c r="B1306" s="3" t="str">
        <f>HYPERLINK("https://hawk-eye.atlassian.net/browse/HWKREPORT-2080?atlOrigin=eyJpIjoiYzgwYTQ0ZjEyNzQzNGJhN2JmNjEyZTM0NmRhZWZhNjIiLCJwIjoic2hlZXRzLWppcmEifQ","HWKREPORT-2080")</f>
        <v>HWKREPORT-2080</v>
      </c>
      <c r="C1306" s="1" t="s">
        <v>2537</v>
      </c>
      <c r="D1306" s="1" t="s">
        <v>48</v>
      </c>
      <c r="E1306" s="1" t="s">
        <v>35</v>
      </c>
      <c r="F1306" s="4">
        <v>45061.694606481484</v>
      </c>
      <c r="G1306" s="3" t="str">
        <f>HYPERLINK("https://hawk-eye.atlassian.net/browse/CTK-113?atlOrigin=eyJpIjoiYzgwYTQ0ZjEyNzQzNGJhN2JmNjEyZTM0NmRhZWZhNjIiLCJwIjoic2hlZXRzLWppcmEifQ","CTK-113")</f>
        <v>CTK-113</v>
      </c>
      <c r="H1306" s="1" t="s">
        <v>1058</v>
      </c>
      <c r="I1306" s="1" t="s">
        <v>1082</v>
      </c>
      <c r="J1306" s="1" t="s">
        <v>26</v>
      </c>
      <c r="K1306" s="1" t="s">
        <v>1083</v>
      </c>
      <c r="L1306" s="1" t="s">
        <v>26</v>
      </c>
      <c r="M1306" s="1" t="s">
        <v>27</v>
      </c>
      <c r="N1306" s="1" t="s">
        <v>26</v>
      </c>
      <c r="O1306" s="1" t="s">
        <v>26</v>
      </c>
      <c r="P1306" s="4">
        <v>45252.400671296295</v>
      </c>
    </row>
    <row r="1307" hidden="1">
      <c r="A1307" s="1" t="s">
        <v>21</v>
      </c>
      <c r="B1307" s="3" t="str">
        <f>HYPERLINK("https://hawk-eye.atlassian.net/browse/HWKREPORT-2081?atlOrigin=eyJpIjoiYzgwYTQ0ZjEyNzQzNGJhN2JmNjEyZTM0NmRhZWZhNjIiLCJwIjoic2hlZXRzLWppcmEifQ","HWKREPORT-2081")</f>
        <v>HWKREPORT-2081</v>
      </c>
      <c r="C1307" s="1" t="s">
        <v>2538</v>
      </c>
      <c r="D1307" s="1" t="s">
        <v>23</v>
      </c>
      <c r="E1307" s="1" t="s">
        <v>35</v>
      </c>
      <c r="F1307" s="4">
        <v>45062.38793981481</v>
      </c>
      <c r="G1307" s="3" t="str">
        <f>HYPERLINK("https://hawk-eye.atlassian.net/browse/CORE-216?atlOrigin=eyJpIjoiYzgwYTQ0ZjEyNzQzNGJhN2JmNjEyZTM0NmRhZWZhNjIiLCJwIjoic2hlZXRzLWppcmEifQ","CORE-216")</f>
        <v>CORE-216</v>
      </c>
      <c r="H1307" s="1" t="s">
        <v>1058</v>
      </c>
      <c r="I1307" s="1" t="s">
        <v>1085</v>
      </c>
      <c r="J1307" s="1" t="s">
        <v>26</v>
      </c>
      <c r="K1307" s="1" t="s">
        <v>2539</v>
      </c>
      <c r="L1307" s="1" t="s">
        <v>26</v>
      </c>
      <c r="M1307" s="1" t="s">
        <v>27</v>
      </c>
      <c r="N1307" s="1" t="s">
        <v>26</v>
      </c>
      <c r="O1307" s="1" t="s">
        <v>26</v>
      </c>
      <c r="P1307" s="4">
        <v>45077.50288194444</v>
      </c>
    </row>
    <row r="1308" hidden="1">
      <c r="A1308" s="1" t="s">
        <v>21</v>
      </c>
      <c r="B1308" s="3" t="str">
        <f>HYPERLINK("https://hawk-eye.atlassian.net/browse/HWKREPORT-2082?atlOrigin=eyJpIjoiYzgwYTQ0ZjEyNzQzNGJhN2JmNjEyZTM0NmRhZWZhNjIiLCJwIjoic2hlZXRzLWppcmEifQ","HWKREPORT-2082")</f>
        <v>HWKREPORT-2082</v>
      </c>
      <c r="C1308" s="1" t="s">
        <v>2540</v>
      </c>
      <c r="D1308" s="1" t="s">
        <v>40</v>
      </c>
      <c r="E1308" s="1" t="s">
        <v>35</v>
      </c>
      <c r="F1308" s="4">
        <v>45062.43714120371</v>
      </c>
      <c r="G1308" s="3" t="str">
        <f>HYPERLINK("https://hawk-eye.atlassian.net/browse/?atlOrigin=eyJpIjoiYzgwYTQ0ZjEyNzQzNGJhN2JmNjEyZTM0NmRhZWZhNjIiLCJwIjoic2hlZXRzLWppcmEifQ","")</f>
        <v/>
      </c>
      <c r="H1308" s="1" t="s">
        <v>1058</v>
      </c>
      <c r="I1308" s="1" t="s">
        <v>1085</v>
      </c>
      <c r="J1308" s="1" t="s">
        <v>26</v>
      </c>
      <c r="K1308" s="1" t="s">
        <v>1072</v>
      </c>
      <c r="L1308" s="1" t="s">
        <v>26</v>
      </c>
      <c r="M1308" s="1" t="s">
        <v>27</v>
      </c>
      <c r="N1308" s="1" t="s">
        <v>26</v>
      </c>
      <c r="O1308" s="1" t="s">
        <v>26</v>
      </c>
      <c r="P1308" s="4">
        <v>45062.45099537037</v>
      </c>
    </row>
    <row r="1309" hidden="1">
      <c r="A1309" s="1" t="s">
        <v>21</v>
      </c>
      <c r="B1309" s="3" t="str">
        <f>HYPERLINK("https://hawk-eye.atlassian.net/browse/HWKREPORT-2083?atlOrigin=eyJpIjoiYzgwYTQ0ZjEyNzQzNGJhN2JmNjEyZTM0NmRhZWZhNjIiLCJwIjoic2hlZXRzLWppcmEifQ","HWKREPORT-2083")</f>
        <v>HWKREPORT-2083</v>
      </c>
      <c r="C1309" s="1" t="s">
        <v>2541</v>
      </c>
      <c r="D1309" s="1" t="s">
        <v>83</v>
      </c>
      <c r="E1309" s="1" t="s">
        <v>35</v>
      </c>
      <c r="F1309" s="4">
        <v>45062.491643518515</v>
      </c>
      <c r="G1309" s="3" t="str">
        <f>HYPERLINK("https://hawk-eye.atlassian.net/browse/TDP-1670?atlOrigin=eyJpIjoiYzgwYTQ0ZjEyNzQzNGJhN2JmNjEyZTM0NmRhZWZhNjIiLCJwIjoic2hlZXRzLWppcmEifQ","TDP-1670")</f>
        <v>TDP-1670</v>
      </c>
      <c r="H1309" s="1" t="s">
        <v>1058</v>
      </c>
      <c r="I1309" s="1" t="s">
        <v>1126</v>
      </c>
      <c r="J1309" s="1" t="s">
        <v>26</v>
      </c>
      <c r="K1309" s="1" t="s">
        <v>1211</v>
      </c>
      <c r="L1309" s="1" t="s">
        <v>26</v>
      </c>
      <c r="M1309" s="1" t="s">
        <v>27</v>
      </c>
      <c r="N1309" s="1" t="s">
        <v>26</v>
      </c>
      <c r="O1309" s="1" t="s">
        <v>26</v>
      </c>
      <c r="P1309" s="4">
        <v>45152.50947916666</v>
      </c>
    </row>
    <row r="1310" hidden="1">
      <c r="A1310" s="1" t="s">
        <v>21</v>
      </c>
      <c r="B1310" s="3" t="str">
        <f>HYPERLINK("https://hawk-eye.atlassian.net/browse/HWKREPORT-2084?atlOrigin=eyJpIjoiYzgwYTQ0ZjEyNzQzNGJhN2JmNjEyZTM0NmRhZWZhNjIiLCJwIjoic2hlZXRzLWppcmEifQ","HWKREPORT-2084")</f>
        <v>HWKREPORT-2084</v>
      </c>
      <c r="C1310" s="1" t="s">
        <v>2542</v>
      </c>
      <c r="D1310" s="1" t="s">
        <v>48</v>
      </c>
      <c r="E1310" s="1" t="s">
        <v>1207</v>
      </c>
      <c r="F1310" s="4">
        <v>45062.51542824074</v>
      </c>
      <c r="G1310" s="3" t="str">
        <f>HYPERLINK("https://hawk-eye.atlassian.net/browse/RTT-6349?atlOrigin=eyJpIjoiYzgwYTQ0ZjEyNzQzNGJhN2JmNjEyZTM0NmRhZWZhNjIiLCJwIjoic2hlZXRzLWppcmEifQ","RTT-6349")</f>
        <v>RTT-6349</v>
      </c>
      <c r="H1310" s="1" t="s">
        <v>1058</v>
      </c>
      <c r="I1310" s="1" t="s">
        <v>1085</v>
      </c>
      <c r="J1310" s="1" t="s">
        <v>26</v>
      </c>
      <c r="K1310" s="1" t="s">
        <v>1072</v>
      </c>
      <c r="L1310" s="1" t="s">
        <v>26</v>
      </c>
      <c r="M1310" s="1" t="s">
        <v>27</v>
      </c>
      <c r="N1310" s="1" t="s">
        <v>26</v>
      </c>
      <c r="O1310" s="1" t="s">
        <v>26</v>
      </c>
      <c r="P1310" s="4">
        <v>45084.49207175926</v>
      </c>
    </row>
    <row r="1311" hidden="1">
      <c r="A1311" s="1" t="s">
        <v>1055</v>
      </c>
      <c r="B1311" s="3" t="str">
        <f>HYPERLINK("https://hawk-eye.atlassian.net/browse/HWKREPORT-2085?atlOrigin=eyJpIjoiYzgwYTQ0ZjEyNzQzNGJhN2JmNjEyZTM0NmRhZWZhNjIiLCJwIjoic2hlZXRzLWppcmEifQ","HWKREPORT-2085")</f>
        <v>HWKREPORT-2085</v>
      </c>
      <c r="C1311" s="1" t="s">
        <v>2543</v>
      </c>
      <c r="D1311" s="1" t="s">
        <v>48</v>
      </c>
      <c r="E1311" s="1" t="s">
        <v>1057</v>
      </c>
      <c r="F1311" s="4">
        <v>45062.89261574074</v>
      </c>
      <c r="G1311" s="3" t="str">
        <f>HYPERLINK("https://hawk-eye.atlassian.net/browse/?atlOrigin=eyJpIjoiYzgwYTQ0ZjEyNzQzNGJhN2JmNjEyZTM0NmRhZWZhNjIiLCJwIjoic2hlZXRzLWppcmEifQ","")</f>
        <v/>
      </c>
      <c r="H1311" s="1" t="s">
        <v>1058</v>
      </c>
      <c r="I1311" s="1" t="s">
        <v>1071</v>
      </c>
      <c r="J1311" s="1" t="s">
        <v>26</v>
      </c>
      <c r="K1311" s="1" t="s">
        <v>1762</v>
      </c>
      <c r="L1311" s="1" t="s">
        <v>26</v>
      </c>
      <c r="M1311" s="1" t="s">
        <v>27</v>
      </c>
      <c r="N1311" s="1" t="s">
        <v>26</v>
      </c>
      <c r="O1311" s="1" t="s">
        <v>26</v>
      </c>
      <c r="P1311" s="4">
        <v>45062.89261574074</v>
      </c>
    </row>
    <row r="1312" hidden="1">
      <c r="A1312" s="1" t="s">
        <v>21</v>
      </c>
      <c r="B1312" s="3" t="str">
        <f>HYPERLINK("https://hawk-eye.atlassian.net/browse/HWKREPORT-2086?atlOrigin=eyJpIjoiYzgwYTQ0ZjEyNzQzNGJhN2JmNjEyZTM0NmRhZWZhNjIiLCJwIjoic2hlZXRzLWppcmEifQ","HWKREPORT-2086")</f>
        <v>HWKREPORT-2086</v>
      </c>
      <c r="C1312" s="1" t="s">
        <v>2544</v>
      </c>
      <c r="D1312" s="1" t="s">
        <v>34</v>
      </c>
      <c r="E1312" s="1" t="s">
        <v>35</v>
      </c>
      <c r="F1312" s="4">
        <v>45063.18982638889</v>
      </c>
      <c r="G1312" s="3" t="str">
        <f>HYPERLINK("https://hawk-eye.atlassian.net/browse/AL-745?atlOrigin=eyJpIjoiYzgwYTQ0ZjEyNzQzNGJhN2JmNjEyZTM0NmRhZWZhNjIiLCJwIjoic2hlZXRzLWppcmEifQ","AL-745")</f>
        <v>AL-745</v>
      </c>
      <c r="H1312" s="1" t="s">
        <v>1058</v>
      </c>
      <c r="I1312" s="1" t="s">
        <v>1071</v>
      </c>
      <c r="J1312" s="1" t="s">
        <v>26</v>
      </c>
      <c r="K1312" s="1" t="s">
        <v>1898</v>
      </c>
      <c r="L1312" s="1" t="s">
        <v>26</v>
      </c>
      <c r="M1312" s="1" t="s">
        <v>27</v>
      </c>
      <c r="N1312" s="1" t="s">
        <v>26</v>
      </c>
      <c r="O1312" s="1" t="s">
        <v>26</v>
      </c>
      <c r="P1312" s="4">
        <v>45065.38224537037</v>
      </c>
    </row>
    <row r="1313" hidden="1">
      <c r="A1313" s="1" t="s">
        <v>21</v>
      </c>
      <c r="B1313" s="3" t="str">
        <f>HYPERLINK("https://hawk-eye.atlassian.net/browse/HWKREPORT-2087?atlOrigin=eyJpIjoiYzgwYTQ0ZjEyNzQzNGJhN2JmNjEyZTM0NmRhZWZhNjIiLCJwIjoic2hlZXRzLWppcmEifQ","HWKREPORT-2087")</f>
        <v>HWKREPORT-2087</v>
      </c>
      <c r="C1313" s="1" t="s">
        <v>2545</v>
      </c>
      <c r="D1313" s="1" t="s">
        <v>34</v>
      </c>
      <c r="E1313" s="1" t="s">
        <v>1057</v>
      </c>
      <c r="F1313" s="4">
        <v>45063.203726851854</v>
      </c>
      <c r="G1313" s="3" t="str">
        <f>HYPERLINK("https://hawk-eye.atlassian.net/browse/?atlOrigin=eyJpIjoiYzgwYTQ0ZjEyNzQzNGJhN2JmNjEyZTM0NmRhZWZhNjIiLCJwIjoic2hlZXRzLWppcmEifQ","")</f>
        <v/>
      </c>
      <c r="H1313" s="1" t="s">
        <v>1058</v>
      </c>
      <c r="I1313" s="1" t="s">
        <v>1071</v>
      </c>
      <c r="J1313" s="1" t="s">
        <v>26</v>
      </c>
      <c r="K1313" s="1" t="s">
        <v>1898</v>
      </c>
      <c r="L1313" s="1" t="s">
        <v>26</v>
      </c>
      <c r="M1313" s="1" t="s">
        <v>27</v>
      </c>
      <c r="N1313" s="1" t="s">
        <v>26</v>
      </c>
      <c r="O1313" s="1" t="s">
        <v>26</v>
      </c>
      <c r="P1313" s="4">
        <v>45063.203738425924</v>
      </c>
    </row>
    <row r="1314" hidden="1">
      <c r="A1314" s="1" t="s">
        <v>1055</v>
      </c>
      <c r="B1314" s="3" t="str">
        <f>HYPERLINK("https://hawk-eye.atlassian.net/browse/HWKREPORT-2088?atlOrigin=eyJpIjoiYzgwYTQ0ZjEyNzQzNGJhN2JmNjEyZTM0NmRhZWZhNjIiLCJwIjoic2hlZXRzLWppcmEifQ","HWKREPORT-2088")</f>
        <v>HWKREPORT-2088</v>
      </c>
      <c r="C1314" s="1" t="s">
        <v>2546</v>
      </c>
      <c r="D1314" s="1" t="s">
        <v>48</v>
      </c>
      <c r="E1314" s="1" t="s">
        <v>1057</v>
      </c>
      <c r="F1314" s="4">
        <v>45063.42101851852</v>
      </c>
      <c r="G1314" s="3" t="str">
        <f>HYPERLINK("https://hawk-eye.atlassian.net/browse/GT-891?atlOrigin=eyJpIjoiYzgwYTQ0ZjEyNzQzNGJhN2JmNjEyZTM0NmRhZWZhNjIiLCJwIjoic2hlZXRzLWppcmEifQ","GT-891")</f>
        <v>GT-891</v>
      </c>
      <c r="H1314" s="1" t="s">
        <v>1058</v>
      </c>
      <c r="I1314" s="1" t="s">
        <v>1082</v>
      </c>
      <c r="J1314" s="1" t="s">
        <v>26</v>
      </c>
      <c r="K1314" s="1" t="s">
        <v>1105</v>
      </c>
      <c r="L1314" s="1" t="s">
        <v>26</v>
      </c>
      <c r="M1314" s="1" t="s">
        <v>27</v>
      </c>
      <c r="N1314" s="1" t="s">
        <v>26</v>
      </c>
      <c r="O1314" s="1" t="s">
        <v>26</v>
      </c>
      <c r="P1314" s="4">
        <v>45063.42101851852</v>
      </c>
    </row>
    <row r="1315" hidden="1">
      <c r="A1315" s="1" t="s">
        <v>1055</v>
      </c>
      <c r="B1315" s="3" t="str">
        <f>HYPERLINK("https://hawk-eye.atlassian.net/browse/HWKREPORT-2089?atlOrigin=eyJpIjoiYzgwYTQ0ZjEyNzQzNGJhN2JmNjEyZTM0NmRhZWZhNjIiLCJwIjoic2hlZXRzLWppcmEifQ","HWKREPORT-2089")</f>
        <v>HWKREPORT-2089</v>
      </c>
      <c r="C1315" s="1" t="s">
        <v>2547</v>
      </c>
      <c r="D1315" s="1" t="s">
        <v>48</v>
      </c>
      <c r="E1315" s="1" t="s">
        <v>1207</v>
      </c>
      <c r="F1315" s="4">
        <v>45063.62421296296</v>
      </c>
      <c r="G1315" s="3" t="str">
        <f>HYPERLINK("https://hawk-eye.atlassian.net/browse/RTT-6347?atlOrigin=eyJpIjoiYzgwYTQ0ZjEyNzQzNGJhN2JmNjEyZTM0NmRhZWZhNjIiLCJwIjoic2hlZXRzLWppcmEifQ","RTT-6347")</f>
        <v>RTT-6347</v>
      </c>
      <c r="H1315" s="1" t="s">
        <v>1058</v>
      </c>
      <c r="I1315" s="1" t="s">
        <v>1085</v>
      </c>
      <c r="J1315" s="1" t="s">
        <v>26</v>
      </c>
      <c r="K1315" s="1" t="s">
        <v>1072</v>
      </c>
      <c r="L1315" s="1" t="s">
        <v>26</v>
      </c>
      <c r="M1315" s="1" t="s">
        <v>27</v>
      </c>
      <c r="N1315" s="1" t="s">
        <v>26</v>
      </c>
      <c r="O1315" s="1" t="s">
        <v>26</v>
      </c>
      <c r="P1315" s="4">
        <v>45076.40068287037</v>
      </c>
    </row>
    <row r="1316" hidden="1">
      <c r="A1316" s="1" t="s">
        <v>1055</v>
      </c>
      <c r="B1316" s="3" t="str">
        <f>HYPERLINK("https://hawk-eye.atlassian.net/browse/HWKREPORT-2090?atlOrigin=eyJpIjoiYzgwYTQ0ZjEyNzQzNGJhN2JmNjEyZTM0NmRhZWZhNjIiLCJwIjoic2hlZXRzLWppcmEifQ","HWKREPORT-2090")</f>
        <v>HWKREPORT-2090</v>
      </c>
      <c r="C1316" s="1" t="s">
        <v>2548</v>
      </c>
      <c r="D1316" s="1" t="s">
        <v>48</v>
      </c>
      <c r="E1316" s="1" t="s">
        <v>35</v>
      </c>
      <c r="F1316" s="4">
        <v>45063.681759259256</v>
      </c>
      <c r="G1316" s="3" t="str">
        <f>HYPERLINK("https://hawk-eye.atlassian.net/browse/RTT-6558?atlOrigin=eyJpIjoiYzgwYTQ0ZjEyNzQzNGJhN2JmNjEyZTM0NmRhZWZhNjIiLCJwIjoic2hlZXRzLWppcmEifQ","RTT-6558")</f>
        <v>RTT-6558</v>
      </c>
      <c r="H1316" s="1" t="s">
        <v>1058</v>
      </c>
      <c r="I1316" s="1" t="s">
        <v>1126</v>
      </c>
      <c r="J1316" s="1" t="s">
        <v>26</v>
      </c>
      <c r="K1316" s="1" t="s">
        <v>2197</v>
      </c>
      <c r="L1316" s="1" t="s">
        <v>26</v>
      </c>
      <c r="M1316" s="1" t="s">
        <v>27</v>
      </c>
      <c r="N1316" s="1" t="s">
        <v>26</v>
      </c>
      <c r="O1316" s="1" t="s">
        <v>26</v>
      </c>
      <c r="P1316" s="4">
        <v>45112.626076388886</v>
      </c>
    </row>
    <row r="1317" hidden="1">
      <c r="A1317" s="1" t="s">
        <v>1055</v>
      </c>
      <c r="B1317" s="3" t="str">
        <f>HYPERLINK("https://hawk-eye.atlassian.net/browse/HWKREPORT-2091?atlOrigin=eyJpIjoiYzgwYTQ0ZjEyNzQzNGJhN2JmNjEyZTM0NmRhZWZhNjIiLCJwIjoic2hlZXRzLWppcmEifQ","HWKREPORT-2091")</f>
        <v>HWKREPORT-2091</v>
      </c>
      <c r="C1317" s="1" t="s">
        <v>2549</v>
      </c>
      <c r="D1317" s="1" t="s">
        <v>48</v>
      </c>
      <c r="E1317" s="1" t="s">
        <v>35</v>
      </c>
      <c r="F1317" s="4">
        <v>45063.78420138889</v>
      </c>
      <c r="G1317" s="3" t="str">
        <f>HYPERLINK("https://hawk-eye.atlassian.net/browse/?atlOrigin=eyJpIjoiYzgwYTQ0ZjEyNzQzNGJhN2JmNjEyZTM0NmRhZWZhNjIiLCJwIjoic2hlZXRzLWppcmEifQ","")</f>
        <v/>
      </c>
      <c r="H1317" s="1" t="s">
        <v>1058</v>
      </c>
      <c r="I1317" s="1" t="s">
        <v>28</v>
      </c>
      <c r="J1317" s="1" t="s">
        <v>26</v>
      </c>
      <c r="K1317" s="1" t="s">
        <v>1072</v>
      </c>
      <c r="L1317" s="1" t="s">
        <v>26</v>
      </c>
      <c r="M1317" s="1" t="s">
        <v>27</v>
      </c>
      <c r="N1317" s="1" t="s">
        <v>26</v>
      </c>
      <c r="O1317" s="1" t="s">
        <v>26</v>
      </c>
      <c r="P1317" s="4">
        <v>45526.684641203705</v>
      </c>
    </row>
    <row r="1318" hidden="1">
      <c r="A1318" s="1" t="s">
        <v>1055</v>
      </c>
      <c r="B1318" s="3" t="str">
        <f>HYPERLINK("https://hawk-eye.atlassian.net/browse/HWKREPORT-2092?atlOrigin=eyJpIjoiYzgwYTQ0ZjEyNzQzNGJhN2JmNjEyZTM0NmRhZWZhNjIiLCJwIjoic2hlZXRzLWppcmEifQ","HWKREPORT-2092")</f>
        <v>HWKREPORT-2092</v>
      </c>
      <c r="C1318" s="1" t="s">
        <v>2550</v>
      </c>
      <c r="D1318" s="1" t="s">
        <v>48</v>
      </c>
      <c r="E1318" s="1" t="s">
        <v>35</v>
      </c>
      <c r="F1318" s="4">
        <v>45063.79053240741</v>
      </c>
      <c r="G1318" s="3" t="str">
        <f>HYPERLINK("https://hawk-eye.atlassian.net/issues/?atlOrigin=eyJpIjoiYzgwYTQ0ZjEyNzQzNGJhN2JmNjEyZTM0NmRhZWZhNjIiLCJwIjoic2hlZXRzLWppcmEifQ&amp;jql=key+in+%28CORE-229%2CBDP-1318%29","CORE-229;BDP-1318")</f>
        <v>CORE-229;BDP-1318</v>
      </c>
      <c r="H1318" s="1" t="s">
        <v>1058</v>
      </c>
      <c r="I1318" s="1" t="s">
        <v>1071</v>
      </c>
      <c r="J1318" s="1" t="s">
        <v>26</v>
      </c>
      <c r="K1318" s="1" t="s">
        <v>1134</v>
      </c>
      <c r="L1318" s="1" t="s">
        <v>26</v>
      </c>
      <c r="M1318" s="1" t="s">
        <v>27</v>
      </c>
      <c r="N1318" s="1" t="s">
        <v>26</v>
      </c>
      <c r="O1318" s="1" t="s">
        <v>26</v>
      </c>
      <c r="P1318" s="4">
        <v>45175.668958333335</v>
      </c>
    </row>
    <row r="1319" hidden="1">
      <c r="A1319" s="1" t="s">
        <v>21</v>
      </c>
      <c r="B1319" s="3" t="str">
        <f>HYPERLINK("https://hawk-eye.atlassian.net/browse/HWKREPORT-2093?atlOrigin=eyJpIjoiYzgwYTQ0ZjEyNzQzNGJhN2JmNjEyZTM0NmRhZWZhNjIiLCJwIjoic2hlZXRzLWppcmEifQ","HWKREPORT-2093")</f>
        <v>HWKREPORT-2093</v>
      </c>
      <c r="C1319" s="1" t="s">
        <v>2551</v>
      </c>
      <c r="D1319" s="1" t="s">
        <v>34</v>
      </c>
      <c r="E1319" s="1" t="s">
        <v>1207</v>
      </c>
      <c r="F1319" s="4">
        <v>45063.92721064815</v>
      </c>
      <c r="G1319" s="3" t="str">
        <f>HYPERLINK("https://hawk-eye.atlassian.net/browse/RTT-6348?atlOrigin=eyJpIjoiYzgwYTQ0ZjEyNzQzNGJhN2JmNjEyZTM0NmRhZWZhNjIiLCJwIjoic2hlZXRzLWppcmEifQ","RTT-6348")</f>
        <v>RTT-6348</v>
      </c>
      <c r="H1319" s="1" t="s">
        <v>1058</v>
      </c>
      <c r="I1319" s="1" t="s">
        <v>1071</v>
      </c>
      <c r="J1319" s="1" t="s">
        <v>26</v>
      </c>
      <c r="K1319" s="1" t="s">
        <v>1099</v>
      </c>
      <c r="L1319" s="1" t="s">
        <v>26</v>
      </c>
      <c r="M1319" s="1" t="s">
        <v>27</v>
      </c>
      <c r="N1319" s="1" t="s">
        <v>26</v>
      </c>
      <c r="O1319" s="1" t="s">
        <v>26</v>
      </c>
      <c r="P1319" s="4">
        <v>45252.483194444445</v>
      </c>
    </row>
    <row r="1320" hidden="1">
      <c r="A1320" s="1" t="s">
        <v>21</v>
      </c>
      <c r="B1320" s="3" t="str">
        <f>HYPERLINK("https://hawk-eye.atlassian.net/browse/HWKREPORT-2094?atlOrigin=eyJpIjoiYzgwYTQ0ZjEyNzQzNGJhN2JmNjEyZTM0NmRhZWZhNjIiLCJwIjoic2hlZXRzLWppcmEifQ","HWKREPORT-2094")</f>
        <v>HWKREPORT-2094</v>
      </c>
      <c r="C1320" s="1" t="s">
        <v>2552</v>
      </c>
      <c r="D1320" s="1" t="s">
        <v>23</v>
      </c>
      <c r="E1320" s="1" t="s">
        <v>1541</v>
      </c>
      <c r="F1320" s="4">
        <v>45064.71225694445</v>
      </c>
      <c r="G1320" s="3" t="str">
        <f>HYPERLINK("https://hawk-eye.atlassian.net/browse/?atlOrigin=eyJpIjoiYzgwYTQ0ZjEyNzQzNGJhN2JmNjEyZTM0NmRhZWZhNjIiLCJwIjoic2hlZXRzLWppcmEifQ","")</f>
        <v/>
      </c>
      <c r="H1320" s="1" t="s">
        <v>1058</v>
      </c>
      <c r="I1320" s="1" t="s">
        <v>1071</v>
      </c>
      <c r="J1320" s="1" t="s">
        <v>26</v>
      </c>
      <c r="K1320" s="1" t="s">
        <v>1130</v>
      </c>
      <c r="L1320" s="1" t="s">
        <v>26</v>
      </c>
      <c r="M1320" s="1" t="s">
        <v>27</v>
      </c>
      <c r="N1320" s="1" t="s">
        <v>26</v>
      </c>
      <c r="O1320" s="1" t="s">
        <v>26</v>
      </c>
      <c r="P1320" s="4">
        <v>45216.3921412037</v>
      </c>
    </row>
    <row r="1321" hidden="1">
      <c r="A1321" s="1" t="s">
        <v>1055</v>
      </c>
      <c r="B1321" s="3" t="str">
        <f>HYPERLINK("https://hawk-eye.atlassian.net/browse/HWKREPORT-2095?atlOrigin=eyJpIjoiYzgwYTQ0ZjEyNzQzNGJhN2JmNjEyZTM0NmRhZWZhNjIiLCJwIjoic2hlZXRzLWppcmEifQ","HWKREPORT-2095")</f>
        <v>HWKREPORT-2095</v>
      </c>
      <c r="C1321" s="1" t="s">
        <v>2553</v>
      </c>
      <c r="D1321" s="1" t="s">
        <v>48</v>
      </c>
      <c r="E1321" s="1" t="s">
        <v>1207</v>
      </c>
      <c r="F1321" s="4">
        <v>45065.386041666665</v>
      </c>
      <c r="G1321" s="3" t="str">
        <f>HYPERLINK("https://hawk-eye.atlassian.net/browse/RTT-6357?atlOrigin=eyJpIjoiYzgwYTQ0ZjEyNzQzNGJhN2JmNjEyZTM0NmRhZWZhNjIiLCJwIjoic2hlZXRzLWppcmEifQ","RTT-6357")</f>
        <v>RTT-6357</v>
      </c>
      <c r="H1321" s="1" t="s">
        <v>1058</v>
      </c>
      <c r="I1321" s="1" t="s">
        <v>1085</v>
      </c>
      <c r="J1321" s="1" t="s">
        <v>26</v>
      </c>
      <c r="K1321" s="1" t="s">
        <v>1362</v>
      </c>
      <c r="L1321" s="1" t="s">
        <v>26</v>
      </c>
      <c r="M1321" s="1" t="s">
        <v>27</v>
      </c>
      <c r="N1321" s="1" t="s">
        <v>26</v>
      </c>
      <c r="O1321" s="1" t="s">
        <v>26</v>
      </c>
      <c r="P1321" s="4">
        <v>45118.57938657407</v>
      </c>
    </row>
    <row r="1322" hidden="1">
      <c r="A1322" s="1" t="s">
        <v>21</v>
      </c>
      <c r="B1322" s="3" t="str">
        <f>HYPERLINK("https://hawk-eye.atlassian.net/browse/HWKREPORT-2096?atlOrigin=eyJpIjoiYzgwYTQ0ZjEyNzQzNGJhN2JmNjEyZTM0NmRhZWZhNjIiLCJwIjoic2hlZXRzLWppcmEifQ","HWKREPORT-2096")</f>
        <v>HWKREPORT-2096</v>
      </c>
      <c r="C1322" s="1" t="s">
        <v>2554</v>
      </c>
      <c r="D1322" s="1" t="s">
        <v>23</v>
      </c>
      <c r="E1322" s="1" t="s">
        <v>1207</v>
      </c>
      <c r="F1322" s="4">
        <v>45066.04177083333</v>
      </c>
      <c r="G1322" s="3" t="str">
        <f>HYPERLINK("https://hawk-eye.atlassian.net/browse/RTT-6393?atlOrigin=eyJpIjoiYzgwYTQ0ZjEyNzQzNGJhN2JmNjEyZTM0NmRhZWZhNjIiLCJwIjoic2hlZXRzLWppcmEifQ","RTT-6393")</f>
        <v>RTT-6393</v>
      </c>
      <c r="H1322" s="1" t="s">
        <v>1058</v>
      </c>
      <c r="I1322" s="1" t="s">
        <v>1071</v>
      </c>
      <c r="J1322" s="1" t="s">
        <v>26</v>
      </c>
      <c r="K1322" s="1" t="s">
        <v>1072</v>
      </c>
      <c r="L1322" s="1" t="s">
        <v>26</v>
      </c>
      <c r="M1322" s="1" t="s">
        <v>27</v>
      </c>
      <c r="N1322" s="1" t="s">
        <v>26</v>
      </c>
      <c r="O1322" s="1" t="s">
        <v>26</v>
      </c>
      <c r="P1322" s="4">
        <v>45112.47190972222</v>
      </c>
    </row>
    <row r="1323" hidden="1">
      <c r="A1323" s="1" t="s">
        <v>1055</v>
      </c>
      <c r="B1323" s="3" t="str">
        <f>HYPERLINK("https://hawk-eye.atlassian.net/browse/HWKREPORT-2097?atlOrigin=eyJpIjoiYzgwYTQ0ZjEyNzQzNGJhN2JmNjEyZTM0NmRhZWZhNjIiLCJwIjoic2hlZXRzLWppcmEifQ","HWKREPORT-2097")</f>
        <v>HWKREPORT-2097</v>
      </c>
      <c r="C1323" s="1" t="s">
        <v>2555</v>
      </c>
      <c r="D1323" s="1" t="s">
        <v>48</v>
      </c>
      <c r="E1323" s="1" t="s">
        <v>1057</v>
      </c>
      <c r="F1323" s="4">
        <v>45068.44375</v>
      </c>
      <c r="G1323" s="3" t="str">
        <f>HYPERLINK("https://hawk-eye.atlassian.net/browse/?atlOrigin=eyJpIjoiYzgwYTQ0ZjEyNzQzNGJhN2JmNjEyZTM0NmRhZWZhNjIiLCJwIjoic2hlZXRzLWppcmEifQ","")</f>
        <v/>
      </c>
      <c r="H1323" s="1" t="s">
        <v>1058</v>
      </c>
      <c r="I1323" s="1" t="s">
        <v>1085</v>
      </c>
      <c r="J1323" s="1" t="s">
        <v>26</v>
      </c>
      <c r="K1323" s="1" t="s">
        <v>1804</v>
      </c>
      <c r="L1323" s="1" t="s">
        <v>26</v>
      </c>
      <c r="M1323" s="1" t="s">
        <v>27</v>
      </c>
      <c r="N1323" s="1" t="s">
        <v>26</v>
      </c>
      <c r="O1323" s="1" t="s">
        <v>26</v>
      </c>
      <c r="P1323" s="4">
        <v>45068.44375</v>
      </c>
    </row>
    <row r="1324" hidden="1">
      <c r="A1324" s="1" t="s">
        <v>21</v>
      </c>
      <c r="B1324" s="3" t="str">
        <f>HYPERLINK("https://hawk-eye.atlassian.net/browse/HWKREPORT-2098?atlOrigin=eyJpIjoiYzgwYTQ0ZjEyNzQzNGJhN2JmNjEyZTM0NmRhZWZhNjIiLCJwIjoic2hlZXRzLWppcmEifQ","HWKREPORT-2098")</f>
        <v>HWKREPORT-2098</v>
      </c>
      <c r="C1324" s="1" t="s">
        <v>2556</v>
      </c>
      <c r="D1324" s="1" t="s">
        <v>40</v>
      </c>
      <c r="E1324" s="1" t="s">
        <v>1057</v>
      </c>
      <c r="F1324" s="4">
        <v>45068.573530092595</v>
      </c>
      <c r="G1324" s="3" t="str">
        <f>HYPERLINK("https://hawk-eye.atlassian.net/browse/AL-826?atlOrigin=eyJpIjoiYzgwYTQ0ZjEyNzQzNGJhN2JmNjEyZTM0NmRhZWZhNjIiLCJwIjoic2hlZXRzLWppcmEifQ","AL-826")</f>
        <v>AL-826</v>
      </c>
      <c r="H1324" s="1" t="s">
        <v>1058</v>
      </c>
      <c r="I1324" s="1" t="s">
        <v>1085</v>
      </c>
      <c r="J1324" s="1" t="s">
        <v>26</v>
      </c>
      <c r="K1324" s="1" t="s">
        <v>1219</v>
      </c>
      <c r="L1324" s="1" t="s">
        <v>26</v>
      </c>
      <c r="M1324" s="1" t="s">
        <v>27</v>
      </c>
      <c r="N1324" s="1" t="s">
        <v>26</v>
      </c>
      <c r="O1324" s="1" t="s">
        <v>26</v>
      </c>
      <c r="P1324" s="4">
        <v>45068.57355324074</v>
      </c>
    </row>
    <row r="1325" hidden="1">
      <c r="A1325" s="1" t="s">
        <v>1055</v>
      </c>
      <c r="B1325" s="3" t="str">
        <f>HYPERLINK("https://hawk-eye.atlassian.net/browse/HWKREPORT-2099?atlOrigin=eyJpIjoiYzgwYTQ0ZjEyNzQzNGJhN2JmNjEyZTM0NmRhZWZhNjIiLCJwIjoic2hlZXRzLWppcmEifQ","HWKREPORT-2099")</f>
        <v>HWKREPORT-2099</v>
      </c>
      <c r="C1325" s="1" t="s">
        <v>2557</v>
      </c>
      <c r="D1325" s="1" t="s">
        <v>48</v>
      </c>
      <c r="E1325" s="1" t="s">
        <v>35</v>
      </c>
      <c r="F1325" s="4">
        <v>45068.83540509259</v>
      </c>
      <c r="G1325" s="3" t="str">
        <f>HYPERLINK("https://hawk-eye.atlassian.net/browse/RTT-6402?atlOrigin=eyJpIjoiYzgwYTQ0ZjEyNzQzNGJhN2JmNjEyZTM0NmRhZWZhNjIiLCJwIjoic2hlZXRzLWppcmEifQ","RTT-6402")</f>
        <v>RTT-6402</v>
      </c>
      <c r="H1325" s="1" t="s">
        <v>1058</v>
      </c>
      <c r="I1325" s="1" t="s">
        <v>1071</v>
      </c>
      <c r="J1325" s="1" t="s">
        <v>26</v>
      </c>
      <c r="K1325" s="1" t="s">
        <v>1072</v>
      </c>
      <c r="L1325" s="1" t="s">
        <v>26</v>
      </c>
      <c r="M1325" s="1" t="s">
        <v>27</v>
      </c>
      <c r="N1325" s="1" t="s">
        <v>26</v>
      </c>
      <c r="O1325" s="1" t="s">
        <v>26</v>
      </c>
      <c r="P1325" s="4">
        <v>45709.65362268518</v>
      </c>
    </row>
    <row r="1326" hidden="1">
      <c r="A1326" s="1" t="s">
        <v>1055</v>
      </c>
      <c r="B1326" s="3" t="str">
        <f>HYPERLINK("https://hawk-eye.atlassian.net/browse/HWKREPORT-2100?atlOrigin=eyJpIjoiYzgwYTQ0ZjEyNzQzNGJhN2JmNjEyZTM0NmRhZWZhNjIiLCJwIjoic2hlZXRzLWppcmEifQ","HWKREPORT-2100")</f>
        <v>HWKREPORT-2100</v>
      </c>
      <c r="C1326" s="1" t="s">
        <v>2558</v>
      </c>
      <c r="D1326" s="1" t="s">
        <v>48</v>
      </c>
      <c r="E1326" s="1" t="s">
        <v>1207</v>
      </c>
      <c r="F1326" s="4">
        <v>45068.849340277775</v>
      </c>
      <c r="G1326" s="3" t="str">
        <f>HYPERLINK("https://hawk-eye.atlassian.net/browse/RTT-6403?atlOrigin=eyJpIjoiYzgwYTQ0ZjEyNzQzNGJhN2JmNjEyZTM0NmRhZWZhNjIiLCJwIjoic2hlZXRzLWppcmEifQ","RTT-6403")</f>
        <v>RTT-6403</v>
      </c>
      <c r="H1326" s="1" t="s">
        <v>1058</v>
      </c>
      <c r="I1326" s="1" t="s">
        <v>1071</v>
      </c>
      <c r="J1326" s="1" t="s">
        <v>26</v>
      </c>
      <c r="K1326" s="1" t="s">
        <v>1072</v>
      </c>
      <c r="L1326" s="1" t="s">
        <v>26</v>
      </c>
      <c r="M1326" s="1" t="s">
        <v>27</v>
      </c>
      <c r="N1326" s="1" t="s">
        <v>26</v>
      </c>
      <c r="O1326" s="1" t="s">
        <v>26</v>
      </c>
      <c r="P1326" s="4">
        <v>45084.43834490741</v>
      </c>
    </row>
    <row r="1327" hidden="1">
      <c r="A1327" s="1" t="s">
        <v>1055</v>
      </c>
      <c r="B1327" s="3" t="str">
        <f>HYPERLINK("https://hawk-eye.atlassian.net/browse/HWKREPORT-2101?atlOrigin=eyJpIjoiYzgwYTQ0ZjEyNzQzNGJhN2JmNjEyZTM0NmRhZWZhNjIiLCJwIjoic2hlZXRzLWppcmEifQ","HWKREPORT-2101")</f>
        <v>HWKREPORT-2101</v>
      </c>
      <c r="C1327" s="1" t="s">
        <v>2559</v>
      </c>
      <c r="D1327" s="1" t="s">
        <v>48</v>
      </c>
      <c r="E1327" s="1" t="s">
        <v>1207</v>
      </c>
      <c r="F1327" s="4">
        <v>45069.3452662037</v>
      </c>
      <c r="G1327" s="3" t="str">
        <f>HYPERLINK("https://hawk-eye.atlassian.net/browse/RTT-6395?atlOrigin=eyJpIjoiYzgwYTQ0ZjEyNzQzNGJhN2JmNjEyZTM0NmRhZWZhNjIiLCJwIjoic2hlZXRzLWppcmEifQ","RTT-6395")</f>
        <v>RTT-6395</v>
      </c>
      <c r="H1327" s="1" t="s">
        <v>1058</v>
      </c>
      <c r="I1327" s="1" t="s">
        <v>1085</v>
      </c>
      <c r="J1327" s="1" t="s">
        <v>26</v>
      </c>
      <c r="K1327" s="1" t="s">
        <v>1072</v>
      </c>
      <c r="L1327" s="1" t="s">
        <v>26</v>
      </c>
      <c r="M1327" s="1" t="s">
        <v>27</v>
      </c>
      <c r="N1327" s="1" t="s">
        <v>26</v>
      </c>
      <c r="O1327" s="1" t="s">
        <v>26</v>
      </c>
      <c r="P1327" s="4">
        <v>45069.34527777778</v>
      </c>
    </row>
    <row r="1328" hidden="1">
      <c r="A1328" s="1" t="s">
        <v>1055</v>
      </c>
      <c r="B1328" s="3" t="str">
        <f>HYPERLINK("https://hawk-eye.atlassian.net/browse/HWKREPORT-2102?atlOrigin=eyJpIjoiYzgwYTQ0ZjEyNzQzNGJhN2JmNjEyZTM0NmRhZWZhNjIiLCJwIjoic2hlZXRzLWppcmEifQ","HWKREPORT-2102")</f>
        <v>HWKREPORT-2102</v>
      </c>
      <c r="C1328" s="1" t="s">
        <v>2560</v>
      </c>
      <c r="D1328" s="1" t="s">
        <v>48</v>
      </c>
      <c r="E1328" s="1" t="s">
        <v>35</v>
      </c>
      <c r="F1328" s="4">
        <v>45069.3487962963</v>
      </c>
      <c r="G1328" s="3" t="str">
        <f>HYPERLINK("https://hawk-eye.atlassian.net/browse/RTT-6397?atlOrigin=eyJpIjoiYzgwYTQ0ZjEyNzQzNGJhN2JmNjEyZTM0NmRhZWZhNjIiLCJwIjoic2hlZXRzLWppcmEifQ","RTT-6397")</f>
        <v>RTT-6397</v>
      </c>
      <c r="H1328" s="1" t="s">
        <v>1058</v>
      </c>
      <c r="I1328" s="1" t="s">
        <v>1085</v>
      </c>
      <c r="J1328" s="1" t="s">
        <v>26</v>
      </c>
      <c r="K1328" s="1" t="s">
        <v>1072</v>
      </c>
      <c r="L1328" s="1" t="s">
        <v>26</v>
      </c>
      <c r="M1328" s="1" t="s">
        <v>27</v>
      </c>
      <c r="N1328" s="1" t="s">
        <v>26</v>
      </c>
      <c r="O1328" s="1" t="s">
        <v>26</v>
      </c>
      <c r="P1328" s="4">
        <v>45079.623761574076</v>
      </c>
    </row>
    <row r="1329" hidden="1">
      <c r="A1329" s="1" t="s">
        <v>1055</v>
      </c>
      <c r="B1329" s="3" t="str">
        <f>HYPERLINK("https://hawk-eye.atlassian.net/browse/HWKREPORT-2103?atlOrigin=eyJpIjoiYzgwYTQ0ZjEyNzQzNGJhN2JmNjEyZTM0NmRhZWZhNjIiLCJwIjoic2hlZXRzLWppcmEifQ","HWKREPORT-2103")</f>
        <v>HWKREPORT-2103</v>
      </c>
      <c r="C1329" s="1" t="s">
        <v>2561</v>
      </c>
      <c r="D1329" s="1" t="s">
        <v>48</v>
      </c>
      <c r="E1329" s="1" t="s">
        <v>35</v>
      </c>
      <c r="F1329" s="4">
        <v>45069.354363425926</v>
      </c>
      <c r="G1329" s="3" t="str">
        <f>HYPERLINK("https://hawk-eye.atlassian.net/browse/RTT-6430?atlOrigin=eyJpIjoiYzgwYTQ0ZjEyNzQzNGJhN2JmNjEyZTM0NmRhZWZhNjIiLCJwIjoic2hlZXRzLWppcmEifQ","RTT-6430")</f>
        <v>RTT-6430</v>
      </c>
      <c r="H1329" s="1" t="s">
        <v>1058</v>
      </c>
      <c r="I1329" s="1" t="s">
        <v>1085</v>
      </c>
      <c r="J1329" s="1" t="s">
        <v>26</v>
      </c>
      <c r="K1329" s="1" t="s">
        <v>1072</v>
      </c>
      <c r="L1329" s="1" t="s">
        <v>26</v>
      </c>
      <c r="M1329" s="1" t="s">
        <v>27</v>
      </c>
      <c r="N1329" s="1" t="s">
        <v>26</v>
      </c>
      <c r="O1329" s="1" t="s">
        <v>26</v>
      </c>
      <c r="P1329" s="4">
        <v>45079.624131944445</v>
      </c>
    </row>
    <row r="1330" hidden="1">
      <c r="A1330" s="1" t="s">
        <v>1055</v>
      </c>
      <c r="B1330" s="3" t="str">
        <f>HYPERLINK("https://hawk-eye.atlassian.net/browse/HWKREPORT-2104?atlOrigin=eyJpIjoiYzgwYTQ0ZjEyNzQzNGJhN2JmNjEyZTM0NmRhZWZhNjIiLCJwIjoic2hlZXRzLWppcmEifQ","HWKREPORT-2104")</f>
        <v>HWKREPORT-2104</v>
      </c>
      <c r="C1330" s="1" t="s">
        <v>2562</v>
      </c>
      <c r="D1330" s="1" t="s">
        <v>48</v>
      </c>
      <c r="E1330" s="1" t="s">
        <v>1207</v>
      </c>
      <c r="F1330" s="4">
        <v>45069.37322916667</v>
      </c>
      <c r="G1330" s="3" t="str">
        <f>HYPERLINK("https://hawk-eye.atlassian.net/browse/RTT-6396?atlOrigin=eyJpIjoiYzgwYTQ0ZjEyNzQzNGJhN2JmNjEyZTM0NmRhZWZhNjIiLCJwIjoic2hlZXRzLWppcmEifQ","RTT-6396")</f>
        <v>RTT-6396</v>
      </c>
      <c r="H1330" s="1" t="s">
        <v>1058</v>
      </c>
      <c r="I1330" s="1" t="s">
        <v>1085</v>
      </c>
      <c r="J1330" s="1" t="s">
        <v>26</v>
      </c>
      <c r="K1330" s="1" t="s">
        <v>1072</v>
      </c>
      <c r="L1330" s="1" t="s">
        <v>26</v>
      </c>
      <c r="M1330" s="1" t="s">
        <v>27</v>
      </c>
      <c r="N1330" s="1" t="s">
        <v>26</v>
      </c>
      <c r="O1330" s="1" t="s">
        <v>26</v>
      </c>
      <c r="P1330" s="4">
        <v>45078.425787037035</v>
      </c>
    </row>
    <row r="1331" hidden="1">
      <c r="A1331" s="1" t="s">
        <v>1055</v>
      </c>
      <c r="B1331" s="3" t="str">
        <f>HYPERLINK("https://hawk-eye.atlassian.net/browse/HWKREPORT-2106?atlOrigin=eyJpIjoiYzgwYTQ0ZjEyNzQzNGJhN2JmNjEyZTM0NmRhZWZhNjIiLCJwIjoic2hlZXRzLWppcmEifQ","HWKREPORT-2106")</f>
        <v>HWKREPORT-2106</v>
      </c>
      <c r="C1331" s="1" t="s">
        <v>2563</v>
      </c>
      <c r="D1331" s="1" t="s">
        <v>48</v>
      </c>
      <c r="E1331" s="1" t="s">
        <v>1541</v>
      </c>
      <c r="F1331" s="4">
        <v>45069.72373842593</v>
      </c>
      <c r="G1331" s="3" t="str">
        <f>HYPERLINK("https://hawk-eye.atlassian.net/browse/TDP-1682?atlOrigin=eyJpIjoiYzgwYTQ0ZjEyNzQzNGJhN2JmNjEyZTM0NmRhZWZhNjIiLCJwIjoic2hlZXRzLWppcmEifQ","TDP-1682")</f>
        <v>TDP-1682</v>
      </c>
      <c r="H1331" s="1" t="s">
        <v>1058</v>
      </c>
      <c r="I1331" s="1" t="s">
        <v>1126</v>
      </c>
      <c r="J1331" s="1" t="s">
        <v>26</v>
      </c>
      <c r="K1331" s="1" t="s">
        <v>1211</v>
      </c>
      <c r="L1331" s="1" t="s">
        <v>26</v>
      </c>
      <c r="M1331" s="1" t="s">
        <v>27</v>
      </c>
      <c r="N1331" s="1" t="s">
        <v>26</v>
      </c>
      <c r="O1331" s="1" t="s">
        <v>26</v>
      </c>
      <c r="P1331" s="4">
        <v>45083.49700231481</v>
      </c>
    </row>
    <row r="1332" hidden="1">
      <c r="A1332" s="1" t="s">
        <v>21</v>
      </c>
      <c r="B1332" s="3" t="str">
        <f>HYPERLINK("https://hawk-eye.atlassian.net/browse/HWKREPORT-2107?atlOrigin=eyJpIjoiYzgwYTQ0ZjEyNzQzNGJhN2JmNjEyZTM0NmRhZWZhNjIiLCJwIjoic2hlZXRzLWppcmEifQ","HWKREPORT-2107")</f>
        <v>HWKREPORT-2107</v>
      </c>
      <c r="C1332" s="1" t="s">
        <v>2564</v>
      </c>
      <c r="D1332" s="1" t="s">
        <v>34</v>
      </c>
      <c r="E1332" s="1" t="s">
        <v>35</v>
      </c>
      <c r="F1332" s="4">
        <v>45069.76900462963</v>
      </c>
      <c r="G1332" s="3" t="str">
        <f>HYPERLINK("https://hawk-eye.atlassian.net/browse/GT-809?atlOrigin=eyJpIjoiYzgwYTQ0ZjEyNzQzNGJhN2JmNjEyZTM0NmRhZWZhNjIiLCJwIjoic2hlZXRzLWppcmEifQ","GT-809")</f>
        <v>GT-809</v>
      </c>
      <c r="H1332" s="1" t="s">
        <v>1058</v>
      </c>
      <c r="I1332" s="1" t="s">
        <v>1085</v>
      </c>
      <c r="J1332" s="1" t="s">
        <v>26</v>
      </c>
      <c r="K1332" s="1" t="s">
        <v>1105</v>
      </c>
      <c r="L1332" s="1" t="s">
        <v>26</v>
      </c>
      <c r="M1332" s="1" t="s">
        <v>27</v>
      </c>
      <c r="N1332" s="1" t="s">
        <v>26</v>
      </c>
      <c r="O1332" s="1" t="s">
        <v>26</v>
      </c>
      <c r="P1332" s="4">
        <v>45119.691145833334</v>
      </c>
    </row>
    <row r="1333" hidden="1">
      <c r="A1333" s="1" t="s">
        <v>21</v>
      </c>
      <c r="B1333" s="3" t="str">
        <f>HYPERLINK("https://hawk-eye.atlassian.net/browse/HWKREPORT-2108?atlOrigin=eyJpIjoiYzgwYTQ0ZjEyNzQzNGJhN2JmNjEyZTM0NmRhZWZhNjIiLCJwIjoic2hlZXRzLWppcmEifQ","HWKREPORT-2108")</f>
        <v>HWKREPORT-2108</v>
      </c>
      <c r="C1333" s="1" t="s">
        <v>2565</v>
      </c>
      <c r="D1333" s="1" t="s">
        <v>23</v>
      </c>
      <c r="E1333" s="1" t="s">
        <v>35</v>
      </c>
      <c r="F1333" s="4">
        <v>45069.808599537035</v>
      </c>
      <c r="G1333" s="3" t="str">
        <f>HYPERLINK("https://hawk-eye.atlassian.net/browse/BDP-1413?atlOrigin=eyJpIjoiYzgwYTQ0ZjEyNzQzNGJhN2JmNjEyZTM0NmRhZWZhNjIiLCJwIjoic2hlZXRzLWppcmEifQ","BDP-1413")</f>
        <v>BDP-1413</v>
      </c>
      <c r="H1333" s="1" t="s">
        <v>1058</v>
      </c>
      <c r="I1333" s="1" t="s">
        <v>1071</v>
      </c>
      <c r="J1333" s="1" t="s">
        <v>26</v>
      </c>
      <c r="K1333" s="1" t="s">
        <v>1130</v>
      </c>
      <c r="L1333" s="1" t="s">
        <v>26</v>
      </c>
      <c r="M1333" s="1" t="s">
        <v>27</v>
      </c>
      <c r="N1333" s="1" t="s">
        <v>26</v>
      </c>
      <c r="O1333" s="1" t="s">
        <v>26</v>
      </c>
      <c r="P1333" s="4">
        <v>45124.82844907408</v>
      </c>
    </row>
    <row r="1334" hidden="1">
      <c r="A1334" s="1" t="s">
        <v>21</v>
      </c>
      <c r="B1334" s="3" t="str">
        <f>HYPERLINK("https://hawk-eye.atlassian.net/browse/HWKREPORT-2109?atlOrigin=eyJpIjoiYzgwYTQ0ZjEyNzQzNGJhN2JmNjEyZTM0NmRhZWZhNjIiLCJwIjoic2hlZXRzLWppcmEifQ","HWKREPORT-2109")</f>
        <v>HWKREPORT-2109</v>
      </c>
      <c r="C1334" s="1" t="s">
        <v>2566</v>
      </c>
      <c r="D1334" s="1" t="s">
        <v>23</v>
      </c>
      <c r="E1334" s="1" t="s">
        <v>1207</v>
      </c>
      <c r="F1334" s="4">
        <v>45069.90855324074</v>
      </c>
      <c r="G1334" s="3" t="str">
        <f>HYPERLINK("https://hawk-eye.atlassian.net/browse/AL-825?atlOrigin=eyJpIjoiYzgwYTQ0ZjEyNzQzNGJhN2JmNjEyZTM0NmRhZWZhNjIiLCJwIjoic2hlZXRzLWppcmEifQ","AL-825")</f>
        <v>AL-825</v>
      </c>
      <c r="H1334" s="1" t="s">
        <v>1058</v>
      </c>
      <c r="I1334" s="1" t="s">
        <v>1071</v>
      </c>
      <c r="J1334" s="1" t="s">
        <v>26</v>
      </c>
      <c r="K1334" s="1" t="s">
        <v>1898</v>
      </c>
      <c r="L1334" s="1" t="s">
        <v>26</v>
      </c>
      <c r="M1334" s="1" t="s">
        <v>27</v>
      </c>
      <c r="N1334" s="1" t="s">
        <v>26</v>
      </c>
      <c r="O1334" s="1" t="s">
        <v>26</v>
      </c>
      <c r="P1334" s="4">
        <v>45071.513344907406</v>
      </c>
    </row>
    <row r="1335">
      <c r="A1335" s="1" t="s">
        <v>21</v>
      </c>
      <c r="B1335" s="3" t="str">
        <f>HYPERLINK("https://hawk-eye.atlassian.net/browse/HWKREPORT-2110?atlOrigin=eyJpIjoiYzgwYTQ0ZjEyNzQzNGJhN2JmNjEyZTM0NmRhZWZhNjIiLCJwIjoic2hlZXRzLWppcmEifQ","HWKREPORT-2110")</f>
        <v>HWKREPORT-2110</v>
      </c>
      <c r="C1335" s="1" t="s">
        <v>2567</v>
      </c>
      <c r="D1335" s="1" t="s">
        <v>23</v>
      </c>
      <c r="E1335" s="1" t="s">
        <v>35</v>
      </c>
      <c r="F1335" s="4">
        <v>45070.710486111115</v>
      </c>
      <c r="G1335" s="3" t="str">
        <f>HYPERLINK("https://hawk-eye.atlassian.net/browse/RTT-6447?atlOrigin=eyJpIjoiYzgwYTQ0ZjEyNzQzNGJhN2JmNjEyZTM0NmRhZWZhNjIiLCJwIjoic2hlZXRzLWppcmEifQ","RTT-6447")</f>
        <v>RTT-6447</v>
      </c>
      <c r="H1335" s="1" t="s">
        <v>1058</v>
      </c>
      <c r="I1335" s="1" t="s">
        <v>28</v>
      </c>
      <c r="J1335" s="1" t="s">
        <v>26</v>
      </c>
      <c r="K1335" s="1" t="s">
        <v>1072</v>
      </c>
      <c r="L1335" s="1" t="s">
        <v>26</v>
      </c>
      <c r="M1335" s="1" t="s">
        <v>27</v>
      </c>
      <c r="N1335" s="1" t="s">
        <v>26</v>
      </c>
      <c r="O1335" s="1" t="s">
        <v>26</v>
      </c>
      <c r="P1335" s="4">
        <v>45125.48357638889</v>
      </c>
    </row>
    <row r="1336" hidden="1">
      <c r="A1336" s="1" t="s">
        <v>1055</v>
      </c>
      <c r="B1336" s="3" t="str">
        <f>HYPERLINK("https://hawk-eye.atlassian.net/browse/HWKREPORT-2111?atlOrigin=eyJpIjoiYzgwYTQ0ZjEyNzQzNGJhN2JmNjEyZTM0NmRhZWZhNjIiLCJwIjoic2hlZXRzLWppcmEifQ","HWKREPORT-2111")</f>
        <v>HWKREPORT-2111</v>
      </c>
      <c r="C1336" s="1" t="s">
        <v>2568</v>
      </c>
      <c r="D1336" s="1" t="s">
        <v>48</v>
      </c>
      <c r="E1336" s="1" t="s">
        <v>1057</v>
      </c>
      <c r="F1336" s="4">
        <v>45070.720601851855</v>
      </c>
      <c r="G1336" s="3" t="str">
        <f>HYPERLINK("https://hawk-eye.atlassian.net/browse/RTT-6450?atlOrigin=eyJpIjoiYzgwYTQ0ZjEyNzQzNGJhN2JmNjEyZTM0NmRhZWZhNjIiLCJwIjoic2hlZXRzLWppcmEifQ","RTT-6450")</f>
        <v>RTT-6450</v>
      </c>
      <c r="H1336" s="1" t="s">
        <v>1058</v>
      </c>
      <c r="I1336" s="1" t="s">
        <v>1085</v>
      </c>
      <c r="J1336" s="1" t="s">
        <v>26</v>
      </c>
      <c r="K1336" s="1" t="s">
        <v>1372</v>
      </c>
      <c r="L1336" s="1" t="s">
        <v>26</v>
      </c>
      <c r="M1336" s="1" t="s">
        <v>27</v>
      </c>
      <c r="N1336" s="1" t="s">
        <v>26</v>
      </c>
      <c r="O1336" s="1" t="s">
        <v>26</v>
      </c>
      <c r="P1336" s="4">
        <v>45070.720613425925</v>
      </c>
    </row>
    <row r="1337" hidden="1">
      <c r="A1337" s="1" t="s">
        <v>21</v>
      </c>
      <c r="B1337" s="3" t="str">
        <f>HYPERLINK("https://hawk-eye.atlassian.net/browse/HWKREPORT-2112?atlOrigin=eyJpIjoiYzgwYTQ0ZjEyNzQzNGJhN2JmNjEyZTM0NmRhZWZhNjIiLCJwIjoic2hlZXRzLWppcmEifQ","HWKREPORT-2112")</f>
        <v>HWKREPORT-2112</v>
      </c>
      <c r="C1337" s="1" t="s">
        <v>2569</v>
      </c>
      <c r="D1337" s="1" t="s">
        <v>23</v>
      </c>
      <c r="E1337" s="1" t="s">
        <v>35</v>
      </c>
      <c r="F1337" s="4">
        <v>45070.74034722222</v>
      </c>
      <c r="G1337" s="3" t="str">
        <f>HYPERLINK("https://hawk-eye.atlassian.net/browse/RTT-6451?atlOrigin=eyJpIjoiYzgwYTQ0ZjEyNzQzNGJhN2JmNjEyZTM0NmRhZWZhNjIiLCJwIjoic2hlZXRzLWppcmEifQ","RTT-6451")</f>
        <v>RTT-6451</v>
      </c>
      <c r="H1337" s="1" t="s">
        <v>1058</v>
      </c>
      <c r="I1337" s="1" t="s">
        <v>1280</v>
      </c>
      <c r="J1337" s="1" t="s">
        <v>26</v>
      </c>
      <c r="K1337" s="1" t="s">
        <v>1312</v>
      </c>
      <c r="L1337" s="1" t="s">
        <v>26</v>
      </c>
      <c r="M1337" s="1" t="s">
        <v>27</v>
      </c>
      <c r="N1337" s="1" t="s">
        <v>26</v>
      </c>
      <c r="O1337" s="1" t="s">
        <v>26</v>
      </c>
      <c r="P1337" s="4">
        <v>45190.70141203704</v>
      </c>
    </row>
    <row r="1338" hidden="1">
      <c r="A1338" s="1" t="s">
        <v>21</v>
      </c>
      <c r="B1338" s="3" t="str">
        <f>HYPERLINK("https://hawk-eye.atlassian.net/browse/HWKREPORT-2113?atlOrigin=eyJpIjoiYzgwYTQ0ZjEyNzQzNGJhN2JmNjEyZTM0NmRhZWZhNjIiLCJwIjoic2hlZXRzLWppcmEifQ","HWKREPORT-2113")</f>
        <v>HWKREPORT-2113</v>
      </c>
      <c r="C1338" s="1" t="s">
        <v>2570</v>
      </c>
      <c r="D1338" s="1" t="s">
        <v>23</v>
      </c>
      <c r="E1338" s="1" t="s">
        <v>35</v>
      </c>
      <c r="F1338" s="4">
        <v>45071.51162037037</v>
      </c>
      <c r="G1338" s="3" t="str">
        <f>HYPERLINK("https://hawk-eye.atlassian.net/browse/?atlOrigin=eyJpIjoiYzgwYTQ0ZjEyNzQzNGJhN2JmNjEyZTM0NmRhZWZhNjIiLCJwIjoic2hlZXRzLWppcmEifQ","")</f>
        <v/>
      </c>
      <c r="H1338" s="1" t="s">
        <v>1058</v>
      </c>
      <c r="I1338" s="1" t="s">
        <v>1082</v>
      </c>
      <c r="J1338" s="1" t="s">
        <v>26</v>
      </c>
      <c r="K1338" s="1" t="s">
        <v>2571</v>
      </c>
      <c r="L1338" s="1" t="s">
        <v>26</v>
      </c>
      <c r="M1338" s="1" t="s">
        <v>27</v>
      </c>
      <c r="N1338" s="1" t="s">
        <v>26</v>
      </c>
      <c r="O1338" s="1" t="s">
        <v>26</v>
      </c>
      <c r="P1338" s="4">
        <v>45155.67613425926</v>
      </c>
    </row>
    <row r="1339" hidden="1">
      <c r="A1339" s="1" t="s">
        <v>21</v>
      </c>
      <c r="B1339" s="3" t="str">
        <f>HYPERLINK("https://hawk-eye.atlassian.net/browse/HWKREPORT-2114?atlOrigin=eyJpIjoiYzgwYTQ0ZjEyNzQzNGJhN2JmNjEyZTM0NmRhZWZhNjIiLCJwIjoic2hlZXRzLWppcmEifQ","HWKREPORT-2114")</f>
        <v>HWKREPORT-2114</v>
      </c>
      <c r="C1339" s="1" t="s">
        <v>2572</v>
      </c>
      <c r="D1339" s="1" t="s">
        <v>34</v>
      </c>
      <c r="E1339" s="1" t="s">
        <v>35</v>
      </c>
      <c r="F1339" s="4">
        <v>45071.65090277778</v>
      </c>
      <c r="G1339" s="3" t="str">
        <f>HYPERLINK("https://hawk-eye.atlassian.net/browse/RTT-6448?atlOrigin=eyJpIjoiYzgwYTQ0ZjEyNzQzNGJhN2JmNjEyZTM0NmRhZWZhNjIiLCJwIjoic2hlZXRzLWppcmEifQ","RTT-6448")</f>
        <v>RTT-6448</v>
      </c>
      <c r="H1339" s="1" t="s">
        <v>1058</v>
      </c>
      <c r="I1339" s="1" t="s">
        <v>1071</v>
      </c>
      <c r="J1339" s="1" t="s">
        <v>26</v>
      </c>
      <c r="K1339" s="1" t="s">
        <v>1072</v>
      </c>
      <c r="L1339" s="1" t="s">
        <v>26</v>
      </c>
      <c r="M1339" s="1" t="s">
        <v>27</v>
      </c>
      <c r="N1339" s="1" t="s">
        <v>26</v>
      </c>
      <c r="O1339" s="1" t="s">
        <v>26</v>
      </c>
      <c r="P1339" s="4">
        <v>45709.648356481484</v>
      </c>
    </row>
    <row r="1340" hidden="1">
      <c r="A1340" s="1" t="s">
        <v>21</v>
      </c>
      <c r="B1340" s="3" t="str">
        <f>HYPERLINK("https://hawk-eye.atlassian.net/browse/HWKREPORT-2115?atlOrigin=eyJpIjoiYzgwYTQ0ZjEyNzQzNGJhN2JmNjEyZTM0NmRhZWZhNjIiLCJwIjoic2hlZXRzLWppcmEifQ","HWKREPORT-2115")</f>
        <v>HWKREPORT-2115</v>
      </c>
      <c r="C1340" s="1" t="s">
        <v>2573</v>
      </c>
      <c r="D1340" s="1" t="s">
        <v>34</v>
      </c>
      <c r="E1340" s="1" t="s">
        <v>1057</v>
      </c>
      <c r="F1340" s="4">
        <v>45071.6975</v>
      </c>
      <c r="G1340" s="3" t="str">
        <f t="shared" ref="G1340:G1342" si="114">HYPERLINK("https://hawk-eye.atlassian.net/browse/?atlOrigin=eyJpIjoiYzgwYTQ0ZjEyNzQzNGJhN2JmNjEyZTM0NmRhZWZhNjIiLCJwIjoic2hlZXRzLWppcmEifQ","")</f>
        <v/>
      </c>
      <c r="H1340" s="1" t="s">
        <v>1058</v>
      </c>
      <c r="I1340" s="1" t="s">
        <v>1126</v>
      </c>
      <c r="J1340" s="1" t="s">
        <v>26</v>
      </c>
      <c r="K1340" s="1" t="s">
        <v>1573</v>
      </c>
      <c r="L1340" s="1" t="s">
        <v>26</v>
      </c>
      <c r="M1340" s="1" t="s">
        <v>27</v>
      </c>
      <c r="N1340" s="1" t="s">
        <v>26</v>
      </c>
      <c r="O1340" s="1" t="s">
        <v>26</v>
      </c>
      <c r="P1340" s="4">
        <v>45071.6975</v>
      </c>
    </row>
    <row r="1341" hidden="1">
      <c r="A1341" s="1" t="s">
        <v>21</v>
      </c>
      <c r="B1341" s="3" t="str">
        <f>HYPERLINK("https://hawk-eye.atlassian.net/browse/HWKREPORT-2116?atlOrigin=eyJpIjoiYzgwYTQ0ZjEyNzQzNGJhN2JmNjEyZTM0NmRhZWZhNjIiLCJwIjoic2hlZXRzLWppcmEifQ","HWKREPORT-2116")</f>
        <v>HWKREPORT-2116</v>
      </c>
      <c r="C1341" s="1" t="s">
        <v>2574</v>
      </c>
      <c r="D1341" s="1" t="s">
        <v>48</v>
      </c>
      <c r="E1341" s="1" t="s">
        <v>1057</v>
      </c>
      <c r="F1341" s="4">
        <v>45071.70559027778</v>
      </c>
      <c r="G1341" s="3" t="str">
        <f t="shared" si="114"/>
        <v/>
      </c>
      <c r="H1341" s="1" t="s">
        <v>1058</v>
      </c>
      <c r="I1341" s="1" t="s">
        <v>1071</v>
      </c>
      <c r="J1341" s="1" t="s">
        <v>26</v>
      </c>
      <c r="K1341" s="1" t="s">
        <v>1072</v>
      </c>
      <c r="L1341" s="1" t="s">
        <v>26</v>
      </c>
      <c r="M1341" s="1" t="s">
        <v>27</v>
      </c>
      <c r="N1341" s="1" t="s">
        <v>26</v>
      </c>
      <c r="O1341" s="1" t="s">
        <v>26</v>
      </c>
      <c r="P1341" s="4">
        <v>45071.70560185185</v>
      </c>
    </row>
    <row r="1342" hidden="1">
      <c r="A1342" s="1" t="s">
        <v>21</v>
      </c>
      <c r="B1342" s="3" t="str">
        <f>HYPERLINK("https://hawk-eye.atlassian.net/browse/HWKREPORT-2117?atlOrigin=eyJpIjoiYzgwYTQ0ZjEyNzQzNGJhN2JmNjEyZTM0NmRhZWZhNjIiLCJwIjoic2hlZXRzLWppcmEifQ","HWKREPORT-2117")</f>
        <v>HWKREPORT-2117</v>
      </c>
      <c r="C1342" s="1" t="s">
        <v>2575</v>
      </c>
      <c r="D1342" s="1" t="s">
        <v>83</v>
      </c>
      <c r="E1342" s="1" t="s">
        <v>1057</v>
      </c>
      <c r="F1342" s="4">
        <v>45071.71157407408</v>
      </c>
      <c r="G1342" s="3" t="str">
        <f t="shared" si="114"/>
        <v/>
      </c>
      <c r="H1342" s="1" t="s">
        <v>1058</v>
      </c>
      <c r="I1342" s="1" t="s">
        <v>1071</v>
      </c>
      <c r="J1342" s="1" t="s">
        <v>26</v>
      </c>
      <c r="K1342" s="1" t="s">
        <v>1093</v>
      </c>
      <c r="L1342" s="1" t="s">
        <v>26</v>
      </c>
      <c r="M1342" s="1" t="s">
        <v>27</v>
      </c>
      <c r="N1342" s="1" t="s">
        <v>26</v>
      </c>
      <c r="O1342" s="1" t="s">
        <v>26</v>
      </c>
      <c r="P1342" s="4">
        <v>45071.71158564815</v>
      </c>
    </row>
    <row r="1343" hidden="1">
      <c r="A1343" s="1" t="s">
        <v>1055</v>
      </c>
      <c r="B1343" s="3" t="str">
        <f>HYPERLINK("https://hawk-eye.atlassian.net/browse/HWKREPORT-2118?atlOrigin=eyJpIjoiYzgwYTQ0ZjEyNzQzNGJhN2JmNjEyZTM0NmRhZWZhNjIiLCJwIjoic2hlZXRzLWppcmEifQ","HWKREPORT-2118")</f>
        <v>HWKREPORT-2118</v>
      </c>
      <c r="C1343" s="1" t="s">
        <v>2576</v>
      </c>
      <c r="D1343" s="1" t="s">
        <v>48</v>
      </c>
      <c r="E1343" s="1" t="s">
        <v>1207</v>
      </c>
      <c r="F1343" s="4">
        <v>45072.654861111114</v>
      </c>
      <c r="G1343" s="3" t="str">
        <f>HYPERLINK("https://hawk-eye.atlassian.net/browse/RTT-6453?atlOrigin=eyJpIjoiYzgwYTQ0ZjEyNzQzNGJhN2JmNjEyZTM0NmRhZWZhNjIiLCJwIjoic2hlZXRzLWppcmEifQ","RTT-6453")</f>
        <v>RTT-6453</v>
      </c>
      <c r="H1343" s="1" t="s">
        <v>1058</v>
      </c>
      <c r="I1343" s="1" t="s">
        <v>1085</v>
      </c>
      <c r="J1343" s="1" t="s">
        <v>26</v>
      </c>
      <c r="K1343" s="1" t="s">
        <v>1072</v>
      </c>
      <c r="L1343" s="1" t="s">
        <v>26</v>
      </c>
      <c r="M1343" s="1" t="s">
        <v>27</v>
      </c>
      <c r="N1343" s="1" t="s">
        <v>26</v>
      </c>
      <c r="O1343" s="1" t="s">
        <v>26</v>
      </c>
      <c r="P1343" s="4">
        <v>45174.40744212963</v>
      </c>
    </row>
    <row r="1344" hidden="1">
      <c r="A1344" s="1" t="s">
        <v>1055</v>
      </c>
      <c r="B1344" s="3" t="str">
        <f>HYPERLINK("https://hawk-eye.atlassian.net/browse/HWKREPORT-2119?atlOrigin=eyJpIjoiYzgwYTQ0ZjEyNzQzNGJhN2JmNjEyZTM0NmRhZWZhNjIiLCJwIjoic2hlZXRzLWppcmEifQ","HWKREPORT-2119")</f>
        <v>HWKREPORT-2119</v>
      </c>
      <c r="C1344" s="1" t="s">
        <v>2577</v>
      </c>
      <c r="D1344" s="1" t="s">
        <v>48</v>
      </c>
      <c r="E1344" s="1" t="s">
        <v>35</v>
      </c>
      <c r="F1344" s="4">
        <v>45076.635983796295</v>
      </c>
      <c r="G1344" s="3" t="str">
        <f>HYPERLINK("https://hawk-eye.atlassian.net/browse/CORE-219?atlOrigin=eyJpIjoiYzgwYTQ0ZjEyNzQzNGJhN2JmNjEyZTM0NmRhZWZhNjIiLCJwIjoic2hlZXRzLWppcmEifQ","CORE-219")</f>
        <v>CORE-219</v>
      </c>
      <c r="H1344" s="1" t="s">
        <v>1058</v>
      </c>
      <c r="I1344" s="1" t="s">
        <v>1085</v>
      </c>
      <c r="J1344" s="1" t="s">
        <v>26</v>
      </c>
      <c r="K1344" s="1" t="s">
        <v>1134</v>
      </c>
      <c r="L1344" s="1" t="s">
        <v>26</v>
      </c>
      <c r="M1344" s="1" t="s">
        <v>27</v>
      </c>
      <c r="N1344" s="1" t="s">
        <v>26</v>
      </c>
      <c r="O1344" s="1" t="s">
        <v>26</v>
      </c>
      <c r="P1344" s="4">
        <v>45127.62664351852</v>
      </c>
    </row>
    <row r="1345" hidden="1">
      <c r="A1345" s="1" t="s">
        <v>1055</v>
      </c>
      <c r="B1345" s="3" t="str">
        <f>HYPERLINK("https://hawk-eye.atlassian.net/browse/HWKREPORT-2120?atlOrigin=eyJpIjoiYzgwYTQ0ZjEyNzQzNGJhN2JmNjEyZTM0NmRhZWZhNjIiLCJwIjoic2hlZXRzLWppcmEifQ","HWKREPORT-2120")</f>
        <v>HWKREPORT-2120</v>
      </c>
      <c r="C1345" s="1" t="s">
        <v>2578</v>
      </c>
      <c r="D1345" s="1" t="s">
        <v>48</v>
      </c>
      <c r="E1345" s="1" t="s">
        <v>35</v>
      </c>
      <c r="F1345" s="4">
        <v>45077.70909722222</v>
      </c>
      <c r="G1345" s="3" t="str">
        <f>HYPERLINK("https://hawk-eye.atlassian.net/browse/TDP-1683?atlOrigin=eyJpIjoiYzgwYTQ0ZjEyNzQzNGJhN2JmNjEyZTM0NmRhZWZhNjIiLCJwIjoic2hlZXRzLWppcmEifQ","TDP-1683")</f>
        <v>TDP-1683</v>
      </c>
      <c r="H1345" s="1" t="s">
        <v>1058</v>
      </c>
      <c r="I1345" s="1" t="s">
        <v>1126</v>
      </c>
      <c r="J1345" s="1" t="s">
        <v>26</v>
      </c>
      <c r="K1345" s="1" t="s">
        <v>1211</v>
      </c>
      <c r="L1345" s="1" t="s">
        <v>26</v>
      </c>
      <c r="M1345" s="1" t="s">
        <v>27</v>
      </c>
      <c r="N1345" s="1" t="s">
        <v>26</v>
      </c>
      <c r="O1345" s="1" t="s">
        <v>26</v>
      </c>
      <c r="P1345" s="4">
        <v>45110.68111111111</v>
      </c>
    </row>
    <row r="1346" hidden="1">
      <c r="A1346" s="1" t="s">
        <v>1055</v>
      </c>
      <c r="B1346" s="3" t="str">
        <f>HYPERLINK("https://hawk-eye.atlassian.net/browse/HWKREPORT-2121?atlOrigin=eyJpIjoiYzgwYTQ0ZjEyNzQzNGJhN2JmNjEyZTM0NmRhZWZhNjIiLCJwIjoic2hlZXRzLWppcmEifQ","HWKREPORT-2121")</f>
        <v>HWKREPORT-2121</v>
      </c>
      <c r="C1346" s="1" t="s">
        <v>2579</v>
      </c>
      <c r="D1346" s="1" t="s">
        <v>48</v>
      </c>
      <c r="E1346" s="1" t="s">
        <v>1057</v>
      </c>
      <c r="F1346" s="4">
        <v>45077.80578703704</v>
      </c>
      <c r="G1346" s="3" t="str">
        <f t="shared" ref="G1346:G1350" si="115">HYPERLINK("https://hawk-eye.atlassian.net/browse/?atlOrigin=eyJpIjoiYzgwYTQ0ZjEyNzQzNGJhN2JmNjEyZTM0NmRhZWZhNjIiLCJwIjoic2hlZXRzLWppcmEifQ","")</f>
        <v/>
      </c>
      <c r="H1346" s="1" t="s">
        <v>1058</v>
      </c>
      <c r="I1346" s="1" t="s">
        <v>1085</v>
      </c>
      <c r="J1346" s="1" t="s">
        <v>26</v>
      </c>
      <c r="K1346" s="1" t="s">
        <v>1148</v>
      </c>
      <c r="L1346" s="1" t="s">
        <v>26</v>
      </c>
      <c r="M1346" s="1" t="s">
        <v>27</v>
      </c>
      <c r="N1346" s="1" t="s">
        <v>26</v>
      </c>
      <c r="O1346" s="1" t="s">
        <v>26</v>
      </c>
      <c r="P1346" s="4">
        <v>45077.80579861111</v>
      </c>
    </row>
    <row r="1347" hidden="1">
      <c r="A1347" s="1" t="s">
        <v>1055</v>
      </c>
      <c r="B1347" s="3" t="str">
        <f>HYPERLINK("https://hawk-eye.atlassian.net/browse/HWKREPORT-2122?atlOrigin=eyJpIjoiYzgwYTQ0ZjEyNzQzNGJhN2JmNjEyZTM0NmRhZWZhNjIiLCJwIjoic2hlZXRzLWppcmEifQ","HWKREPORT-2122")</f>
        <v>HWKREPORT-2122</v>
      </c>
      <c r="C1347" s="1" t="s">
        <v>2580</v>
      </c>
      <c r="D1347" s="1" t="s">
        <v>48</v>
      </c>
      <c r="E1347" s="1" t="s">
        <v>1057</v>
      </c>
      <c r="F1347" s="4">
        <v>45077.814479166664</v>
      </c>
      <c r="G1347" s="3" t="str">
        <f t="shared" si="115"/>
        <v/>
      </c>
      <c r="H1347" s="1" t="s">
        <v>1058</v>
      </c>
      <c r="I1347" s="1" t="s">
        <v>1085</v>
      </c>
      <c r="J1347" s="1" t="s">
        <v>26</v>
      </c>
      <c r="K1347" s="1" t="s">
        <v>1148</v>
      </c>
      <c r="L1347" s="1" t="s">
        <v>26</v>
      </c>
      <c r="M1347" s="1" t="s">
        <v>27</v>
      </c>
      <c r="N1347" s="1" t="s">
        <v>26</v>
      </c>
      <c r="O1347" s="1" t="s">
        <v>26</v>
      </c>
      <c r="P1347" s="4">
        <v>45077.81449074074</v>
      </c>
    </row>
    <row r="1348" hidden="1">
      <c r="A1348" s="1" t="s">
        <v>1055</v>
      </c>
      <c r="B1348" s="3" t="str">
        <f>HYPERLINK("https://hawk-eye.atlassian.net/browse/HWKREPORT-2123?atlOrigin=eyJpIjoiYzgwYTQ0ZjEyNzQzNGJhN2JmNjEyZTM0NmRhZWZhNjIiLCJwIjoic2hlZXRzLWppcmEifQ","HWKREPORT-2123")</f>
        <v>HWKREPORT-2123</v>
      </c>
      <c r="C1348" s="1" t="s">
        <v>2581</v>
      </c>
      <c r="D1348" s="1" t="s">
        <v>48</v>
      </c>
      <c r="E1348" s="1" t="s">
        <v>1057</v>
      </c>
      <c r="F1348" s="4">
        <v>45078.51085648148</v>
      </c>
      <c r="G1348" s="3" t="str">
        <f t="shared" si="115"/>
        <v/>
      </c>
      <c r="H1348" s="1" t="s">
        <v>1058</v>
      </c>
      <c r="I1348" s="1" t="s">
        <v>1082</v>
      </c>
      <c r="J1348" s="1" t="s">
        <v>26</v>
      </c>
      <c r="K1348" s="1" t="s">
        <v>1105</v>
      </c>
      <c r="L1348" s="1" t="s">
        <v>26</v>
      </c>
      <c r="M1348" s="1" t="s">
        <v>27</v>
      </c>
      <c r="N1348" s="1" t="s">
        <v>26</v>
      </c>
      <c r="O1348" s="1" t="s">
        <v>26</v>
      </c>
      <c r="P1348" s="4">
        <v>45078.510879629626</v>
      </c>
    </row>
    <row r="1349" hidden="1">
      <c r="A1349" s="1" t="s">
        <v>1055</v>
      </c>
      <c r="B1349" s="3" t="str">
        <f>HYPERLINK("https://hawk-eye.atlassian.net/browse/HWKREPORT-2124?atlOrigin=eyJpIjoiYzgwYTQ0ZjEyNzQzNGJhN2JmNjEyZTM0NmRhZWZhNjIiLCJwIjoic2hlZXRzLWppcmEifQ","HWKREPORT-2124")</f>
        <v>HWKREPORT-2124</v>
      </c>
      <c r="C1349" s="1" t="s">
        <v>2582</v>
      </c>
      <c r="D1349" s="1" t="s">
        <v>48</v>
      </c>
      <c r="E1349" s="1" t="s">
        <v>1057</v>
      </c>
      <c r="F1349" s="4">
        <v>45078.51210648148</v>
      </c>
      <c r="G1349" s="3" t="str">
        <f t="shared" si="115"/>
        <v/>
      </c>
      <c r="H1349" s="1" t="s">
        <v>1058</v>
      </c>
      <c r="I1349" s="1" t="s">
        <v>1082</v>
      </c>
      <c r="J1349" s="1" t="s">
        <v>26</v>
      </c>
      <c r="K1349" s="1" t="s">
        <v>1105</v>
      </c>
      <c r="L1349" s="1" t="s">
        <v>26</v>
      </c>
      <c r="M1349" s="1" t="s">
        <v>27</v>
      </c>
      <c r="N1349" s="1" t="s">
        <v>26</v>
      </c>
      <c r="O1349" s="1" t="s">
        <v>26</v>
      </c>
      <c r="P1349" s="4">
        <v>45078.51211805556</v>
      </c>
    </row>
    <row r="1350" hidden="1">
      <c r="A1350" s="1" t="s">
        <v>1055</v>
      </c>
      <c r="B1350" s="3" t="str">
        <f>HYPERLINK("https://hawk-eye.atlassian.net/browse/HWKREPORT-2125?atlOrigin=eyJpIjoiYzgwYTQ0ZjEyNzQzNGJhN2JmNjEyZTM0NmRhZWZhNjIiLCJwIjoic2hlZXRzLWppcmEifQ","HWKREPORT-2125")</f>
        <v>HWKREPORT-2125</v>
      </c>
      <c r="C1350" s="1" t="s">
        <v>2583</v>
      </c>
      <c r="D1350" s="1" t="s">
        <v>48</v>
      </c>
      <c r="E1350" s="1" t="s">
        <v>1057</v>
      </c>
      <c r="F1350" s="4">
        <v>45078.569872685184</v>
      </c>
      <c r="G1350" s="3" t="str">
        <f t="shared" si="115"/>
        <v/>
      </c>
      <c r="H1350" s="1" t="s">
        <v>1058</v>
      </c>
      <c r="I1350" s="1" t="s">
        <v>1082</v>
      </c>
      <c r="J1350" s="1" t="s">
        <v>26</v>
      </c>
      <c r="K1350" s="1" t="s">
        <v>1148</v>
      </c>
      <c r="L1350" s="1" t="s">
        <v>26</v>
      </c>
      <c r="M1350" s="1" t="s">
        <v>27</v>
      </c>
      <c r="N1350" s="1" t="s">
        <v>26</v>
      </c>
      <c r="O1350" s="1" t="s">
        <v>26</v>
      </c>
      <c r="P1350" s="4">
        <v>45078.569872685184</v>
      </c>
    </row>
    <row r="1351" hidden="1">
      <c r="A1351" s="1" t="s">
        <v>21</v>
      </c>
      <c r="B1351" s="3" t="str">
        <f>HYPERLINK("https://hawk-eye.atlassian.net/browse/HWKREPORT-2126?atlOrigin=eyJpIjoiYzgwYTQ0ZjEyNzQzNGJhN2JmNjEyZTM0NmRhZWZhNjIiLCJwIjoic2hlZXRzLWppcmEifQ","HWKREPORT-2126")</f>
        <v>HWKREPORT-2126</v>
      </c>
      <c r="C1351" s="1" t="s">
        <v>2584</v>
      </c>
      <c r="D1351" s="1" t="s">
        <v>23</v>
      </c>
      <c r="E1351" s="1" t="s">
        <v>35</v>
      </c>
      <c r="F1351" s="4">
        <v>45078.65015046296</v>
      </c>
      <c r="G1351" s="3" t="str">
        <f>HYPERLINK("https://hawk-eye.atlassian.net/browse/GT-1147?atlOrigin=eyJpIjoiYzgwYTQ0ZjEyNzQzNGJhN2JmNjEyZTM0NmRhZWZhNjIiLCJwIjoic2hlZXRzLWppcmEifQ","GT-1147")</f>
        <v>GT-1147</v>
      </c>
      <c r="H1351" s="1" t="s">
        <v>1058</v>
      </c>
      <c r="I1351" s="1" t="s">
        <v>1082</v>
      </c>
      <c r="J1351" s="1" t="s">
        <v>26</v>
      </c>
      <c r="K1351" s="1" t="s">
        <v>1148</v>
      </c>
      <c r="L1351" s="1" t="s">
        <v>26</v>
      </c>
      <c r="M1351" s="1" t="s">
        <v>27</v>
      </c>
      <c r="N1351" s="1" t="s">
        <v>26</v>
      </c>
      <c r="O1351" s="1" t="s">
        <v>26</v>
      </c>
      <c r="P1351" s="4">
        <v>45163.592627314814</v>
      </c>
    </row>
    <row r="1352" hidden="1">
      <c r="A1352" s="1" t="s">
        <v>1055</v>
      </c>
      <c r="B1352" s="3" t="str">
        <f>HYPERLINK("https://hawk-eye.atlassian.net/browse/HWKREPORT-2127?atlOrigin=eyJpIjoiYzgwYTQ0ZjEyNzQzNGJhN2JmNjEyZTM0NmRhZWZhNjIiLCJwIjoic2hlZXRzLWppcmEifQ","HWKREPORT-2127")</f>
        <v>HWKREPORT-2127</v>
      </c>
      <c r="C1352" s="1" t="s">
        <v>2585</v>
      </c>
      <c r="D1352" s="1" t="s">
        <v>48</v>
      </c>
      <c r="E1352" s="1" t="s">
        <v>35</v>
      </c>
      <c r="F1352" s="4">
        <v>45078.75386574074</v>
      </c>
      <c r="G1352" s="3" t="str">
        <f>HYPERLINK("https://hawk-eye.atlassian.net/browse/SO-837?atlOrigin=eyJpIjoiYzgwYTQ0ZjEyNzQzNGJhN2JmNjEyZTM0NmRhZWZhNjIiLCJwIjoic2hlZXRzLWppcmEifQ","SO-837")</f>
        <v>SO-837</v>
      </c>
      <c r="H1352" s="1" t="s">
        <v>1058</v>
      </c>
      <c r="I1352" s="1" t="s">
        <v>28</v>
      </c>
      <c r="J1352" s="1" t="s">
        <v>26</v>
      </c>
      <c r="K1352" s="1" t="s">
        <v>1116</v>
      </c>
      <c r="L1352" s="1" t="s">
        <v>26</v>
      </c>
      <c r="M1352" s="1" t="s">
        <v>27</v>
      </c>
      <c r="N1352" s="1" t="s">
        <v>26</v>
      </c>
      <c r="O1352" s="1" t="s">
        <v>26</v>
      </c>
      <c r="P1352" s="4">
        <v>45110.45162037037</v>
      </c>
    </row>
    <row r="1353" hidden="1">
      <c r="A1353" s="1" t="s">
        <v>1055</v>
      </c>
      <c r="B1353" s="3" t="str">
        <f>HYPERLINK("https://hawk-eye.atlassian.net/browse/HWKREPORT-2128?atlOrigin=eyJpIjoiYzgwYTQ0ZjEyNzQzNGJhN2JmNjEyZTM0NmRhZWZhNjIiLCJwIjoic2hlZXRzLWppcmEifQ","HWKREPORT-2128")</f>
        <v>HWKREPORT-2128</v>
      </c>
      <c r="C1353" s="1" t="s">
        <v>2586</v>
      </c>
      <c r="D1353" s="1" t="s">
        <v>48</v>
      </c>
      <c r="E1353" s="1" t="s">
        <v>1057</v>
      </c>
      <c r="F1353" s="4">
        <v>45079.43114583333</v>
      </c>
      <c r="G1353" s="3" t="str">
        <f t="shared" ref="G1353:G1354" si="116">HYPERLINK("https://hawk-eye.atlassian.net/browse/?atlOrigin=eyJpIjoiYzgwYTQ0ZjEyNzQzNGJhN2JmNjEyZTM0NmRhZWZhNjIiLCJwIjoic2hlZXRzLWppcmEifQ","")</f>
        <v/>
      </c>
      <c r="H1353" s="1" t="s">
        <v>1058</v>
      </c>
      <c r="I1353" s="1" t="s">
        <v>1082</v>
      </c>
      <c r="J1353" s="1" t="s">
        <v>26</v>
      </c>
      <c r="K1353" s="1" t="s">
        <v>1105</v>
      </c>
      <c r="L1353" s="1" t="s">
        <v>26</v>
      </c>
      <c r="M1353" s="1" t="s">
        <v>27</v>
      </c>
      <c r="N1353" s="1" t="s">
        <v>26</v>
      </c>
      <c r="O1353" s="1" t="s">
        <v>26</v>
      </c>
      <c r="P1353" s="4">
        <v>45079.43115740741</v>
      </c>
    </row>
    <row r="1354" hidden="1">
      <c r="A1354" s="1" t="s">
        <v>21</v>
      </c>
      <c r="B1354" s="3" t="str">
        <f>HYPERLINK("https://hawk-eye.atlassian.net/browse/HWKREPORT-2129?atlOrigin=eyJpIjoiYzgwYTQ0ZjEyNzQzNGJhN2JmNjEyZTM0NmRhZWZhNjIiLCJwIjoic2hlZXRzLWppcmEifQ","HWKREPORT-2129")</f>
        <v>HWKREPORT-2129</v>
      </c>
      <c r="C1354" s="1" t="s">
        <v>2587</v>
      </c>
      <c r="D1354" s="1" t="s">
        <v>34</v>
      </c>
      <c r="E1354" s="1" t="s">
        <v>35</v>
      </c>
      <c r="F1354" s="4">
        <v>45079.43974537037</v>
      </c>
      <c r="G1354" s="3" t="str">
        <f t="shared" si="116"/>
        <v/>
      </c>
      <c r="H1354" s="1" t="s">
        <v>1058</v>
      </c>
      <c r="I1354" s="1" t="s">
        <v>1082</v>
      </c>
      <c r="J1354" s="1" t="s">
        <v>26</v>
      </c>
      <c r="K1354" s="1" t="s">
        <v>1105</v>
      </c>
      <c r="L1354" s="1" t="s">
        <v>26</v>
      </c>
      <c r="M1354" s="1" t="s">
        <v>27</v>
      </c>
      <c r="N1354" s="1" t="s">
        <v>26</v>
      </c>
      <c r="O1354" s="1" t="s">
        <v>26</v>
      </c>
      <c r="P1354" s="4">
        <v>45099.6784375</v>
      </c>
    </row>
    <row r="1355" hidden="1">
      <c r="A1355" s="1" t="s">
        <v>21</v>
      </c>
      <c r="B1355" s="3" t="str">
        <f>HYPERLINK("https://hawk-eye.atlassian.net/browse/HWKREPORT-2130?atlOrigin=eyJpIjoiYzgwYTQ0ZjEyNzQzNGJhN2JmNjEyZTM0NmRhZWZhNjIiLCJwIjoic2hlZXRzLWppcmEifQ","HWKREPORT-2130")</f>
        <v>HWKREPORT-2130</v>
      </c>
      <c r="C1355" s="1" t="s">
        <v>2588</v>
      </c>
      <c r="D1355" s="1" t="s">
        <v>34</v>
      </c>
      <c r="E1355" s="1" t="s">
        <v>35</v>
      </c>
      <c r="F1355" s="4">
        <v>45079.61283564815</v>
      </c>
      <c r="G1355" s="3" t="str">
        <f>HYPERLINK("https://hawk-eye.atlassian.net/browse/RTT-7104?atlOrigin=eyJpIjoiYzgwYTQ0ZjEyNzQzNGJhN2JmNjEyZTM0NmRhZWZhNjIiLCJwIjoic2hlZXRzLWppcmEifQ","RTT-7104")</f>
        <v>RTT-7104</v>
      </c>
      <c r="H1355" s="1" t="s">
        <v>1058</v>
      </c>
      <c r="I1355" s="1" t="s">
        <v>1126</v>
      </c>
      <c r="J1355" s="1" t="s">
        <v>26</v>
      </c>
      <c r="K1355" s="1" t="s">
        <v>1750</v>
      </c>
      <c r="L1355" s="1" t="s">
        <v>26</v>
      </c>
      <c r="M1355" s="1" t="s">
        <v>27</v>
      </c>
      <c r="N1355" s="1" t="s">
        <v>26</v>
      </c>
      <c r="O1355" s="1" t="s">
        <v>26</v>
      </c>
      <c r="P1355" s="4">
        <v>45210.448217592595</v>
      </c>
    </row>
    <row r="1356" hidden="1">
      <c r="A1356" s="1" t="s">
        <v>21</v>
      </c>
      <c r="B1356" s="3" t="str">
        <f>HYPERLINK("https://hawk-eye.atlassian.net/browse/HWKREPORT-2131?atlOrigin=eyJpIjoiYzgwYTQ0ZjEyNzQzNGJhN2JmNjEyZTM0NmRhZWZhNjIiLCJwIjoic2hlZXRzLWppcmEifQ","HWKREPORT-2131")</f>
        <v>HWKREPORT-2131</v>
      </c>
      <c r="C1356" s="1" t="s">
        <v>2589</v>
      </c>
      <c r="D1356" s="1" t="s">
        <v>40</v>
      </c>
      <c r="E1356" s="1" t="s">
        <v>35</v>
      </c>
      <c r="F1356" s="4">
        <v>45079.67699074074</v>
      </c>
      <c r="G1356" s="3" t="str">
        <f>HYPERLINK("https://hawk-eye.atlassian.net/browse/?atlOrigin=eyJpIjoiYzgwYTQ0ZjEyNzQzNGJhN2JmNjEyZTM0NmRhZWZhNjIiLCJwIjoic2hlZXRzLWppcmEifQ","")</f>
        <v/>
      </c>
      <c r="H1356" s="1" t="s">
        <v>1058</v>
      </c>
      <c r="I1356" s="1" t="s">
        <v>1082</v>
      </c>
      <c r="J1356" s="1" t="s">
        <v>26</v>
      </c>
      <c r="K1356" s="1" t="s">
        <v>1148</v>
      </c>
      <c r="L1356" s="1" t="s">
        <v>26</v>
      </c>
      <c r="M1356" s="1" t="s">
        <v>27</v>
      </c>
      <c r="N1356" s="1" t="s">
        <v>26</v>
      </c>
      <c r="O1356" s="1" t="s">
        <v>26</v>
      </c>
      <c r="P1356" s="4">
        <v>45099.67787037037</v>
      </c>
    </row>
    <row r="1357">
      <c r="A1357" s="1" t="s">
        <v>21</v>
      </c>
      <c r="B1357" s="3" t="str">
        <f>HYPERLINK("https://hawk-eye.atlassian.net/browse/HWKREPORT-2132?atlOrigin=eyJpIjoiYzgwYTQ0ZjEyNzQzNGJhN2JmNjEyZTM0NmRhZWZhNjIiLCJwIjoic2hlZXRzLWppcmEifQ","HWKREPORT-2132")</f>
        <v>HWKREPORT-2132</v>
      </c>
      <c r="C1357" s="1" t="s">
        <v>2590</v>
      </c>
      <c r="D1357" s="1" t="s">
        <v>23</v>
      </c>
      <c r="E1357" s="1" t="s">
        <v>35</v>
      </c>
      <c r="F1357" s="4">
        <v>45079.70449074074</v>
      </c>
      <c r="G1357" s="3" t="str">
        <f>HYPERLINK("https://hawk-eye.atlassian.net/browse/RTT-6461?atlOrigin=eyJpIjoiYzgwYTQ0ZjEyNzQzNGJhN2JmNjEyZTM0NmRhZWZhNjIiLCJwIjoic2hlZXRzLWppcmEifQ","RTT-6461")</f>
        <v>RTT-6461</v>
      </c>
      <c r="H1357" s="1" t="s">
        <v>1058</v>
      </c>
      <c r="I1357" s="1" t="s">
        <v>28</v>
      </c>
      <c r="J1357" s="1" t="s">
        <v>26</v>
      </c>
      <c r="K1357" s="1" t="s">
        <v>1072</v>
      </c>
      <c r="L1357" s="1" t="s">
        <v>26</v>
      </c>
      <c r="M1357" s="1" t="s">
        <v>27</v>
      </c>
      <c r="N1357" s="1" t="s">
        <v>26</v>
      </c>
      <c r="O1357" s="1" t="s">
        <v>26</v>
      </c>
      <c r="P1357" s="4">
        <v>45524.73038194444</v>
      </c>
    </row>
    <row r="1358" hidden="1">
      <c r="A1358" s="1" t="s">
        <v>1055</v>
      </c>
      <c r="B1358" s="3" t="str">
        <f>HYPERLINK("https://hawk-eye.atlassian.net/browse/HWKREPORT-2133?atlOrigin=eyJpIjoiYzgwYTQ0ZjEyNzQzNGJhN2JmNjEyZTM0NmRhZWZhNjIiLCJwIjoic2hlZXRzLWppcmEifQ","HWKREPORT-2133")</f>
        <v>HWKREPORT-2133</v>
      </c>
      <c r="C1358" s="1" t="s">
        <v>2591</v>
      </c>
      <c r="D1358" s="1" t="s">
        <v>48</v>
      </c>
      <c r="E1358" s="1" t="s">
        <v>1057</v>
      </c>
      <c r="F1358" s="4">
        <v>45082.66471064815</v>
      </c>
      <c r="G1358" s="3" t="str">
        <f t="shared" ref="G1358:G1359" si="117">HYPERLINK("https://hawk-eye.atlassian.net/browse/?atlOrigin=eyJpIjoiYzgwYTQ0ZjEyNzQzNGJhN2JmNjEyZTM0NmRhZWZhNjIiLCJwIjoic2hlZXRzLWppcmEifQ","")</f>
        <v/>
      </c>
      <c r="H1358" s="1" t="s">
        <v>1058</v>
      </c>
      <c r="I1358" s="1" t="s">
        <v>1071</v>
      </c>
      <c r="J1358" s="1" t="s">
        <v>26</v>
      </c>
      <c r="K1358" s="1" t="s">
        <v>1130</v>
      </c>
      <c r="L1358" s="1" t="s">
        <v>26</v>
      </c>
      <c r="M1358" s="1" t="s">
        <v>27</v>
      </c>
      <c r="N1358" s="1" t="s">
        <v>26</v>
      </c>
      <c r="O1358" s="1" t="s">
        <v>26</v>
      </c>
      <c r="P1358" s="4">
        <v>45082.664722222224</v>
      </c>
    </row>
    <row r="1359" hidden="1">
      <c r="A1359" s="1" t="s">
        <v>1055</v>
      </c>
      <c r="B1359" s="3" t="str">
        <f>HYPERLINK("https://hawk-eye.atlassian.net/browse/HWKREPORT-2134?atlOrigin=eyJpIjoiYzgwYTQ0ZjEyNzQzNGJhN2JmNjEyZTM0NmRhZWZhNjIiLCJwIjoic2hlZXRzLWppcmEifQ","HWKREPORT-2134")</f>
        <v>HWKREPORT-2134</v>
      </c>
      <c r="C1359" s="1" t="s">
        <v>2592</v>
      </c>
      <c r="D1359" s="1" t="s">
        <v>48</v>
      </c>
      <c r="E1359" s="1" t="s">
        <v>1057</v>
      </c>
      <c r="F1359" s="4">
        <v>45082.67900462963</v>
      </c>
      <c r="G1359" s="3" t="str">
        <f t="shared" si="117"/>
        <v/>
      </c>
      <c r="H1359" s="1" t="s">
        <v>1058</v>
      </c>
      <c r="I1359" s="1" t="s">
        <v>1071</v>
      </c>
      <c r="J1359" s="1" t="s">
        <v>26</v>
      </c>
      <c r="K1359" s="1" t="s">
        <v>1099</v>
      </c>
      <c r="L1359" s="1" t="s">
        <v>26</v>
      </c>
      <c r="M1359" s="1" t="s">
        <v>27</v>
      </c>
      <c r="N1359" s="1" t="s">
        <v>26</v>
      </c>
      <c r="O1359" s="1" t="s">
        <v>26</v>
      </c>
      <c r="P1359" s="4">
        <v>45082.67901620371</v>
      </c>
    </row>
    <row r="1360">
      <c r="A1360" s="1" t="s">
        <v>21</v>
      </c>
      <c r="B1360" s="3" t="str">
        <f>HYPERLINK("https://hawk-eye.atlassian.net/browse/HWKREPORT-2135?atlOrigin=eyJpIjoiYzgwYTQ0ZjEyNzQzNGJhN2JmNjEyZTM0NmRhZWZhNjIiLCJwIjoic2hlZXRzLWppcmEifQ","HWKREPORT-2135")</f>
        <v>HWKREPORT-2135</v>
      </c>
      <c r="C1360" s="1" t="s">
        <v>2593</v>
      </c>
      <c r="D1360" s="1" t="s">
        <v>34</v>
      </c>
      <c r="E1360" s="1" t="s">
        <v>35</v>
      </c>
      <c r="F1360" s="4">
        <v>45082.783483796295</v>
      </c>
      <c r="G1360" s="3" t="str">
        <f>HYPERLINK("https://hawk-eye.atlassian.net/browse/AL-832?atlOrigin=eyJpIjoiYzgwYTQ0ZjEyNzQzNGJhN2JmNjEyZTM0NmRhZWZhNjIiLCJwIjoic2hlZXRzLWppcmEifQ","AL-832")</f>
        <v>AL-832</v>
      </c>
      <c r="H1360" s="1" t="s">
        <v>1058</v>
      </c>
      <c r="I1360" s="1" t="s">
        <v>28</v>
      </c>
      <c r="J1360" s="1" t="s">
        <v>26</v>
      </c>
      <c r="K1360" s="1" t="s">
        <v>1717</v>
      </c>
      <c r="L1360" s="1" t="s">
        <v>26</v>
      </c>
      <c r="M1360" s="1" t="s">
        <v>27</v>
      </c>
      <c r="N1360" s="1" t="s">
        <v>26</v>
      </c>
      <c r="O1360" s="1" t="s">
        <v>26</v>
      </c>
      <c r="P1360" s="4">
        <v>45524.499444444446</v>
      </c>
    </row>
    <row r="1361">
      <c r="A1361" s="1" t="s">
        <v>21</v>
      </c>
      <c r="B1361" s="3" t="str">
        <f>HYPERLINK("https://hawk-eye.atlassian.net/browse/HWKREPORT-2136?atlOrigin=eyJpIjoiYzgwYTQ0ZjEyNzQzNGJhN2JmNjEyZTM0NmRhZWZhNjIiLCJwIjoic2hlZXRzLWppcmEifQ","HWKREPORT-2136")</f>
        <v>HWKREPORT-2136</v>
      </c>
      <c r="C1361" s="1" t="s">
        <v>2594</v>
      </c>
      <c r="D1361" s="1" t="s">
        <v>23</v>
      </c>
      <c r="E1361" s="1" t="s">
        <v>35</v>
      </c>
      <c r="F1361" s="4">
        <v>45083.611597222225</v>
      </c>
      <c r="G1361" s="3" t="str">
        <f>HYPERLINK("https://hawk-eye.atlassian.net/browse/RTT-6490?atlOrigin=eyJpIjoiYzgwYTQ0ZjEyNzQzNGJhN2JmNjEyZTM0NmRhZWZhNjIiLCJwIjoic2hlZXRzLWppcmEifQ","RTT-6490")</f>
        <v>RTT-6490</v>
      </c>
      <c r="H1361" s="1" t="s">
        <v>1058</v>
      </c>
      <c r="I1361" s="1" t="s">
        <v>28</v>
      </c>
      <c r="J1361" s="1" t="s">
        <v>26</v>
      </c>
      <c r="K1361" s="1" t="s">
        <v>1072</v>
      </c>
      <c r="L1361" s="1" t="s">
        <v>26</v>
      </c>
      <c r="M1361" s="1" t="s">
        <v>27</v>
      </c>
      <c r="N1361" s="1" t="s">
        <v>26</v>
      </c>
      <c r="O1361" s="1" t="s">
        <v>26</v>
      </c>
      <c r="P1361" s="4">
        <v>45524.73032407407</v>
      </c>
    </row>
    <row r="1362">
      <c r="A1362" s="1" t="s">
        <v>21</v>
      </c>
      <c r="B1362" s="3" t="str">
        <f>HYPERLINK("https://hawk-eye.atlassian.net/browse/HWKREPORT-2137?atlOrigin=eyJpIjoiYzgwYTQ0ZjEyNzQzNGJhN2JmNjEyZTM0NmRhZWZhNjIiLCJwIjoic2hlZXRzLWppcmEifQ","HWKREPORT-2137")</f>
        <v>HWKREPORT-2137</v>
      </c>
      <c r="C1362" s="1" t="s">
        <v>2595</v>
      </c>
      <c r="D1362" s="1" t="s">
        <v>83</v>
      </c>
      <c r="E1362" s="1" t="s">
        <v>35</v>
      </c>
      <c r="F1362" s="4">
        <v>45083.72460648148</v>
      </c>
      <c r="G1362" s="3" t="str">
        <f>HYPERLINK("https://hawk-eye.atlassian.net/browse/RTT-6494?atlOrigin=eyJpIjoiYzgwYTQ0ZjEyNzQzNGJhN2JmNjEyZTM0NmRhZWZhNjIiLCJwIjoic2hlZXRzLWppcmEifQ","RTT-6494")</f>
        <v>RTT-6494</v>
      </c>
      <c r="H1362" s="1" t="s">
        <v>1058</v>
      </c>
      <c r="I1362" s="1" t="s">
        <v>28</v>
      </c>
      <c r="J1362" s="1" t="s">
        <v>26</v>
      </c>
      <c r="K1362" s="1" t="s">
        <v>1072</v>
      </c>
      <c r="L1362" s="1" t="s">
        <v>26</v>
      </c>
      <c r="M1362" s="1" t="s">
        <v>27</v>
      </c>
      <c r="N1362" s="1" t="s">
        <v>26</v>
      </c>
      <c r="O1362" s="1" t="s">
        <v>26</v>
      </c>
      <c r="P1362" s="4">
        <v>45125.48347222222</v>
      </c>
    </row>
    <row r="1363" hidden="1">
      <c r="A1363" s="1" t="s">
        <v>1055</v>
      </c>
      <c r="B1363" s="3" t="str">
        <f>HYPERLINK("https://hawk-eye.atlassian.net/browse/HWKREPORT-2138?atlOrigin=eyJpIjoiYzgwYTQ0ZjEyNzQzNGJhN2JmNjEyZTM0NmRhZWZhNjIiLCJwIjoic2hlZXRzLWppcmEifQ","HWKREPORT-2138")</f>
        <v>HWKREPORT-2138</v>
      </c>
      <c r="C1363" s="1" t="s">
        <v>2596</v>
      </c>
      <c r="D1363" s="1" t="s">
        <v>48</v>
      </c>
      <c r="E1363" s="1" t="s">
        <v>35</v>
      </c>
      <c r="F1363" s="4">
        <v>45083.749189814815</v>
      </c>
      <c r="G1363" s="3" t="str">
        <f>HYPERLINK("https://hawk-eye.atlassian.net/issues/?atlOrigin=eyJpIjoiYzgwYTQ0ZjEyNzQzNGJhN2JmNjEyZTM0NmRhZWZhNjIiLCJwIjoic2hlZXRzLWppcmEifQ&amp;jql=key+in+%28BSK-471%2CBSK-473%29","BSK-471;BSK-473")</f>
        <v>BSK-471;BSK-473</v>
      </c>
      <c r="H1363" s="1" t="s">
        <v>1058</v>
      </c>
      <c r="I1363" s="1" t="s">
        <v>1071</v>
      </c>
      <c r="J1363" s="1" t="s">
        <v>26</v>
      </c>
      <c r="K1363" s="1" t="s">
        <v>1813</v>
      </c>
      <c r="L1363" s="1" t="s">
        <v>26</v>
      </c>
      <c r="M1363" s="1" t="s">
        <v>27</v>
      </c>
      <c r="N1363" s="1" t="s">
        <v>26</v>
      </c>
      <c r="O1363" s="1" t="s">
        <v>26</v>
      </c>
      <c r="P1363" s="4">
        <v>45631.72390046297</v>
      </c>
    </row>
    <row r="1364" hidden="1">
      <c r="A1364" s="1" t="s">
        <v>21</v>
      </c>
      <c r="B1364" s="3" t="str">
        <f>HYPERLINK("https://hawk-eye.atlassian.net/browse/HWKREPORT-2139?atlOrigin=eyJpIjoiYzgwYTQ0ZjEyNzQzNGJhN2JmNjEyZTM0NmRhZWZhNjIiLCJwIjoic2hlZXRzLWppcmEifQ","HWKREPORT-2139")</f>
        <v>HWKREPORT-2139</v>
      </c>
      <c r="C1364" s="1" t="s">
        <v>2597</v>
      </c>
      <c r="D1364" s="1" t="s">
        <v>34</v>
      </c>
      <c r="E1364" s="1" t="s">
        <v>1057</v>
      </c>
      <c r="F1364" s="4">
        <v>45083.751655092594</v>
      </c>
      <c r="G1364" s="3" t="str">
        <f t="shared" ref="G1364:G1365" si="118">HYPERLINK("https://hawk-eye.atlassian.net/browse/?atlOrigin=eyJpIjoiYzgwYTQ0ZjEyNzQzNGJhN2JmNjEyZTM0NmRhZWZhNjIiLCJwIjoic2hlZXRzLWppcmEifQ","")</f>
        <v/>
      </c>
      <c r="H1364" s="1" t="s">
        <v>1058</v>
      </c>
      <c r="I1364" s="1" t="s">
        <v>1071</v>
      </c>
      <c r="J1364" s="1" t="s">
        <v>26</v>
      </c>
      <c r="K1364" s="1" t="s">
        <v>1813</v>
      </c>
      <c r="L1364" s="1" t="s">
        <v>26</v>
      </c>
      <c r="M1364" s="1" t="s">
        <v>27</v>
      </c>
      <c r="N1364" s="1" t="s">
        <v>26</v>
      </c>
      <c r="O1364" s="1" t="s">
        <v>26</v>
      </c>
      <c r="P1364" s="4">
        <v>45083.751655092594</v>
      </c>
    </row>
    <row r="1365" hidden="1">
      <c r="A1365" s="1" t="s">
        <v>1055</v>
      </c>
      <c r="B1365" s="3" t="str">
        <f>HYPERLINK("https://hawk-eye.atlassian.net/browse/HWKREPORT-2140?atlOrigin=eyJpIjoiYzgwYTQ0ZjEyNzQzNGJhN2JmNjEyZTM0NmRhZWZhNjIiLCJwIjoic2hlZXRzLWppcmEifQ","HWKREPORT-2140")</f>
        <v>HWKREPORT-2140</v>
      </c>
      <c r="C1365" s="1" t="s">
        <v>2598</v>
      </c>
      <c r="D1365" s="1" t="s">
        <v>48</v>
      </c>
      <c r="E1365" s="1" t="s">
        <v>1057</v>
      </c>
      <c r="F1365" s="4">
        <v>45083.756516203706</v>
      </c>
      <c r="G1365" s="3" t="str">
        <f t="shared" si="118"/>
        <v/>
      </c>
      <c r="H1365" s="1" t="s">
        <v>1058</v>
      </c>
      <c r="I1365" s="1" t="s">
        <v>1071</v>
      </c>
      <c r="J1365" s="1" t="s">
        <v>26</v>
      </c>
      <c r="K1365" s="1" t="s">
        <v>1072</v>
      </c>
      <c r="L1365" s="1" t="s">
        <v>26</v>
      </c>
      <c r="M1365" s="1" t="s">
        <v>27</v>
      </c>
      <c r="N1365" s="1" t="s">
        <v>26</v>
      </c>
      <c r="O1365" s="1" t="s">
        <v>26</v>
      </c>
      <c r="P1365" s="4">
        <v>45083.756527777776</v>
      </c>
    </row>
    <row r="1366">
      <c r="A1366" s="1" t="s">
        <v>21</v>
      </c>
      <c r="B1366" s="3" t="str">
        <f>HYPERLINK("https://hawk-eye.atlassian.net/browse/HWKREPORT-2141?atlOrigin=eyJpIjoiYzgwYTQ0ZjEyNzQzNGJhN2JmNjEyZTM0NmRhZWZhNjIiLCJwIjoic2hlZXRzLWppcmEifQ","HWKREPORT-2141")</f>
        <v>HWKREPORT-2141</v>
      </c>
      <c r="C1366" s="1" t="s">
        <v>2599</v>
      </c>
      <c r="D1366" s="1" t="s">
        <v>23</v>
      </c>
      <c r="E1366" s="1" t="s">
        <v>35</v>
      </c>
      <c r="F1366" s="4">
        <v>45083.799166666664</v>
      </c>
      <c r="G1366" s="3" t="str">
        <f>HYPERLINK("https://hawk-eye.atlassian.net/browse/RTT-6504?atlOrigin=eyJpIjoiYzgwYTQ0ZjEyNzQzNGJhN2JmNjEyZTM0NmRhZWZhNjIiLCJwIjoic2hlZXRzLWppcmEifQ","RTT-6504")</f>
        <v>RTT-6504</v>
      </c>
      <c r="H1366" s="1" t="s">
        <v>1058</v>
      </c>
      <c r="I1366" s="1" t="s">
        <v>28</v>
      </c>
      <c r="J1366" s="1" t="s">
        <v>26</v>
      </c>
      <c r="K1366" s="1" t="s">
        <v>1072</v>
      </c>
      <c r="L1366" s="1" t="s">
        <v>26</v>
      </c>
      <c r="M1366" s="1" t="s">
        <v>27</v>
      </c>
      <c r="N1366" s="1" t="s">
        <v>26</v>
      </c>
      <c r="O1366" s="1" t="s">
        <v>26</v>
      </c>
      <c r="P1366" s="4">
        <v>45524.73025462963</v>
      </c>
    </row>
    <row r="1367" hidden="1">
      <c r="A1367" s="1" t="s">
        <v>21</v>
      </c>
      <c r="B1367" s="3" t="str">
        <f>HYPERLINK("https://hawk-eye.atlassian.net/browse/HWKREPORT-2142?atlOrigin=eyJpIjoiYzgwYTQ0ZjEyNzQzNGJhN2JmNjEyZTM0NmRhZWZhNjIiLCJwIjoic2hlZXRzLWppcmEifQ","HWKREPORT-2142")</f>
        <v>HWKREPORT-2142</v>
      </c>
      <c r="C1367" s="1" t="s">
        <v>2600</v>
      </c>
      <c r="D1367" s="1" t="s">
        <v>83</v>
      </c>
      <c r="E1367" s="1" t="s">
        <v>35</v>
      </c>
      <c r="F1367" s="4">
        <v>45085.37793981482</v>
      </c>
      <c r="G1367" s="3" t="str">
        <f>HYPERLINK("https://hawk-eye.atlassian.net/browse/RTT-6519?atlOrigin=eyJpIjoiYzgwYTQ0ZjEyNzQzNGJhN2JmNjEyZTM0NmRhZWZhNjIiLCJwIjoic2hlZXRzLWppcmEifQ","RTT-6519")</f>
        <v>RTT-6519</v>
      </c>
      <c r="H1367" s="1" t="s">
        <v>1058</v>
      </c>
      <c r="I1367" s="1" t="s">
        <v>1924</v>
      </c>
      <c r="J1367" s="1" t="s">
        <v>26</v>
      </c>
      <c r="K1367" s="1" t="s">
        <v>1925</v>
      </c>
      <c r="L1367" s="1" t="s">
        <v>26</v>
      </c>
      <c r="M1367" s="1" t="s">
        <v>27</v>
      </c>
      <c r="N1367" s="1" t="s">
        <v>26</v>
      </c>
      <c r="O1367" s="1" t="s">
        <v>26</v>
      </c>
      <c r="P1367" s="4">
        <v>45391.40144675926</v>
      </c>
    </row>
    <row r="1368" hidden="1">
      <c r="A1368" s="1" t="s">
        <v>21</v>
      </c>
      <c r="B1368" s="3" t="str">
        <f>HYPERLINK("https://hawk-eye.atlassian.net/browse/HWKREPORT-2143?atlOrigin=eyJpIjoiYzgwYTQ0ZjEyNzQzNGJhN2JmNjEyZTM0NmRhZWZhNjIiLCJwIjoic2hlZXRzLWppcmEifQ","HWKREPORT-2143")</f>
        <v>HWKREPORT-2143</v>
      </c>
      <c r="C1368" s="1" t="s">
        <v>2601</v>
      </c>
      <c r="D1368" s="1" t="s">
        <v>83</v>
      </c>
      <c r="E1368" s="1" t="s">
        <v>35</v>
      </c>
      <c r="F1368" s="4">
        <v>45085.39597222222</v>
      </c>
      <c r="G1368" s="3" t="str">
        <f>HYPERLINK("https://hawk-eye.atlassian.net/browse/RTT-6612?atlOrigin=eyJpIjoiYzgwYTQ0ZjEyNzQzNGJhN2JmNjEyZTM0NmRhZWZhNjIiLCJwIjoic2hlZXRzLWppcmEifQ","RTT-6612")</f>
        <v>RTT-6612</v>
      </c>
      <c r="H1368" s="1" t="s">
        <v>1058</v>
      </c>
      <c r="I1368" s="1" t="s">
        <v>1924</v>
      </c>
      <c r="J1368" s="1" t="s">
        <v>26</v>
      </c>
      <c r="K1368" s="1" t="s">
        <v>1247</v>
      </c>
      <c r="L1368" s="1" t="s">
        <v>26</v>
      </c>
      <c r="M1368" s="1" t="s">
        <v>27</v>
      </c>
      <c r="N1368" s="1" t="s">
        <v>26</v>
      </c>
      <c r="O1368" s="1" t="s">
        <v>26</v>
      </c>
      <c r="P1368" s="4">
        <v>45208.41135416667</v>
      </c>
    </row>
    <row r="1369" hidden="1">
      <c r="A1369" s="1" t="s">
        <v>21</v>
      </c>
      <c r="B1369" s="3" t="str">
        <f>HYPERLINK("https://hawk-eye.atlassian.net/browse/HWKREPORT-2144?atlOrigin=eyJpIjoiYzgwYTQ0ZjEyNzQzNGJhN2JmNjEyZTM0NmRhZWZhNjIiLCJwIjoic2hlZXRzLWppcmEifQ","HWKREPORT-2144")</f>
        <v>HWKREPORT-2144</v>
      </c>
      <c r="C1369" s="1" t="s">
        <v>2602</v>
      </c>
      <c r="D1369" s="1" t="s">
        <v>23</v>
      </c>
      <c r="E1369" s="1" t="s">
        <v>35</v>
      </c>
      <c r="F1369" s="4">
        <v>45085.39673611111</v>
      </c>
      <c r="G1369" s="3" t="str">
        <f>HYPERLINK("https://hawk-eye.atlassian.net/browse/CORE-228?atlOrigin=eyJpIjoiYzgwYTQ0ZjEyNzQzNGJhN2JmNjEyZTM0NmRhZWZhNjIiLCJwIjoic2hlZXRzLWppcmEifQ","CORE-228")</f>
        <v>CORE-228</v>
      </c>
      <c r="H1369" s="1" t="s">
        <v>1058</v>
      </c>
      <c r="I1369" s="1" t="s">
        <v>1924</v>
      </c>
      <c r="J1369" s="1" t="s">
        <v>26</v>
      </c>
      <c r="K1369" s="1" t="s">
        <v>2603</v>
      </c>
      <c r="L1369" s="1" t="s">
        <v>26</v>
      </c>
      <c r="M1369" s="1" t="s">
        <v>27</v>
      </c>
      <c r="N1369" s="1" t="s">
        <v>26</v>
      </c>
      <c r="O1369" s="1" t="s">
        <v>26</v>
      </c>
      <c r="P1369" s="4">
        <v>45280.644594907404</v>
      </c>
    </row>
    <row r="1370" hidden="1">
      <c r="A1370" s="1" t="s">
        <v>21</v>
      </c>
      <c r="B1370" s="3" t="str">
        <f>HYPERLINK("https://hawk-eye.atlassian.net/browse/HWKREPORT-2145?atlOrigin=eyJpIjoiYzgwYTQ0ZjEyNzQzNGJhN2JmNjEyZTM0NmRhZWZhNjIiLCJwIjoic2hlZXRzLWppcmEifQ","HWKREPORT-2145")</f>
        <v>HWKREPORT-2145</v>
      </c>
      <c r="C1370" s="1" t="s">
        <v>2604</v>
      </c>
      <c r="D1370" s="1" t="s">
        <v>83</v>
      </c>
      <c r="E1370" s="1" t="s">
        <v>1207</v>
      </c>
      <c r="F1370" s="4">
        <v>45086.655</v>
      </c>
      <c r="G1370" s="3" t="str">
        <f>HYPERLINK("https://hawk-eye.atlassian.net/browse/RTT-6524?atlOrigin=eyJpIjoiYzgwYTQ0ZjEyNzQzNGJhN2JmNjEyZTM0NmRhZWZhNjIiLCJwIjoic2hlZXRzLWppcmEifQ","RTT-6524")</f>
        <v>RTT-6524</v>
      </c>
      <c r="H1370" s="1" t="s">
        <v>1058</v>
      </c>
      <c r="I1370" s="1" t="s">
        <v>1071</v>
      </c>
      <c r="J1370" s="1" t="s">
        <v>26</v>
      </c>
      <c r="K1370" s="1" t="s">
        <v>1099</v>
      </c>
      <c r="L1370" s="1" t="s">
        <v>26</v>
      </c>
      <c r="M1370" s="1" t="s">
        <v>27</v>
      </c>
      <c r="N1370" s="1" t="s">
        <v>26</v>
      </c>
      <c r="O1370" s="1" t="s">
        <v>26</v>
      </c>
      <c r="P1370" s="4">
        <v>45110.62836805556</v>
      </c>
    </row>
    <row r="1371">
      <c r="A1371" s="1" t="s">
        <v>21</v>
      </c>
      <c r="B1371" s="3" t="str">
        <f>HYPERLINK("https://hawk-eye.atlassian.net/browse/HWKREPORT-2146?atlOrigin=eyJpIjoiYzgwYTQ0ZjEyNzQzNGJhN2JmNjEyZTM0NmRhZWZhNjIiLCJwIjoic2hlZXRzLWppcmEifQ","HWKREPORT-2146")</f>
        <v>HWKREPORT-2146</v>
      </c>
      <c r="C1371" s="1" t="s">
        <v>2595</v>
      </c>
      <c r="D1371" s="1" t="s">
        <v>83</v>
      </c>
      <c r="E1371" s="1" t="s">
        <v>35</v>
      </c>
      <c r="F1371" s="4">
        <v>45086.89902777778</v>
      </c>
      <c r="G1371" s="3" t="str">
        <f>HYPERLINK("https://hawk-eye.atlassian.net/browse/RTT-6527?atlOrigin=eyJpIjoiYzgwYTQ0ZjEyNzQzNGJhN2JmNjEyZTM0NmRhZWZhNjIiLCJwIjoic2hlZXRzLWppcmEifQ","RTT-6527")</f>
        <v>RTT-6527</v>
      </c>
      <c r="H1371" s="1" t="s">
        <v>1058</v>
      </c>
      <c r="I1371" s="1" t="s">
        <v>28</v>
      </c>
      <c r="J1371" s="1" t="s">
        <v>26</v>
      </c>
      <c r="K1371" s="1" t="s">
        <v>1072</v>
      </c>
      <c r="L1371" s="1" t="s">
        <v>26</v>
      </c>
      <c r="M1371" s="1" t="s">
        <v>27</v>
      </c>
      <c r="N1371" s="1" t="s">
        <v>26</v>
      </c>
      <c r="O1371" s="1" t="s">
        <v>26</v>
      </c>
      <c r="P1371" s="4">
        <v>45210.576006944444</v>
      </c>
    </row>
    <row r="1372" hidden="1">
      <c r="A1372" s="1" t="s">
        <v>1055</v>
      </c>
      <c r="B1372" s="3" t="str">
        <f>HYPERLINK("https://hawk-eye.atlassian.net/browse/HWKREPORT-2147?atlOrigin=eyJpIjoiYzgwYTQ0ZjEyNzQzNGJhN2JmNjEyZTM0NmRhZWZhNjIiLCJwIjoic2hlZXRzLWppcmEifQ","HWKREPORT-2147")</f>
        <v>HWKREPORT-2147</v>
      </c>
      <c r="C1372" s="1" t="s">
        <v>2605</v>
      </c>
      <c r="D1372" s="1" t="s">
        <v>48</v>
      </c>
      <c r="E1372" s="1" t="s">
        <v>1207</v>
      </c>
      <c r="F1372" s="4">
        <v>45089.483194444445</v>
      </c>
      <c r="G1372" s="3" t="str">
        <f>HYPERLINK("https://hawk-eye.atlassian.net/browse/RTT-6601?atlOrigin=eyJpIjoiYzgwYTQ0ZjEyNzQzNGJhN2JmNjEyZTM0NmRhZWZhNjIiLCJwIjoic2hlZXRzLWppcmEifQ","RTT-6601")</f>
        <v>RTT-6601</v>
      </c>
      <c r="H1372" s="1" t="s">
        <v>1058</v>
      </c>
      <c r="I1372" s="1" t="s">
        <v>1085</v>
      </c>
      <c r="J1372" s="1" t="s">
        <v>26</v>
      </c>
      <c r="K1372" s="1" t="s">
        <v>1362</v>
      </c>
      <c r="L1372" s="1" t="s">
        <v>26</v>
      </c>
      <c r="M1372" s="1" t="s">
        <v>27</v>
      </c>
      <c r="N1372" s="1" t="s">
        <v>26</v>
      </c>
      <c r="O1372" s="1" t="s">
        <v>26</v>
      </c>
      <c r="P1372" s="4">
        <v>45135.646319444444</v>
      </c>
    </row>
    <row r="1373" hidden="1">
      <c r="A1373" s="1" t="s">
        <v>1055</v>
      </c>
      <c r="B1373" s="3" t="str">
        <f>HYPERLINK("https://hawk-eye.atlassian.net/browse/HWKREPORT-2148?atlOrigin=eyJpIjoiYzgwYTQ0ZjEyNzQzNGJhN2JmNjEyZTM0NmRhZWZhNjIiLCJwIjoic2hlZXRzLWppcmEifQ","HWKREPORT-2148")</f>
        <v>HWKREPORT-2148</v>
      </c>
      <c r="C1373" s="1" t="s">
        <v>2606</v>
      </c>
      <c r="D1373" s="1" t="s">
        <v>48</v>
      </c>
      <c r="E1373" s="1" t="s">
        <v>35</v>
      </c>
      <c r="F1373" s="4">
        <v>45089.484976851854</v>
      </c>
      <c r="G1373" s="3" t="str">
        <f>HYPERLINK("https://hawk-eye.atlassian.net/browse/?atlOrigin=eyJpIjoiYzgwYTQ0ZjEyNzQzNGJhN2JmNjEyZTM0NmRhZWZhNjIiLCJwIjoic2hlZXRzLWppcmEifQ","")</f>
        <v/>
      </c>
      <c r="H1373" s="1" t="s">
        <v>1058</v>
      </c>
      <c r="I1373" s="1" t="s">
        <v>1085</v>
      </c>
      <c r="J1373" s="1" t="s">
        <v>26</v>
      </c>
      <c r="K1373" s="1" t="s">
        <v>1545</v>
      </c>
      <c r="L1373" s="1" t="s">
        <v>26</v>
      </c>
      <c r="M1373" s="1" t="s">
        <v>27</v>
      </c>
      <c r="N1373" s="1" t="s">
        <v>26</v>
      </c>
      <c r="O1373" s="1" t="s">
        <v>26</v>
      </c>
      <c r="P1373" s="4">
        <v>45111.63487268519</v>
      </c>
    </row>
    <row r="1374" hidden="1">
      <c r="A1374" s="1" t="s">
        <v>1055</v>
      </c>
      <c r="B1374" s="3" t="str">
        <f>HYPERLINK("https://hawk-eye.atlassian.net/browse/HWKREPORT-2149?atlOrigin=eyJpIjoiYzgwYTQ0ZjEyNzQzNGJhN2JmNjEyZTM0NmRhZWZhNjIiLCJwIjoic2hlZXRzLWppcmEifQ","HWKREPORT-2149")</f>
        <v>HWKREPORT-2149</v>
      </c>
      <c r="C1374" s="1" t="s">
        <v>2607</v>
      </c>
      <c r="D1374" s="1" t="s">
        <v>48</v>
      </c>
      <c r="E1374" s="1" t="s">
        <v>1207</v>
      </c>
      <c r="F1374" s="4">
        <v>45089.48604166666</v>
      </c>
      <c r="G1374" s="3" t="str">
        <f>HYPERLINK("https://hawk-eye.atlassian.net/browse/RTT-6602?atlOrigin=eyJpIjoiYzgwYTQ0ZjEyNzQzNGJhN2JmNjEyZTM0NmRhZWZhNjIiLCJwIjoic2hlZXRzLWppcmEifQ","RTT-6602")</f>
        <v>RTT-6602</v>
      </c>
      <c r="H1374" s="1" t="s">
        <v>1058</v>
      </c>
      <c r="I1374" s="1" t="s">
        <v>1085</v>
      </c>
      <c r="J1374" s="1" t="s">
        <v>26</v>
      </c>
      <c r="K1374" s="1" t="s">
        <v>1545</v>
      </c>
      <c r="L1374" s="1" t="s">
        <v>26</v>
      </c>
      <c r="M1374" s="1" t="s">
        <v>27</v>
      </c>
      <c r="N1374" s="1" t="s">
        <v>26</v>
      </c>
      <c r="O1374" s="1" t="s">
        <v>26</v>
      </c>
      <c r="P1374" s="4">
        <v>45089.48604166666</v>
      </c>
    </row>
    <row r="1375" hidden="1">
      <c r="A1375" s="1" t="s">
        <v>1055</v>
      </c>
      <c r="B1375" s="3" t="str">
        <f>HYPERLINK("https://hawk-eye.atlassian.net/browse/HWKREPORT-2150?atlOrigin=eyJpIjoiYzgwYTQ0ZjEyNzQzNGJhN2JmNjEyZTM0NmRhZWZhNjIiLCJwIjoic2hlZXRzLWppcmEifQ","HWKREPORT-2150")</f>
        <v>HWKREPORT-2150</v>
      </c>
      <c r="C1375" s="1" t="s">
        <v>2608</v>
      </c>
      <c r="D1375" s="1" t="s">
        <v>48</v>
      </c>
      <c r="E1375" s="1" t="s">
        <v>1207</v>
      </c>
      <c r="F1375" s="4">
        <v>45089.490532407406</v>
      </c>
      <c r="G1375" s="3" t="str">
        <f>HYPERLINK("https://hawk-eye.atlassian.net/browse/RTT-6600?atlOrigin=eyJpIjoiYzgwYTQ0ZjEyNzQzNGJhN2JmNjEyZTM0NmRhZWZhNjIiLCJwIjoic2hlZXRzLWppcmEifQ","RTT-6600")</f>
        <v>RTT-6600</v>
      </c>
      <c r="H1375" s="1" t="s">
        <v>1058</v>
      </c>
      <c r="I1375" s="1" t="s">
        <v>1085</v>
      </c>
      <c r="J1375" s="1" t="s">
        <v>26</v>
      </c>
      <c r="K1375" s="1" t="s">
        <v>1545</v>
      </c>
      <c r="L1375" s="1" t="s">
        <v>26</v>
      </c>
      <c r="M1375" s="1" t="s">
        <v>27</v>
      </c>
      <c r="N1375" s="1" t="s">
        <v>26</v>
      </c>
      <c r="O1375" s="1" t="s">
        <v>26</v>
      </c>
      <c r="P1375" s="4">
        <v>45149.41266203704</v>
      </c>
    </row>
    <row r="1376" hidden="1">
      <c r="A1376" s="1" t="s">
        <v>1055</v>
      </c>
      <c r="B1376" s="3" t="str">
        <f>HYPERLINK("https://hawk-eye.atlassian.net/browse/HWKREPORT-2151?atlOrigin=eyJpIjoiYzgwYTQ0ZjEyNzQzNGJhN2JmNjEyZTM0NmRhZWZhNjIiLCJwIjoic2hlZXRzLWppcmEifQ","HWKREPORT-2151")</f>
        <v>HWKREPORT-2151</v>
      </c>
      <c r="C1376" s="1" t="s">
        <v>2609</v>
      </c>
      <c r="D1376" s="1" t="s">
        <v>48</v>
      </c>
      <c r="E1376" s="1" t="s">
        <v>1207</v>
      </c>
      <c r="F1376" s="4">
        <v>45089.49319444445</v>
      </c>
      <c r="G1376" s="3" t="str">
        <f>HYPERLINK("https://hawk-eye.atlassian.net/browse/RTT-6599?atlOrigin=eyJpIjoiYzgwYTQ0ZjEyNzQzNGJhN2JmNjEyZTM0NmRhZWZhNjIiLCJwIjoic2hlZXRzLWppcmEifQ","RTT-6599")</f>
        <v>RTT-6599</v>
      </c>
      <c r="H1376" s="1" t="s">
        <v>1058</v>
      </c>
      <c r="I1376" s="1" t="s">
        <v>1085</v>
      </c>
      <c r="J1376" s="1" t="s">
        <v>26</v>
      </c>
      <c r="K1376" s="1" t="s">
        <v>1545</v>
      </c>
      <c r="L1376" s="1" t="s">
        <v>26</v>
      </c>
      <c r="M1376" s="1" t="s">
        <v>27</v>
      </c>
      <c r="N1376" s="1" t="s">
        <v>26</v>
      </c>
      <c r="O1376" s="1" t="s">
        <v>26</v>
      </c>
      <c r="P1376" s="4">
        <v>45224.52795138889</v>
      </c>
    </row>
    <row r="1377" hidden="1">
      <c r="A1377" s="1" t="s">
        <v>1055</v>
      </c>
      <c r="B1377" s="3" t="str">
        <f>HYPERLINK("https://hawk-eye.atlassian.net/browse/HWKREPORT-2152?atlOrigin=eyJpIjoiYzgwYTQ0ZjEyNzQzNGJhN2JmNjEyZTM0NmRhZWZhNjIiLCJwIjoic2hlZXRzLWppcmEifQ","HWKREPORT-2152")</f>
        <v>HWKREPORT-2152</v>
      </c>
      <c r="C1377" s="1" t="s">
        <v>2610</v>
      </c>
      <c r="D1377" s="1" t="s">
        <v>48</v>
      </c>
      <c r="E1377" s="1" t="s">
        <v>1207</v>
      </c>
      <c r="F1377" s="4">
        <v>45089.49935185185</v>
      </c>
      <c r="G1377" s="3" t="str">
        <f>HYPERLINK("https://hawk-eye.atlassian.net/browse/RTT-6669?atlOrigin=eyJpIjoiYzgwYTQ0ZjEyNzQzNGJhN2JmNjEyZTM0NmRhZWZhNjIiLCJwIjoic2hlZXRzLWppcmEifQ","RTT-6669")</f>
        <v>RTT-6669</v>
      </c>
      <c r="H1377" s="1" t="s">
        <v>1058</v>
      </c>
      <c r="I1377" s="1" t="s">
        <v>1085</v>
      </c>
      <c r="J1377" s="1" t="s">
        <v>26</v>
      </c>
      <c r="K1377" s="1" t="s">
        <v>1545</v>
      </c>
      <c r="L1377" s="1" t="s">
        <v>26</v>
      </c>
      <c r="M1377" s="1" t="s">
        <v>27</v>
      </c>
      <c r="N1377" s="1" t="s">
        <v>26</v>
      </c>
      <c r="O1377" s="1" t="s">
        <v>26</v>
      </c>
      <c r="P1377" s="4">
        <v>45132.68592592593</v>
      </c>
    </row>
    <row r="1378" hidden="1">
      <c r="A1378" s="1" t="s">
        <v>1055</v>
      </c>
      <c r="B1378" s="3" t="str">
        <f>HYPERLINK("https://hawk-eye.atlassian.net/browse/HWKREPORT-2153?atlOrigin=eyJpIjoiYzgwYTQ0ZjEyNzQzNGJhN2JmNjEyZTM0NmRhZWZhNjIiLCJwIjoic2hlZXRzLWppcmEifQ","HWKREPORT-2153")</f>
        <v>HWKREPORT-2153</v>
      </c>
      <c r="C1378" s="1" t="s">
        <v>2611</v>
      </c>
      <c r="D1378" s="1" t="s">
        <v>48</v>
      </c>
      <c r="E1378" s="1" t="s">
        <v>35</v>
      </c>
      <c r="F1378" s="4">
        <v>45089.50634259259</v>
      </c>
      <c r="G1378" s="3" t="str">
        <f>HYPERLINK("https://hawk-eye.atlassian.net/browse/?atlOrigin=eyJpIjoiYzgwYTQ0ZjEyNzQzNGJhN2JmNjEyZTM0NmRhZWZhNjIiLCJwIjoic2hlZXRzLWppcmEifQ","")</f>
        <v/>
      </c>
      <c r="H1378" s="1" t="s">
        <v>1058</v>
      </c>
      <c r="I1378" s="1" t="s">
        <v>1085</v>
      </c>
      <c r="J1378" s="1" t="s">
        <v>26</v>
      </c>
      <c r="K1378" s="1" t="s">
        <v>1545</v>
      </c>
      <c r="L1378" s="1" t="s">
        <v>26</v>
      </c>
      <c r="M1378" s="1" t="s">
        <v>27</v>
      </c>
      <c r="N1378" s="1" t="s">
        <v>26</v>
      </c>
      <c r="O1378" s="1" t="s">
        <v>26</v>
      </c>
      <c r="P1378" s="4">
        <v>45111.59711805556</v>
      </c>
    </row>
    <row r="1379" hidden="1">
      <c r="A1379" s="1" t="s">
        <v>1055</v>
      </c>
      <c r="B1379" s="3" t="str">
        <f>HYPERLINK("https://hawk-eye.atlassian.net/browse/HWKREPORT-2154?atlOrigin=eyJpIjoiYzgwYTQ0ZjEyNzQzNGJhN2JmNjEyZTM0NmRhZWZhNjIiLCJwIjoic2hlZXRzLWppcmEifQ","HWKREPORT-2154")</f>
        <v>HWKREPORT-2154</v>
      </c>
      <c r="C1379" s="1" t="s">
        <v>2612</v>
      </c>
      <c r="D1379" s="1" t="s">
        <v>48</v>
      </c>
      <c r="E1379" s="1" t="s">
        <v>1207</v>
      </c>
      <c r="F1379" s="4">
        <v>45089.50871527778</v>
      </c>
      <c r="G1379" s="3" t="str">
        <f>HYPERLINK("https://hawk-eye.atlassian.net/browse/RTT-6597?atlOrigin=eyJpIjoiYzgwYTQ0ZjEyNzQzNGJhN2JmNjEyZTM0NmRhZWZhNjIiLCJwIjoic2hlZXRzLWppcmEifQ","RTT-6597")</f>
        <v>RTT-6597</v>
      </c>
      <c r="H1379" s="1" t="s">
        <v>1058</v>
      </c>
      <c r="I1379" s="1" t="s">
        <v>1085</v>
      </c>
      <c r="J1379" s="1" t="s">
        <v>26</v>
      </c>
      <c r="K1379" s="1" t="s">
        <v>1545</v>
      </c>
      <c r="L1379" s="1" t="s">
        <v>26</v>
      </c>
      <c r="M1379" s="1" t="s">
        <v>27</v>
      </c>
      <c r="N1379" s="1" t="s">
        <v>26</v>
      </c>
      <c r="O1379" s="1" t="s">
        <v>26</v>
      </c>
      <c r="P1379" s="4">
        <v>45148.68885416666</v>
      </c>
    </row>
    <row r="1380" hidden="1">
      <c r="A1380" s="1" t="s">
        <v>21</v>
      </c>
      <c r="B1380" s="3" t="str">
        <f>HYPERLINK("https://hawk-eye.atlassian.net/browse/HWKREPORT-2155?atlOrigin=eyJpIjoiYzgwYTQ0ZjEyNzQzNGJhN2JmNjEyZTM0NmRhZWZhNjIiLCJwIjoic2hlZXRzLWppcmEifQ","HWKREPORT-2155")</f>
        <v>HWKREPORT-2155</v>
      </c>
      <c r="C1380" s="1" t="s">
        <v>2613</v>
      </c>
      <c r="D1380" s="1" t="s">
        <v>34</v>
      </c>
      <c r="E1380" s="1" t="s">
        <v>1207</v>
      </c>
      <c r="F1380" s="4">
        <v>45089.5799537037</v>
      </c>
      <c r="G1380" s="3" t="str">
        <f>HYPERLINK("https://hawk-eye.atlassian.net/browse/?atlOrigin=eyJpIjoiYzgwYTQ0ZjEyNzQzNGJhN2JmNjEyZTM0NmRhZWZhNjIiLCJwIjoic2hlZXRzLWppcmEifQ","")</f>
        <v/>
      </c>
      <c r="H1380" s="1" t="s">
        <v>1058</v>
      </c>
      <c r="I1380" s="1" t="s">
        <v>1085</v>
      </c>
      <c r="J1380" s="1" t="s">
        <v>26</v>
      </c>
      <c r="K1380" s="1" t="s">
        <v>1072</v>
      </c>
      <c r="L1380" s="1" t="s">
        <v>26</v>
      </c>
      <c r="M1380" s="1" t="s">
        <v>27</v>
      </c>
      <c r="N1380" s="1" t="s">
        <v>26</v>
      </c>
      <c r="O1380" s="1" t="s">
        <v>26</v>
      </c>
      <c r="P1380" s="4">
        <v>45089.57996527778</v>
      </c>
    </row>
    <row r="1381" hidden="1">
      <c r="A1381" s="1" t="s">
        <v>21</v>
      </c>
      <c r="B1381" s="3" t="str">
        <f>HYPERLINK("https://hawk-eye.atlassian.net/browse/HWKREPORT-2156?atlOrigin=eyJpIjoiYzgwYTQ0ZjEyNzQzNGJhN2JmNjEyZTM0NmRhZWZhNjIiLCJwIjoic2hlZXRzLWppcmEifQ","HWKREPORT-2156")</f>
        <v>HWKREPORT-2156</v>
      </c>
      <c r="C1381" s="1" t="s">
        <v>2614</v>
      </c>
      <c r="D1381" s="1" t="s">
        <v>34</v>
      </c>
      <c r="E1381" s="1" t="s">
        <v>1207</v>
      </c>
      <c r="F1381" s="4">
        <v>45089.5865162037</v>
      </c>
      <c r="G1381" s="3" t="str">
        <f>HYPERLINK("https://hawk-eye.atlassian.net/browse/RTT-6529?atlOrigin=eyJpIjoiYzgwYTQ0ZjEyNzQzNGJhN2JmNjEyZTM0NmRhZWZhNjIiLCJwIjoic2hlZXRzLWppcmEifQ","RTT-6529")</f>
        <v>RTT-6529</v>
      </c>
      <c r="H1381" s="1" t="s">
        <v>1058</v>
      </c>
      <c r="I1381" s="1" t="s">
        <v>1085</v>
      </c>
      <c r="J1381" s="1" t="s">
        <v>26</v>
      </c>
      <c r="K1381" s="1" t="s">
        <v>1072</v>
      </c>
      <c r="L1381" s="1" t="s">
        <v>26</v>
      </c>
      <c r="M1381" s="1" t="s">
        <v>27</v>
      </c>
      <c r="N1381" s="1" t="s">
        <v>26</v>
      </c>
      <c r="O1381" s="1" t="s">
        <v>26</v>
      </c>
      <c r="P1381" s="4">
        <v>45124.4852662037</v>
      </c>
    </row>
    <row r="1382" hidden="1">
      <c r="A1382" s="1" t="s">
        <v>1055</v>
      </c>
      <c r="B1382" s="3" t="str">
        <f>HYPERLINK("https://hawk-eye.atlassian.net/browse/HWKREPORT-2157?atlOrigin=eyJpIjoiYzgwYTQ0ZjEyNzQzNGJhN2JmNjEyZTM0NmRhZWZhNjIiLCJwIjoic2hlZXRzLWppcmEifQ","HWKREPORT-2157")</f>
        <v>HWKREPORT-2157</v>
      </c>
      <c r="C1382" s="1" t="s">
        <v>2615</v>
      </c>
      <c r="D1382" s="1" t="s">
        <v>48</v>
      </c>
      <c r="E1382" s="1" t="s">
        <v>35</v>
      </c>
      <c r="F1382" s="4">
        <v>45089.604733796295</v>
      </c>
      <c r="G1382" s="3" t="str">
        <f>HYPERLINK("https://hawk-eye.atlassian.net/browse/RTT-7287?atlOrigin=eyJpIjoiYzgwYTQ0ZjEyNzQzNGJhN2JmNjEyZTM0NmRhZWZhNjIiLCJwIjoic2hlZXRzLWppcmEifQ","RTT-7287")</f>
        <v>RTT-7287</v>
      </c>
      <c r="H1382" s="1" t="s">
        <v>1058</v>
      </c>
      <c r="I1382" s="1" t="s">
        <v>1085</v>
      </c>
      <c r="J1382" s="1" t="s">
        <v>26</v>
      </c>
      <c r="K1382" s="1" t="s">
        <v>1312</v>
      </c>
      <c r="L1382" s="1" t="s">
        <v>26</v>
      </c>
      <c r="M1382" s="1" t="s">
        <v>27</v>
      </c>
      <c r="N1382" s="1" t="s">
        <v>26</v>
      </c>
      <c r="O1382" s="1" t="s">
        <v>26</v>
      </c>
      <c r="P1382" s="4">
        <v>45321.98274305555</v>
      </c>
    </row>
    <row r="1383" hidden="1">
      <c r="A1383" s="1" t="s">
        <v>21</v>
      </c>
      <c r="B1383" s="3" t="str">
        <f>HYPERLINK("https://hawk-eye.atlassian.net/browse/HWKREPORT-2158?atlOrigin=eyJpIjoiYzgwYTQ0ZjEyNzQzNGJhN2JmNjEyZTM0NmRhZWZhNjIiLCJwIjoic2hlZXRzLWppcmEifQ","HWKREPORT-2158")</f>
        <v>HWKREPORT-2158</v>
      </c>
      <c r="C1383" s="1" t="s">
        <v>2616</v>
      </c>
      <c r="D1383" s="1" t="s">
        <v>34</v>
      </c>
      <c r="E1383" s="1" t="s">
        <v>1207</v>
      </c>
      <c r="F1383" s="4">
        <v>45089.62258101852</v>
      </c>
      <c r="G1383" s="3" t="str">
        <f>HYPERLINK("https://hawk-eye.atlassian.net/browse/RTT-6530?atlOrigin=eyJpIjoiYzgwYTQ0ZjEyNzQzNGJhN2JmNjEyZTM0NmRhZWZhNjIiLCJwIjoic2hlZXRzLWppcmEifQ","RTT-6530")</f>
        <v>RTT-6530</v>
      </c>
      <c r="H1383" s="1" t="s">
        <v>1058</v>
      </c>
      <c r="I1383" s="1" t="s">
        <v>1085</v>
      </c>
      <c r="J1383" s="1" t="s">
        <v>26</v>
      </c>
      <c r="K1383" s="1" t="s">
        <v>1072</v>
      </c>
      <c r="L1383" s="1" t="s">
        <v>26</v>
      </c>
      <c r="M1383" s="1" t="s">
        <v>27</v>
      </c>
      <c r="N1383" s="1" t="s">
        <v>26</v>
      </c>
      <c r="O1383" s="1" t="s">
        <v>26</v>
      </c>
      <c r="P1383" s="4">
        <v>45125.45123842593</v>
      </c>
    </row>
    <row r="1384" hidden="1">
      <c r="A1384" s="1" t="s">
        <v>1055</v>
      </c>
      <c r="B1384" s="3" t="str">
        <f>HYPERLINK("https://hawk-eye.atlassian.net/browse/HWKREPORT-2159?atlOrigin=eyJpIjoiYzgwYTQ0ZjEyNzQzNGJhN2JmNjEyZTM0NmRhZWZhNjIiLCJwIjoic2hlZXRzLWppcmEifQ","HWKREPORT-2159")</f>
        <v>HWKREPORT-2159</v>
      </c>
      <c r="C1384" s="1" t="s">
        <v>2617</v>
      </c>
      <c r="D1384" s="1" t="s">
        <v>48</v>
      </c>
      <c r="E1384" s="1" t="s">
        <v>1057</v>
      </c>
      <c r="F1384" s="4">
        <v>45090.43100694445</v>
      </c>
      <c r="G1384" s="3" t="str">
        <f t="shared" ref="G1384:G1385" si="119">HYPERLINK("https://hawk-eye.atlassian.net/browse/?atlOrigin=eyJpIjoiYzgwYTQ0ZjEyNzQzNGJhN2JmNjEyZTM0NmRhZWZhNjIiLCJwIjoic2hlZXRzLWppcmEifQ","")</f>
        <v/>
      </c>
      <c r="H1384" s="1" t="s">
        <v>1058</v>
      </c>
      <c r="I1384" s="1" t="s">
        <v>1085</v>
      </c>
      <c r="J1384" s="1" t="s">
        <v>26</v>
      </c>
      <c r="K1384" s="1" t="s">
        <v>1105</v>
      </c>
      <c r="L1384" s="1" t="s">
        <v>26</v>
      </c>
      <c r="M1384" s="1" t="s">
        <v>27</v>
      </c>
      <c r="N1384" s="1" t="s">
        <v>26</v>
      </c>
      <c r="O1384" s="1" t="s">
        <v>26</v>
      </c>
      <c r="P1384" s="4">
        <v>45090.43100694445</v>
      </c>
    </row>
    <row r="1385" hidden="1">
      <c r="A1385" s="1" t="s">
        <v>21</v>
      </c>
      <c r="B1385" s="3" t="str">
        <f>HYPERLINK("https://hawk-eye.atlassian.net/browse/HWKREPORT-2160?atlOrigin=eyJpIjoiYzgwYTQ0ZjEyNzQzNGJhN2JmNjEyZTM0NmRhZWZhNjIiLCJwIjoic2hlZXRzLWppcmEifQ","HWKREPORT-2160")</f>
        <v>HWKREPORT-2160</v>
      </c>
      <c r="C1385" s="1" t="s">
        <v>2618</v>
      </c>
      <c r="D1385" s="1" t="s">
        <v>23</v>
      </c>
      <c r="E1385" s="1" t="s">
        <v>1057</v>
      </c>
      <c r="F1385" s="4">
        <v>45090.432280092595</v>
      </c>
      <c r="G1385" s="3" t="str">
        <f t="shared" si="119"/>
        <v/>
      </c>
      <c r="H1385" s="1" t="s">
        <v>1058</v>
      </c>
      <c r="I1385" s="1" t="s">
        <v>1082</v>
      </c>
      <c r="J1385" s="1" t="s">
        <v>26</v>
      </c>
      <c r="K1385" s="1" t="s">
        <v>2106</v>
      </c>
      <c r="L1385" s="1" t="s">
        <v>26</v>
      </c>
      <c r="M1385" s="1" t="s">
        <v>27</v>
      </c>
      <c r="N1385" s="1" t="s">
        <v>26</v>
      </c>
      <c r="O1385" s="1" t="s">
        <v>26</v>
      </c>
      <c r="P1385" s="4">
        <v>45090.432291666664</v>
      </c>
    </row>
    <row r="1386" hidden="1">
      <c r="A1386" s="1" t="s">
        <v>21</v>
      </c>
      <c r="B1386" s="3" t="str">
        <f>HYPERLINK("https://hawk-eye.atlassian.net/browse/HWKREPORT-2161?atlOrigin=eyJpIjoiYzgwYTQ0ZjEyNzQzNGJhN2JmNjEyZTM0NmRhZWZhNjIiLCJwIjoic2hlZXRzLWppcmEifQ","HWKREPORT-2161")</f>
        <v>HWKREPORT-2161</v>
      </c>
      <c r="C1386" s="1" t="s">
        <v>2619</v>
      </c>
      <c r="D1386" s="1" t="s">
        <v>40</v>
      </c>
      <c r="E1386" s="1" t="s">
        <v>35</v>
      </c>
      <c r="F1386" s="4">
        <v>45090.435277777775</v>
      </c>
      <c r="G1386" s="3" t="str">
        <f>HYPERLINK("https://hawk-eye.atlassian.net/browse/GT-1106?atlOrigin=eyJpIjoiYzgwYTQ0ZjEyNzQzNGJhN2JmNjEyZTM0NmRhZWZhNjIiLCJwIjoic2hlZXRzLWppcmEifQ","GT-1106")</f>
        <v>GT-1106</v>
      </c>
      <c r="H1386" s="1" t="s">
        <v>1058</v>
      </c>
      <c r="I1386" s="1" t="s">
        <v>1082</v>
      </c>
      <c r="J1386" s="1" t="s">
        <v>26</v>
      </c>
      <c r="K1386" s="1" t="s">
        <v>2620</v>
      </c>
      <c r="L1386" s="1" t="s">
        <v>26</v>
      </c>
      <c r="M1386" s="1" t="s">
        <v>27</v>
      </c>
      <c r="N1386" s="1" t="s">
        <v>26</v>
      </c>
      <c r="O1386" s="1" t="s">
        <v>26</v>
      </c>
      <c r="P1386" s="4">
        <v>45188.45291666667</v>
      </c>
    </row>
    <row r="1387" hidden="1">
      <c r="A1387" s="1" t="s">
        <v>21</v>
      </c>
      <c r="B1387" s="3" t="str">
        <f>HYPERLINK("https://hawk-eye.atlassian.net/browse/HWKREPORT-2162?atlOrigin=eyJpIjoiYzgwYTQ0ZjEyNzQzNGJhN2JmNjEyZTM0NmRhZWZhNjIiLCJwIjoic2hlZXRzLWppcmEifQ","HWKREPORT-2162")</f>
        <v>HWKREPORT-2162</v>
      </c>
      <c r="C1387" s="1" t="s">
        <v>2621</v>
      </c>
      <c r="D1387" s="1" t="s">
        <v>23</v>
      </c>
      <c r="E1387" s="1" t="s">
        <v>35</v>
      </c>
      <c r="F1387" s="4">
        <v>45090.60693287037</v>
      </c>
      <c r="G1387" s="3" t="str">
        <f>HYPERLINK("https://hawk-eye.atlassian.net/browse/RTT-6535?atlOrigin=eyJpIjoiYzgwYTQ0ZjEyNzQzNGJhN2JmNjEyZTM0NmRhZWZhNjIiLCJwIjoic2hlZXRzLWppcmEifQ","RTT-6535")</f>
        <v>RTT-6535</v>
      </c>
      <c r="H1387" s="1" t="s">
        <v>1058</v>
      </c>
      <c r="I1387" s="1" t="s">
        <v>1085</v>
      </c>
      <c r="J1387" s="1" t="s">
        <v>26</v>
      </c>
      <c r="K1387" s="1" t="s">
        <v>1072</v>
      </c>
      <c r="L1387" s="1" t="s">
        <v>26</v>
      </c>
      <c r="M1387" s="1" t="s">
        <v>27</v>
      </c>
      <c r="N1387" s="1" t="s">
        <v>26</v>
      </c>
      <c r="O1387" s="1" t="s">
        <v>26</v>
      </c>
      <c r="P1387" s="4">
        <v>45145.61127314815</v>
      </c>
    </row>
    <row r="1388" hidden="1">
      <c r="A1388" s="1" t="s">
        <v>1055</v>
      </c>
      <c r="B1388" s="3" t="str">
        <f>HYPERLINK("https://hawk-eye.atlassian.net/browse/HWKREPORT-2163?atlOrigin=eyJpIjoiYzgwYTQ0ZjEyNzQzNGJhN2JmNjEyZTM0NmRhZWZhNjIiLCJwIjoic2hlZXRzLWppcmEifQ","HWKREPORT-2163")</f>
        <v>HWKREPORT-2163</v>
      </c>
      <c r="C1388" s="1" t="s">
        <v>2622</v>
      </c>
      <c r="D1388" s="1" t="s">
        <v>48</v>
      </c>
      <c r="E1388" s="1" t="s">
        <v>1057</v>
      </c>
      <c r="F1388" s="4">
        <v>45090.6428125</v>
      </c>
      <c r="G1388" s="3" t="str">
        <f t="shared" ref="G1388:G1389" si="120">HYPERLINK("https://hawk-eye.atlassian.net/browse/?atlOrigin=eyJpIjoiYzgwYTQ0ZjEyNzQzNGJhN2JmNjEyZTM0NmRhZWZhNjIiLCJwIjoic2hlZXRzLWppcmEifQ","")</f>
        <v/>
      </c>
      <c r="H1388" s="1" t="s">
        <v>1058</v>
      </c>
      <c r="I1388" s="1" t="s">
        <v>1071</v>
      </c>
      <c r="J1388" s="1" t="s">
        <v>26</v>
      </c>
      <c r="K1388" s="1" t="s">
        <v>2623</v>
      </c>
      <c r="L1388" s="1" t="s">
        <v>26</v>
      </c>
      <c r="M1388" s="1" t="s">
        <v>27</v>
      </c>
      <c r="N1388" s="1" t="s">
        <v>26</v>
      </c>
      <c r="O1388" s="1" t="s">
        <v>26</v>
      </c>
      <c r="P1388" s="4">
        <v>45090.64282407407</v>
      </c>
    </row>
    <row r="1389" hidden="1">
      <c r="A1389" s="1" t="s">
        <v>1055</v>
      </c>
      <c r="B1389" s="3" t="str">
        <f>HYPERLINK("https://hawk-eye.atlassian.net/browse/HWKREPORT-2164?atlOrigin=eyJpIjoiYzgwYTQ0ZjEyNzQzNGJhN2JmNjEyZTM0NmRhZWZhNjIiLCJwIjoic2hlZXRzLWppcmEifQ","HWKREPORT-2164")</f>
        <v>HWKREPORT-2164</v>
      </c>
      <c r="C1389" s="1" t="s">
        <v>2624</v>
      </c>
      <c r="D1389" s="1" t="s">
        <v>48</v>
      </c>
      <c r="E1389" s="1" t="s">
        <v>35</v>
      </c>
      <c r="F1389" s="4">
        <v>45090.66396990741</v>
      </c>
      <c r="G1389" s="3" t="str">
        <f t="shared" si="120"/>
        <v/>
      </c>
      <c r="H1389" s="1" t="s">
        <v>1058</v>
      </c>
      <c r="I1389" s="1" t="s">
        <v>28</v>
      </c>
      <c r="J1389" s="1" t="s">
        <v>26</v>
      </c>
      <c r="K1389" s="1" t="s">
        <v>1219</v>
      </c>
      <c r="L1389" s="1" t="s">
        <v>26</v>
      </c>
      <c r="M1389" s="1" t="s">
        <v>27</v>
      </c>
      <c r="N1389" s="1" t="s">
        <v>26</v>
      </c>
      <c r="O1389" s="1" t="s">
        <v>26</v>
      </c>
      <c r="P1389" s="4">
        <v>45525.60811342593</v>
      </c>
    </row>
    <row r="1390" hidden="1">
      <c r="A1390" s="1" t="s">
        <v>1055</v>
      </c>
      <c r="B1390" s="3" t="str">
        <f>HYPERLINK("https://hawk-eye.atlassian.net/browse/HWKREPORT-2165?atlOrigin=eyJpIjoiYzgwYTQ0ZjEyNzQzNGJhN2JmNjEyZTM0NmRhZWZhNjIiLCJwIjoic2hlZXRzLWppcmEifQ","HWKREPORT-2165")</f>
        <v>HWKREPORT-2165</v>
      </c>
      <c r="C1390" s="1" t="s">
        <v>2625</v>
      </c>
      <c r="D1390" s="1" t="s">
        <v>48</v>
      </c>
      <c r="E1390" s="1" t="s">
        <v>1057</v>
      </c>
      <c r="F1390" s="4">
        <v>45090.734930555554</v>
      </c>
      <c r="G1390" s="3" t="str">
        <f>HYPERLINK("https://hawk-eye.atlassian.net/issues/?atlOrigin=eyJpIjoiYzgwYTQ0ZjEyNzQzNGJhN2JmNjEyZTM0NmRhZWZhNjIiLCJwIjoic2hlZXRzLWppcmEifQ&amp;jql=key+in+%28AL-1159%2CAL-963%29","AL-1159;AL-963")</f>
        <v>AL-1159;AL-963</v>
      </c>
      <c r="H1390" s="1" t="s">
        <v>1058</v>
      </c>
      <c r="I1390" s="1" t="s">
        <v>1085</v>
      </c>
      <c r="J1390" s="1" t="s">
        <v>26</v>
      </c>
      <c r="K1390" s="1" t="s">
        <v>1219</v>
      </c>
      <c r="L1390" s="1" t="s">
        <v>26</v>
      </c>
      <c r="M1390" s="1" t="s">
        <v>27</v>
      </c>
      <c r="N1390" s="1" t="s">
        <v>26</v>
      </c>
      <c r="O1390" s="1" t="s">
        <v>26</v>
      </c>
      <c r="P1390" s="4">
        <v>45090.734930555554</v>
      </c>
    </row>
    <row r="1391" hidden="1">
      <c r="A1391" s="1" t="s">
        <v>21</v>
      </c>
      <c r="B1391" s="3" t="str">
        <f>HYPERLINK("https://hawk-eye.atlassian.net/browse/HWKREPORT-2166?atlOrigin=eyJpIjoiYzgwYTQ0ZjEyNzQzNGJhN2JmNjEyZTM0NmRhZWZhNjIiLCJwIjoic2hlZXRzLWppcmEifQ","HWKREPORT-2166")</f>
        <v>HWKREPORT-2166</v>
      </c>
      <c r="C1391" s="1" t="s">
        <v>2626</v>
      </c>
      <c r="D1391" s="1" t="s">
        <v>40</v>
      </c>
      <c r="E1391" s="1" t="s">
        <v>35</v>
      </c>
      <c r="F1391" s="4">
        <v>45090.79638888889</v>
      </c>
      <c r="G1391" s="3" t="str">
        <f>HYPERLINK("https://hawk-eye.atlassian.net/browse/RTT-6539?atlOrigin=eyJpIjoiYzgwYTQ0ZjEyNzQzNGJhN2JmNjEyZTM0NmRhZWZhNjIiLCJwIjoic2hlZXRzLWppcmEifQ","RTT-6539")</f>
        <v>RTT-6539</v>
      </c>
      <c r="H1391" s="1" t="s">
        <v>1058</v>
      </c>
      <c r="I1391" s="1" t="s">
        <v>1071</v>
      </c>
      <c r="J1391" s="1" t="s">
        <v>26</v>
      </c>
      <c r="K1391" s="1" t="s">
        <v>2627</v>
      </c>
      <c r="L1391" s="1" t="s">
        <v>26</v>
      </c>
      <c r="M1391" s="1" t="s">
        <v>27</v>
      </c>
      <c r="N1391" s="1" t="s">
        <v>26</v>
      </c>
      <c r="O1391" s="1" t="s">
        <v>26</v>
      </c>
      <c r="P1391" s="4">
        <v>45099.6222337963</v>
      </c>
    </row>
    <row r="1392" hidden="1">
      <c r="A1392" s="1" t="s">
        <v>21</v>
      </c>
      <c r="B1392" s="3" t="str">
        <f>HYPERLINK("https://hawk-eye.atlassian.net/browse/HWKREPORT-2167?atlOrigin=eyJpIjoiYzgwYTQ0ZjEyNzQzNGJhN2JmNjEyZTM0NmRhZWZhNjIiLCJwIjoic2hlZXRzLWppcmEifQ","HWKREPORT-2167")</f>
        <v>HWKREPORT-2167</v>
      </c>
      <c r="C1392" s="1" t="s">
        <v>2628</v>
      </c>
      <c r="D1392" s="1" t="s">
        <v>34</v>
      </c>
      <c r="E1392" s="1" t="s">
        <v>1207</v>
      </c>
      <c r="F1392" s="4">
        <v>45090.816099537034</v>
      </c>
      <c r="G1392" s="3" t="str">
        <f>HYPERLINK("https://hawk-eye.atlassian.net/browse/RTT-6538?atlOrigin=eyJpIjoiYzgwYTQ0ZjEyNzQzNGJhN2JmNjEyZTM0NmRhZWZhNjIiLCJwIjoic2hlZXRzLWppcmEifQ","RTT-6538")</f>
        <v>RTT-6538</v>
      </c>
      <c r="H1392" s="1" t="s">
        <v>1058</v>
      </c>
      <c r="I1392" s="1" t="s">
        <v>1071</v>
      </c>
      <c r="J1392" s="1" t="s">
        <v>26</v>
      </c>
      <c r="K1392" s="1" t="s">
        <v>1099</v>
      </c>
      <c r="L1392" s="1" t="s">
        <v>26</v>
      </c>
      <c r="M1392" s="1" t="s">
        <v>27</v>
      </c>
      <c r="N1392" s="1" t="s">
        <v>26</v>
      </c>
      <c r="O1392" s="1" t="s">
        <v>26</v>
      </c>
      <c r="P1392" s="4">
        <v>45120.603159722225</v>
      </c>
    </row>
    <row r="1393">
      <c r="A1393" s="1" t="s">
        <v>21</v>
      </c>
      <c r="B1393" s="3" t="str">
        <f>HYPERLINK("https://hawk-eye.atlassian.net/browse/HWKREPORT-2168?atlOrigin=eyJpIjoiYzgwYTQ0ZjEyNzQzNGJhN2JmNjEyZTM0NmRhZWZhNjIiLCJwIjoic2hlZXRzLWppcmEifQ","HWKREPORT-2168")</f>
        <v>HWKREPORT-2168</v>
      </c>
      <c r="C1393" s="1" t="s">
        <v>2629</v>
      </c>
      <c r="D1393" s="1" t="s">
        <v>34</v>
      </c>
      <c r="E1393" s="1" t="s">
        <v>35</v>
      </c>
      <c r="F1393" s="4">
        <v>45090.94074074074</v>
      </c>
      <c r="G1393" s="3" t="str">
        <f>HYPERLINK("https://hawk-eye.atlassian.net/browse/RTT-6536?atlOrigin=eyJpIjoiYzgwYTQ0ZjEyNzQzNGJhN2JmNjEyZTM0NmRhZWZhNjIiLCJwIjoic2hlZXRzLWppcmEifQ","RTT-6536")</f>
        <v>RTT-6536</v>
      </c>
      <c r="H1393" s="1" t="s">
        <v>1058</v>
      </c>
      <c r="I1393" s="1" t="s">
        <v>28</v>
      </c>
      <c r="J1393" s="1" t="s">
        <v>26</v>
      </c>
      <c r="K1393" s="1" t="s">
        <v>1072</v>
      </c>
      <c r="L1393" s="1" t="s">
        <v>26</v>
      </c>
      <c r="M1393" s="1" t="s">
        <v>27</v>
      </c>
      <c r="N1393" s="1" t="s">
        <v>26</v>
      </c>
      <c r="O1393" s="1" t="s">
        <v>26</v>
      </c>
      <c r="P1393" s="4">
        <v>45524.730150462965</v>
      </c>
    </row>
    <row r="1394" hidden="1">
      <c r="A1394" s="1" t="s">
        <v>1055</v>
      </c>
      <c r="B1394" s="3" t="str">
        <f>HYPERLINK("https://hawk-eye.atlassian.net/browse/HWKREPORT-2169?atlOrigin=eyJpIjoiYzgwYTQ0ZjEyNzQzNGJhN2JmNjEyZTM0NmRhZWZhNjIiLCJwIjoic2hlZXRzLWppcmEifQ","HWKREPORT-2169")</f>
        <v>HWKREPORT-2169</v>
      </c>
      <c r="C1394" s="1" t="s">
        <v>2630</v>
      </c>
      <c r="D1394" s="1" t="s">
        <v>48</v>
      </c>
      <c r="E1394" s="1" t="s">
        <v>1091</v>
      </c>
      <c r="F1394" s="4">
        <v>45091.54798611111</v>
      </c>
      <c r="G1394" s="3" t="str">
        <f>HYPERLINK("https://hawk-eye.atlassian.net/browse/RTT-6541?atlOrigin=eyJpIjoiYzgwYTQ0ZjEyNzQzNGJhN2JmNjEyZTM0NmRhZWZhNjIiLCJwIjoic2hlZXRzLWppcmEifQ","RTT-6541")</f>
        <v>RTT-6541</v>
      </c>
      <c r="H1394" s="1" t="s">
        <v>1058</v>
      </c>
      <c r="I1394" s="1" t="s">
        <v>1085</v>
      </c>
      <c r="J1394" s="1" t="s">
        <v>26</v>
      </c>
      <c r="K1394" s="1" t="s">
        <v>1072</v>
      </c>
      <c r="L1394" s="1" t="s">
        <v>26</v>
      </c>
      <c r="M1394" s="1" t="s">
        <v>27</v>
      </c>
      <c r="N1394" s="1" t="s">
        <v>26</v>
      </c>
      <c r="O1394" s="1" t="s">
        <v>26</v>
      </c>
      <c r="P1394" s="4">
        <v>45279.60025462963</v>
      </c>
    </row>
    <row r="1395" hidden="1">
      <c r="A1395" s="1" t="s">
        <v>1055</v>
      </c>
      <c r="B1395" s="3" t="str">
        <f>HYPERLINK("https://hawk-eye.atlassian.net/browse/HWKREPORT-2170?atlOrigin=eyJpIjoiYzgwYTQ0ZjEyNzQzNGJhN2JmNjEyZTM0NmRhZWZhNjIiLCJwIjoic2hlZXRzLWppcmEifQ","HWKREPORT-2170")</f>
        <v>HWKREPORT-2170</v>
      </c>
      <c r="C1395" s="1" t="s">
        <v>2631</v>
      </c>
      <c r="D1395" s="1" t="s">
        <v>48</v>
      </c>
      <c r="E1395" s="1" t="s">
        <v>1207</v>
      </c>
      <c r="F1395" s="4">
        <v>45092.59605324074</v>
      </c>
      <c r="G1395" s="3" t="str">
        <f>HYPERLINK("https://hawk-eye.atlassian.net/browse/RTT-6544?atlOrigin=eyJpIjoiYzgwYTQ0ZjEyNzQzNGJhN2JmNjEyZTM0NmRhZWZhNjIiLCJwIjoic2hlZXRzLWppcmEifQ","RTT-6544")</f>
        <v>RTT-6544</v>
      </c>
      <c r="H1395" s="1" t="s">
        <v>1058</v>
      </c>
      <c r="I1395" s="1" t="s">
        <v>1071</v>
      </c>
      <c r="J1395" s="1" t="s">
        <v>26</v>
      </c>
      <c r="K1395" s="1" t="s">
        <v>1093</v>
      </c>
      <c r="L1395" s="1" t="s">
        <v>26</v>
      </c>
      <c r="M1395" s="1" t="s">
        <v>27</v>
      </c>
      <c r="N1395" s="1" t="s">
        <v>26</v>
      </c>
      <c r="O1395" s="1" t="s">
        <v>26</v>
      </c>
      <c r="P1395" s="4">
        <v>45107.62902777778</v>
      </c>
    </row>
    <row r="1396" hidden="1">
      <c r="A1396" s="1" t="s">
        <v>1055</v>
      </c>
      <c r="B1396" s="3" t="str">
        <f>HYPERLINK("https://hawk-eye.atlassian.net/browse/HWKREPORT-2171?atlOrigin=eyJpIjoiYzgwYTQ0ZjEyNzQzNGJhN2JmNjEyZTM0NmRhZWZhNjIiLCJwIjoic2hlZXRzLWppcmEifQ","HWKREPORT-2171")</f>
        <v>HWKREPORT-2171</v>
      </c>
      <c r="C1396" s="1" t="s">
        <v>2632</v>
      </c>
      <c r="D1396" s="1" t="s">
        <v>48</v>
      </c>
      <c r="E1396" s="1" t="s">
        <v>1057</v>
      </c>
      <c r="F1396" s="4">
        <v>45092.60870370371</v>
      </c>
      <c r="G1396" s="3" t="str">
        <f>HYPERLINK("https://hawk-eye.atlassian.net/browse/?atlOrigin=eyJpIjoiYzgwYTQ0ZjEyNzQzNGJhN2JmNjEyZTM0NmRhZWZhNjIiLCJwIjoic2hlZXRzLWppcmEifQ","")</f>
        <v/>
      </c>
      <c r="H1396" s="1" t="s">
        <v>1058</v>
      </c>
      <c r="I1396" s="1" t="s">
        <v>1071</v>
      </c>
      <c r="J1396" s="1" t="s">
        <v>26</v>
      </c>
      <c r="K1396" s="1" t="s">
        <v>1130</v>
      </c>
      <c r="L1396" s="1" t="s">
        <v>26</v>
      </c>
      <c r="M1396" s="1" t="s">
        <v>27</v>
      </c>
      <c r="N1396" s="1" t="s">
        <v>26</v>
      </c>
      <c r="O1396" s="1" t="s">
        <v>26</v>
      </c>
      <c r="P1396" s="4">
        <v>45092.608715277776</v>
      </c>
    </row>
    <row r="1397" hidden="1">
      <c r="A1397" s="1" t="s">
        <v>21</v>
      </c>
      <c r="B1397" s="3" t="str">
        <f>HYPERLINK("https://hawk-eye.atlassian.net/browse/HWKREPORT-2172?atlOrigin=eyJpIjoiYzgwYTQ0ZjEyNzQzNGJhN2JmNjEyZTM0NmRhZWZhNjIiLCJwIjoic2hlZXRzLWppcmEifQ","HWKREPORT-2172")</f>
        <v>HWKREPORT-2172</v>
      </c>
      <c r="C1397" s="1" t="s">
        <v>2633</v>
      </c>
      <c r="D1397" s="1" t="s">
        <v>23</v>
      </c>
      <c r="E1397" s="1" t="s">
        <v>35</v>
      </c>
      <c r="F1397" s="4">
        <v>45092.6159837963</v>
      </c>
      <c r="G1397" s="3" t="str">
        <f>HYPERLINK("https://hawk-eye.atlassian.net/browse/CTK-130?atlOrigin=eyJpIjoiYzgwYTQ0ZjEyNzQzNGJhN2JmNjEyZTM0NmRhZWZhNjIiLCJwIjoic2hlZXRzLWppcmEifQ","CTK-130")</f>
        <v>CTK-130</v>
      </c>
      <c r="H1397" s="1" t="s">
        <v>1058</v>
      </c>
      <c r="I1397" s="1" t="s">
        <v>1082</v>
      </c>
      <c r="J1397" s="1" t="s">
        <v>26</v>
      </c>
      <c r="K1397" s="1" t="s">
        <v>1083</v>
      </c>
      <c r="L1397" s="1" t="s">
        <v>26</v>
      </c>
      <c r="M1397" s="1" t="s">
        <v>27</v>
      </c>
      <c r="N1397" s="1" t="s">
        <v>26</v>
      </c>
      <c r="O1397" s="1" t="s">
        <v>26</v>
      </c>
      <c r="P1397" s="4">
        <v>45112.94159722222</v>
      </c>
    </row>
    <row r="1398" hidden="1">
      <c r="A1398" s="1" t="s">
        <v>1055</v>
      </c>
      <c r="B1398" s="3" t="str">
        <f>HYPERLINK("https://hawk-eye.atlassian.net/browse/HWKREPORT-2173?atlOrigin=eyJpIjoiYzgwYTQ0ZjEyNzQzNGJhN2JmNjEyZTM0NmRhZWZhNjIiLCJwIjoic2hlZXRzLWppcmEifQ","HWKREPORT-2173")</f>
        <v>HWKREPORT-2173</v>
      </c>
      <c r="C1398" s="1" t="s">
        <v>2634</v>
      </c>
      <c r="D1398" s="1" t="s">
        <v>48</v>
      </c>
      <c r="E1398" s="1" t="s">
        <v>1207</v>
      </c>
      <c r="F1398" s="4">
        <v>45092.90335648148</v>
      </c>
      <c r="G1398" s="3" t="str">
        <f>HYPERLINK("https://hawk-eye.atlassian.net/browse/AL-848?atlOrigin=eyJpIjoiYzgwYTQ0ZjEyNzQzNGJhN2JmNjEyZTM0NmRhZWZhNjIiLCJwIjoic2hlZXRzLWppcmEifQ","AL-848")</f>
        <v>AL-848</v>
      </c>
      <c r="H1398" s="1" t="s">
        <v>1058</v>
      </c>
      <c r="I1398" s="1" t="s">
        <v>1071</v>
      </c>
      <c r="J1398" s="1" t="s">
        <v>26</v>
      </c>
      <c r="K1398" s="1" t="s">
        <v>1143</v>
      </c>
      <c r="L1398" s="1" t="s">
        <v>26</v>
      </c>
      <c r="M1398" s="1" t="s">
        <v>27</v>
      </c>
      <c r="N1398" s="1" t="s">
        <v>26</v>
      </c>
      <c r="O1398" s="1" t="s">
        <v>26</v>
      </c>
      <c r="P1398" s="4">
        <v>45111.7043287037</v>
      </c>
    </row>
    <row r="1399" hidden="1">
      <c r="A1399" s="1" t="s">
        <v>1055</v>
      </c>
      <c r="B1399" s="3" t="str">
        <f>HYPERLINK("https://hawk-eye.atlassian.net/browse/HWKREPORT-2174?atlOrigin=eyJpIjoiYzgwYTQ0ZjEyNzQzNGJhN2JmNjEyZTM0NmRhZWZhNjIiLCJwIjoic2hlZXRzLWppcmEifQ","HWKREPORT-2174")</f>
        <v>HWKREPORT-2174</v>
      </c>
      <c r="C1399" s="1" t="s">
        <v>2635</v>
      </c>
      <c r="D1399" s="1" t="s">
        <v>48</v>
      </c>
      <c r="E1399" s="1" t="s">
        <v>35</v>
      </c>
      <c r="F1399" s="4">
        <v>45092.96476851852</v>
      </c>
      <c r="G1399" s="3" t="str">
        <f>HYPERLINK("https://hawk-eye.atlassian.net/browse/?atlOrigin=eyJpIjoiYzgwYTQ0ZjEyNzQzNGJhN2JmNjEyZTM0NmRhZWZhNjIiLCJwIjoic2hlZXRzLWppcmEifQ","")</f>
        <v/>
      </c>
      <c r="H1399" s="1" t="s">
        <v>1058</v>
      </c>
      <c r="I1399" s="1" t="s">
        <v>1071</v>
      </c>
      <c r="J1399" s="1" t="s">
        <v>26</v>
      </c>
      <c r="K1399" s="1" t="s">
        <v>1072</v>
      </c>
      <c r="L1399" s="1" t="s">
        <v>26</v>
      </c>
      <c r="M1399" s="1" t="s">
        <v>27</v>
      </c>
      <c r="N1399" s="1" t="s">
        <v>26</v>
      </c>
      <c r="O1399" s="1" t="s">
        <v>26</v>
      </c>
      <c r="P1399" s="4">
        <v>45216.39542824074</v>
      </c>
    </row>
    <row r="1400" hidden="1">
      <c r="A1400" s="1" t="s">
        <v>1055</v>
      </c>
      <c r="B1400" s="3" t="str">
        <f>HYPERLINK("https://hawk-eye.atlassian.net/browse/HWKREPORT-2175?atlOrigin=eyJpIjoiYzgwYTQ0ZjEyNzQzNGJhN2JmNjEyZTM0NmRhZWZhNjIiLCJwIjoic2hlZXRzLWppcmEifQ","HWKREPORT-2175")</f>
        <v>HWKREPORT-2175</v>
      </c>
      <c r="C1400" s="1" t="s">
        <v>2636</v>
      </c>
      <c r="D1400" s="1" t="s">
        <v>48</v>
      </c>
      <c r="E1400" s="1" t="s">
        <v>1207</v>
      </c>
      <c r="F1400" s="4">
        <v>45092.965891203705</v>
      </c>
      <c r="G1400" s="3" t="str">
        <f>HYPERLINK("https://hawk-eye.atlassian.net/browse/AL-849?atlOrigin=eyJpIjoiYzgwYTQ0ZjEyNzQzNGJhN2JmNjEyZTM0NmRhZWZhNjIiLCJwIjoic2hlZXRzLWppcmEifQ","AL-849")</f>
        <v>AL-849</v>
      </c>
      <c r="H1400" s="1" t="s">
        <v>1058</v>
      </c>
      <c r="I1400" s="1" t="s">
        <v>1071</v>
      </c>
      <c r="J1400" s="1" t="s">
        <v>26</v>
      </c>
      <c r="K1400" s="1" t="s">
        <v>1898</v>
      </c>
      <c r="L1400" s="1" t="s">
        <v>26</v>
      </c>
      <c r="M1400" s="1" t="s">
        <v>27</v>
      </c>
      <c r="N1400" s="1" t="s">
        <v>26</v>
      </c>
      <c r="O1400" s="1" t="s">
        <v>26</v>
      </c>
      <c r="P1400" s="4">
        <v>45127.37782407407</v>
      </c>
    </row>
    <row r="1401" hidden="1">
      <c r="A1401" s="1" t="s">
        <v>1055</v>
      </c>
      <c r="B1401" s="3" t="str">
        <f>HYPERLINK("https://hawk-eye.atlassian.net/browse/HWKREPORT-2176?atlOrigin=eyJpIjoiYzgwYTQ0ZjEyNzQzNGJhN2JmNjEyZTM0NmRhZWZhNjIiLCJwIjoic2hlZXRzLWppcmEifQ","HWKREPORT-2176")</f>
        <v>HWKREPORT-2176</v>
      </c>
      <c r="C1401" s="1" t="s">
        <v>2637</v>
      </c>
      <c r="D1401" s="1" t="s">
        <v>48</v>
      </c>
      <c r="E1401" s="1" t="s">
        <v>1207</v>
      </c>
      <c r="F1401" s="4">
        <v>45092.96726851852</v>
      </c>
      <c r="G1401" s="3" t="str">
        <f>HYPERLINK("https://hawk-eye.atlassian.net/browse/AL-850?atlOrigin=eyJpIjoiYzgwYTQ0ZjEyNzQzNGJhN2JmNjEyZTM0NmRhZWZhNjIiLCJwIjoic2hlZXRzLWppcmEifQ","AL-850")</f>
        <v>AL-850</v>
      </c>
      <c r="H1401" s="1" t="s">
        <v>1058</v>
      </c>
      <c r="I1401" s="1" t="s">
        <v>1071</v>
      </c>
      <c r="J1401" s="1" t="s">
        <v>26</v>
      </c>
      <c r="K1401" s="1" t="s">
        <v>1898</v>
      </c>
      <c r="L1401" s="1" t="s">
        <v>26</v>
      </c>
      <c r="M1401" s="1" t="s">
        <v>27</v>
      </c>
      <c r="N1401" s="1" t="s">
        <v>26</v>
      </c>
      <c r="O1401" s="1" t="s">
        <v>26</v>
      </c>
      <c r="P1401" s="4">
        <v>45127.37783564815</v>
      </c>
    </row>
    <row r="1402" hidden="1">
      <c r="A1402" s="1" t="s">
        <v>21</v>
      </c>
      <c r="B1402" s="3" t="str">
        <f>HYPERLINK("https://hawk-eye.atlassian.net/browse/HWKREPORT-1975?atlOrigin=eyJpIjoiYzgwYTQ0ZjEyNzQzNGJhN2JmNjEyZTM0NmRhZWZhNjIiLCJwIjoic2hlZXRzLWppcmEifQ","HWKREPORT-1975")</f>
        <v>HWKREPORT-1975</v>
      </c>
      <c r="C1402" s="1" t="s">
        <v>2638</v>
      </c>
      <c r="D1402" s="1" t="s">
        <v>40</v>
      </c>
      <c r="E1402" s="1" t="s">
        <v>1207</v>
      </c>
      <c r="F1402" s="4">
        <v>45020.64283564815</v>
      </c>
      <c r="G1402" s="3" t="str">
        <f>HYPERLINK("https://hawk-eye.atlassian.net/browse/RTT-6126?atlOrigin=eyJpIjoiYzgwYTQ0ZjEyNzQzNGJhN2JmNjEyZTM0NmRhZWZhNjIiLCJwIjoic2hlZXRzLWppcmEifQ","RTT-6126")</f>
        <v>RTT-6126</v>
      </c>
      <c r="H1402" s="1" t="s">
        <v>1058</v>
      </c>
      <c r="I1402" s="1" t="s">
        <v>1085</v>
      </c>
      <c r="J1402" s="1" t="s">
        <v>26</v>
      </c>
      <c r="K1402" s="1" t="s">
        <v>1072</v>
      </c>
      <c r="L1402" s="1" t="s">
        <v>26</v>
      </c>
      <c r="M1402" s="1" t="s">
        <v>27</v>
      </c>
      <c r="N1402" s="1" t="s">
        <v>26</v>
      </c>
      <c r="O1402" s="1" t="s">
        <v>26</v>
      </c>
      <c r="P1402" s="4">
        <v>45056.44143518519</v>
      </c>
    </row>
    <row r="1403" hidden="1">
      <c r="A1403" s="1" t="s">
        <v>1055</v>
      </c>
      <c r="B1403" s="3" t="str">
        <f>HYPERLINK("https://hawk-eye.atlassian.net/browse/HWKREPORT-1976?atlOrigin=eyJpIjoiYzgwYTQ0ZjEyNzQzNGJhN2JmNjEyZTM0NmRhZWZhNjIiLCJwIjoic2hlZXRzLWppcmEifQ","HWKREPORT-1976")</f>
        <v>HWKREPORT-1976</v>
      </c>
      <c r="C1403" s="1" t="s">
        <v>2639</v>
      </c>
      <c r="D1403" s="1" t="s">
        <v>48</v>
      </c>
      <c r="E1403" s="1" t="s">
        <v>35</v>
      </c>
      <c r="F1403" s="4">
        <v>45020.66458333333</v>
      </c>
      <c r="G1403" s="3" t="str">
        <f>HYPERLINK("https://hawk-eye.atlassian.net/browse/RTT-6125?atlOrigin=eyJpIjoiYzgwYTQ0ZjEyNzQzNGJhN2JmNjEyZTM0NmRhZWZhNjIiLCJwIjoic2hlZXRzLWppcmEifQ","RTT-6125")</f>
        <v>RTT-6125</v>
      </c>
      <c r="H1403" s="1" t="s">
        <v>1058</v>
      </c>
      <c r="I1403" s="1" t="s">
        <v>1071</v>
      </c>
      <c r="J1403" s="1" t="s">
        <v>26</v>
      </c>
      <c r="K1403" s="1" t="s">
        <v>1072</v>
      </c>
      <c r="L1403" s="1" t="s">
        <v>26</v>
      </c>
      <c r="M1403" s="1" t="s">
        <v>27</v>
      </c>
      <c r="N1403" s="1" t="s">
        <v>26</v>
      </c>
      <c r="O1403" s="1" t="s">
        <v>26</v>
      </c>
      <c r="P1403" s="4">
        <v>45310.71204861111</v>
      </c>
    </row>
    <row r="1404" hidden="1">
      <c r="A1404" s="1" t="s">
        <v>21</v>
      </c>
      <c r="B1404" s="3" t="str">
        <f>HYPERLINK("https://hawk-eye.atlassian.net/browse/HWKREPORT-1977?atlOrigin=eyJpIjoiYzgwYTQ0ZjEyNzQzNGJhN2JmNjEyZTM0NmRhZWZhNjIiLCJwIjoic2hlZXRzLWppcmEifQ","HWKREPORT-1977")</f>
        <v>HWKREPORT-1977</v>
      </c>
      <c r="C1404" s="1" t="s">
        <v>2640</v>
      </c>
      <c r="D1404" s="1" t="s">
        <v>23</v>
      </c>
      <c r="E1404" s="1" t="s">
        <v>35</v>
      </c>
      <c r="F1404" s="4">
        <v>45020.79163194444</v>
      </c>
      <c r="G1404" s="3" t="str">
        <f>HYPERLINK("https://hawk-eye.atlassian.net/browse/RTT-6130?atlOrigin=eyJpIjoiYzgwYTQ0ZjEyNzQzNGJhN2JmNjEyZTM0NmRhZWZhNjIiLCJwIjoic2hlZXRzLWppcmEifQ","RTT-6130")</f>
        <v>RTT-6130</v>
      </c>
      <c r="H1404" s="1" t="s">
        <v>1058</v>
      </c>
      <c r="I1404" s="1" t="s">
        <v>1071</v>
      </c>
      <c r="J1404" s="1" t="s">
        <v>26</v>
      </c>
      <c r="K1404" s="1" t="s">
        <v>1072</v>
      </c>
      <c r="L1404" s="1" t="s">
        <v>26</v>
      </c>
      <c r="M1404" s="1" t="s">
        <v>27</v>
      </c>
      <c r="N1404" s="1" t="s">
        <v>26</v>
      </c>
      <c r="O1404" s="1" t="s">
        <v>26</v>
      </c>
      <c r="P1404" s="4">
        <v>45448.598703703705</v>
      </c>
    </row>
    <row r="1405" hidden="1">
      <c r="A1405" s="1" t="s">
        <v>21</v>
      </c>
      <c r="B1405" s="3" t="str">
        <f>HYPERLINK("https://hawk-eye.atlassian.net/browse/HWKREPORT-1978?atlOrigin=eyJpIjoiYzgwYTQ0ZjEyNzQzNGJhN2JmNjEyZTM0NmRhZWZhNjIiLCJwIjoic2hlZXRzLWppcmEifQ","HWKREPORT-1978")</f>
        <v>HWKREPORT-1978</v>
      </c>
      <c r="C1405" s="1" t="s">
        <v>2641</v>
      </c>
      <c r="D1405" s="1" t="s">
        <v>23</v>
      </c>
      <c r="E1405" s="1" t="s">
        <v>1057</v>
      </c>
      <c r="F1405" s="4">
        <v>45021.55101851852</v>
      </c>
      <c r="G1405" s="3" t="str">
        <f>HYPERLINK("https://hawk-eye.atlassian.net/issues/?atlOrigin=eyJpIjoiYzgwYTQ0ZjEyNzQzNGJhN2JmNjEyZTM0NmRhZWZhNjIiLCJwIjoic2hlZXRzLWppcmEifQ&amp;jql=key+in+%28RTT-6834%2CRTT-6479%29","RTT-6834;RTT-6479")</f>
        <v>RTT-6834;RTT-6479</v>
      </c>
      <c r="H1405" s="1" t="s">
        <v>1058</v>
      </c>
      <c r="I1405" s="1" t="s">
        <v>1126</v>
      </c>
      <c r="J1405" s="1" t="s">
        <v>26</v>
      </c>
      <c r="K1405" s="1" t="s">
        <v>1312</v>
      </c>
      <c r="L1405" s="1" t="s">
        <v>26</v>
      </c>
      <c r="M1405" s="1" t="s">
        <v>27</v>
      </c>
      <c r="N1405" s="1" t="s">
        <v>26</v>
      </c>
      <c r="O1405" s="1" t="s">
        <v>26</v>
      </c>
      <c r="P1405" s="4">
        <v>45021.55101851852</v>
      </c>
    </row>
    <row r="1406" hidden="1">
      <c r="A1406" s="1" t="s">
        <v>1055</v>
      </c>
      <c r="B1406" s="3" t="str">
        <f>HYPERLINK("https://hawk-eye.atlassian.net/browse/HWKREPORT-1979?atlOrigin=eyJpIjoiYzgwYTQ0ZjEyNzQzNGJhN2JmNjEyZTM0NmRhZWZhNjIiLCJwIjoic2hlZXRzLWppcmEifQ","HWKREPORT-1979")</f>
        <v>HWKREPORT-1979</v>
      </c>
      <c r="C1406" s="1" t="s">
        <v>2642</v>
      </c>
      <c r="D1406" s="1" t="s">
        <v>48</v>
      </c>
      <c r="E1406" s="1" t="s">
        <v>1057</v>
      </c>
      <c r="F1406" s="4">
        <v>45021.60476851852</v>
      </c>
      <c r="G1406" s="3" t="str">
        <f>HYPERLINK("https://hawk-eye.atlassian.net/browse/RTT-6325?atlOrigin=eyJpIjoiYzgwYTQ0ZjEyNzQzNGJhN2JmNjEyZTM0NmRhZWZhNjIiLCJwIjoic2hlZXRzLWppcmEifQ","RTT-6325")</f>
        <v>RTT-6325</v>
      </c>
      <c r="H1406" s="1" t="s">
        <v>1058</v>
      </c>
      <c r="I1406" s="1" t="s">
        <v>1085</v>
      </c>
      <c r="J1406" s="1" t="s">
        <v>26</v>
      </c>
      <c r="K1406" s="1" t="s">
        <v>1072</v>
      </c>
      <c r="L1406" s="1" t="s">
        <v>26</v>
      </c>
      <c r="M1406" s="1" t="s">
        <v>27</v>
      </c>
      <c r="N1406" s="1" t="s">
        <v>26</v>
      </c>
      <c r="O1406" s="1" t="s">
        <v>26</v>
      </c>
      <c r="P1406" s="4">
        <v>45021.604780092595</v>
      </c>
    </row>
    <row r="1407" hidden="1">
      <c r="A1407" s="1" t="s">
        <v>1055</v>
      </c>
      <c r="B1407" s="3" t="str">
        <f>HYPERLINK("https://hawk-eye.atlassian.net/browse/HWKREPORT-1980?atlOrigin=eyJpIjoiYzgwYTQ0ZjEyNzQzNGJhN2JmNjEyZTM0NmRhZWZhNjIiLCJwIjoic2hlZXRzLWppcmEifQ","HWKREPORT-1980")</f>
        <v>HWKREPORT-1980</v>
      </c>
      <c r="C1407" s="1" t="s">
        <v>2643</v>
      </c>
      <c r="D1407" s="1" t="s">
        <v>48</v>
      </c>
      <c r="E1407" s="1" t="s">
        <v>1057</v>
      </c>
      <c r="F1407" s="4">
        <v>45021.75119212963</v>
      </c>
      <c r="G1407" s="3" t="str">
        <f>HYPERLINK("https://hawk-eye.atlassian.net/browse/?atlOrigin=eyJpIjoiYzgwYTQ0ZjEyNzQzNGJhN2JmNjEyZTM0NmRhZWZhNjIiLCJwIjoic2hlZXRzLWppcmEifQ","")</f>
        <v/>
      </c>
      <c r="H1407" s="1" t="s">
        <v>1058</v>
      </c>
      <c r="I1407" s="1" t="s">
        <v>1085</v>
      </c>
      <c r="J1407" s="1" t="s">
        <v>26</v>
      </c>
      <c r="K1407" s="1" t="s">
        <v>1219</v>
      </c>
      <c r="L1407" s="1" t="s">
        <v>26</v>
      </c>
      <c r="M1407" s="1" t="s">
        <v>27</v>
      </c>
      <c r="N1407" s="1" t="s">
        <v>26</v>
      </c>
      <c r="O1407" s="1" t="s">
        <v>26</v>
      </c>
      <c r="P1407" s="4">
        <v>45021.7512037037</v>
      </c>
    </row>
    <row r="1408" hidden="1">
      <c r="A1408" s="1" t="s">
        <v>1055</v>
      </c>
      <c r="B1408" s="3" t="str">
        <f>HYPERLINK("https://hawk-eye.atlassian.net/browse/HWKREPORT-1981?atlOrigin=eyJpIjoiYzgwYTQ0ZjEyNzQzNGJhN2JmNjEyZTM0NmRhZWZhNjIiLCJwIjoic2hlZXRzLWppcmEifQ","HWKREPORT-1981")</f>
        <v>HWKREPORT-1981</v>
      </c>
      <c r="C1408" s="1" t="s">
        <v>2644</v>
      </c>
      <c r="D1408" s="1" t="s">
        <v>48</v>
      </c>
      <c r="E1408" s="1" t="s">
        <v>1207</v>
      </c>
      <c r="F1408" s="4">
        <v>45021.77826388889</v>
      </c>
      <c r="G1408" s="3" t="str">
        <f>HYPERLINK("https://hawk-eye.atlassian.net/browse/AL-764?atlOrigin=eyJpIjoiYzgwYTQ0ZjEyNzQzNGJhN2JmNjEyZTM0NmRhZWZhNjIiLCJwIjoic2hlZXRzLWppcmEifQ","AL-764")</f>
        <v>AL-764</v>
      </c>
      <c r="H1408" s="1" t="s">
        <v>1058</v>
      </c>
      <c r="I1408" s="1" t="s">
        <v>1085</v>
      </c>
      <c r="J1408" s="1" t="s">
        <v>26</v>
      </c>
      <c r="K1408" s="1" t="s">
        <v>1143</v>
      </c>
      <c r="L1408" s="1" t="s">
        <v>26</v>
      </c>
      <c r="M1408" s="1" t="s">
        <v>27</v>
      </c>
      <c r="N1408" s="1" t="s">
        <v>26</v>
      </c>
      <c r="O1408" s="1" t="s">
        <v>26</v>
      </c>
      <c r="P1408" s="4">
        <v>45042.38811342593</v>
      </c>
    </row>
    <row r="1409" hidden="1">
      <c r="A1409" s="1" t="s">
        <v>1055</v>
      </c>
      <c r="B1409" s="3" t="str">
        <f>HYPERLINK("https://hawk-eye.atlassian.net/browse/HWKREPORT-1982?atlOrigin=eyJpIjoiYzgwYTQ0ZjEyNzQzNGJhN2JmNjEyZTM0NmRhZWZhNjIiLCJwIjoic2hlZXRzLWppcmEifQ","HWKREPORT-1982")</f>
        <v>HWKREPORT-1982</v>
      </c>
      <c r="C1409" s="1" t="s">
        <v>2645</v>
      </c>
      <c r="D1409" s="1" t="s">
        <v>48</v>
      </c>
      <c r="E1409" s="1" t="s">
        <v>1207</v>
      </c>
      <c r="F1409" s="4">
        <v>45021.78292824074</v>
      </c>
      <c r="G1409" s="3" t="str">
        <f>HYPERLINK("https://hawk-eye.atlassian.net/browse/AL-765?atlOrigin=eyJpIjoiYzgwYTQ0ZjEyNzQzNGJhN2JmNjEyZTM0NmRhZWZhNjIiLCJwIjoic2hlZXRzLWppcmEifQ","AL-765")</f>
        <v>AL-765</v>
      </c>
      <c r="H1409" s="1" t="s">
        <v>1058</v>
      </c>
      <c r="I1409" s="1" t="s">
        <v>1085</v>
      </c>
      <c r="J1409" s="1" t="s">
        <v>26</v>
      </c>
      <c r="K1409" s="1" t="s">
        <v>1143</v>
      </c>
      <c r="L1409" s="1" t="s">
        <v>26</v>
      </c>
      <c r="M1409" s="1" t="s">
        <v>27</v>
      </c>
      <c r="N1409" s="1" t="s">
        <v>26</v>
      </c>
      <c r="O1409" s="1" t="s">
        <v>26</v>
      </c>
      <c r="P1409" s="4">
        <v>45040.47415509259</v>
      </c>
    </row>
    <row r="1410" hidden="1">
      <c r="A1410" s="1" t="s">
        <v>1055</v>
      </c>
      <c r="B1410" s="3" t="str">
        <f>HYPERLINK("https://hawk-eye.atlassian.net/browse/HWKREPORT-1983?atlOrigin=eyJpIjoiYzgwYTQ0ZjEyNzQzNGJhN2JmNjEyZTM0NmRhZWZhNjIiLCJwIjoic2hlZXRzLWppcmEifQ","HWKREPORT-1983")</f>
        <v>HWKREPORT-1983</v>
      </c>
      <c r="C1410" s="1" t="s">
        <v>2646</v>
      </c>
      <c r="D1410" s="1" t="s">
        <v>48</v>
      </c>
      <c r="E1410" s="1" t="s">
        <v>1207</v>
      </c>
      <c r="F1410" s="4">
        <v>45021.79325231481</v>
      </c>
      <c r="G1410" s="3" t="str">
        <f>HYPERLINK("https://hawk-eye.atlassian.net/issues/?atlOrigin=eyJpIjoiYzgwYTQ0ZjEyNzQzNGJhN2JmNjEyZTM0NmRhZWZhNjIiLCJwIjoic2hlZXRzLWppcmEifQ&amp;jql=key+in+%28TTS-8%2CAL-777%29","TTS-8;AL-777")</f>
        <v>TTS-8;AL-777</v>
      </c>
      <c r="H1410" s="1" t="s">
        <v>1058</v>
      </c>
      <c r="I1410" s="1" t="s">
        <v>1085</v>
      </c>
      <c r="J1410" s="1" t="s">
        <v>26</v>
      </c>
      <c r="K1410" s="1" t="s">
        <v>1717</v>
      </c>
      <c r="L1410" s="1" t="s">
        <v>26</v>
      </c>
      <c r="M1410" s="1" t="s">
        <v>27</v>
      </c>
      <c r="N1410" s="1" t="s">
        <v>26</v>
      </c>
      <c r="O1410" s="1" t="s">
        <v>26</v>
      </c>
      <c r="P1410" s="4">
        <v>45069.65574074074</v>
      </c>
    </row>
    <row r="1411" hidden="1">
      <c r="A1411" s="1" t="s">
        <v>1055</v>
      </c>
      <c r="B1411" s="3" t="str">
        <f>HYPERLINK("https://hawk-eye.atlassian.net/browse/HWKREPORT-1984?atlOrigin=eyJpIjoiYzgwYTQ0ZjEyNzQzNGJhN2JmNjEyZTM0NmRhZWZhNjIiLCJwIjoic2hlZXRzLWppcmEifQ","HWKREPORT-1984")</f>
        <v>HWKREPORT-1984</v>
      </c>
      <c r="C1411" s="1" t="s">
        <v>2647</v>
      </c>
      <c r="D1411" s="1" t="s">
        <v>48</v>
      </c>
      <c r="E1411" s="1" t="s">
        <v>1207</v>
      </c>
      <c r="F1411" s="4">
        <v>45021.79789351852</v>
      </c>
      <c r="G1411" s="3" t="str">
        <f>HYPERLINK("https://hawk-eye.atlassian.net/issues/?atlOrigin=eyJpIjoiYzgwYTQ0ZjEyNzQzNGJhN2JmNjEyZTM0NmRhZWZhNjIiLCJwIjoic2hlZXRzLWppcmEifQ&amp;jql=key+in+%28AL-767%2CAL-766%29","AL-767;AL-766")</f>
        <v>AL-767;AL-766</v>
      </c>
      <c r="H1411" s="1" t="s">
        <v>1058</v>
      </c>
      <c r="I1411" s="1" t="s">
        <v>1085</v>
      </c>
      <c r="J1411" s="1" t="s">
        <v>26</v>
      </c>
      <c r="K1411" s="1" t="s">
        <v>1143</v>
      </c>
      <c r="L1411" s="1" t="s">
        <v>26</v>
      </c>
      <c r="M1411" s="1" t="s">
        <v>27</v>
      </c>
      <c r="N1411" s="1" t="s">
        <v>26</v>
      </c>
      <c r="O1411" s="1" t="s">
        <v>26</v>
      </c>
      <c r="P1411" s="4">
        <v>45084.478946759256</v>
      </c>
    </row>
    <row r="1412" hidden="1">
      <c r="A1412" s="1" t="s">
        <v>21</v>
      </c>
      <c r="B1412" s="3" t="str">
        <f>HYPERLINK("https://hawk-eye.atlassian.net/browse/HWKREPORT-1985?atlOrigin=eyJpIjoiYzgwYTQ0ZjEyNzQzNGJhN2JmNjEyZTM0NmRhZWZhNjIiLCJwIjoic2hlZXRzLWppcmEifQ","HWKREPORT-1985")</f>
        <v>HWKREPORT-1985</v>
      </c>
      <c r="C1412" s="1" t="s">
        <v>2648</v>
      </c>
      <c r="D1412" s="1" t="s">
        <v>23</v>
      </c>
      <c r="E1412" s="1" t="s">
        <v>35</v>
      </c>
      <c r="F1412" s="4">
        <v>45021.97436342593</v>
      </c>
      <c r="G1412" s="3" t="str">
        <f>HYPERLINK("https://hawk-eye.atlassian.net/browse/RTT-6135?atlOrigin=eyJpIjoiYzgwYTQ0ZjEyNzQzNGJhN2JmNjEyZTM0NmRhZWZhNjIiLCJwIjoic2hlZXRzLWppcmEifQ","RTT-6135")</f>
        <v>RTT-6135</v>
      </c>
      <c r="H1412" s="1" t="s">
        <v>1058</v>
      </c>
      <c r="I1412" s="1" t="s">
        <v>1071</v>
      </c>
      <c r="J1412" s="1" t="s">
        <v>26</v>
      </c>
      <c r="K1412" s="1" t="s">
        <v>1072</v>
      </c>
      <c r="L1412" s="1" t="s">
        <v>26</v>
      </c>
      <c r="M1412" s="1" t="s">
        <v>27</v>
      </c>
      <c r="N1412" s="1" t="s">
        <v>26</v>
      </c>
      <c r="O1412" s="1" t="s">
        <v>26</v>
      </c>
      <c r="P1412" s="4">
        <v>45083.72759259259</v>
      </c>
    </row>
    <row r="1413" hidden="1">
      <c r="A1413" s="1" t="s">
        <v>1055</v>
      </c>
      <c r="B1413" s="3" t="str">
        <f>HYPERLINK("https://hawk-eye.atlassian.net/browse/HWKREPORT-1986?atlOrigin=eyJpIjoiYzgwYTQ0ZjEyNzQzNGJhN2JmNjEyZTM0NmRhZWZhNjIiLCJwIjoic2hlZXRzLWppcmEifQ","HWKREPORT-1986")</f>
        <v>HWKREPORT-1986</v>
      </c>
      <c r="C1413" s="1" t="s">
        <v>2649</v>
      </c>
      <c r="D1413" s="1" t="s">
        <v>48</v>
      </c>
      <c r="E1413" s="1" t="s">
        <v>1207</v>
      </c>
      <c r="F1413" s="4">
        <v>45022.76193287037</v>
      </c>
      <c r="G1413" s="3" t="str">
        <f>HYPERLINK("https://hawk-eye.atlassian.net/browse/RTT-6145?atlOrigin=eyJpIjoiYzgwYTQ0ZjEyNzQzNGJhN2JmNjEyZTM0NmRhZWZhNjIiLCJwIjoic2hlZXRzLWppcmEifQ","RTT-6145")</f>
        <v>RTT-6145</v>
      </c>
      <c r="H1413" s="1" t="s">
        <v>1058</v>
      </c>
      <c r="I1413" s="1" t="s">
        <v>1071</v>
      </c>
      <c r="J1413" s="1" t="s">
        <v>26</v>
      </c>
      <c r="K1413" s="1" t="s">
        <v>1072</v>
      </c>
      <c r="L1413" s="1" t="s">
        <v>26</v>
      </c>
      <c r="M1413" s="1" t="s">
        <v>27</v>
      </c>
      <c r="N1413" s="1" t="s">
        <v>26</v>
      </c>
      <c r="O1413" s="1" t="s">
        <v>26</v>
      </c>
      <c r="P1413" s="4">
        <v>45040.68104166666</v>
      </c>
    </row>
    <row r="1414" hidden="1">
      <c r="A1414" s="1" t="s">
        <v>1055</v>
      </c>
      <c r="B1414" s="3" t="str">
        <f>HYPERLINK("https://hawk-eye.atlassian.net/browse/HWKREPORT-1987?atlOrigin=eyJpIjoiYzgwYTQ0ZjEyNzQzNGJhN2JmNjEyZTM0NmRhZWZhNjIiLCJwIjoic2hlZXRzLWppcmEifQ","HWKREPORT-1987")</f>
        <v>HWKREPORT-1987</v>
      </c>
      <c r="C1414" s="1" t="s">
        <v>2650</v>
      </c>
      <c r="D1414" s="1" t="s">
        <v>48</v>
      </c>
      <c r="E1414" s="1" t="s">
        <v>1207</v>
      </c>
      <c r="F1414" s="4">
        <v>45023.01484953704</v>
      </c>
      <c r="G1414" s="3" t="str">
        <f>HYPERLINK("https://hawk-eye.atlassian.net/browse/AL-763?atlOrigin=eyJpIjoiYzgwYTQ0ZjEyNzQzNGJhN2JmNjEyZTM0NmRhZWZhNjIiLCJwIjoic2hlZXRzLWppcmEifQ","AL-763")</f>
        <v>AL-763</v>
      </c>
      <c r="H1414" s="1" t="s">
        <v>1058</v>
      </c>
      <c r="I1414" s="1" t="s">
        <v>1071</v>
      </c>
      <c r="J1414" s="1" t="s">
        <v>26</v>
      </c>
      <c r="K1414" s="1" t="s">
        <v>1143</v>
      </c>
      <c r="L1414" s="1" t="s">
        <v>26</v>
      </c>
      <c r="M1414" s="1" t="s">
        <v>27</v>
      </c>
      <c r="N1414" s="1" t="s">
        <v>26</v>
      </c>
      <c r="O1414" s="1" t="s">
        <v>26</v>
      </c>
      <c r="P1414" s="4">
        <v>45034.64524305556</v>
      </c>
    </row>
    <row r="1415" hidden="1">
      <c r="A1415" s="1" t="s">
        <v>1055</v>
      </c>
      <c r="B1415" s="3" t="str">
        <f>HYPERLINK("https://hawk-eye.atlassian.net/browse/HWKREPORT-1988?atlOrigin=eyJpIjoiYzgwYTQ0ZjEyNzQzNGJhN2JmNjEyZTM0NmRhZWZhNjIiLCJwIjoic2hlZXRzLWppcmEifQ","HWKREPORT-1988")</f>
        <v>HWKREPORT-1988</v>
      </c>
      <c r="C1415" s="1" t="s">
        <v>2651</v>
      </c>
      <c r="D1415" s="1" t="s">
        <v>48</v>
      </c>
      <c r="E1415" s="1" t="s">
        <v>35</v>
      </c>
      <c r="F1415" s="4">
        <v>45023.82958333333</v>
      </c>
      <c r="G1415" s="3" t="str">
        <f>HYPERLINK("https://hawk-eye.atlassian.net/browse/RTT-6146?atlOrigin=eyJpIjoiYzgwYTQ0ZjEyNzQzNGJhN2JmNjEyZTM0NmRhZWZhNjIiLCJwIjoic2hlZXRzLWppcmEifQ","RTT-6146")</f>
        <v>RTT-6146</v>
      </c>
      <c r="H1415" s="1" t="s">
        <v>1058</v>
      </c>
      <c r="I1415" s="1" t="s">
        <v>1071</v>
      </c>
      <c r="J1415" s="1" t="s">
        <v>26</v>
      </c>
      <c r="K1415" s="1" t="s">
        <v>1072</v>
      </c>
      <c r="L1415" s="1" t="s">
        <v>26</v>
      </c>
      <c r="M1415" s="1" t="s">
        <v>27</v>
      </c>
      <c r="N1415" s="1" t="s">
        <v>26</v>
      </c>
      <c r="O1415" s="1" t="s">
        <v>26</v>
      </c>
      <c r="P1415" s="4">
        <v>45216.389861111114</v>
      </c>
    </row>
    <row r="1416" hidden="1">
      <c r="A1416" s="1" t="s">
        <v>21</v>
      </c>
      <c r="B1416" s="3" t="str">
        <f>HYPERLINK("https://hawk-eye.atlassian.net/browse/HWKREPORT-1989?atlOrigin=eyJpIjoiYzgwYTQ0ZjEyNzQzNGJhN2JmNjEyZTM0NmRhZWZhNjIiLCJwIjoic2hlZXRzLWppcmEifQ","HWKREPORT-1989")</f>
        <v>HWKREPORT-1989</v>
      </c>
      <c r="C1416" s="1" t="s">
        <v>2652</v>
      </c>
      <c r="D1416" s="1" t="s">
        <v>23</v>
      </c>
      <c r="E1416" s="1" t="s">
        <v>1057</v>
      </c>
      <c r="F1416" s="4">
        <v>45026.18615740741</v>
      </c>
      <c r="G1416" s="3" t="str">
        <f t="shared" ref="G1416:G1418" si="121">HYPERLINK("https://hawk-eye.atlassian.net/browse/?atlOrigin=eyJpIjoiYzgwYTQ0ZjEyNzQzNGJhN2JmNjEyZTM0NmRhZWZhNjIiLCJwIjoic2hlZXRzLWppcmEifQ","")</f>
        <v/>
      </c>
      <c r="H1416" s="1" t="s">
        <v>1058</v>
      </c>
      <c r="I1416" s="1" t="s">
        <v>1071</v>
      </c>
      <c r="J1416" s="1" t="s">
        <v>26</v>
      </c>
      <c r="K1416" s="1" t="s">
        <v>1130</v>
      </c>
      <c r="L1416" s="1" t="s">
        <v>26</v>
      </c>
      <c r="M1416" s="1" t="s">
        <v>27</v>
      </c>
      <c r="N1416" s="1" t="s">
        <v>26</v>
      </c>
      <c r="O1416" s="1" t="s">
        <v>26</v>
      </c>
      <c r="P1416" s="4">
        <v>45026.18616898148</v>
      </c>
    </row>
    <row r="1417" hidden="1">
      <c r="A1417" s="1" t="s">
        <v>21</v>
      </c>
      <c r="B1417" s="3" t="str">
        <f>HYPERLINK("https://hawk-eye.atlassian.net/browse/HWKREPORT-1990?atlOrigin=eyJpIjoiYzgwYTQ0ZjEyNzQzNGJhN2JmNjEyZTM0NmRhZWZhNjIiLCJwIjoic2hlZXRzLWppcmEifQ","HWKREPORT-1990")</f>
        <v>HWKREPORT-1990</v>
      </c>
      <c r="C1417" s="1" t="s">
        <v>2653</v>
      </c>
      <c r="D1417" s="1" t="s">
        <v>34</v>
      </c>
      <c r="E1417" s="1" t="s">
        <v>1057</v>
      </c>
      <c r="F1417" s="4">
        <v>45026.19724537037</v>
      </c>
      <c r="G1417" s="3" t="str">
        <f t="shared" si="121"/>
        <v/>
      </c>
      <c r="H1417" s="1" t="s">
        <v>1058</v>
      </c>
      <c r="I1417" s="1" t="s">
        <v>1071</v>
      </c>
      <c r="J1417" s="1" t="s">
        <v>26</v>
      </c>
      <c r="K1417" s="1" t="s">
        <v>1130</v>
      </c>
      <c r="L1417" s="1" t="s">
        <v>26</v>
      </c>
      <c r="M1417" s="1" t="s">
        <v>27</v>
      </c>
      <c r="N1417" s="1" t="s">
        <v>26</v>
      </c>
      <c r="O1417" s="1" t="s">
        <v>26</v>
      </c>
      <c r="P1417" s="4">
        <v>45026.19725694445</v>
      </c>
    </row>
    <row r="1418" hidden="1">
      <c r="A1418" s="1" t="s">
        <v>1055</v>
      </c>
      <c r="B1418" s="3" t="str">
        <f>HYPERLINK("https://hawk-eye.atlassian.net/browse/HWKREPORT-1991?atlOrigin=eyJpIjoiYzgwYTQ0ZjEyNzQzNGJhN2JmNjEyZTM0NmRhZWZhNjIiLCJwIjoic2hlZXRzLWppcmEifQ","HWKREPORT-1991")</f>
        <v>HWKREPORT-1991</v>
      </c>
      <c r="C1418" s="1" t="s">
        <v>2654</v>
      </c>
      <c r="D1418" s="1" t="s">
        <v>48</v>
      </c>
      <c r="E1418" s="1" t="s">
        <v>1057</v>
      </c>
      <c r="F1418" s="4">
        <v>45026.59164351852</v>
      </c>
      <c r="G1418" s="3" t="str">
        <f t="shared" si="121"/>
        <v/>
      </c>
      <c r="H1418" s="1" t="s">
        <v>1058</v>
      </c>
      <c r="I1418" s="1" t="s">
        <v>1071</v>
      </c>
      <c r="J1418" s="1" t="s">
        <v>26</v>
      </c>
      <c r="K1418" s="1" t="s">
        <v>1130</v>
      </c>
      <c r="L1418" s="1" t="s">
        <v>26</v>
      </c>
      <c r="M1418" s="1" t="s">
        <v>27</v>
      </c>
      <c r="N1418" s="1" t="s">
        <v>26</v>
      </c>
      <c r="O1418" s="1" t="s">
        <v>26</v>
      </c>
      <c r="P1418" s="4">
        <v>45026.59165509259</v>
      </c>
    </row>
    <row r="1419" hidden="1">
      <c r="A1419" s="1" t="s">
        <v>1055</v>
      </c>
      <c r="B1419" s="3" t="str">
        <f>HYPERLINK("https://hawk-eye.atlassian.net/browse/HWKREPORT-1992?atlOrigin=eyJpIjoiYzgwYTQ0ZjEyNzQzNGJhN2JmNjEyZTM0NmRhZWZhNjIiLCJwIjoic2hlZXRzLWppcmEifQ","HWKREPORT-1992")</f>
        <v>HWKREPORT-1992</v>
      </c>
      <c r="C1419" s="1" t="s">
        <v>2655</v>
      </c>
      <c r="D1419" s="1" t="s">
        <v>48</v>
      </c>
      <c r="E1419" s="1" t="s">
        <v>1207</v>
      </c>
      <c r="F1419" s="4">
        <v>45027.60605324074</v>
      </c>
      <c r="G1419" s="3" t="str">
        <f>HYPERLINK("https://hawk-eye.atlassian.net/issues/?atlOrigin=eyJpIjoiYzgwYTQ0ZjEyNzQzNGJhN2JmNjEyZTM0NmRhZWZhNjIiLCJwIjoic2hlZXRzLWppcmEifQ&amp;jql=key+in+%28TTS-10%2CAL-775%29","TTS-10;AL-775")</f>
        <v>TTS-10;AL-775</v>
      </c>
      <c r="H1419" s="1" t="s">
        <v>1058</v>
      </c>
      <c r="I1419" s="1" t="s">
        <v>1085</v>
      </c>
      <c r="J1419" s="1" t="s">
        <v>26</v>
      </c>
      <c r="K1419" s="1" t="s">
        <v>1717</v>
      </c>
      <c r="L1419" s="1" t="s">
        <v>26</v>
      </c>
      <c r="M1419" s="1" t="s">
        <v>27</v>
      </c>
      <c r="N1419" s="1" t="s">
        <v>26</v>
      </c>
      <c r="O1419" s="1" t="s">
        <v>26</v>
      </c>
      <c r="P1419" s="4">
        <v>45042.388773148145</v>
      </c>
    </row>
    <row r="1420" hidden="1">
      <c r="A1420" s="1" t="s">
        <v>21</v>
      </c>
      <c r="B1420" s="3" t="str">
        <f>HYPERLINK("https://hawk-eye.atlassian.net/browse/HWKREPORT-1993?atlOrigin=eyJpIjoiYzgwYTQ0ZjEyNzQzNGJhN2JmNjEyZTM0NmRhZWZhNjIiLCJwIjoic2hlZXRzLWppcmEifQ","HWKREPORT-1993")</f>
        <v>HWKREPORT-1993</v>
      </c>
      <c r="C1420" s="1" t="s">
        <v>2656</v>
      </c>
      <c r="D1420" s="1" t="s">
        <v>40</v>
      </c>
      <c r="E1420" s="1" t="s">
        <v>35</v>
      </c>
      <c r="F1420" s="4">
        <v>45027.6081712963</v>
      </c>
      <c r="G1420" s="3" t="str">
        <f>HYPERLINK("https://hawk-eye.atlassian.net/browse/CORE-214?atlOrigin=eyJpIjoiYzgwYTQ0ZjEyNzQzNGJhN2JmNjEyZTM0NmRhZWZhNjIiLCJwIjoic2hlZXRzLWppcmEifQ","CORE-214")</f>
        <v>CORE-214</v>
      </c>
      <c r="H1420" s="1" t="s">
        <v>1058</v>
      </c>
      <c r="I1420" s="1" t="s">
        <v>1085</v>
      </c>
      <c r="J1420" s="1" t="s">
        <v>26</v>
      </c>
      <c r="K1420" s="1" t="s">
        <v>1134</v>
      </c>
      <c r="L1420" s="1" t="s">
        <v>26</v>
      </c>
      <c r="M1420" s="1" t="s">
        <v>27</v>
      </c>
      <c r="N1420" s="1" t="s">
        <v>26</v>
      </c>
      <c r="O1420" s="1" t="s">
        <v>26</v>
      </c>
      <c r="P1420" s="4">
        <v>45048.37981481481</v>
      </c>
    </row>
    <row r="1421" hidden="1">
      <c r="A1421" s="1" t="s">
        <v>21</v>
      </c>
      <c r="B1421" s="3" t="str">
        <f>HYPERLINK("https://hawk-eye.atlassian.net/browse/HWKREPORT-1994?atlOrigin=eyJpIjoiYzgwYTQ0ZjEyNzQzNGJhN2JmNjEyZTM0NmRhZWZhNjIiLCJwIjoic2hlZXRzLWppcmEifQ","HWKREPORT-1994")</f>
        <v>HWKREPORT-1994</v>
      </c>
      <c r="C1421" s="1" t="s">
        <v>2657</v>
      </c>
      <c r="D1421" s="1" t="s">
        <v>34</v>
      </c>
      <c r="E1421" s="1" t="s">
        <v>35</v>
      </c>
      <c r="F1421" s="4">
        <v>45027.626388888886</v>
      </c>
      <c r="G1421" s="3" t="str">
        <f>HYPERLINK("https://hawk-eye.atlassian.net/browse/RTT-6156?atlOrigin=eyJpIjoiYzgwYTQ0ZjEyNzQzNGJhN2JmNjEyZTM0NmRhZWZhNjIiLCJwIjoic2hlZXRzLWppcmEifQ","RTT-6156")</f>
        <v>RTT-6156</v>
      </c>
      <c r="H1421" s="1" t="s">
        <v>1058</v>
      </c>
      <c r="I1421" s="1" t="s">
        <v>1085</v>
      </c>
      <c r="J1421" s="1" t="s">
        <v>26</v>
      </c>
      <c r="K1421" s="1" t="s">
        <v>1372</v>
      </c>
      <c r="L1421" s="1" t="s">
        <v>26</v>
      </c>
      <c r="M1421" s="1" t="s">
        <v>27</v>
      </c>
      <c r="N1421" s="1" t="s">
        <v>26</v>
      </c>
      <c r="O1421" s="1" t="s">
        <v>26</v>
      </c>
      <c r="P1421" s="4">
        <v>45041.65107638889</v>
      </c>
    </row>
    <row r="1422" hidden="1">
      <c r="A1422" s="1" t="s">
        <v>1055</v>
      </c>
      <c r="B1422" s="3" t="str">
        <f>HYPERLINK("https://hawk-eye.atlassian.net/browse/HWKREPORT-1995?atlOrigin=eyJpIjoiYzgwYTQ0ZjEyNzQzNGJhN2JmNjEyZTM0NmRhZWZhNjIiLCJwIjoic2hlZXRzLWppcmEifQ","HWKREPORT-1995")</f>
        <v>HWKREPORT-1995</v>
      </c>
      <c r="C1422" s="1" t="s">
        <v>2658</v>
      </c>
      <c r="D1422" s="1" t="s">
        <v>48</v>
      </c>
      <c r="E1422" s="1" t="s">
        <v>1057</v>
      </c>
      <c r="F1422" s="4">
        <v>45027.78331018519</v>
      </c>
      <c r="G1422" s="3" t="str">
        <f>HYPERLINK("https://hawk-eye.atlassian.net/issues/?atlOrigin=eyJpIjoiYzgwYTQ0ZjEyNzQzNGJhN2JmNjEyZTM0NmRhZWZhNjIiLCJwIjoic2hlZXRzLWppcmEifQ&amp;jql=key+in+%28TTS-7%2CAL-774%29","TTS-7;AL-774")</f>
        <v>TTS-7;AL-774</v>
      </c>
      <c r="H1422" s="1" t="s">
        <v>1058</v>
      </c>
      <c r="I1422" s="1" t="s">
        <v>1085</v>
      </c>
      <c r="J1422" s="1" t="s">
        <v>26</v>
      </c>
      <c r="K1422" s="1" t="s">
        <v>1717</v>
      </c>
      <c r="L1422" s="1" t="s">
        <v>26</v>
      </c>
      <c r="M1422" s="1" t="s">
        <v>27</v>
      </c>
      <c r="N1422" s="1" t="s">
        <v>26</v>
      </c>
      <c r="O1422" s="1" t="s">
        <v>26</v>
      </c>
      <c r="P1422" s="4">
        <v>45027.783321759256</v>
      </c>
    </row>
    <row r="1423" hidden="1">
      <c r="A1423" s="1" t="s">
        <v>1055</v>
      </c>
      <c r="B1423" s="3" t="str">
        <f>HYPERLINK("https://hawk-eye.atlassian.net/browse/HWKREPORT-1996?atlOrigin=eyJpIjoiYzgwYTQ0ZjEyNzQzNGJhN2JmNjEyZTM0NmRhZWZhNjIiLCJwIjoic2hlZXRzLWppcmEifQ","HWKREPORT-1996")</f>
        <v>HWKREPORT-1996</v>
      </c>
      <c r="C1423" s="1" t="s">
        <v>2659</v>
      </c>
      <c r="D1423" s="1" t="s">
        <v>48</v>
      </c>
      <c r="E1423" s="1" t="s">
        <v>35</v>
      </c>
      <c r="F1423" s="4">
        <v>45027.82440972222</v>
      </c>
      <c r="G1423" s="3" t="str">
        <f>HYPERLINK("https://hawk-eye.atlassian.net/browse/AL-768?atlOrigin=eyJpIjoiYzgwYTQ0ZjEyNzQzNGJhN2JmNjEyZTM0NmRhZWZhNjIiLCJwIjoic2hlZXRzLWppcmEifQ","AL-768")</f>
        <v>AL-768</v>
      </c>
      <c r="H1423" s="1" t="s">
        <v>1058</v>
      </c>
      <c r="I1423" s="1" t="s">
        <v>1071</v>
      </c>
      <c r="J1423" s="1" t="s">
        <v>26</v>
      </c>
      <c r="K1423" s="1" t="s">
        <v>1276</v>
      </c>
      <c r="L1423" s="1" t="s">
        <v>26</v>
      </c>
      <c r="M1423" s="1" t="s">
        <v>27</v>
      </c>
      <c r="N1423" s="1" t="s">
        <v>26</v>
      </c>
      <c r="O1423" s="1" t="s">
        <v>26</v>
      </c>
      <c r="P1423" s="4">
        <v>45569.57283564815</v>
      </c>
    </row>
    <row r="1424" hidden="1">
      <c r="A1424" s="1" t="s">
        <v>1055</v>
      </c>
      <c r="B1424" s="3" t="str">
        <f>HYPERLINK("https://hawk-eye.atlassian.net/browse/HWKREPORT-1997?atlOrigin=eyJpIjoiYzgwYTQ0ZjEyNzQzNGJhN2JmNjEyZTM0NmRhZWZhNjIiLCJwIjoic2hlZXRzLWppcmEifQ","HWKREPORT-1997")</f>
        <v>HWKREPORT-1997</v>
      </c>
      <c r="C1424" s="1" t="s">
        <v>2660</v>
      </c>
      <c r="D1424" s="1" t="s">
        <v>48</v>
      </c>
      <c r="E1424" s="1" t="s">
        <v>35</v>
      </c>
      <c r="F1424" s="4">
        <v>45027.82760416667</v>
      </c>
      <c r="G1424" s="3" t="str">
        <f>HYPERLINK("https://hawk-eye.atlassian.net/browse/AL-769?atlOrigin=eyJpIjoiYzgwYTQ0ZjEyNzQzNGJhN2JmNjEyZTM0NmRhZWZhNjIiLCJwIjoic2hlZXRzLWppcmEifQ","AL-769")</f>
        <v>AL-769</v>
      </c>
      <c r="H1424" s="1" t="s">
        <v>1058</v>
      </c>
      <c r="I1424" s="1" t="s">
        <v>1071</v>
      </c>
      <c r="J1424" s="1" t="s">
        <v>26</v>
      </c>
      <c r="K1424" s="1" t="s">
        <v>1276</v>
      </c>
      <c r="L1424" s="1" t="s">
        <v>26</v>
      </c>
      <c r="M1424" s="1" t="s">
        <v>27</v>
      </c>
      <c r="N1424" s="1" t="s">
        <v>26</v>
      </c>
      <c r="O1424" s="1" t="s">
        <v>26</v>
      </c>
      <c r="P1424" s="4">
        <v>45569.572847222225</v>
      </c>
    </row>
    <row r="1425" hidden="1">
      <c r="A1425" s="1" t="s">
        <v>1055</v>
      </c>
      <c r="B1425" s="3" t="str">
        <f>HYPERLINK("https://hawk-eye.atlassian.net/browse/HWKREPORT-1998?atlOrigin=eyJpIjoiYzgwYTQ0ZjEyNzQzNGJhN2JmNjEyZTM0NmRhZWZhNjIiLCJwIjoic2hlZXRzLWppcmEifQ","HWKREPORT-1998")</f>
        <v>HWKREPORT-1998</v>
      </c>
      <c r="C1425" s="1" t="s">
        <v>2661</v>
      </c>
      <c r="D1425" s="1" t="s">
        <v>48</v>
      </c>
      <c r="E1425" s="1" t="s">
        <v>35</v>
      </c>
      <c r="F1425" s="4">
        <v>45027.830300925925</v>
      </c>
      <c r="G1425" s="3" t="str">
        <f>HYPERLINK("https://hawk-eye.atlassian.net/browse/AL-770?atlOrigin=eyJpIjoiYzgwYTQ0ZjEyNzQzNGJhN2JmNjEyZTM0NmRhZWZhNjIiLCJwIjoic2hlZXRzLWppcmEifQ","AL-770")</f>
        <v>AL-770</v>
      </c>
      <c r="H1425" s="1" t="s">
        <v>1058</v>
      </c>
      <c r="I1425" s="1" t="s">
        <v>1071</v>
      </c>
      <c r="J1425" s="1" t="s">
        <v>26</v>
      </c>
      <c r="K1425" s="1" t="s">
        <v>1276</v>
      </c>
      <c r="L1425" s="1" t="s">
        <v>26</v>
      </c>
      <c r="M1425" s="1" t="s">
        <v>27</v>
      </c>
      <c r="N1425" s="1" t="s">
        <v>26</v>
      </c>
      <c r="O1425" s="1" t="s">
        <v>26</v>
      </c>
      <c r="P1425" s="4">
        <v>45569.572858796295</v>
      </c>
    </row>
    <row r="1426" hidden="1">
      <c r="A1426" s="1" t="s">
        <v>1055</v>
      </c>
      <c r="B1426" s="3" t="str">
        <f>HYPERLINK("https://hawk-eye.atlassian.net/browse/HWKREPORT-1999?atlOrigin=eyJpIjoiYzgwYTQ0ZjEyNzQzNGJhN2JmNjEyZTM0NmRhZWZhNjIiLCJwIjoic2hlZXRzLWppcmEifQ","HWKREPORT-1999")</f>
        <v>HWKREPORT-1999</v>
      </c>
      <c r="C1426" s="1" t="s">
        <v>2662</v>
      </c>
      <c r="D1426" s="1" t="s">
        <v>48</v>
      </c>
      <c r="E1426" s="1" t="s">
        <v>35</v>
      </c>
      <c r="F1426" s="4">
        <v>45027.836851851855</v>
      </c>
      <c r="G1426" s="3" t="str">
        <f>HYPERLINK("https://hawk-eye.atlassian.net/browse/AL-771?atlOrigin=eyJpIjoiYzgwYTQ0ZjEyNzQzNGJhN2JmNjEyZTM0NmRhZWZhNjIiLCJwIjoic2hlZXRzLWppcmEifQ","AL-771")</f>
        <v>AL-771</v>
      </c>
      <c r="H1426" s="1" t="s">
        <v>1058</v>
      </c>
      <c r="I1426" s="1" t="s">
        <v>1071</v>
      </c>
      <c r="J1426" s="1" t="s">
        <v>26</v>
      </c>
      <c r="K1426" s="1" t="s">
        <v>1276</v>
      </c>
      <c r="L1426" s="1" t="s">
        <v>26</v>
      </c>
      <c r="M1426" s="1" t="s">
        <v>27</v>
      </c>
      <c r="N1426" s="1" t="s">
        <v>26</v>
      </c>
      <c r="O1426" s="1" t="s">
        <v>26</v>
      </c>
      <c r="P1426" s="4">
        <v>45569.57287037037</v>
      </c>
    </row>
    <row r="1427" hidden="1">
      <c r="A1427" s="1" t="s">
        <v>1055</v>
      </c>
      <c r="B1427" s="3" t="str">
        <f>HYPERLINK("https://hawk-eye.atlassian.net/browse/HWKREPORT-2000?atlOrigin=eyJpIjoiYzgwYTQ0ZjEyNzQzNGJhN2JmNjEyZTM0NmRhZWZhNjIiLCJwIjoic2hlZXRzLWppcmEifQ","HWKREPORT-2000")</f>
        <v>HWKREPORT-2000</v>
      </c>
      <c r="C1427" s="1" t="s">
        <v>2663</v>
      </c>
      <c r="D1427" s="1" t="s">
        <v>48</v>
      </c>
      <c r="E1427" s="1" t="s">
        <v>1057</v>
      </c>
      <c r="F1427" s="4">
        <v>45028.45243055555</v>
      </c>
      <c r="G1427" s="3" t="str">
        <f>HYPERLINK("https://hawk-eye.atlassian.net/browse/?atlOrigin=eyJpIjoiYzgwYTQ0ZjEyNzQzNGJhN2JmNjEyZTM0NmRhZWZhNjIiLCJwIjoic2hlZXRzLWppcmEifQ","")</f>
        <v/>
      </c>
      <c r="H1427" s="1" t="s">
        <v>1058</v>
      </c>
      <c r="I1427" s="1" t="s">
        <v>1085</v>
      </c>
      <c r="J1427" s="1" t="s">
        <v>26</v>
      </c>
      <c r="K1427" s="1" t="s">
        <v>1105</v>
      </c>
      <c r="L1427" s="1" t="s">
        <v>26</v>
      </c>
      <c r="M1427" s="1" t="s">
        <v>27</v>
      </c>
      <c r="N1427" s="1" t="s">
        <v>26</v>
      </c>
      <c r="O1427" s="1" t="s">
        <v>26</v>
      </c>
      <c r="P1427" s="4">
        <v>45028.45244212963</v>
      </c>
    </row>
    <row r="1428" hidden="1">
      <c r="A1428" s="1" t="s">
        <v>1055</v>
      </c>
      <c r="B1428" s="3" t="str">
        <f>HYPERLINK("https://hawk-eye.atlassian.net/browse/HWKREPORT-2001?atlOrigin=eyJpIjoiYzgwYTQ0ZjEyNzQzNGJhN2JmNjEyZTM0NmRhZWZhNjIiLCJwIjoic2hlZXRzLWppcmEifQ","HWKREPORT-2001")</f>
        <v>HWKREPORT-2001</v>
      </c>
      <c r="C1428" s="1" t="s">
        <v>2664</v>
      </c>
      <c r="D1428" s="1" t="s">
        <v>48</v>
      </c>
      <c r="E1428" s="1" t="s">
        <v>35</v>
      </c>
      <c r="F1428" s="4">
        <v>45028.51969907407</v>
      </c>
      <c r="G1428" s="3" t="str">
        <f>HYPERLINK("https://hawk-eye.atlassian.net/browse/RTT-6178?atlOrigin=eyJpIjoiYzgwYTQ0ZjEyNzQzNGJhN2JmNjEyZTM0NmRhZWZhNjIiLCJwIjoic2hlZXRzLWppcmEifQ","RTT-6178")</f>
        <v>RTT-6178</v>
      </c>
      <c r="H1428" s="1" t="s">
        <v>1058</v>
      </c>
      <c r="I1428" s="1" t="s">
        <v>1082</v>
      </c>
      <c r="J1428" s="1" t="s">
        <v>26</v>
      </c>
      <c r="K1428" s="1" t="s">
        <v>1173</v>
      </c>
      <c r="L1428" s="1" t="s">
        <v>26</v>
      </c>
      <c r="M1428" s="1" t="s">
        <v>27</v>
      </c>
      <c r="N1428" s="1" t="s">
        <v>26</v>
      </c>
      <c r="O1428" s="1" t="s">
        <v>26</v>
      </c>
      <c r="P1428" s="4">
        <v>45341.555439814816</v>
      </c>
    </row>
    <row r="1429" hidden="1">
      <c r="A1429" s="1" t="s">
        <v>1055</v>
      </c>
      <c r="B1429" s="3" t="str">
        <f>HYPERLINK("https://hawk-eye.atlassian.net/browse/HWKREPORT-2002?atlOrigin=eyJpIjoiYzgwYTQ0ZjEyNzQzNGJhN2JmNjEyZTM0NmRhZWZhNjIiLCJwIjoic2hlZXRzLWppcmEifQ","HWKREPORT-2002")</f>
        <v>HWKREPORT-2002</v>
      </c>
      <c r="C1429" s="1" t="s">
        <v>2665</v>
      </c>
      <c r="D1429" s="1" t="s">
        <v>48</v>
      </c>
      <c r="E1429" s="1" t="s">
        <v>1057</v>
      </c>
      <c r="F1429" s="4">
        <v>45029.55258101852</v>
      </c>
      <c r="G1429" s="3" t="str">
        <f>HYPERLINK("https://hawk-eye.atlassian.net/browse/?atlOrigin=eyJpIjoiYzgwYTQ0ZjEyNzQzNGJhN2JmNjEyZTM0NmRhZWZhNjIiLCJwIjoic2hlZXRzLWppcmEifQ","")</f>
        <v/>
      </c>
      <c r="H1429" s="1" t="s">
        <v>1058</v>
      </c>
      <c r="I1429" s="1" t="s">
        <v>1126</v>
      </c>
      <c r="J1429" s="1" t="s">
        <v>26</v>
      </c>
      <c r="K1429" s="1" t="s">
        <v>1114</v>
      </c>
      <c r="L1429" s="1" t="s">
        <v>26</v>
      </c>
      <c r="M1429" s="1" t="s">
        <v>27</v>
      </c>
      <c r="N1429" s="1" t="s">
        <v>26</v>
      </c>
      <c r="O1429" s="1" t="s">
        <v>26</v>
      </c>
      <c r="P1429" s="4">
        <v>45029.55258101852</v>
      </c>
    </row>
    <row r="1430" hidden="1">
      <c r="A1430" s="1" t="s">
        <v>1055</v>
      </c>
      <c r="B1430" s="3" t="str">
        <f>HYPERLINK("https://hawk-eye.atlassian.net/browse/HWKREPORT-2003?atlOrigin=eyJpIjoiYzgwYTQ0ZjEyNzQzNGJhN2JmNjEyZTM0NmRhZWZhNjIiLCJwIjoic2hlZXRzLWppcmEifQ","HWKREPORT-2003")</f>
        <v>HWKREPORT-2003</v>
      </c>
      <c r="C1430" s="1" t="s">
        <v>2666</v>
      </c>
      <c r="D1430" s="1" t="s">
        <v>48</v>
      </c>
      <c r="E1430" s="1" t="s">
        <v>1057</v>
      </c>
      <c r="F1430" s="4">
        <v>45029.557291666664</v>
      </c>
      <c r="G1430" s="3" t="str">
        <f>HYPERLINK("https://hawk-eye.atlassian.net/browse/GT-1056?atlOrigin=eyJpIjoiYzgwYTQ0ZjEyNzQzNGJhN2JmNjEyZTM0NmRhZWZhNjIiLCJwIjoic2hlZXRzLWppcmEifQ","GT-1056")</f>
        <v>GT-1056</v>
      </c>
      <c r="H1430" s="1" t="s">
        <v>1058</v>
      </c>
      <c r="I1430" s="1" t="s">
        <v>1126</v>
      </c>
      <c r="J1430" s="1" t="s">
        <v>26</v>
      </c>
      <c r="K1430" s="1" t="s">
        <v>1114</v>
      </c>
      <c r="L1430" s="1" t="s">
        <v>26</v>
      </c>
      <c r="M1430" s="1" t="s">
        <v>27</v>
      </c>
      <c r="N1430" s="1" t="s">
        <v>26</v>
      </c>
      <c r="O1430" s="1" t="s">
        <v>26</v>
      </c>
      <c r="P1430" s="4">
        <v>45029.55730324074</v>
      </c>
    </row>
    <row r="1431" hidden="1">
      <c r="A1431" s="1" t="s">
        <v>21</v>
      </c>
      <c r="B1431" s="3" t="str">
        <f>HYPERLINK("https://hawk-eye.atlassian.net/browse/HWKREPORT-2004?atlOrigin=eyJpIjoiYzgwYTQ0ZjEyNzQzNGJhN2JmNjEyZTM0NmRhZWZhNjIiLCJwIjoic2hlZXRzLWppcmEifQ","HWKREPORT-2004")</f>
        <v>HWKREPORT-2004</v>
      </c>
      <c r="C1431" s="1" t="s">
        <v>2667</v>
      </c>
      <c r="D1431" s="1" t="s">
        <v>83</v>
      </c>
      <c r="E1431" s="1" t="s">
        <v>1057</v>
      </c>
      <c r="F1431" s="4">
        <v>45029.56649305556</v>
      </c>
      <c r="G1431" s="3" t="str">
        <f>HYPERLINK("https://hawk-eye.atlassian.net/browse/GT-1148?atlOrigin=eyJpIjoiYzgwYTQ0ZjEyNzQzNGJhN2JmNjEyZTM0NmRhZWZhNjIiLCJwIjoic2hlZXRzLWppcmEifQ","GT-1148")</f>
        <v>GT-1148</v>
      </c>
      <c r="H1431" s="1" t="s">
        <v>1058</v>
      </c>
      <c r="I1431" s="1" t="s">
        <v>1126</v>
      </c>
      <c r="J1431" s="1" t="s">
        <v>26</v>
      </c>
      <c r="K1431" s="1" t="s">
        <v>1114</v>
      </c>
      <c r="L1431" s="1" t="s">
        <v>26</v>
      </c>
      <c r="M1431" s="1" t="s">
        <v>27</v>
      </c>
      <c r="N1431" s="1" t="s">
        <v>26</v>
      </c>
      <c r="O1431" s="1" t="s">
        <v>26</v>
      </c>
      <c r="P1431" s="4">
        <v>45029.56650462963</v>
      </c>
    </row>
    <row r="1432" hidden="1">
      <c r="A1432" s="1" t="s">
        <v>21</v>
      </c>
      <c r="B1432" s="3" t="str">
        <f>HYPERLINK("https://hawk-eye.atlassian.net/browse/HWKREPORT-2005?atlOrigin=eyJpIjoiYzgwYTQ0ZjEyNzQzNGJhN2JmNjEyZTM0NmRhZWZhNjIiLCJwIjoic2hlZXRzLWppcmEifQ","HWKREPORT-2005")</f>
        <v>HWKREPORT-2005</v>
      </c>
      <c r="C1432" s="1" t="s">
        <v>2668</v>
      </c>
      <c r="D1432" s="1" t="s">
        <v>23</v>
      </c>
      <c r="E1432" s="1" t="s">
        <v>1057</v>
      </c>
      <c r="F1432" s="4">
        <v>45029.619155092594</v>
      </c>
      <c r="G1432" s="3" t="str">
        <f>HYPERLINK("https://hawk-eye.atlassian.net/browse/GT-1075?atlOrigin=eyJpIjoiYzgwYTQ0ZjEyNzQzNGJhN2JmNjEyZTM0NmRhZWZhNjIiLCJwIjoic2hlZXRzLWppcmEifQ","GT-1075")</f>
        <v>GT-1075</v>
      </c>
      <c r="H1432" s="1" t="s">
        <v>1058</v>
      </c>
      <c r="I1432" s="1" t="s">
        <v>1082</v>
      </c>
      <c r="J1432" s="1" t="s">
        <v>26</v>
      </c>
      <c r="K1432" s="1" t="s">
        <v>1148</v>
      </c>
      <c r="L1432" s="1" t="s">
        <v>26</v>
      </c>
      <c r="M1432" s="1" t="s">
        <v>27</v>
      </c>
      <c r="N1432" s="1" t="s">
        <v>26</v>
      </c>
      <c r="O1432" s="1" t="s">
        <v>26</v>
      </c>
      <c r="P1432" s="4">
        <v>45029.619166666664</v>
      </c>
    </row>
    <row r="1433" hidden="1">
      <c r="A1433" s="1" t="s">
        <v>21</v>
      </c>
      <c r="B1433" s="3" t="str">
        <f>HYPERLINK("https://hawk-eye.atlassian.net/browse/HWKREPORT-2006?atlOrigin=eyJpIjoiYzgwYTQ0ZjEyNzQzNGJhN2JmNjEyZTM0NmRhZWZhNjIiLCJwIjoic2hlZXRzLWppcmEifQ","HWKREPORT-2006")</f>
        <v>HWKREPORT-2006</v>
      </c>
      <c r="C1433" s="1" t="s">
        <v>2669</v>
      </c>
      <c r="D1433" s="1" t="s">
        <v>48</v>
      </c>
      <c r="E1433" s="1" t="s">
        <v>35</v>
      </c>
      <c r="F1433" s="4">
        <v>45029.62396990741</v>
      </c>
      <c r="G1433" s="3" t="str">
        <f>HYPERLINK("https://hawk-eye.atlassian.net/browse/?atlOrigin=eyJpIjoiYzgwYTQ0ZjEyNzQzNGJhN2JmNjEyZTM0NmRhZWZhNjIiLCJwIjoic2hlZXRzLWppcmEifQ","")</f>
        <v/>
      </c>
      <c r="H1433" s="1" t="s">
        <v>1058</v>
      </c>
      <c r="I1433" s="1" t="s">
        <v>1082</v>
      </c>
      <c r="J1433" s="1" t="s">
        <v>26</v>
      </c>
      <c r="K1433" s="1" t="s">
        <v>1148</v>
      </c>
      <c r="L1433" s="1" t="s">
        <v>26</v>
      </c>
      <c r="M1433" s="1" t="s">
        <v>27</v>
      </c>
      <c r="N1433" s="1" t="s">
        <v>26</v>
      </c>
      <c r="O1433" s="1" t="s">
        <v>26</v>
      </c>
      <c r="P1433" s="4">
        <v>45127.66547453704</v>
      </c>
    </row>
    <row r="1434" hidden="1">
      <c r="A1434" s="1" t="s">
        <v>21</v>
      </c>
      <c r="B1434" s="3" t="str">
        <f>HYPERLINK("https://hawk-eye.atlassian.net/browse/HWKREPORT-2007?atlOrigin=eyJpIjoiYzgwYTQ0ZjEyNzQzNGJhN2JmNjEyZTM0NmRhZWZhNjIiLCJwIjoic2hlZXRzLWppcmEifQ","HWKREPORT-2007")</f>
        <v>HWKREPORT-2007</v>
      </c>
      <c r="C1434" s="1" t="s">
        <v>2670</v>
      </c>
      <c r="D1434" s="1" t="s">
        <v>48</v>
      </c>
      <c r="E1434" s="1" t="s">
        <v>1057</v>
      </c>
      <c r="F1434" s="4">
        <v>45029.63439814815</v>
      </c>
      <c r="G1434" s="3" t="str">
        <f>HYPERLINK("https://hawk-eye.atlassian.net/browse/GT-1269?atlOrigin=eyJpIjoiYzgwYTQ0ZjEyNzQzNGJhN2JmNjEyZTM0NmRhZWZhNjIiLCJwIjoic2hlZXRzLWppcmEifQ","GT-1269")</f>
        <v>GT-1269</v>
      </c>
      <c r="H1434" s="1" t="s">
        <v>1058</v>
      </c>
      <c r="I1434" s="1" t="s">
        <v>1082</v>
      </c>
      <c r="J1434" s="1" t="s">
        <v>26</v>
      </c>
      <c r="K1434" s="1" t="s">
        <v>1148</v>
      </c>
      <c r="L1434" s="1" t="s">
        <v>26</v>
      </c>
      <c r="M1434" s="1" t="s">
        <v>27</v>
      </c>
      <c r="N1434" s="1" t="s">
        <v>26</v>
      </c>
      <c r="O1434" s="1" t="s">
        <v>26</v>
      </c>
      <c r="P1434" s="4">
        <v>45250.494039351855</v>
      </c>
    </row>
    <row r="1435" hidden="1">
      <c r="A1435" s="1" t="s">
        <v>21</v>
      </c>
      <c r="B1435" s="3" t="str">
        <f>HYPERLINK("https://hawk-eye.atlassian.net/browse/HWKREPORT-2008?atlOrigin=eyJpIjoiYzgwYTQ0ZjEyNzQzNGJhN2JmNjEyZTM0NmRhZWZhNjIiLCJwIjoic2hlZXRzLWppcmEifQ","HWKREPORT-2008")</f>
        <v>HWKREPORT-2008</v>
      </c>
      <c r="C1435" s="1" t="s">
        <v>2671</v>
      </c>
      <c r="D1435" s="1" t="s">
        <v>23</v>
      </c>
      <c r="E1435" s="1" t="s">
        <v>1057</v>
      </c>
      <c r="F1435" s="4">
        <v>45029.638136574074</v>
      </c>
      <c r="G1435" s="3" t="str">
        <f>HYPERLINK("https://hawk-eye.atlassian.net/browse/GT-932?atlOrigin=eyJpIjoiYzgwYTQ0ZjEyNzQzNGJhN2JmNjEyZTM0NmRhZWZhNjIiLCJwIjoic2hlZXRzLWppcmEifQ","GT-932")</f>
        <v>GT-932</v>
      </c>
      <c r="H1435" s="1" t="s">
        <v>1058</v>
      </c>
      <c r="I1435" s="1" t="s">
        <v>1082</v>
      </c>
      <c r="J1435" s="1" t="s">
        <v>26</v>
      </c>
      <c r="K1435" s="1" t="s">
        <v>2672</v>
      </c>
      <c r="L1435" s="1" t="s">
        <v>26</v>
      </c>
      <c r="M1435" s="1" t="s">
        <v>27</v>
      </c>
      <c r="N1435" s="1" t="s">
        <v>26</v>
      </c>
      <c r="O1435" s="1" t="s">
        <v>26</v>
      </c>
      <c r="P1435" s="4">
        <v>45029.638136574074</v>
      </c>
    </row>
    <row r="1436" hidden="1">
      <c r="A1436" s="1" t="s">
        <v>21</v>
      </c>
      <c r="B1436" s="3" t="str">
        <f>HYPERLINK("https://hawk-eye.atlassian.net/browse/HWKREPORT-2009?atlOrigin=eyJpIjoiYzgwYTQ0ZjEyNzQzNGJhN2JmNjEyZTM0NmRhZWZhNjIiLCJwIjoic2hlZXRzLWppcmEifQ","HWKREPORT-2009")</f>
        <v>HWKREPORT-2009</v>
      </c>
      <c r="C1436" s="1" t="s">
        <v>2673</v>
      </c>
      <c r="D1436" s="1" t="s">
        <v>34</v>
      </c>
      <c r="E1436" s="1" t="s">
        <v>35</v>
      </c>
      <c r="F1436" s="4">
        <v>45032.78277777778</v>
      </c>
      <c r="G1436" s="3" t="str">
        <f>HYPERLINK("https://hawk-eye.atlassian.net/browse/HWKREPORT-1519?atlOrigin=eyJpIjoiYzgwYTQ0ZjEyNzQzNGJhN2JmNjEyZTM0NmRhZWZhNjIiLCJwIjoic2hlZXRzLWppcmEifQ","HWKREPORT-1519")</f>
        <v>HWKREPORT-1519</v>
      </c>
      <c r="H1436" s="1" t="s">
        <v>1058</v>
      </c>
      <c r="I1436" s="1" t="s">
        <v>1071</v>
      </c>
      <c r="J1436" s="1" t="s">
        <v>26</v>
      </c>
      <c r="K1436" s="1" t="s">
        <v>2674</v>
      </c>
      <c r="L1436" s="1" t="s">
        <v>26</v>
      </c>
      <c r="M1436" s="1" t="s">
        <v>27</v>
      </c>
      <c r="N1436" s="1" t="s">
        <v>26</v>
      </c>
      <c r="O1436" s="1" t="s">
        <v>26</v>
      </c>
      <c r="P1436" s="4">
        <v>45129.50641203704</v>
      </c>
    </row>
    <row r="1437" hidden="1">
      <c r="A1437" s="1" t="s">
        <v>21</v>
      </c>
      <c r="B1437" s="3" t="str">
        <f>HYPERLINK("https://hawk-eye.atlassian.net/browse/HWKREPORT-2010?atlOrigin=eyJpIjoiYzgwYTQ0ZjEyNzQzNGJhN2JmNjEyZTM0NmRhZWZhNjIiLCJwIjoic2hlZXRzLWppcmEifQ","HWKREPORT-2010")</f>
        <v>HWKREPORT-2010</v>
      </c>
      <c r="C1437" s="1" t="s">
        <v>2675</v>
      </c>
      <c r="D1437" s="1" t="s">
        <v>23</v>
      </c>
      <c r="E1437" s="1" t="s">
        <v>1057</v>
      </c>
      <c r="F1437" s="4">
        <v>45033.65893518519</v>
      </c>
      <c r="G1437" s="3" t="str">
        <f>HYPERLINK("https://hawk-eye.atlassian.net/browse/?atlOrigin=eyJpIjoiYzgwYTQ0ZjEyNzQzNGJhN2JmNjEyZTM0NmRhZWZhNjIiLCJwIjoic2hlZXRzLWppcmEifQ","")</f>
        <v/>
      </c>
      <c r="H1437" s="1" t="s">
        <v>1058</v>
      </c>
      <c r="I1437" s="1" t="s">
        <v>1071</v>
      </c>
      <c r="J1437" s="1" t="s">
        <v>26</v>
      </c>
      <c r="K1437" s="1" t="s">
        <v>1130</v>
      </c>
      <c r="L1437" s="1" t="s">
        <v>26</v>
      </c>
      <c r="M1437" s="1" t="s">
        <v>27</v>
      </c>
      <c r="N1437" s="1" t="s">
        <v>26</v>
      </c>
      <c r="O1437" s="1" t="s">
        <v>26</v>
      </c>
      <c r="P1437" s="4">
        <v>45033.65893518519</v>
      </c>
    </row>
    <row r="1438" hidden="1">
      <c r="A1438" s="1" t="s">
        <v>1055</v>
      </c>
      <c r="B1438" s="3" t="str">
        <f>HYPERLINK("https://hawk-eye.atlassian.net/browse/HWKREPORT-2011?atlOrigin=eyJpIjoiYzgwYTQ0ZjEyNzQzNGJhN2JmNjEyZTM0NmRhZWZhNjIiLCJwIjoic2hlZXRzLWppcmEifQ","HWKREPORT-2011")</f>
        <v>HWKREPORT-2011</v>
      </c>
      <c r="C1438" s="1" t="s">
        <v>2676</v>
      </c>
      <c r="D1438" s="1" t="s">
        <v>48</v>
      </c>
      <c r="E1438" s="1" t="s">
        <v>35</v>
      </c>
      <c r="F1438" s="4">
        <v>45033.744050925925</v>
      </c>
      <c r="G1438" s="3" t="str">
        <f>HYPERLINK("https://hawk-eye.atlassian.net/browse/RTT-6190?atlOrigin=eyJpIjoiYzgwYTQ0ZjEyNzQzNGJhN2JmNjEyZTM0NmRhZWZhNjIiLCJwIjoic2hlZXRzLWppcmEifQ","RTT-6190")</f>
        <v>RTT-6190</v>
      </c>
      <c r="H1438" s="1" t="s">
        <v>1058</v>
      </c>
      <c r="I1438" s="1" t="s">
        <v>28</v>
      </c>
      <c r="J1438" s="1" t="s">
        <v>26</v>
      </c>
      <c r="K1438" s="1" t="s">
        <v>1072</v>
      </c>
      <c r="L1438" s="1" t="s">
        <v>26</v>
      </c>
      <c r="M1438" s="1" t="s">
        <v>27</v>
      </c>
      <c r="N1438" s="1" t="s">
        <v>26</v>
      </c>
      <c r="O1438" s="1" t="s">
        <v>26</v>
      </c>
      <c r="P1438" s="4">
        <v>45524.730520833335</v>
      </c>
    </row>
    <row r="1439" hidden="1">
      <c r="A1439" s="1" t="s">
        <v>21</v>
      </c>
      <c r="B1439" s="3" t="str">
        <f>HYPERLINK("https://hawk-eye.atlassian.net/browse/HWKREPORT-2012?atlOrigin=eyJpIjoiYzgwYTQ0ZjEyNzQzNGJhN2JmNjEyZTM0NmRhZWZhNjIiLCJwIjoic2hlZXRzLWppcmEifQ","HWKREPORT-2012")</f>
        <v>HWKREPORT-2012</v>
      </c>
      <c r="C1439" s="1" t="s">
        <v>2677</v>
      </c>
      <c r="D1439" s="1" t="s">
        <v>23</v>
      </c>
      <c r="E1439" s="1" t="s">
        <v>1207</v>
      </c>
      <c r="F1439" s="4">
        <v>45034.03984953704</v>
      </c>
      <c r="G1439" s="3" t="str">
        <f>HYPERLINK("https://hawk-eye.atlassian.net/browse/RTT-6184?atlOrigin=eyJpIjoiYzgwYTQ0ZjEyNzQzNGJhN2JmNjEyZTM0NmRhZWZhNjIiLCJwIjoic2hlZXRzLWppcmEifQ","RTT-6184")</f>
        <v>RTT-6184</v>
      </c>
      <c r="H1439" s="1" t="s">
        <v>1058</v>
      </c>
      <c r="I1439" s="1" t="s">
        <v>1071</v>
      </c>
      <c r="J1439" s="1" t="s">
        <v>26</v>
      </c>
      <c r="K1439" s="1" t="s">
        <v>1072</v>
      </c>
      <c r="L1439" s="1" t="s">
        <v>26</v>
      </c>
      <c r="M1439" s="1" t="s">
        <v>27</v>
      </c>
      <c r="N1439" s="1" t="s">
        <v>26</v>
      </c>
      <c r="O1439" s="1" t="s">
        <v>26</v>
      </c>
      <c r="P1439" s="4">
        <v>45055.393645833334</v>
      </c>
    </row>
    <row r="1440" hidden="1">
      <c r="A1440" s="1" t="s">
        <v>21</v>
      </c>
      <c r="B1440" s="3" t="str">
        <f>HYPERLINK("https://hawk-eye.atlassian.net/browse/HWKREPORT-2013?atlOrigin=eyJpIjoiYzgwYTQ0ZjEyNzQzNGJhN2JmNjEyZTM0NmRhZWZhNjIiLCJwIjoic2hlZXRzLWppcmEifQ","HWKREPORT-2013")</f>
        <v>HWKREPORT-2013</v>
      </c>
      <c r="C1440" s="1" t="s">
        <v>2678</v>
      </c>
      <c r="D1440" s="1" t="s">
        <v>23</v>
      </c>
      <c r="E1440" s="1" t="s">
        <v>1057</v>
      </c>
      <c r="F1440" s="4">
        <v>45034.04289351852</v>
      </c>
      <c r="G1440" s="3" t="str">
        <f>HYPERLINK("https://hawk-eye.atlassian.net/browse/BDP-1322?atlOrigin=eyJpIjoiYzgwYTQ0ZjEyNzQzNGJhN2JmNjEyZTM0NmRhZWZhNjIiLCJwIjoic2hlZXRzLWppcmEifQ","BDP-1322")</f>
        <v>BDP-1322</v>
      </c>
      <c r="H1440" s="1" t="s">
        <v>1058</v>
      </c>
      <c r="I1440" s="1" t="s">
        <v>1071</v>
      </c>
      <c r="J1440" s="1" t="s">
        <v>26</v>
      </c>
      <c r="K1440" s="1" t="s">
        <v>1130</v>
      </c>
      <c r="L1440" s="1" t="s">
        <v>26</v>
      </c>
      <c r="M1440" s="1" t="s">
        <v>27</v>
      </c>
      <c r="N1440" s="1" t="s">
        <v>26</v>
      </c>
      <c r="O1440" s="1" t="s">
        <v>26</v>
      </c>
      <c r="P1440" s="4">
        <v>45034.042905092596</v>
      </c>
    </row>
    <row r="1441" hidden="1">
      <c r="A1441" s="1" t="s">
        <v>1055</v>
      </c>
      <c r="B1441" s="3" t="str">
        <f>HYPERLINK("https://hawk-eye.atlassian.net/browse/HWKREPORT-2014?atlOrigin=eyJpIjoiYzgwYTQ0ZjEyNzQzNGJhN2JmNjEyZTM0NmRhZWZhNjIiLCJwIjoic2hlZXRzLWppcmEifQ","HWKREPORT-2014")</f>
        <v>HWKREPORT-2014</v>
      </c>
      <c r="C1441" s="1" t="s">
        <v>2679</v>
      </c>
      <c r="D1441" s="1" t="s">
        <v>48</v>
      </c>
      <c r="E1441" s="1" t="s">
        <v>35</v>
      </c>
      <c r="F1441" s="4">
        <v>45034.045115740744</v>
      </c>
      <c r="G1441" s="3" t="str">
        <f t="shared" ref="G1441:G1452" si="122">HYPERLINK("https://hawk-eye.atlassian.net/browse/?atlOrigin=eyJpIjoiYzgwYTQ0ZjEyNzQzNGJhN2JmNjEyZTM0NmRhZWZhNjIiLCJwIjoic2hlZXRzLWppcmEifQ","")</f>
        <v/>
      </c>
      <c r="H1441" s="1" t="s">
        <v>1058</v>
      </c>
      <c r="I1441" s="1" t="s">
        <v>1071</v>
      </c>
      <c r="J1441" s="1" t="s">
        <v>26</v>
      </c>
      <c r="K1441" s="1" t="s">
        <v>1717</v>
      </c>
      <c r="L1441" s="1" t="s">
        <v>26</v>
      </c>
      <c r="M1441" s="1" t="s">
        <v>27</v>
      </c>
      <c r="N1441" s="1" t="s">
        <v>26</v>
      </c>
      <c r="O1441" s="1" t="s">
        <v>26</v>
      </c>
      <c r="P1441" s="4">
        <v>45352.58090277778</v>
      </c>
    </row>
    <row r="1442" hidden="1">
      <c r="A1442" s="1" t="s">
        <v>1055</v>
      </c>
      <c r="B1442" s="3" t="str">
        <f>HYPERLINK("https://hawk-eye.atlassian.net/browse/HWKREPORT-2015?atlOrigin=eyJpIjoiYzgwYTQ0ZjEyNzQzNGJhN2JmNjEyZTM0NmRhZWZhNjIiLCJwIjoic2hlZXRzLWppcmEifQ","HWKREPORT-2015")</f>
        <v>HWKREPORT-2015</v>
      </c>
      <c r="C1442" s="1" t="s">
        <v>2680</v>
      </c>
      <c r="D1442" s="1" t="s">
        <v>48</v>
      </c>
      <c r="E1442" s="1" t="s">
        <v>35</v>
      </c>
      <c r="F1442" s="4">
        <v>45034.04733796296</v>
      </c>
      <c r="G1442" s="3" t="str">
        <f t="shared" si="122"/>
        <v/>
      </c>
      <c r="H1442" s="1" t="s">
        <v>1058</v>
      </c>
      <c r="I1442" s="1" t="s">
        <v>1071</v>
      </c>
      <c r="J1442" s="1" t="s">
        <v>26</v>
      </c>
      <c r="K1442" s="1" t="s">
        <v>1717</v>
      </c>
      <c r="L1442" s="1" t="s">
        <v>26</v>
      </c>
      <c r="M1442" s="1" t="s">
        <v>27</v>
      </c>
      <c r="N1442" s="1" t="s">
        <v>26</v>
      </c>
      <c r="O1442" s="1" t="s">
        <v>26</v>
      </c>
      <c r="P1442" s="4">
        <v>45352.58075231482</v>
      </c>
    </row>
    <row r="1443" hidden="1">
      <c r="A1443" s="1" t="s">
        <v>1055</v>
      </c>
      <c r="B1443" s="3" t="str">
        <f>HYPERLINK("https://hawk-eye.atlassian.net/browse/HWKREPORT-2016?atlOrigin=eyJpIjoiYzgwYTQ0ZjEyNzQzNGJhN2JmNjEyZTM0NmRhZWZhNjIiLCJwIjoic2hlZXRzLWppcmEifQ","HWKREPORT-2016")</f>
        <v>HWKREPORT-2016</v>
      </c>
      <c r="C1443" s="1" t="s">
        <v>2681</v>
      </c>
      <c r="D1443" s="1" t="s">
        <v>48</v>
      </c>
      <c r="E1443" s="1" t="s">
        <v>35</v>
      </c>
      <c r="F1443" s="4">
        <v>45034.04896990741</v>
      </c>
      <c r="G1443" s="3" t="str">
        <f t="shared" si="122"/>
        <v/>
      </c>
      <c r="H1443" s="1" t="s">
        <v>1058</v>
      </c>
      <c r="I1443" s="1" t="s">
        <v>1071</v>
      </c>
      <c r="J1443" s="1" t="s">
        <v>26</v>
      </c>
      <c r="K1443" s="1" t="s">
        <v>1717</v>
      </c>
      <c r="L1443" s="1" t="s">
        <v>26</v>
      </c>
      <c r="M1443" s="1" t="s">
        <v>27</v>
      </c>
      <c r="N1443" s="1" t="s">
        <v>26</v>
      </c>
      <c r="O1443" s="1" t="s">
        <v>26</v>
      </c>
      <c r="P1443" s="4">
        <v>45352.58043981482</v>
      </c>
    </row>
    <row r="1444" hidden="1">
      <c r="A1444" s="1" t="s">
        <v>1055</v>
      </c>
      <c r="B1444" s="3" t="str">
        <f>HYPERLINK("https://hawk-eye.atlassian.net/browse/HWKREPORT-2017?atlOrigin=eyJpIjoiYzgwYTQ0ZjEyNzQzNGJhN2JmNjEyZTM0NmRhZWZhNjIiLCJwIjoic2hlZXRzLWppcmEifQ","HWKREPORT-2017")</f>
        <v>HWKREPORT-2017</v>
      </c>
      <c r="C1444" s="1" t="s">
        <v>2682</v>
      </c>
      <c r="D1444" s="1" t="s">
        <v>48</v>
      </c>
      <c r="E1444" s="1" t="s">
        <v>35</v>
      </c>
      <c r="F1444" s="4">
        <v>45034.0496875</v>
      </c>
      <c r="G1444" s="3" t="str">
        <f t="shared" si="122"/>
        <v/>
      </c>
      <c r="H1444" s="1" t="s">
        <v>1058</v>
      </c>
      <c r="I1444" s="1" t="s">
        <v>1071</v>
      </c>
      <c r="J1444" s="1" t="s">
        <v>26</v>
      </c>
      <c r="K1444" s="1" t="s">
        <v>1717</v>
      </c>
      <c r="L1444" s="1" t="s">
        <v>26</v>
      </c>
      <c r="M1444" s="1" t="s">
        <v>27</v>
      </c>
      <c r="N1444" s="1" t="s">
        <v>26</v>
      </c>
      <c r="O1444" s="1" t="s">
        <v>26</v>
      </c>
      <c r="P1444" s="4">
        <v>45352.58060185185</v>
      </c>
    </row>
    <row r="1445" hidden="1">
      <c r="A1445" s="1" t="s">
        <v>21</v>
      </c>
      <c r="B1445" s="3" t="str">
        <f>HYPERLINK("https://hawk-eye.atlassian.net/browse/HWKREPORT-2018?atlOrigin=eyJpIjoiYzgwYTQ0ZjEyNzQzNGJhN2JmNjEyZTM0NmRhZWZhNjIiLCJwIjoic2hlZXRzLWppcmEifQ","HWKREPORT-2018")</f>
        <v>HWKREPORT-2018</v>
      </c>
      <c r="C1445" s="1" t="s">
        <v>2683</v>
      </c>
      <c r="D1445" s="1" t="s">
        <v>83</v>
      </c>
      <c r="E1445" s="1" t="s">
        <v>35</v>
      </c>
      <c r="F1445" s="4">
        <v>45034.24653935185</v>
      </c>
      <c r="G1445" s="3" t="str">
        <f t="shared" si="122"/>
        <v/>
      </c>
      <c r="H1445" s="1" t="s">
        <v>1058</v>
      </c>
      <c r="I1445" s="1" t="s">
        <v>1082</v>
      </c>
      <c r="J1445" s="1" t="s">
        <v>26</v>
      </c>
      <c r="K1445" s="1" t="s">
        <v>1700</v>
      </c>
      <c r="L1445" s="1" t="s">
        <v>26</v>
      </c>
      <c r="M1445" s="1" t="s">
        <v>27</v>
      </c>
      <c r="N1445" s="1" t="s">
        <v>26</v>
      </c>
      <c r="O1445" s="1" t="s">
        <v>26</v>
      </c>
      <c r="P1445" s="4">
        <v>45714.40483796296</v>
      </c>
    </row>
    <row r="1446" hidden="1">
      <c r="A1446" s="1" t="s">
        <v>21</v>
      </c>
      <c r="B1446" s="3" t="str">
        <f>HYPERLINK("https://hawk-eye.atlassian.net/browse/HWKREPORT-2019?atlOrigin=eyJpIjoiYzgwYTQ0ZjEyNzQzNGJhN2JmNjEyZTM0NmRhZWZhNjIiLCJwIjoic2hlZXRzLWppcmEifQ","HWKREPORT-2019")</f>
        <v>HWKREPORT-2019</v>
      </c>
      <c r="C1446" s="1" t="s">
        <v>2684</v>
      </c>
      <c r="D1446" s="1" t="s">
        <v>83</v>
      </c>
      <c r="E1446" s="1" t="s">
        <v>35</v>
      </c>
      <c r="F1446" s="4">
        <v>45034.251226851855</v>
      </c>
      <c r="G1446" s="3" t="str">
        <f t="shared" si="122"/>
        <v/>
      </c>
      <c r="H1446" s="1" t="s">
        <v>1058</v>
      </c>
      <c r="I1446" s="1" t="s">
        <v>1082</v>
      </c>
      <c r="J1446" s="1" t="s">
        <v>26</v>
      </c>
      <c r="K1446" s="1" t="s">
        <v>1700</v>
      </c>
      <c r="L1446" s="1" t="s">
        <v>26</v>
      </c>
      <c r="M1446" s="1" t="s">
        <v>27</v>
      </c>
      <c r="N1446" s="1" t="s">
        <v>26</v>
      </c>
      <c r="O1446" s="1" t="s">
        <v>26</v>
      </c>
      <c r="P1446" s="4">
        <v>45714.40490740741</v>
      </c>
    </row>
    <row r="1447" hidden="1">
      <c r="A1447" s="1" t="s">
        <v>21</v>
      </c>
      <c r="B1447" s="3" t="str">
        <f>HYPERLINK("https://hawk-eye.atlassian.net/browse/HWKREPORT-2020?atlOrigin=eyJpIjoiYzgwYTQ0ZjEyNzQzNGJhN2JmNjEyZTM0NmRhZWZhNjIiLCJwIjoic2hlZXRzLWppcmEifQ","HWKREPORT-2020")</f>
        <v>HWKREPORT-2020</v>
      </c>
      <c r="C1447" s="1" t="s">
        <v>2685</v>
      </c>
      <c r="D1447" s="1" t="s">
        <v>83</v>
      </c>
      <c r="E1447" s="1" t="s">
        <v>35</v>
      </c>
      <c r="F1447" s="4">
        <v>45034.255381944444</v>
      </c>
      <c r="G1447" s="3" t="str">
        <f t="shared" si="122"/>
        <v/>
      </c>
      <c r="H1447" s="1" t="s">
        <v>1058</v>
      </c>
      <c r="I1447" s="1" t="s">
        <v>1082</v>
      </c>
      <c r="J1447" s="1" t="s">
        <v>26</v>
      </c>
      <c r="K1447" s="1" t="s">
        <v>1700</v>
      </c>
      <c r="L1447" s="1" t="s">
        <v>26</v>
      </c>
      <c r="M1447" s="1" t="s">
        <v>27</v>
      </c>
      <c r="N1447" s="1" t="s">
        <v>26</v>
      </c>
      <c r="O1447" s="1" t="s">
        <v>26</v>
      </c>
      <c r="P1447" s="4">
        <v>45714.40505787037</v>
      </c>
    </row>
    <row r="1448" hidden="1">
      <c r="A1448" s="1" t="s">
        <v>21</v>
      </c>
      <c r="B1448" s="3" t="str">
        <f>HYPERLINK("https://hawk-eye.atlassian.net/browse/HWKREPORT-2021?atlOrigin=eyJpIjoiYzgwYTQ0ZjEyNzQzNGJhN2JmNjEyZTM0NmRhZWZhNjIiLCJwIjoic2hlZXRzLWppcmEifQ","HWKREPORT-2021")</f>
        <v>HWKREPORT-2021</v>
      </c>
      <c r="C1448" s="1" t="s">
        <v>2686</v>
      </c>
      <c r="D1448" s="1" t="s">
        <v>83</v>
      </c>
      <c r="E1448" s="1" t="s">
        <v>35</v>
      </c>
      <c r="F1448" s="4">
        <v>45034.25960648148</v>
      </c>
      <c r="G1448" s="3" t="str">
        <f t="shared" si="122"/>
        <v/>
      </c>
      <c r="H1448" s="1" t="s">
        <v>1058</v>
      </c>
      <c r="I1448" s="1" t="s">
        <v>1082</v>
      </c>
      <c r="J1448" s="1" t="s">
        <v>26</v>
      </c>
      <c r="K1448" s="1" t="s">
        <v>1700</v>
      </c>
      <c r="L1448" s="1" t="s">
        <v>26</v>
      </c>
      <c r="M1448" s="1" t="s">
        <v>27</v>
      </c>
      <c r="N1448" s="1" t="s">
        <v>26</v>
      </c>
      <c r="O1448" s="1" t="s">
        <v>26</v>
      </c>
      <c r="P1448" s="4">
        <v>45714.40513888889</v>
      </c>
    </row>
    <row r="1449" hidden="1">
      <c r="A1449" s="1" t="s">
        <v>21</v>
      </c>
      <c r="B1449" s="3" t="str">
        <f>HYPERLINK("https://hawk-eye.atlassian.net/browse/HWKREPORT-2022?atlOrigin=eyJpIjoiYzgwYTQ0ZjEyNzQzNGJhN2JmNjEyZTM0NmRhZWZhNjIiLCJwIjoic2hlZXRzLWppcmEifQ","HWKREPORT-2022")</f>
        <v>HWKREPORT-2022</v>
      </c>
      <c r="C1449" s="1" t="s">
        <v>2687</v>
      </c>
      <c r="D1449" s="1" t="s">
        <v>83</v>
      </c>
      <c r="E1449" s="1" t="s">
        <v>35</v>
      </c>
      <c r="F1449" s="4">
        <v>45034.35451388889</v>
      </c>
      <c r="G1449" s="3" t="str">
        <f t="shared" si="122"/>
        <v/>
      </c>
      <c r="H1449" s="1" t="s">
        <v>1058</v>
      </c>
      <c r="I1449" s="1" t="s">
        <v>1082</v>
      </c>
      <c r="J1449" s="1" t="s">
        <v>26</v>
      </c>
      <c r="K1449" s="1" t="s">
        <v>1700</v>
      </c>
      <c r="L1449" s="1" t="s">
        <v>26</v>
      </c>
      <c r="M1449" s="1" t="s">
        <v>27</v>
      </c>
      <c r="N1449" s="1" t="s">
        <v>26</v>
      </c>
      <c r="O1449" s="1" t="s">
        <v>26</v>
      </c>
      <c r="P1449" s="4">
        <v>45714.40525462963</v>
      </c>
    </row>
    <row r="1450" hidden="1">
      <c r="A1450" s="1" t="s">
        <v>21</v>
      </c>
      <c r="B1450" s="3" t="str">
        <f>HYPERLINK("https://hawk-eye.atlassian.net/browse/HWKREPORT-2023?atlOrigin=eyJpIjoiYzgwYTQ0ZjEyNzQzNGJhN2JmNjEyZTM0NmRhZWZhNjIiLCJwIjoic2hlZXRzLWppcmEifQ","HWKREPORT-2023")</f>
        <v>HWKREPORT-2023</v>
      </c>
      <c r="C1450" s="1" t="s">
        <v>2688</v>
      </c>
      <c r="D1450" s="1" t="s">
        <v>83</v>
      </c>
      <c r="E1450" s="1" t="s">
        <v>35</v>
      </c>
      <c r="F1450" s="4">
        <v>45034.35633101852</v>
      </c>
      <c r="G1450" s="3" t="str">
        <f t="shared" si="122"/>
        <v/>
      </c>
      <c r="H1450" s="1" t="s">
        <v>1058</v>
      </c>
      <c r="I1450" s="1" t="s">
        <v>1082</v>
      </c>
      <c r="J1450" s="1" t="s">
        <v>26</v>
      </c>
      <c r="K1450" s="1" t="s">
        <v>1700</v>
      </c>
      <c r="L1450" s="1" t="s">
        <v>26</v>
      </c>
      <c r="M1450" s="1" t="s">
        <v>27</v>
      </c>
      <c r="N1450" s="1" t="s">
        <v>26</v>
      </c>
      <c r="O1450" s="1" t="s">
        <v>26</v>
      </c>
      <c r="P1450" s="4">
        <v>45714.405335648145</v>
      </c>
    </row>
    <row r="1451" hidden="1">
      <c r="A1451" s="1" t="s">
        <v>21</v>
      </c>
      <c r="B1451" s="3" t="str">
        <f>HYPERLINK("https://hawk-eye.atlassian.net/browse/HWKREPORT-2024?atlOrigin=eyJpIjoiYzgwYTQ0ZjEyNzQzNGJhN2JmNjEyZTM0NmRhZWZhNjIiLCJwIjoic2hlZXRzLWppcmEifQ","HWKREPORT-2024")</f>
        <v>HWKREPORT-2024</v>
      </c>
      <c r="C1451" s="1" t="s">
        <v>2689</v>
      </c>
      <c r="D1451" s="1" t="s">
        <v>83</v>
      </c>
      <c r="E1451" s="1" t="s">
        <v>35</v>
      </c>
      <c r="F1451" s="4">
        <v>45034.35873842592</v>
      </c>
      <c r="G1451" s="3" t="str">
        <f t="shared" si="122"/>
        <v/>
      </c>
      <c r="H1451" s="1" t="s">
        <v>1058</v>
      </c>
      <c r="I1451" s="1" t="s">
        <v>1082</v>
      </c>
      <c r="J1451" s="1" t="s">
        <v>26</v>
      </c>
      <c r="K1451" s="1" t="s">
        <v>1700</v>
      </c>
      <c r="L1451" s="1" t="s">
        <v>26</v>
      </c>
      <c r="M1451" s="1" t="s">
        <v>27</v>
      </c>
      <c r="N1451" s="1" t="s">
        <v>26</v>
      </c>
      <c r="O1451" s="1" t="s">
        <v>26</v>
      </c>
      <c r="P1451" s="4">
        <v>45714.40542824074</v>
      </c>
    </row>
    <row r="1452" hidden="1">
      <c r="A1452" s="1" t="s">
        <v>1055</v>
      </c>
      <c r="B1452" s="3" t="str">
        <f>HYPERLINK("https://hawk-eye.atlassian.net/browse/HWKREPORT-2025?atlOrigin=eyJpIjoiYzgwYTQ0ZjEyNzQzNGJhN2JmNjEyZTM0NmRhZWZhNjIiLCJwIjoic2hlZXRzLWppcmEifQ","HWKREPORT-2025")</f>
        <v>HWKREPORT-2025</v>
      </c>
      <c r="C1452" s="1" t="s">
        <v>2690</v>
      </c>
      <c r="D1452" s="1" t="s">
        <v>48</v>
      </c>
      <c r="E1452" s="1" t="s">
        <v>1057</v>
      </c>
      <c r="F1452" s="4">
        <v>45035.58951388889</v>
      </c>
      <c r="G1452" s="3" t="str">
        <f t="shared" si="122"/>
        <v/>
      </c>
      <c r="H1452" s="1" t="s">
        <v>1058</v>
      </c>
      <c r="I1452" s="1" t="s">
        <v>1085</v>
      </c>
      <c r="J1452" s="1" t="s">
        <v>26</v>
      </c>
      <c r="K1452" s="1" t="s">
        <v>1219</v>
      </c>
      <c r="L1452" s="1" t="s">
        <v>26</v>
      </c>
      <c r="M1452" s="1" t="s">
        <v>27</v>
      </c>
      <c r="N1452" s="1" t="s">
        <v>26</v>
      </c>
      <c r="O1452" s="1" t="s">
        <v>26</v>
      </c>
      <c r="P1452" s="4">
        <v>45035.589525462965</v>
      </c>
    </row>
    <row r="1453" hidden="1">
      <c r="A1453" s="1" t="s">
        <v>21</v>
      </c>
      <c r="B1453" s="3" t="str">
        <f>HYPERLINK("https://hawk-eye.atlassian.net/browse/HWKREPORT-2026?atlOrigin=eyJpIjoiYzgwYTQ0ZjEyNzQzNGJhN2JmNjEyZTM0NmRhZWZhNjIiLCJwIjoic2hlZXRzLWppcmEifQ","HWKREPORT-2026")</f>
        <v>HWKREPORT-2026</v>
      </c>
      <c r="C1453" s="1" t="s">
        <v>2691</v>
      </c>
      <c r="D1453" s="1" t="s">
        <v>23</v>
      </c>
      <c r="E1453" s="1" t="s">
        <v>1207</v>
      </c>
      <c r="F1453" s="4">
        <v>45035.913194444445</v>
      </c>
      <c r="G1453" s="3" t="str">
        <f>HYPERLINK("https://hawk-eye.atlassian.net/browse/RTT-6217?atlOrigin=eyJpIjoiYzgwYTQ0ZjEyNzQzNGJhN2JmNjEyZTM0NmRhZWZhNjIiLCJwIjoic2hlZXRzLWppcmEifQ","RTT-6217")</f>
        <v>RTT-6217</v>
      </c>
      <c r="H1453" s="1" t="s">
        <v>1058</v>
      </c>
      <c r="I1453" s="1" t="s">
        <v>1071</v>
      </c>
      <c r="J1453" s="1" t="s">
        <v>26</v>
      </c>
      <c r="K1453" s="1" t="s">
        <v>1099</v>
      </c>
      <c r="L1453" s="1" t="s">
        <v>26</v>
      </c>
      <c r="M1453" s="1" t="s">
        <v>27</v>
      </c>
      <c r="N1453" s="1" t="s">
        <v>26</v>
      </c>
      <c r="O1453" s="1" t="s">
        <v>26</v>
      </c>
      <c r="P1453" s="4">
        <v>45057.39775462963</v>
      </c>
    </row>
    <row r="1454" hidden="1">
      <c r="A1454" s="1" t="s">
        <v>21</v>
      </c>
      <c r="B1454" s="3" t="str">
        <f>HYPERLINK("https://hawk-eye.atlassian.net/browse/HWKREPORT-2027?atlOrigin=eyJpIjoiYzgwYTQ0ZjEyNzQzNGJhN2JmNjEyZTM0NmRhZWZhNjIiLCJwIjoic2hlZXRzLWppcmEifQ","HWKREPORT-2027")</f>
        <v>HWKREPORT-2027</v>
      </c>
      <c r="C1454" s="1" t="s">
        <v>2692</v>
      </c>
      <c r="D1454" s="1" t="s">
        <v>48</v>
      </c>
      <c r="E1454" s="1" t="s">
        <v>1057</v>
      </c>
      <c r="F1454" s="4">
        <v>45036.50655092593</v>
      </c>
      <c r="G1454" s="3" t="str">
        <f t="shared" ref="G1454:G1455" si="123">HYPERLINK("https://hawk-eye.atlassian.net/browse/?atlOrigin=eyJpIjoiYzgwYTQ0ZjEyNzQzNGJhN2JmNjEyZTM0NmRhZWZhNjIiLCJwIjoic2hlZXRzLWppcmEifQ","")</f>
        <v/>
      </c>
      <c r="H1454" s="1" t="s">
        <v>1058</v>
      </c>
      <c r="I1454" s="1" t="s">
        <v>1082</v>
      </c>
      <c r="J1454" s="1" t="s">
        <v>26</v>
      </c>
      <c r="K1454" s="1" t="s">
        <v>1700</v>
      </c>
      <c r="L1454" s="1" t="s">
        <v>26</v>
      </c>
      <c r="M1454" s="1" t="s">
        <v>27</v>
      </c>
      <c r="N1454" s="1" t="s">
        <v>26</v>
      </c>
      <c r="O1454" s="1" t="s">
        <v>26</v>
      </c>
      <c r="P1454" s="4">
        <v>45036.5065625</v>
      </c>
    </row>
    <row r="1455" hidden="1">
      <c r="A1455" s="1" t="s">
        <v>21</v>
      </c>
      <c r="B1455" s="3" t="str">
        <f>HYPERLINK("https://hawk-eye.atlassian.net/browse/HWKREPORT-2028?atlOrigin=eyJpIjoiYzgwYTQ0ZjEyNzQzNGJhN2JmNjEyZTM0NmRhZWZhNjIiLCJwIjoic2hlZXRzLWppcmEifQ","HWKREPORT-2028")</f>
        <v>HWKREPORT-2028</v>
      </c>
      <c r="C1455" s="1" t="s">
        <v>2693</v>
      </c>
      <c r="D1455" s="1" t="s">
        <v>83</v>
      </c>
      <c r="E1455" s="1" t="s">
        <v>35</v>
      </c>
      <c r="F1455" s="4">
        <v>45036.508726851855</v>
      </c>
      <c r="G1455" s="3" t="str">
        <f t="shared" si="123"/>
        <v/>
      </c>
      <c r="H1455" s="1" t="s">
        <v>1058</v>
      </c>
      <c r="I1455" s="1" t="s">
        <v>1082</v>
      </c>
      <c r="J1455" s="1" t="s">
        <v>26</v>
      </c>
      <c r="K1455" s="1" t="s">
        <v>1700</v>
      </c>
      <c r="L1455" s="1" t="s">
        <v>26</v>
      </c>
      <c r="M1455" s="1" t="s">
        <v>27</v>
      </c>
      <c r="N1455" s="1" t="s">
        <v>26</v>
      </c>
      <c r="O1455" s="1" t="s">
        <v>26</v>
      </c>
      <c r="P1455" s="4">
        <v>45714.405543981484</v>
      </c>
    </row>
    <row r="1456" hidden="1">
      <c r="A1456" s="1" t="s">
        <v>1055</v>
      </c>
      <c r="B1456" s="3" t="str">
        <f>HYPERLINK("https://hawk-eye.atlassian.net/browse/HWKREPORT-2029?atlOrigin=eyJpIjoiYzgwYTQ0ZjEyNzQzNGJhN2JmNjEyZTM0NmRhZWZhNjIiLCJwIjoic2hlZXRzLWppcmEifQ","HWKREPORT-2029")</f>
        <v>HWKREPORT-2029</v>
      </c>
      <c r="C1456" s="1" t="s">
        <v>2694</v>
      </c>
      <c r="D1456" s="1" t="s">
        <v>48</v>
      </c>
      <c r="E1456" s="1" t="s">
        <v>35</v>
      </c>
      <c r="F1456" s="4">
        <v>45036.626122685186</v>
      </c>
      <c r="G1456" s="3" t="str">
        <f>HYPERLINK("https://hawk-eye.atlassian.net/issues/?atlOrigin=eyJpIjoiYzgwYTQ0ZjEyNzQzNGJhN2JmNjEyZTM0NmRhZWZhNjIiLCJwIjoic2hlZXRzLWppcmEifQ&amp;jql=key+in+%28RTT-6207%2CRTT-6410%29","RTT-6207;RTT-6410")</f>
        <v>RTT-6207;RTT-6410</v>
      </c>
      <c r="H1456" s="1" t="s">
        <v>1058</v>
      </c>
      <c r="I1456" s="1" t="s">
        <v>28</v>
      </c>
      <c r="J1456" s="1" t="s">
        <v>26</v>
      </c>
      <c r="K1456" s="1" t="s">
        <v>1072</v>
      </c>
      <c r="L1456" s="1" t="s">
        <v>26</v>
      </c>
      <c r="M1456" s="1" t="s">
        <v>27</v>
      </c>
      <c r="N1456" s="1" t="s">
        <v>26</v>
      </c>
      <c r="O1456" s="1" t="s">
        <v>26</v>
      </c>
      <c r="P1456" s="4">
        <v>45092.59091435185</v>
      </c>
    </row>
    <row r="1457" hidden="1">
      <c r="A1457" s="1" t="s">
        <v>21</v>
      </c>
      <c r="B1457" s="3" t="str">
        <f>HYPERLINK("https://hawk-eye.atlassian.net/browse/HWKREPORT-2030?atlOrigin=eyJpIjoiYzgwYTQ0ZjEyNzQzNGJhN2JmNjEyZTM0NmRhZWZhNjIiLCJwIjoic2hlZXRzLWppcmEifQ","HWKREPORT-2030")</f>
        <v>HWKREPORT-2030</v>
      </c>
      <c r="C1457" s="1" t="s">
        <v>2695</v>
      </c>
      <c r="D1457" s="1" t="s">
        <v>23</v>
      </c>
      <c r="E1457" s="1" t="s">
        <v>1057</v>
      </c>
      <c r="F1457" s="4">
        <v>45036.88024305556</v>
      </c>
      <c r="G1457" s="3" t="str">
        <f>HYPERLINK("https://hawk-eye.atlassian.net/browse/BDP-1328?atlOrigin=eyJpIjoiYzgwYTQ0ZjEyNzQzNGJhN2JmNjEyZTM0NmRhZWZhNjIiLCJwIjoic2hlZXRzLWppcmEifQ","BDP-1328")</f>
        <v>BDP-1328</v>
      </c>
      <c r="H1457" s="1" t="s">
        <v>1058</v>
      </c>
      <c r="I1457" s="1" t="s">
        <v>1071</v>
      </c>
      <c r="J1457" s="1" t="s">
        <v>26</v>
      </c>
      <c r="K1457" s="1" t="s">
        <v>1130</v>
      </c>
      <c r="L1457" s="1" t="s">
        <v>26</v>
      </c>
      <c r="M1457" s="1" t="s">
        <v>27</v>
      </c>
      <c r="N1457" s="1" t="s">
        <v>26</v>
      </c>
      <c r="O1457" s="1" t="s">
        <v>26</v>
      </c>
      <c r="P1457" s="4">
        <v>45036.88024305556</v>
      </c>
    </row>
    <row r="1458" hidden="1">
      <c r="A1458" s="1" t="s">
        <v>1055</v>
      </c>
      <c r="B1458" s="3" t="str">
        <f>HYPERLINK("https://hawk-eye.atlassian.net/browse/HWKREPORT-2031?atlOrigin=eyJpIjoiYzgwYTQ0ZjEyNzQzNGJhN2JmNjEyZTM0NmRhZWZhNjIiLCJwIjoic2hlZXRzLWppcmEifQ","HWKREPORT-2031")</f>
        <v>HWKREPORT-2031</v>
      </c>
      <c r="C1458" s="1" t="s">
        <v>2696</v>
      </c>
      <c r="D1458" s="1" t="s">
        <v>48</v>
      </c>
      <c r="E1458" s="1" t="s">
        <v>35</v>
      </c>
      <c r="F1458" s="4">
        <v>45037.65678240741</v>
      </c>
      <c r="G1458" s="3" t="str">
        <f>HYPERLINK("https://hawk-eye.atlassian.net/browse/?atlOrigin=eyJpIjoiYzgwYTQ0ZjEyNzQzNGJhN2JmNjEyZTM0NmRhZWZhNjIiLCJwIjoic2hlZXRzLWppcmEifQ","")</f>
        <v/>
      </c>
      <c r="H1458" s="1" t="s">
        <v>1058</v>
      </c>
      <c r="I1458" s="1" t="s">
        <v>1085</v>
      </c>
      <c r="J1458" s="1" t="s">
        <v>26</v>
      </c>
      <c r="K1458" s="1" t="s">
        <v>1072</v>
      </c>
      <c r="L1458" s="1" t="s">
        <v>26</v>
      </c>
      <c r="M1458" s="1" t="s">
        <v>27</v>
      </c>
      <c r="N1458" s="1" t="s">
        <v>26</v>
      </c>
      <c r="O1458" s="1" t="s">
        <v>26</v>
      </c>
      <c r="P1458" s="4">
        <v>45040.37310185185</v>
      </c>
    </row>
    <row r="1459" hidden="1">
      <c r="A1459" s="1" t="s">
        <v>1055</v>
      </c>
      <c r="B1459" s="3" t="str">
        <f>HYPERLINK("https://hawk-eye.atlassian.net/browse/HWKREPORT-2032?atlOrigin=eyJpIjoiYzgwYTQ0ZjEyNzQzNGJhN2JmNjEyZTM0NmRhZWZhNjIiLCJwIjoic2hlZXRzLWppcmEifQ","HWKREPORT-2032")</f>
        <v>HWKREPORT-2032</v>
      </c>
      <c r="C1459" s="1" t="s">
        <v>2697</v>
      </c>
      <c r="D1459" s="1" t="s">
        <v>48</v>
      </c>
      <c r="E1459" s="1" t="s">
        <v>1057</v>
      </c>
      <c r="F1459" s="4">
        <v>45037.76097222222</v>
      </c>
      <c r="G1459" s="3" t="str">
        <f>HYPERLINK("https://hawk-eye.atlassian.net/browse/RTT-6205?atlOrigin=eyJpIjoiYzgwYTQ0ZjEyNzQzNGJhN2JmNjEyZTM0NmRhZWZhNjIiLCJwIjoic2hlZXRzLWppcmEifQ","RTT-6205")</f>
        <v>RTT-6205</v>
      </c>
      <c r="H1459" s="1" t="s">
        <v>1058</v>
      </c>
      <c r="I1459" s="1" t="s">
        <v>1085</v>
      </c>
      <c r="J1459" s="1" t="s">
        <v>26</v>
      </c>
      <c r="K1459" s="1" t="s">
        <v>1312</v>
      </c>
      <c r="L1459" s="1" t="s">
        <v>26</v>
      </c>
      <c r="M1459" s="1" t="s">
        <v>27</v>
      </c>
      <c r="N1459" s="1" t="s">
        <v>26</v>
      </c>
      <c r="O1459" s="1" t="s">
        <v>26</v>
      </c>
      <c r="P1459" s="4">
        <v>45037.76097222222</v>
      </c>
    </row>
    <row r="1460" hidden="1">
      <c r="A1460" s="1" t="s">
        <v>21</v>
      </c>
      <c r="B1460" s="3" t="str">
        <f>HYPERLINK("https://hawk-eye.atlassian.net/browse/HWKREPORT-2033?atlOrigin=eyJpIjoiYzgwYTQ0ZjEyNzQzNGJhN2JmNjEyZTM0NmRhZWZhNjIiLCJwIjoic2hlZXRzLWppcmEifQ","HWKREPORT-2033")</f>
        <v>HWKREPORT-2033</v>
      </c>
      <c r="C1460" s="1" t="s">
        <v>2698</v>
      </c>
      <c r="D1460" s="1" t="s">
        <v>40</v>
      </c>
      <c r="E1460" s="1" t="s">
        <v>1207</v>
      </c>
      <c r="F1460" s="4">
        <v>45040.56423611111</v>
      </c>
      <c r="G1460" s="3" t="str">
        <f>HYPERLINK("https://hawk-eye.atlassian.net/browse/RTT-6211?atlOrigin=eyJpIjoiYzgwYTQ0ZjEyNzQzNGJhN2JmNjEyZTM0NmRhZWZhNjIiLCJwIjoic2hlZXRzLWppcmEifQ","RTT-6211")</f>
        <v>RTT-6211</v>
      </c>
      <c r="H1460" s="1" t="s">
        <v>1058</v>
      </c>
      <c r="I1460" s="1" t="s">
        <v>1085</v>
      </c>
      <c r="J1460" s="1" t="s">
        <v>26</v>
      </c>
      <c r="K1460" s="1" t="s">
        <v>1072</v>
      </c>
      <c r="L1460" s="1" t="s">
        <v>26</v>
      </c>
      <c r="M1460" s="1" t="s">
        <v>27</v>
      </c>
      <c r="N1460" s="1" t="s">
        <v>26</v>
      </c>
      <c r="O1460" s="1" t="s">
        <v>26</v>
      </c>
      <c r="P1460" s="4">
        <v>45043.57225694445</v>
      </c>
    </row>
    <row r="1461" hidden="1">
      <c r="A1461" s="1" t="s">
        <v>21</v>
      </c>
      <c r="B1461" s="3" t="str">
        <f>HYPERLINK("https://hawk-eye.atlassian.net/browse/HWKREPORT-2034?atlOrigin=eyJpIjoiYzgwYTQ0ZjEyNzQzNGJhN2JmNjEyZTM0NmRhZWZhNjIiLCJwIjoic2hlZXRzLWppcmEifQ","HWKREPORT-2034")</f>
        <v>HWKREPORT-2034</v>
      </c>
      <c r="C1461" s="1" t="s">
        <v>2699</v>
      </c>
      <c r="D1461" s="1" t="s">
        <v>40</v>
      </c>
      <c r="E1461" s="1" t="s">
        <v>1207</v>
      </c>
      <c r="F1461" s="4">
        <v>45040.57423611111</v>
      </c>
      <c r="G1461" s="3" t="str">
        <f>HYPERLINK("https://hawk-eye.atlassian.net/browse/RTT-6216?atlOrigin=eyJpIjoiYzgwYTQ0ZjEyNzQzNGJhN2JmNjEyZTM0NmRhZWZhNjIiLCJwIjoic2hlZXRzLWppcmEifQ","RTT-6216")</f>
        <v>RTT-6216</v>
      </c>
      <c r="H1461" s="1" t="s">
        <v>1058</v>
      </c>
      <c r="I1461" s="1" t="s">
        <v>1085</v>
      </c>
      <c r="J1461" s="1" t="s">
        <v>26</v>
      </c>
      <c r="K1461" s="1" t="s">
        <v>1072</v>
      </c>
      <c r="L1461" s="1" t="s">
        <v>26</v>
      </c>
      <c r="M1461" s="1" t="s">
        <v>27</v>
      </c>
      <c r="N1461" s="1" t="s">
        <v>26</v>
      </c>
      <c r="O1461" s="1" t="s">
        <v>26</v>
      </c>
      <c r="P1461" s="4">
        <v>45056.43318287037</v>
      </c>
    </row>
    <row r="1462" hidden="1">
      <c r="A1462" s="1" t="s">
        <v>1055</v>
      </c>
      <c r="B1462" s="3" t="str">
        <f>HYPERLINK("https://hawk-eye.atlassian.net/browse/HWKREPORT-2035?atlOrigin=eyJpIjoiYzgwYTQ0ZjEyNzQzNGJhN2JmNjEyZTM0NmRhZWZhNjIiLCJwIjoic2hlZXRzLWppcmEifQ","HWKREPORT-2035")</f>
        <v>HWKREPORT-2035</v>
      </c>
      <c r="C1462" s="1" t="s">
        <v>2700</v>
      </c>
      <c r="D1462" s="1" t="s">
        <v>48</v>
      </c>
      <c r="E1462" s="1" t="s">
        <v>1057</v>
      </c>
      <c r="F1462" s="4">
        <v>45040.61032407408</v>
      </c>
      <c r="G1462" s="3" t="str">
        <f>HYPERLINK("https://hawk-eye.atlassian.net/browse/?atlOrigin=eyJpIjoiYzgwYTQ0ZjEyNzQzNGJhN2JmNjEyZTM0NmRhZWZhNjIiLCJwIjoic2hlZXRzLWppcmEifQ","")</f>
        <v/>
      </c>
      <c r="H1462" s="1" t="s">
        <v>1058</v>
      </c>
      <c r="I1462" s="1" t="s">
        <v>1085</v>
      </c>
      <c r="J1462" s="1" t="s">
        <v>26</v>
      </c>
      <c r="K1462" s="1" t="s">
        <v>1219</v>
      </c>
      <c r="L1462" s="1" t="s">
        <v>26</v>
      </c>
      <c r="M1462" s="1" t="s">
        <v>27</v>
      </c>
      <c r="N1462" s="1" t="s">
        <v>26</v>
      </c>
      <c r="O1462" s="1" t="s">
        <v>26</v>
      </c>
      <c r="P1462" s="4">
        <v>45040.61032407408</v>
      </c>
    </row>
    <row r="1463" hidden="1">
      <c r="A1463" s="1" t="s">
        <v>1055</v>
      </c>
      <c r="B1463" s="3" t="str">
        <f>HYPERLINK("https://hawk-eye.atlassian.net/browse/HWKREPORT-2036?atlOrigin=eyJpIjoiYzgwYTQ0ZjEyNzQzNGJhN2JmNjEyZTM0NmRhZWZhNjIiLCJwIjoic2hlZXRzLWppcmEifQ","HWKREPORT-2036")</f>
        <v>HWKREPORT-2036</v>
      </c>
      <c r="C1463" s="1" t="s">
        <v>2701</v>
      </c>
      <c r="D1463" s="1" t="s">
        <v>48</v>
      </c>
      <c r="E1463" s="1" t="s">
        <v>35</v>
      </c>
      <c r="F1463" s="4">
        <v>45040.62150462963</v>
      </c>
      <c r="G1463" s="3" t="str">
        <f>HYPERLINK("https://hawk-eye.atlassian.net/browse/RTT-6218?atlOrigin=eyJpIjoiYzgwYTQ0ZjEyNzQzNGJhN2JmNjEyZTM0NmRhZWZhNjIiLCJwIjoic2hlZXRzLWppcmEifQ","RTT-6218")</f>
        <v>RTT-6218</v>
      </c>
      <c r="H1463" s="1" t="s">
        <v>1058</v>
      </c>
      <c r="I1463" s="1" t="s">
        <v>1071</v>
      </c>
      <c r="J1463" s="1" t="s">
        <v>26</v>
      </c>
      <c r="K1463" s="1" t="s">
        <v>2197</v>
      </c>
      <c r="L1463" s="1" t="s">
        <v>26</v>
      </c>
      <c r="M1463" s="1" t="s">
        <v>27</v>
      </c>
      <c r="N1463" s="1" t="s">
        <v>26</v>
      </c>
      <c r="O1463" s="1" t="s">
        <v>26</v>
      </c>
      <c r="P1463" s="4">
        <v>45448.46434027778</v>
      </c>
    </row>
    <row r="1464" hidden="1">
      <c r="A1464" s="1" t="s">
        <v>1055</v>
      </c>
      <c r="B1464" s="3" t="str">
        <f>HYPERLINK("https://hawk-eye.atlassian.net/browse/HWKREPORT-2037?atlOrigin=eyJpIjoiYzgwYTQ0ZjEyNzQzNGJhN2JmNjEyZTM0NmRhZWZhNjIiLCJwIjoic2hlZXRzLWppcmEifQ","HWKREPORT-2037")</f>
        <v>HWKREPORT-2037</v>
      </c>
      <c r="C1464" s="1" t="s">
        <v>2702</v>
      </c>
      <c r="D1464" s="1" t="s">
        <v>48</v>
      </c>
      <c r="E1464" s="1" t="s">
        <v>35</v>
      </c>
      <c r="F1464" s="4">
        <v>45040.835497685184</v>
      </c>
      <c r="G1464" s="3" t="str">
        <f>HYPERLINK("https://hawk-eye.atlassian.net/browse/RTT-6225?atlOrigin=eyJpIjoiYzgwYTQ0ZjEyNzQzNGJhN2JmNjEyZTM0NmRhZWZhNjIiLCJwIjoic2hlZXRzLWppcmEifQ","RTT-6225")</f>
        <v>RTT-6225</v>
      </c>
      <c r="H1464" s="1" t="s">
        <v>1058</v>
      </c>
      <c r="I1464" s="1" t="s">
        <v>1085</v>
      </c>
      <c r="J1464" s="1" t="s">
        <v>26</v>
      </c>
      <c r="K1464" s="1" t="s">
        <v>1312</v>
      </c>
      <c r="L1464" s="1" t="s">
        <v>26</v>
      </c>
      <c r="M1464" s="1" t="s">
        <v>27</v>
      </c>
      <c r="N1464" s="1" t="s">
        <v>26</v>
      </c>
      <c r="O1464" s="1" t="s">
        <v>26</v>
      </c>
      <c r="P1464" s="4">
        <v>45247.66814814815</v>
      </c>
    </row>
    <row r="1465" hidden="1">
      <c r="A1465" s="1" t="s">
        <v>1055</v>
      </c>
      <c r="B1465" s="3" t="str">
        <f>HYPERLINK("https://hawk-eye.atlassian.net/browse/HWKREPORT-2038?atlOrigin=eyJpIjoiYzgwYTQ0ZjEyNzQzNGJhN2JmNjEyZTM0NmRhZWZhNjIiLCJwIjoic2hlZXRzLWppcmEifQ","HWKREPORT-2038")</f>
        <v>HWKREPORT-2038</v>
      </c>
      <c r="C1465" s="1" t="s">
        <v>2703</v>
      </c>
      <c r="D1465" s="1" t="s">
        <v>48</v>
      </c>
      <c r="E1465" s="1" t="s">
        <v>1057</v>
      </c>
      <c r="F1465" s="4">
        <v>45040.85287037037</v>
      </c>
      <c r="G1465" s="3" t="str">
        <f>HYPERLINK("https://hawk-eye.atlassian.net/browse/RTT-6226?atlOrigin=eyJpIjoiYzgwYTQ0ZjEyNzQzNGJhN2JmNjEyZTM0NmRhZWZhNjIiLCJwIjoic2hlZXRzLWppcmEifQ","RTT-6226")</f>
        <v>RTT-6226</v>
      </c>
      <c r="H1465" s="1" t="s">
        <v>1058</v>
      </c>
      <c r="I1465" s="1" t="s">
        <v>1085</v>
      </c>
      <c r="J1465" s="1" t="s">
        <v>26</v>
      </c>
      <c r="K1465" s="1" t="s">
        <v>1072</v>
      </c>
      <c r="L1465" s="1" t="s">
        <v>26</v>
      </c>
      <c r="M1465" s="1" t="s">
        <v>27</v>
      </c>
      <c r="N1465" s="1" t="s">
        <v>26</v>
      </c>
      <c r="O1465" s="1" t="s">
        <v>26</v>
      </c>
      <c r="P1465" s="4">
        <v>45040.85287037037</v>
      </c>
    </row>
    <row r="1466" hidden="1">
      <c r="A1466" s="1" t="s">
        <v>1055</v>
      </c>
      <c r="B1466" s="3" t="str">
        <f>HYPERLINK("https://hawk-eye.atlassian.net/browse/HWKREPORT-2039?atlOrigin=eyJpIjoiYzgwYTQ0ZjEyNzQzNGJhN2JmNjEyZTM0NmRhZWZhNjIiLCJwIjoic2hlZXRzLWppcmEifQ","HWKREPORT-2039")</f>
        <v>HWKREPORT-2039</v>
      </c>
      <c r="C1466" s="1" t="s">
        <v>2704</v>
      </c>
      <c r="D1466" s="1" t="s">
        <v>48</v>
      </c>
      <c r="E1466" s="1" t="s">
        <v>35</v>
      </c>
      <c r="F1466" s="4">
        <v>45041.41556712963</v>
      </c>
      <c r="G1466" s="3" t="str">
        <f>HYPERLINK("https://hawk-eye.atlassian.net/browse/SO-774?atlOrigin=eyJpIjoiYzgwYTQ0ZjEyNzQzNGJhN2JmNjEyZTM0NmRhZWZhNjIiLCJwIjoic2hlZXRzLWppcmEifQ","SO-774")</f>
        <v>SO-774</v>
      </c>
      <c r="H1466" s="1" t="s">
        <v>1058</v>
      </c>
      <c r="I1466" s="1" t="s">
        <v>1377</v>
      </c>
      <c r="J1466" s="1" t="s">
        <v>26</v>
      </c>
      <c r="K1466" s="1" t="s">
        <v>1134</v>
      </c>
      <c r="L1466" s="1" t="s">
        <v>26</v>
      </c>
      <c r="M1466" s="1" t="s">
        <v>27</v>
      </c>
      <c r="N1466" s="1" t="s">
        <v>26</v>
      </c>
      <c r="O1466" s="1" t="s">
        <v>26</v>
      </c>
      <c r="P1466" s="4">
        <v>45041.45208333333</v>
      </c>
    </row>
    <row r="1467" hidden="1">
      <c r="A1467" s="1" t="s">
        <v>21</v>
      </c>
      <c r="B1467" s="3" t="str">
        <f>HYPERLINK("https://hawk-eye.atlassian.net/browse/HWKREPORT-2041?atlOrigin=eyJpIjoiYzgwYTQ0ZjEyNzQzNGJhN2JmNjEyZTM0NmRhZWZhNjIiLCJwIjoic2hlZXRzLWppcmEifQ","HWKREPORT-2041")</f>
        <v>HWKREPORT-2041</v>
      </c>
      <c r="C1467" s="1" t="s">
        <v>2705</v>
      </c>
      <c r="D1467" s="1" t="s">
        <v>23</v>
      </c>
      <c r="E1467" s="1" t="s">
        <v>35</v>
      </c>
      <c r="F1467" s="4">
        <v>45041.55412037037</v>
      </c>
      <c r="G1467" s="3" t="str">
        <f>HYPERLINK("https://hawk-eye.atlassian.net/browse/TDP-1653?atlOrigin=eyJpIjoiYzgwYTQ0ZjEyNzQzNGJhN2JmNjEyZTM0NmRhZWZhNjIiLCJwIjoic2hlZXRzLWppcmEifQ","TDP-1653")</f>
        <v>TDP-1653</v>
      </c>
      <c r="H1467" s="1" t="s">
        <v>1058</v>
      </c>
      <c r="I1467" s="1" t="s">
        <v>1126</v>
      </c>
      <c r="J1467" s="1" t="s">
        <v>26</v>
      </c>
      <c r="K1467" s="1" t="s">
        <v>1211</v>
      </c>
      <c r="L1467" s="1" t="s">
        <v>26</v>
      </c>
      <c r="M1467" s="1" t="s">
        <v>27</v>
      </c>
      <c r="N1467" s="1" t="s">
        <v>26</v>
      </c>
      <c r="O1467" s="1" t="s">
        <v>26</v>
      </c>
      <c r="P1467" s="4">
        <v>45061.486446759256</v>
      </c>
    </row>
    <row r="1468" hidden="1">
      <c r="A1468" s="1" t="s">
        <v>21</v>
      </c>
      <c r="B1468" s="3" t="str">
        <f>HYPERLINK("https://hawk-eye.atlassian.net/browse/HWKREPORT-2042?atlOrigin=eyJpIjoiYzgwYTQ0ZjEyNzQzNGJhN2JmNjEyZTM0NmRhZWZhNjIiLCJwIjoic2hlZXRzLWppcmEifQ","HWKREPORT-2042")</f>
        <v>HWKREPORT-2042</v>
      </c>
      <c r="C1468" s="1" t="s">
        <v>2706</v>
      </c>
      <c r="D1468" s="1" t="s">
        <v>23</v>
      </c>
      <c r="E1468" s="1" t="s">
        <v>35</v>
      </c>
      <c r="F1468" s="4">
        <v>45041.88295138889</v>
      </c>
      <c r="G1468" s="3" t="str">
        <f>HYPERLINK("https://hawk-eye.atlassian.net/browse/CORE-217?atlOrigin=eyJpIjoiYzgwYTQ0ZjEyNzQzNGJhN2JmNjEyZTM0NmRhZWZhNjIiLCJwIjoic2hlZXRzLWppcmEifQ","CORE-217")</f>
        <v>CORE-217</v>
      </c>
      <c r="H1468" s="1" t="s">
        <v>1058</v>
      </c>
      <c r="I1468" s="1" t="s">
        <v>1071</v>
      </c>
      <c r="J1468" s="1" t="s">
        <v>26</v>
      </c>
      <c r="K1468" s="1" t="s">
        <v>1134</v>
      </c>
      <c r="L1468" s="1" t="s">
        <v>26</v>
      </c>
      <c r="M1468" s="1" t="s">
        <v>27</v>
      </c>
      <c r="N1468" s="1" t="s">
        <v>26</v>
      </c>
      <c r="O1468" s="1" t="s">
        <v>26</v>
      </c>
      <c r="P1468" s="4">
        <v>45119.596030092594</v>
      </c>
    </row>
    <row r="1469" hidden="1">
      <c r="A1469" s="1" t="s">
        <v>21</v>
      </c>
      <c r="B1469" s="3" t="str">
        <f>HYPERLINK("https://hawk-eye.atlassian.net/browse/HWKREPORT-2043?atlOrigin=eyJpIjoiYzgwYTQ0ZjEyNzQzNGJhN2JmNjEyZTM0NmRhZWZhNjIiLCJwIjoic2hlZXRzLWppcmEifQ","HWKREPORT-2043")</f>
        <v>HWKREPORT-2043</v>
      </c>
      <c r="C1469" s="1" t="s">
        <v>2707</v>
      </c>
      <c r="D1469" s="1" t="s">
        <v>23</v>
      </c>
      <c r="E1469" s="1" t="s">
        <v>35</v>
      </c>
      <c r="F1469" s="4">
        <v>45042.61078703704</v>
      </c>
      <c r="G1469" s="3" t="str">
        <f>HYPERLINK("https://hawk-eye.atlassian.net/browse/TDP-1660?atlOrigin=eyJpIjoiYzgwYTQ0ZjEyNzQzNGJhN2JmNjEyZTM0NmRhZWZhNjIiLCJwIjoic2hlZXRzLWppcmEifQ","TDP-1660")</f>
        <v>TDP-1660</v>
      </c>
      <c r="H1469" s="1" t="s">
        <v>1058</v>
      </c>
      <c r="I1469" s="1" t="s">
        <v>1126</v>
      </c>
      <c r="J1469" s="1" t="s">
        <v>26</v>
      </c>
      <c r="K1469" s="1" t="s">
        <v>1211</v>
      </c>
      <c r="L1469" s="1" t="s">
        <v>26</v>
      </c>
      <c r="M1469" s="1" t="s">
        <v>27</v>
      </c>
      <c r="N1469" s="1" t="s">
        <v>26</v>
      </c>
      <c r="O1469" s="1" t="s">
        <v>26</v>
      </c>
      <c r="P1469" s="4">
        <v>45252.40621527778</v>
      </c>
    </row>
    <row r="1470" hidden="1">
      <c r="A1470" s="1" t="s">
        <v>1055</v>
      </c>
      <c r="B1470" s="3" t="str">
        <f>HYPERLINK("https://hawk-eye.atlassian.net/browse/HWKREPORT-2044?atlOrigin=eyJpIjoiYzgwYTQ0ZjEyNzQzNGJhN2JmNjEyZTM0NmRhZWZhNjIiLCJwIjoic2hlZXRzLWppcmEifQ","HWKREPORT-2044")</f>
        <v>HWKREPORT-2044</v>
      </c>
      <c r="C1470" s="1" t="s">
        <v>2708</v>
      </c>
      <c r="D1470" s="1" t="s">
        <v>48</v>
      </c>
      <c r="E1470" s="1" t="s">
        <v>35</v>
      </c>
      <c r="F1470" s="4">
        <v>45042.798784722225</v>
      </c>
      <c r="G1470" s="3" t="str">
        <f t="shared" ref="G1470:G1472" si="124">HYPERLINK("https://hawk-eye.atlassian.net/browse/?atlOrigin=eyJpIjoiYzgwYTQ0ZjEyNzQzNGJhN2JmNjEyZTM0NmRhZWZhNjIiLCJwIjoic2hlZXRzLWppcmEifQ","")</f>
        <v/>
      </c>
      <c r="H1470" s="1" t="s">
        <v>1058</v>
      </c>
      <c r="I1470" s="1" t="s">
        <v>1126</v>
      </c>
      <c r="J1470" s="1" t="s">
        <v>26</v>
      </c>
      <c r="K1470" s="1" t="s">
        <v>1116</v>
      </c>
      <c r="L1470" s="1" t="s">
        <v>26</v>
      </c>
      <c r="M1470" s="1" t="s">
        <v>27</v>
      </c>
      <c r="N1470" s="1" t="s">
        <v>26</v>
      </c>
      <c r="O1470" s="1" t="s">
        <v>26</v>
      </c>
      <c r="P1470" s="4">
        <v>45315.48467592592</v>
      </c>
    </row>
    <row r="1471" hidden="1">
      <c r="A1471" s="1" t="s">
        <v>1055</v>
      </c>
      <c r="B1471" s="3" t="str">
        <f>HYPERLINK("https://hawk-eye.atlassian.net/browse/HWKREPORT-2045?atlOrigin=eyJpIjoiYzgwYTQ0ZjEyNzQzNGJhN2JmNjEyZTM0NmRhZWZhNjIiLCJwIjoic2hlZXRzLWppcmEifQ","HWKREPORT-2045")</f>
        <v>HWKREPORT-2045</v>
      </c>
      <c r="C1471" s="1" t="s">
        <v>2709</v>
      </c>
      <c r="D1471" s="1" t="s">
        <v>48</v>
      </c>
      <c r="E1471" s="1" t="s">
        <v>1057</v>
      </c>
      <c r="F1471" s="4">
        <v>45043.54728009259</v>
      </c>
      <c r="G1471" s="3" t="str">
        <f t="shared" si="124"/>
        <v/>
      </c>
      <c r="H1471" s="1" t="s">
        <v>1058</v>
      </c>
      <c r="I1471" s="1" t="s">
        <v>1126</v>
      </c>
      <c r="J1471" s="1" t="s">
        <v>26</v>
      </c>
      <c r="K1471" s="1" t="s">
        <v>1114</v>
      </c>
      <c r="L1471" s="1" t="s">
        <v>26</v>
      </c>
      <c r="M1471" s="1" t="s">
        <v>27</v>
      </c>
      <c r="N1471" s="1" t="s">
        <v>26</v>
      </c>
      <c r="O1471" s="1" t="s">
        <v>26</v>
      </c>
      <c r="P1471" s="4">
        <v>45043.54729166667</v>
      </c>
    </row>
    <row r="1472" hidden="1">
      <c r="A1472" s="1" t="s">
        <v>1055</v>
      </c>
      <c r="B1472" s="3" t="str">
        <f>HYPERLINK("https://hawk-eye.atlassian.net/browse/HWKREPORT-2046?atlOrigin=eyJpIjoiYzgwYTQ0ZjEyNzQzNGJhN2JmNjEyZTM0NmRhZWZhNjIiLCJwIjoic2hlZXRzLWppcmEifQ","HWKREPORT-2046")</f>
        <v>HWKREPORT-2046</v>
      </c>
      <c r="C1472" s="1" t="s">
        <v>2710</v>
      </c>
      <c r="D1472" s="1" t="s">
        <v>48</v>
      </c>
      <c r="E1472" s="1" t="s">
        <v>1057</v>
      </c>
      <c r="F1472" s="4">
        <v>45043.55930555556</v>
      </c>
      <c r="G1472" s="3" t="str">
        <f t="shared" si="124"/>
        <v/>
      </c>
      <c r="H1472" s="1" t="s">
        <v>1058</v>
      </c>
      <c r="I1472" s="1" t="s">
        <v>1126</v>
      </c>
      <c r="J1472" s="1" t="s">
        <v>26</v>
      </c>
      <c r="K1472" s="1" t="s">
        <v>2711</v>
      </c>
      <c r="L1472" s="1" t="s">
        <v>26</v>
      </c>
      <c r="M1472" s="1" t="s">
        <v>27</v>
      </c>
      <c r="N1472" s="1" t="s">
        <v>26</v>
      </c>
      <c r="O1472" s="1" t="s">
        <v>26</v>
      </c>
      <c r="P1472" s="4">
        <v>45043.55931712963</v>
      </c>
    </row>
    <row r="1473" hidden="1">
      <c r="A1473" s="1" t="s">
        <v>21</v>
      </c>
      <c r="B1473" s="3" t="str">
        <f>HYPERLINK("https://hawk-eye.atlassian.net/browse/HWKREPORT-2047?atlOrigin=eyJpIjoiYzgwYTQ0ZjEyNzQzNGJhN2JmNjEyZTM0NmRhZWZhNjIiLCJwIjoic2hlZXRzLWppcmEifQ","HWKREPORT-2047")</f>
        <v>HWKREPORT-2047</v>
      </c>
      <c r="C1473" s="1" t="s">
        <v>2712</v>
      </c>
      <c r="D1473" s="1" t="s">
        <v>23</v>
      </c>
      <c r="E1473" s="1" t="s">
        <v>1207</v>
      </c>
      <c r="F1473" s="4">
        <v>45043.75759259259</v>
      </c>
      <c r="G1473" s="3" t="str">
        <f>HYPERLINK("https://hawk-eye.atlassian.net/browse/RTT-6246?atlOrigin=eyJpIjoiYzgwYTQ0ZjEyNzQzNGJhN2JmNjEyZTM0NmRhZWZhNjIiLCJwIjoic2hlZXRzLWppcmEifQ","RTT-6246")</f>
        <v>RTT-6246</v>
      </c>
      <c r="H1473" s="1" t="s">
        <v>1058</v>
      </c>
      <c r="I1473" s="1" t="s">
        <v>1071</v>
      </c>
      <c r="J1473" s="1" t="s">
        <v>26</v>
      </c>
      <c r="K1473" s="1" t="s">
        <v>1099</v>
      </c>
      <c r="L1473" s="1" t="s">
        <v>26</v>
      </c>
      <c r="M1473" s="1" t="s">
        <v>27</v>
      </c>
      <c r="N1473" s="1" t="s">
        <v>26</v>
      </c>
      <c r="O1473" s="1" t="s">
        <v>26</v>
      </c>
      <c r="P1473" s="4">
        <v>45051.39135416667</v>
      </c>
    </row>
    <row r="1474" hidden="1">
      <c r="A1474" s="1" t="s">
        <v>1055</v>
      </c>
      <c r="B1474" s="3" t="str">
        <f>HYPERLINK("https://hawk-eye.atlassian.net/browse/HWKREPORT-2048?atlOrigin=eyJpIjoiYzgwYTQ0ZjEyNzQzNGJhN2JmNjEyZTM0NmRhZWZhNjIiLCJwIjoic2hlZXRzLWppcmEifQ","HWKREPORT-2048")</f>
        <v>HWKREPORT-2048</v>
      </c>
      <c r="C1474" s="1" t="s">
        <v>2713</v>
      </c>
      <c r="D1474" s="1" t="s">
        <v>48</v>
      </c>
      <c r="E1474" s="1" t="s">
        <v>1207</v>
      </c>
      <c r="F1474" s="4">
        <v>45043.885671296295</v>
      </c>
      <c r="G1474" s="3" t="str">
        <f>HYPERLINK("https://hawk-eye.atlassian.net/browse/RTT-6245?atlOrigin=eyJpIjoiYzgwYTQ0ZjEyNzQzNGJhN2JmNjEyZTM0NmRhZWZhNjIiLCJwIjoic2hlZXRzLWppcmEifQ","RTT-6245")</f>
        <v>RTT-6245</v>
      </c>
      <c r="H1474" s="1" t="s">
        <v>1058</v>
      </c>
      <c r="I1474" s="1" t="s">
        <v>1280</v>
      </c>
      <c r="J1474" s="1" t="s">
        <v>26</v>
      </c>
      <c r="K1474" s="1" t="s">
        <v>2067</v>
      </c>
      <c r="L1474" s="1" t="s">
        <v>26</v>
      </c>
      <c r="M1474" s="1" t="s">
        <v>27</v>
      </c>
      <c r="N1474" s="1" t="s">
        <v>26</v>
      </c>
      <c r="O1474" s="1" t="s">
        <v>26</v>
      </c>
      <c r="P1474" s="4">
        <v>45077.556446759256</v>
      </c>
    </row>
    <row r="1475" hidden="1">
      <c r="A1475" s="1" t="s">
        <v>1055</v>
      </c>
      <c r="B1475" s="3" t="str">
        <f>HYPERLINK("https://hawk-eye.atlassian.net/browse/HWKREPORT-2049?atlOrigin=eyJpIjoiYzgwYTQ0ZjEyNzQzNGJhN2JmNjEyZTM0NmRhZWZhNjIiLCJwIjoic2hlZXRzLWppcmEifQ","HWKREPORT-2049")</f>
        <v>HWKREPORT-2049</v>
      </c>
      <c r="C1475" s="1" t="s">
        <v>2714</v>
      </c>
      <c r="D1475" s="1" t="s">
        <v>48</v>
      </c>
      <c r="E1475" s="1" t="s">
        <v>35</v>
      </c>
      <c r="F1475" s="4">
        <v>45044.695752314816</v>
      </c>
      <c r="G1475" s="3" t="str">
        <f>HYPERLINK("https://hawk-eye.atlassian.net/browse/?atlOrigin=eyJpIjoiYzgwYTQ0ZjEyNzQzNGJhN2JmNjEyZTM0NmRhZWZhNjIiLCJwIjoic2hlZXRzLWppcmEifQ","")</f>
        <v/>
      </c>
      <c r="H1475" s="1" t="s">
        <v>1058</v>
      </c>
      <c r="I1475" s="1" t="s">
        <v>1085</v>
      </c>
      <c r="J1475" s="1" t="s">
        <v>26</v>
      </c>
      <c r="K1475" s="1" t="s">
        <v>1219</v>
      </c>
      <c r="L1475" s="1" t="s">
        <v>26</v>
      </c>
      <c r="M1475" s="1" t="s">
        <v>27</v>
      </c>
      <c r="N1475" s="1" t="s">
        <v>26</v>
      </c>
      <c r="O1475" s="1" t="s">
        <v>26</v>
      </c>
      <c r="P1475" s="4">
        <v>45070.60986111111</v>
      </c>
    </row>
    <row r="1476" hidden="1">
      <c r="A1476" s="1" t="s">
        <v>1055</v>
      </c>
      <c r="B1476" s="3" t="str">
        <f>HYPERLINK("https://hawk-eye.atlassian.net/browse/HWKREPORT-2050?atlOrigin=eyJpIjoiYzgwYTQ0ZjEyNzQzNGJhN2JmNjEyZTM0NmRhZWZhNjIiLCJwIjoic2hlZXRzLWppcmEifQ","HWKREPORT-2050")</f>
        <v>HWKREPORT-2050</v>
      </c>
      <c r="C1476" s="1" t="s">
        <v>2715</v>
      </c>
      <c r="D1476" s="1" t="s">
        <v>48</v>
      </c>
      <c r="E1476" s="1" t="s">
        <v>35</v>
      </c>
      <c r="F1476" s="4">
        <v>45047.718819444446</v>
      </c>
      <c r="G1476" s="3" t="str">
        <f>HYPERLINK("https://hawk-eye.atlassian.net/browse/RTT-6249?atlOrigin=eyJpIjoiYzgwYTQ0ZjEyNzQzNGJhN2JmNjEyZTM0NmRhZWZhNjIiLCJwIjoic2hlZXRzLWppcmEifQ","RTT-6249")</f>
        <v>RTT-6249</v>
      </c>
      <c r="H1476" s="1" t="s">
        <v>1058</v>
      </c>
      <c r="I1476" s="1" t="s">
        <v>1071</v>
      </c>
      <c r="J1476" s="1" t="s">
        <v>26</v>
      </c>
      <c r="K1476" s="1" t="s">
        <v>1099</v>
      </c>
      <c r="L1476" s="1" t="s">
        <v>26</v>
      </c>
      <c r="M1476" s="1" t="s">
        <v>27</v>
      </c>
      <c r="N1476" s="1" t="s">
        <v>26</v>
      </c>
      <c r="O1476" s="1" t="s">
        <v>26</v>
      </c>
      <c r="P1476" s="4">
        <v>45050.39917824074</v>
      </c>
    </row>
    <row r="1477" hidden="1">
      <c r="A1477" s="1" t="s">
        <v>21</v>
      </c>
      <c r="B1477" s="3" t="str">
        <f>HYPERLINK("https://hawk-eye.atlassian.net/browse/HWKREPORT-2051?atlOrigin=eyJpIjoiYzgwYTQ0ZjEyNzQzNGJhN2JmNjEyZTM0NmRhZWZhNjIiLCJwIjoic2hlZXRzLWppcmEifQ","HWKREPORT-2051")</f>
        <v>HWKREPORT-2051</v>
      </c>
      <c r="C1477" s="1" t="s">
        <v>2716</v>
      </c>
      <c r="D1477" s="1" t="s">
        <v>34</v>
      </c>
      <c r="E1477" s="1" t="s">
        <v>1057</v>
      </c>
      <c r="F1477" s="4">
        <v>45048.71891203704</v>
      </c>
      <c r="G1477" s="3" t="str">
        <f t="shared" ref="G1477:G1478" si="125">HYPERLINK("https://hawk-eye.atlassian.net/browse/?atlOrigin=eyJpIjoiYzgwYTQ0ZjEyNzQzNGJhN2JmNjEyZTM0NmRhZWZhNjIiLCJwIjoic2hlZXRzLWppcmEifQ","")</f>
        <v/>
      </c>
      <c r="H1477" s="1" t="s">
        <v>1058</v>
      </c>
      <c r="I1477" s="1" t="s">
        <v>1071</v>
      </c>
      <c r="J1477" s="1" t="s">
        <v>26</v>
      </c>
      <c r="K1477" s="1" t="s">
        <v>1813</v>
      </c>
      <c r="L1477" s="1" t="s">
        <v>26</v>
      </c>
      <c r="M1477" s="1" t="s">
        <v>27</v>
      </c>
      <c r="N1477" s="1" t="s">
        <v>26</v>
      </c>
      <c r="O1477" s="1" t="s">
        <v>26</v>
      </c>
      <c r="P1477" s="4">
        <v>45048.718935185185</v>
      </c>
    </row>
    <row r="1478" hidden="1">
      <c r="A1478" s="1" t="s">
        <v>21</v>
      </c>
      <c r="B1478" s="3" t="str">
        <f>HYPERLINK("https://hawk-eye.atlassian.net/browse/HWKREPORT-2052?atlOrigin=eyJpIjoiYzgwYTQ0ZjEyNzQzNGJhN2JmNjEyZTM0NmRhZWZhNjIiLCJwIjoic2hlZXRzLWppcmEifQ","HWKREPORT-2052")</f>
        <v>HWKREPORT-2052</v>
      </c>
      <c r="C1478" s="1" t="s">
        <v>2717</v>
      </c>
      <c r="D1478" s="1" t="s">
        <v>23</v>
      </c>
      <c r="E1478" s="1" t="s">
        <v>35</v>
      </c>
      <c r="F1478" s="4">
        <v>45049.374074074076</v>
      </c>
      <c r="G1478" s="3" t="str">
        <f t="shared" si="125"/>
        <v/>
      </c>
      <c r="H1478" s="1" t="s">
        <v>1058</v>
      </c>
      <c r="I1478" s="1" t="s">
        <v>1085</v>
      </c>
      <c r="J1478" s="1" t="s">
        <v>26</v>
      </c>
      <c r="K1478" s="1" t="s">
        <v>1148</v>
      </c>
      <c r="L1478" s="1" t="s">
        <v>26</v>
      </c>
      <c r="M1478" s="1" t="s">
        <v>27</v>
      </c>
      <c r="N1478" s="1" t="s">
        <v>26</v>
      </c>
      <c r="O1478" s="1" t="s">
        <v>26</v>
      </c>
      <c r="P1478" s="4">
        <v>45337.73427083333</v>
      </c>
    </row>
    <row r="1479" hidden="1">
      <c r="A1479" s="1" t="s">
        <v>21</v>
      </c>
      <c r="B1479" s="3" t="str">
        <f>HYPERLINK("https://hawk-eye.atlassian.net/browse/HWKREPORT-2053?atlOrigin=eyJpIjoiYzgwYTQ0ZjEyNzQzNGJhN2JmNjEyZTM0NmRhZWZhNjIiLCJwIjoic2hlZXRzLWppcmEifQ","HWKREPORT-2053")</f>
        <v>HWKREPORT-2053</v>
      </c>
      <c r="C1479" s="1" t="s">
        <v>2718</v>
      </c>
      <c r="D1479" s="1" t="s">
        <v>23</v>
      </c>
      <c r="E1479" s="1" t="s">
        <v>35</v>
      </c>
      <c r="F1479" s="4">
        <v>45049.886979166666</v>
      </c>
      <c r="G1479" s="3" t="str">
        <f>HYPERLINK("https://hawk-eye.atlassian.net/browse/RTT-6269?atlOrigin=eyJpIjoiYzgwYTQ0ZjEyNzQzNGJhN2JmNjEyZTM0NmRhZWZhNjIiLCJwIjoic2hlZXRzLWppcmEifQ","RTT-6269")</f>
        <v>RTT-6269</v>
      </c>
      <c r="H1479" s="1" t="s">
        <v>1058</v>
      </c>
      <c r="I1479" s="1" t="s">
        <v>1071</v>
      </c>
      <c r="J1479" s="1" t="s">
        <v>26</v>
      </c>
      <c r="K1479" s="1" t="s">
        <v>1072</v>
      </c>
      <c r="L1479" s="1" t="s">
        <v>26</v>
      </c>
      <c r="M1479" s="1" t="s">
        <v>27</v>
      </c>
      <c r="N1479" s="1" t="s">
        <v>26</v>
      </c>
      <c r="O1479" s="1" t="s">
        <v>26</v>
      </c>
      <c r="P1479" s="4">
        <v>45394.6694212963</v>
      </c>
    </row>
    <row r="1480" hidden="1">
      <c r="A1480" s="1" t="s">
        <v>21</v>
      </c>
      <c r="B1480" s="3" t="str">
        <f>HYPERLINK("https://hawk-eye.atlassian.net/browse/HWKREPORT-2054?atlOrigin=eyJpIjoiYzgwYTQ0ZjEyNzQzNGJhN2JmNjEyZTM0NmRhZWZhNjIiLCJwIjoic2hlZXRzLWppcmEifQ","HWKREPORT-2054")</f>
        <v>HWKREPORT-2054</v>
      </c>
      <c r="C1480" s="1" t="s">
        <v>2719</v>
      </c>
      <c r="D1480" s="1" t="s">
        <v>48</v>
      </c>
      <c r="E1480" s="1" t="s">
        <v>35</v>
      </c>
      <c r="F1480" s="4">
        <v>45050.49822916667</v>
      </c>
      <c r="G1480" s="3" t="str">
        <f>HYPERLINK("https://hawk-eye.atlassian.net/browse/RTT-6182?atlOrigin=eyJpIjoiYzgwYTQ0ZjEyNzQzNGJhN2JmNjEyZTM0NmRhZWZhNjIiLCJwIjoic2hlZXRzLWppcmEifQ","RTT-6182")</f>
        <v>RTT-6182</v>
      </c>
      <c r="H1480" s="1" t="s">
        <v>1058</v>
      </c>
      <c r="I1480" s="1" t="s">
        <v>1082</v>
      </c>
      <c r="J1480" s="1" t="s">
        <v>26</v>
      </c>
      <c r="K1480" s="1" t="s">
        <v>1173</v>
      </c>
      <c r="L1480" s="1" t="s">
        <v>26</v>
      </c>
      <c r="M1480" s="1" t="s">
        <v>27</v>
      </c>
      <c r="N1480" s="1" t="s">
        <v>26</v>
      </c>
      <c r="O1480" s="1" t="s">
        <v>26</v>
      </c>
      <c r="P1480" s="4">
        <v>45216.39059027778</v>
      </c>
    </row>
    <row r="1481" hidden="1">
      <c r="A1481" s="1" t="s">
        <v>21</v>
      </c>
      <c r="B1481" s="3" t="str">
        <f>HYPERLINK("https://hawk-eye.atlassian.net/browse/HWKREPORT-2055?atlOrigin=eyJpIjoiYzgwYTQ0ZjEyNzQzNGJhN2JmNjEyZTM0NmRhZWZhNjIiLCJwIjoic2hlZXRzLWppcmEifQ","HWKREPORT-2055")</f>
        <v>HWKREPORT-2055</v>
      </c>
      <c r="C1481" s="1" t="s">
        <v>2720</v>
      </c>
      <c r="D1481" s="1" t="s">
        <v>23</v>
      </c>
      <c r="E1481" s="1" t="s">
        <v>35</v>
      </c>
      <c r="F1481" s="4">
        <v>45050.823645833334</v>
      </c>
      <c r="G1481" s="3" t="str">
        <f>HYPERLINK("https://hawk-eye.atlassian.net/browse/RTT-6268?atlOrigin=eyJpIjoiYzgwYTQ0ZjEyNzQzNGJhN2JmNjEyZTM0NmRhZWZhNjIiLCJwIjoic2hlZXRzLWppcmEifQ","RTT-6268")</f>
        <v>RTT-6268</v>
      </c>
      <c r="H1481" s="1" t="s">
        <v>1058</v>
      </c>
      <c r="I1481" s="1" t="s">
        <v>1071</v>
      </c>
      <c r="J1481" s="1" t="s">
        <v>26</v>
      </c>
      <c r="K1481" s="1" t="s">
        <v>1072</v>
      </c>
      <c r="L1481" s="1" t="s">
        <v>26</v>
      </c>
      <c r="M1481" s="1" t="s">
        <v>27</v>
      </c>
      <c r="N1481" s="1" t="s">
        <v>26</v>
      </c>
      <c r="O1481" s="1" t="s">
        <v>26</v>
      </c>
      <c r="P1481" s="4">
        <v>45678.42325231482</v>
      </c>
    </row>
    <row r="1482" hidden="1">
      <c r="A1482" s="1" t="s">
        <v>21</v>
      </c>
      <c r="B1482" s="3" t="str">
        <f>HYPERLINK("https://hawk-eye.atlassian.net/browse/HWKREPORT-2056?atlOrigin=eyJpIjoiYzgwYTQ0ZjEyNzQzNGJhN2JmNjEyZTM0NmRhZWZhNjIiLCJwIjoic2hlZXRzLWppcmEifQ","HWKREPORT-2056")</f>
        <v>HWKREPORT-2056</v>
      </c>
      <c r="C1482" s="1" t="s">
        <v>2721</v>
      </c>
      <c r="D1482" s="1" t="s">
        <v>40</v>
      </c>
      <c r="E1482" s="1" t="s">
        <v>35</v>
      </c>
      <c r="F1482" s="4">
        <v>45051.652546296296</v>
      </c>
      <c r="G1482" s="3" t="str">
        <f>HYPERLINK("https://hawk-eye.atlassian.net/browse/?atlOrigin=eyJpIjoiYzgwYTQ0ZjEyNzQzNGJhN2JmNjEyZTM0NmRhZWZhNjIiLCJwIjoic2hlZXRzLWppcmEifQ","")</f>
        <v/>
      </c>
      <c r="H1482" s="1" t="s">
        <v>1058</v>
      </c>
      <c r="I1482" s="1" t="s">
        <v>1071</v>
      </c>
      <c r="J1482" s="1" t="s">
        <v>26</v>
      </c>
      <c r="K1482" s="1" t="s">
        <v>1134</v>
      </c>
      <c r="L1482" s="1" t="s">
        <v>26</v>
      </c>
      <c r="M1482" s="1" t="s">
        <v>27</v>
      </c>
      <c r="N1482" s="1" t="s">
        <v>26</v>
      </c>
      <c r="O1482" s="1" t="s">
        <v>26</v>
      </c>
      <c r="P1482" s="4">
        <v>45063.66818287037</v>
      </c>
    </row>
    <row r="1483">
      <c r="A1483" s="1" t="s">
        <v>21</v>
      </c>
      <c r="B1483" s="3" t="str">
        <f>HYPERLINK("https://hawk-eye.atlassian.net/browse/HWKREPORT-2057?atlOrigin=eyJpIjoiYzgwYTQ0ZjEyNzQzNGJhN2JmNjEyZTM0NmRhZWZhNjIiLCJwIjoic2hlZXRzLWppcmEifQ","HWKREPORT-2057")</f>
        <v>HWKREPORT-2057</v>
      </c>
      <c r="C1483" s="1" t="s">
        <v>2722</v>
      </c>
      <c r="D1483" s="1" t="s">
        <v>40</v>
      </c>
      <c r="E1483" s="1" t="s">
        <v>35</v>
      </c>
      <c r="F1483" s="4">
        <v>45055.71672453704</v>
      </c>
      <c r="G1483" s="3" t="str">
        <f>HYPERLINK("https://hawk-eye.atlassian.net/browse/RTT-6303?atlOrigin=eyJpIjoiYzgwYTQ0ZjEyNzQzNGJhN2JmNjEyZTM0NmRhZWZhNjIiLCJwIjoic2hlZXRzLWppcmEifQ","RTT-6303")</f>
        <v>RTT-6303</v>
      </c>
      <c r="H1483" s="1" t="s">
        <v>1058</v>
      </c>
      <c r="I1483" s="1" t="s">
        <v>28</v>
      </c>
      <c r="J1483" s="1" t="s">
        <v>26</v>
      </c>
      <c r="K1483" s="1" t="s">
        <v>1072</v>
      </c>
      <c r="L1483" s="1" t="s">
        <v>26</v>
      </c>
      <c r="M1483" s="1" t="s">
        <v>27</v>
      </c>
      <c r="N1483" s="1" t="s">
        <v>26</v>
      </c>
      <c r="O1483" s="1" t="s">
        <v>26</v>
      </c>
      <c r="P1483" s="4">
        <v>45524.730462962965</v>
      </c>
    </row>
    <row r="1484" hidden="1">
      <c r="A1484" s="1" t="s">
        <v>1055</v>
      </c>
      <c r="B1484" s="3" t="str">
        <f>HYPERLINK("https://hawk-eye.atlassian.net/browse/HWKREPORT-2058?atlOrigin=eyJpIjoiYzgwYTQ0ZjEyNzQzNGJhN2JmNjEyZTM0NmRhZWZhNjIiLCJwIjoic2hlZXRzLWppcmEifQ","HWKREPORT-2058")</f>
        <v>HWKREPORT-2058</v>
      </c>
      <c r="C1484" s="1" t="s">
        <v>2723</v>
      </c>
      <c r="D1484" s="1" t="s">
        <v>48</v>
      </c>
      <c r="E1484" s="1" t="s">
        <v>1057</v>
      </c>
      <c r="F1484" s="4">
        <v>45055.824282407404</v>
      </c>
      <c r="G1484" s="3" t="str">
        <f>HYPERLINK("https://hawk-eye.atlassian.net/browse/RTT-6329?atlOrigin=eyJpIjoiYzgwYTQ0ZjEyNzQzNGJhN2JmNjEyZTM0NmRhZWZhNjIiLCJwIjoic2hlZXRzLWppcmEifQ","RTT-6329")</f>
        <v>RTT-6329</v>
      </c>
      <c r="H1484" s="1" t="s">
        <v>1058</v>
      </c>
      <c r="I1484" s="1" t="s">
        <v>28</v>
      </c>
      <c r="J1484" s="1" t="s">
        <v>26</v>
      </c>
      <c r="K1484" s="1" t="s">
        <v>1072</v>
      </c>
      <c r="L1484" s="1" t="s">
        <v>26</v>
      </c>
      <c r="M1484" s="1" t="s">
        <v>27</v>
      </c>
      <c r="N1484" s="1" t="s">
        <v>26</v>
      </c>
      <c r="O1484" s="1" t="s">
        <v>26</v>
      </c>
      <c r="P1484" s="4">
        <v>45055.82430555556</v>
      </c>
    </row>
    <row r="1485" hidden="1">
      <c r="A1485" s="1" t="s">
        <v>1055</v>
      </c>
      <c r="B1485" s="3" t="str">
        <f>HYPERLINK("https://hawk-eye.atlassian.net/browse/HWKREPORT-2059?atlOrigin=eyJpIjoiYzgwYTQ0ZjEyNzQzNGJhN2JmNjEyZTM0NmRhZWZhNjIiLCJwIjoic2hlZXRzLWppcmEifQ","HWKREPORT-2059")</f>
        <v>HWKREPORT-2059</v>
      </c>
      <c r="C1485" s="1" t="s">
        <v>2724</v>
      </c>
      <c r="D1485" s="1" t="s">
        <v>48</v>
      </c>
      <c r="E1485" s="1" t="s">
        <v>1207</v>
      </c>
      <c r="F1485" s="4">
        <v>45055.90893518519</v>
      </c>
      <c r="G1485" s="3" t="str">
        <f>HYPERLINK("https://hawk-eye.atlassian.net/browse/AL-798?atlOrigin=eyJpIjoiYzgwYTQ0ZjEyNzQzNGJhN2JmNjEyZTM0NmRhZWZhNjIiLCJwIjoic2hlZXRzLWppcmEifQ","AL-798")</f>
        <v>AL-798</v>
      </c>
      <c r="H1485" s="1" t="s">
        <v>1058</v>
      </c>
      <c r="I1485" s="1" t="s">
        <v>1071</v>
      </c>
      <c r="J1485" s="1" t="s">
        <v>26</v>
      </c>
      <c r="K1485" s="1" t="s">
        <v>1143</v>
      </c>
      <c r="L1485" s="1" t="s">
        <v>26</v>
      </c>
      <c r="M1485" s="1" t="s">
        <v>27</v>
      </c>
      <c r="N1485" s="1" t="s">
        <v>26</v>
      </c>
      <c r="O1485" s="1" t="s">
        <v>26</v>
      </c>
      <c r="P1485" s="4">
        <v>45070.4634375</v>
      </c>
    </row>
    <row r="1486" hidden="1">
      <c r="A1486" s="1" t="s">
        <v>21</v>
      </c>
      <c r="B1486" s="3" t="str">
        <f>HYPERLINK("https://hawk-eye.atlassian.net/browse/HWKREPORT-2060?atlOrigin=eyJpIjoiYzgwYTQ0ZjEyNzQzNGJhN2JmNjEyZTM0NmRhZWZhNjIiLCJwIjoic2hlZXRzLWppcmEifQ","HWKREPORT-2060")</f>
        <v>HWKREPORT-2060</v>
      </c>
      <c r="C1486" s="1" t="s">
        <v>2725</v>
      </c>
      <c r="D1486" s="1" t="s">
        <v>23</v>
      </c>
      <c r="E1486" s="1" t="s">
        <v>1057</v>
      </c>
      <c r="F1486" s="4">
        <v>45055.92324074074</v>
      </c>
      <c r="G1486" s="3" t="str">
        <f>HYPERLINK("https://hawk-eye.atlassian.net/browse/AL-797?atlOrigin=eyJpIjoiYzgwYTQ0ZjEyNzQzNGJhN2JmNjEyZTM0NmRhZWZhNjIiLCJwIjoic2hlZXRzLWppcmEifQ","AL-797")</f>
        <v>AL-797</v>
      </c>
      <c r="H1486" s="1" t="s">
        <v>1058</v>
      </c>
      <c r="I1486" s="1" t="s">
        <v>1071</v>
      </c>
      <c r="J1486" s="1" t="s">
        <v>26</v>
      </c>
      <c r="K1486" s="1" t="s">
        <v>1143</v>
      </c>
      <c r="L1486" s="1" t="s">
        <v>26</v>
      </c>
      <c r="M1486" s="1" t="s">
        <v>27</v>
      </c>
      <c r="N1486" s="1" t="s">
        <v>26</v>
      </c>
      <c r="O1486" s="1" t="s">
        <v>26</v>
      </c>
      <c r="P1486" s="4">
        <v>45055.92324074074</v>
      </c>
    </row>
    <row r="1487" hidden="1">
      <c r="A1487" s="1" t="s">
        <v>1055</v>
      </c>
      <c r="B1487" s="3" t="str">
        <f>HYPERLINK("https://hawk-eye.atlassian.net/browse/HWKREPORT-2061?atlOrigin=eyJpIjoiYzgwYTQ0ZjEyNzQzNGJhN2JmNjEyZTM0NmRhZWZhNjIiLCJwIjoic2hlZXRzLWppcmEifQ","HWKREPORT-2061")</f>
        <v>HWKREPORT-2061</v>
      </c>
      <c r="C1487" s="1" t="s">
        <v>2726</v>
      </c>
      <c r="D1487" s="1" t="s">
        <v>48</v>
      </c>
      <c r="E1487" s="1" t="s">
        <v>1207</v>
      </c>
      <c r="F1487" s="4">
        <v>45055.9396875</v>
      </c>
      <c r="G1487" s="3" t="str">
        <f>HYPERLINK("https://hawk-eye.atlassian.net/browse/AL-796?atlOrigin=eyJpIjoiYzgwYTQ0ZjEyNzQzNGJhN2JmNjEyZTM0NmRhZWZhNjIiLCJwIjoic2hlZXRzLWppcmEifQ","AL-796")</f>
        <v>AL-796</v>
      </c>
      <c r="H1487" s="1" t="s">
        <v>1058</v>
      </c>
      <c r="I1487" s="1" t="s">
        <v>1071</v>
      </c>
      <c r="J1487" s="1" t="s">
        <v>26</v>
      </c>
      <c r="K1487" s="1" t="s">
        <v>1143</v>
      </c>
      <c r="L1487" s="1" t="s">
        <v>26</v>
      </c>
      <c r="M1487" s="1" t="s">
        <v>27</v>
      </c>
      <c r="N1487" s="1" t="s">
        <v>26</v>
      </c>
      <c r="O1487" s="1" t="s">
        <v>26</v>
      </c>
      <c r="P1487" s="4">
        <v>45064.55332175926</v>
      </c>
    </row>
    <row r="1488" hidden="1">
      <c r="A1488" s="1" t="s">
        <v>21</v>
      </c>
      <c r="B1488" s="3" t="str">
        <f>HYPERLINK("https://hawk-eye.atlassian.net/browse/HWKREPORT-2062?atlOrigin=eyJpIjoiYzgwYTQ0ZjEyNzQzNGJhN2JmNjEyZTM0NmRhZWZhNjIiLCJwIjoic2hlZXRzLWppcmEifQ","HWKREPORT-2062")</f>
        <v>HWKREPORT-2062</v>
      </c>
      <c r="C1488" s="1" t="s">
        <v>2727</v>
      </c>
      <c r="D1488" s="1" t="s">
        <v>40</v>
      </c>
      <c r="E1488" s="1" t="s">
        <v>35</v>
      </c>
      <c r="F1488" s="4">
        <v>45056.46173611111</v>
      </c>
      <c r="G1488" s="3" t="str">
        <f>HYPERLINK("https://hawk-eye.atlassian.net/browse/GT-1066?atlOrigin=eyJpIjoiYzgwYTQ0ZjEyNzQzNGJhN2JmNjEyZTM0NmRhZWZhNjIiLCJwIjoic2hlZXRzLWppcmEifQ","GT-1066")</f>
        <v>GT-1066</v>
      </c>
      <c r="H1488" s="1" t="s">
        <v>1058</v>
      </c>
      <c r="I1488" s="1" t="s">
        <v>1085</v>
      </c>
      <c r="J1488" s="1" t="s">
        <v>26</v>
      </c>
      <c r="K1488" s="1" t="s">
        <v>1148</v>
      </c>
      <c r="L1488" s="1" t="s">
        <v>26</v>
      </c>
      <c r="M1488" s="1" t="s">
        <v>27</v>
      </c>
      <c r="N1488" s="1" t="s">
        <v>26</v>
      </c>
      <c r="O1488" s="1" t="s">
        <v>26</v>
      </c>
      <c r="P1488" s="4">
        <v>45056.68313657407</v>
      </c>
    </row>
    <row r="1489" hidden="1">
      <c r="A1489" s="1" t="s">
        <v>1055</v>
      </c>
      <c r="B1489" s="3" t="str">
        <f>HYPERLINK("https://hawk-eye.atlassian.net/browse/HWKREPORT-2063?atlOrigin=eyJpIjoiYzgwYTQ0ZjEyNzQzNGJhN2JmNjEyZTM0NmRhZWZhNjIiLCJwIjoic2hlZXRzLWppcmEifQ","HWKREPORT-2063")</f>
        <v>HWKREPORT-2063</v>
      </c>
      <c r="C1489" s="1" t="s">
        <v>2728</v>
      </c>
      <c r="D1489" s="1" t="s">
        <v>48</v>
      </c>
      <c r="E1489" s="1" t="s">
        <v>1207</v>
      </c>
      <c r="F1489" s="4">
        <v>45056.51296296297</v>
      </c>
      <c r="G1489" s="3" t="str">
        <f>HYPERLINK("https://hawk-eye.atlassian.net/browse/RTT-6328?atlOrigin=eyJpIjoiYzgwYTQ0ZjEyNzQzNGJhN2JmNjEyZTM0NmRhZWZhNjIiLCJwIjoic2hlZXRzLWppcmEifQ","RTT-6328")</f>
        <v>RTT-6328</v>
      </c>
      <c r="H1489" s="1" t="s">
        <v>1058</v>
      </c>
      <c r="I1489" s="1" t="s">
        <v>1085</v>
      </c>
      <c r="J1489" s="1" t="s">
        <v>26</v>
      </c>
      <c r="K1489" s="1" t="s">
        <v>2729</v>
      </c>
      <c r="L1489" s="1" t="s">
        <v>26</v>
      </c>
      <c r="M1489" s="1" t="s">
        <v>27</v>
      </c>
      <c r="N1489" s="1" t="s">
        <v>26</v>
      </c>
      <c r="O1489" s="1" t="s">
        <v>26</v>
      </c>
      <c r="P1489" s="4">
        <v>45092.61115740741</v>
      </c>
    </row>
    <row r="1490" hidden="1">
      <c r="A1490" s="1" t="s">
        <v>1055</v>
      </c>
      <c r="B1490" s="3" t="str">
        <f>HYPERLINK("https://hawk-eye.atlassian.net/browse/HWKREPORT-2064?atlOrigin=eyJpIjoiYzgwYTQ0ZjEyNzQzNGJhN2JmNjEyZTM0NmRhZWZhNjIiLCJwIjoic2hlZXRzLWppcmEifQ","HWKREPORT-2064")</f>
        <v>HWKREPORT-2064</v>
      </c>
      <c r="C1490" s="1" t="s">
        <v>2730</v>
      </c>
      <c r="D1490" s="1" t="s">
        <v>48</v>
      </c>
      <c r="E1490" s="1" t="s">
        <v>1057</v>
      </c>
      <c r="F1490" s="4">
        <v>45057.51483796296</v>
      </c>
      <c r="G1490" s="3" t="str">
        <f t="shared" ref="G1490:G1491" si="126">HYPERLINK("https://hawk-eye.atlassian.net/browse/?atlOrigin=eyJpIjoiYzgwYTQ0ZjEyNzQzNGJhN2JmNjEyZTM0NmRhZWZhNjIiLCJwIjoic2hlZXRzLWppcmEifQ","")</f>
        <v/>
      </c>
      <c r="H1490" s="1" t="s">
        <v>1058</v>
      </c>
      <c r="I1490" s="1" t="s">
        <v>1082</v>
      </c>
      <c r="J1490" s="1" t="s">
        <v>26</v>
      </c>
      <c r="K1490" s="1" t="s">
        <v>1105</v>
      </c>
      <c r="L1490" s="1" t="s">
        <v>26</v>
      </c>
      <c r="M1490" s="1" t="s">
        <v>27</v>
      </c>
      <c r="N1490" s="1" t="s">
        <v>26</v>
      </c>
      <c r="O1490" s="1" t="s">
        <v>26</v>
      </c>
      <c r="P1490" s="4">
        <v>45057.51483796296</v>
      </c>
    </row>
    <row r="1491" hidden="1">
      <c r="A1491" s="1" t="s">
        <v>21</v>
      </c>
      <c r="B1491" s="3" t="str">
        <f>HYPERLINK("https://hawk-eye.atlassian.net/browse/HWKREPORT-2065?atlOrigin=eyJpIjoiYzgwYTQ0ZjEyNzQzNGJhN2JmNjEyZTM0NmRhZWZhNjIiLCJwIjoic2hlZXRzLWppcmEifQ","HWKREPORT-2065")</f>
        <v>HWKREPORT-2065</v>
      </c>
      <c r="C1491" s="1" t="s">
        <v>2731</v>
      </c>
      <c r="D1491" s="1" t="s">
        <v>34</v>
      </c>
      <c r="E1491" s="1" t="s">
        <v>1057</v>
      </c>
      <c r="F1491" s="4">
        <v>45058.6156712963</v>
      </c>
      <c r="G1491" s="3" t="str">
        <f t="shared" si="126"/>
        <v/>
      </c>
      <c r="H1491" s="1" t="s">
        <v>1058</v>
      </c>
      <c r="I1491" s="1" t="s">
        <v>1085</v>
      </c>
      <c r="J1491" s="1" t="s">
        <v>26</v>
      </c>
      <c r="K1491" s="1" t="s">
        <v>2022</v>
      </c>
      <c r="L1491" s="1" t="s">
        <v>26</v>
      </c>
      <c r="M1491" s="1" t="s">
        <v>27</v>
      </c>
      <c r="N1491" s="1" t="s">
        <v>26</v>
      </c>
      <c r="O1491" s="1" t="s">
        <v>26</v>
      </c>
      <c r="P1491" s="4">
        <v>45058.61568287037</v>
      </c>
    </row>
    <row r="1492" hidden="1">
      <c r="A1492" s="1" t="s">
        <v>1055</v>
      </c>
      <c r="B1492" s="3" t="str">
        <f>HYPERLINK("https://hawk-eye.atlassian.net/browse/HWKREPORT-2066?atlOrigin=eyJpIjoiYzgwYTQ0ZjEyNzQzNGJhN2JmNjEyZTM0NmRhZWZhNjIiLCJwIjoic2hlZXRzLWppcmEifQ","HWKREPORT-2066")</f>
        <v>HWKREPORT-2066</v>
      </c>
      <c r="C1492" s="1" t="s">
        <v>2732</v>
      </c>
      <c r="D1492" s="1" t="s">
        <v>48</v>
      </c>
      <c r="E1492" s="1" t="s">
        <v>1057</v>
      </c>
      <c r="F1492" s="4">
        <v>45058.71199074074</v>
      </c>
      <c r="G1492" s="3" t="str">
        <f>HYPERLINK("https://hawk-eye.atlassian.net/browse/AL-827?atlOrigin=eyJpIjoiYzgwYTQ0ZjEyNzQzNGJhN2JmNjEyZTM0NmRhZWZhNjIiLCJwIjoic2hlZXRzLWppcmEifQ","AL-827")</f>
        <v>AL-827</v>
      </c>
      <c r="H1492" s="1" t="s">
        <v>1058</v>
      </c>
      <c r="I1492" s="1" t="s">
        <v>1085</v>
      </c>
      <c r="J1492" s="1" t="s">
        <v>26</v>
      </c>
      <c r="K1492" s="1" t="s">
        <v>1219</v>
      </c>
      <c r="L1492" s="1" t="s">
        <v>26</v>
      </c>
      <c r="M1492" s="1" t="s">
        <v>27</v>
      </c>
      <c r="N1492" s="1" t="s">
        <v>26</v>
      </c>
      <c r="O1492" s="1" t="s">
        <v>26</v>
      </c>
      <c r="P1492" s="4">
        <v>45058.712002314816</v>
      </c>
    </row>
    <row r="1493" hidden="1">
      <c r="A1493" s="1" t="s">
        <v>21</v>
      </c>
      <c r="B1493" s="3" t="str">
        <f>HYPERLINK("https://hawk-eye.atlassian.net/browse/HWKREPORT-2067?atlOrigin=eyJpIjoiYzgwYTQ0ZjEyNzQzNGJhN2JmNjEyZTM0NmRhZWZhNjIiLCJwIjoic2hlZXRzLWppcmEifQ","HWKREPORT-2067")</f>
        <v>HWKREPORT-2067</v>
      </c>
      <c r="C1493" s="1" t="s">
        <v>2733</v>
      </c>
      <c r="D1493" s="1" t="s">
        <v>83</v>
      </c>
      <c r="E1493" s="1" t="s">
        <v>1057</v>
      </c>
      <c r="F1493" s="4">
        <v>45058.761666666665</v>
      </c>
      <c r="G1493" s="3" t="str">
        <f>HYPERLINK("https://hawk-eye.atlassian.net/browse/AL-1001?atlOrigin=eyJpIjoiYzgwYTQ0ZjEyNzQzNGJhN2JmNjEyZTM0NmRhZWZhNjIiLCJwIjoic2hlZXRzLWppcmEifQ","AL-1001")</f>
        <v>AL-1001</v>
      </c>
      <c r="H1493" s="1" t="s">
        <v>1058</v>
      </c>
      <c r="I1493" s="1" t="s">
        <v>1085</v>
      </c>
      <c r="J1493" s="1" t="s">
        <v>26</v>
      </c>
      <c r="K1493" s="1" t="s">
        <v>1219</v>
      </c>
      <c r="L1493" s="1" t="s">
        <v>26</v>
      </c>
      <c r="M1493" s="1" t="s">
        <v>27</v>
      </c>
      <c r="N1493" s="1" t="s">
        <v>26</v>
      </c>
      <c r="O1493" s="1" t="s">
        <v>26</v>
      </c>
      <c r="P1493" s="4">
        <v>45058.76168981481</v>
      </c>
    </row>
    <row r="1494" hidden="1">
      <c r="A1494" s="1" t="s">
        <v>1055</v>
      </c>
      <c r="B1494" s="3" t="str">
        <f>HYPERLINK("https://hawk-eye.atlassian.net/browse/HWKREPORT-2068?atlOrigin=eyJpIjoiYzgwYTQ0ZjEyNzQzNGJhN2JmNjEyZTM0NmRhZWZhNjIiLCJwIjoic2hlZXRzLWppcmEifQ","HWKREPORT-2068")</f>
        <v>HWKREPORT-2068</v>
      </c>
      <c r="C1494" s="1" t="s">
        <v>2734</v>
      </c>
      <c r="D1494" s="1" t="s">
        <v>48</v>
      </c>
      <c r="E1494" s="1" t="s">
        <v>1057</v>
      </c>
      <c r="F1494" s="4">
        <v>45058.765694444446</v>
      </c>
      <c r="G1494" s="3" t="str">
        <f>HYPERLINK("https://hawk-eye.atlassian.net/browse/?atlOrigin=eyJpIjoiYzgwYTQ0ZjEyNzQzNGJhN2JmNjEyZTM0NmRhZWZhNjIiLCJwIjoic2hlZXRzLWppcmEifQ","")</f>
        <v/>
      </c>
      <c r="H1494" s="1" t="s">
        <v>1058</v>
      </c>
      <c r="I1494" s="1" t="s">
        <v>1085</v>
      </c>
      <c r="J1494" s="1" t="s">
        <v>26</v>
      </c>
      <c r="K1494" s="1" t="s">
        <v>1219</v>
      </c>
      <c r="L1494" s="1" t="s">
        <v>26</v>
      </c>
      <c r="M1494" s="1" t="s">
        <v>27</v>
      </c>
      <c r="N1494" s="1" t="s">
        <v>26</v>
      </c>
      <c r="O1494" s="1" t="s">
        <v>26</v>
      </c>
      <c r="P1494" s="4">
        <v>45058.765694444446</v>
      </c>
    </row>
    <row r="1495">
      <c r="A1495" s="1" t="s">
        <v>21</v>
      </c>
      <c r="B1495" s="3" t="str">
        <f>HYPERLINK("https://hawk-eye.atlassian.net/browse/HWKREPORT-2069?atlOrigin=eyJpIjoiYzgwYTQ0ZjEyNzQzNGJhN2JmNjEyZTM0NmRhZWZhNjIiLCJwIjoic2hlZXRzLWppcmEifQ","HWKREPORT-2069")</f>
        <v>HWKREPORT-2069</v>
      </c>
      <c r="C1495" s="1" t="s">
        <v>2735</v>
      </c>
      <c r="D1495" s="1" t="s">
        <v>23</v>
      </c>
      <c r="E1495" s="1" t="s">
        <v>35</v>
      </c>
      <c r="F1495" s="4">
        <v>45058.86680555555</v>
      </c>
      <c r="G1495" s="3" t="str">
        <f>HYPERLINK("https://hawk-eye.atlassian.net/browse/RTT-6326?atlOrigin=eyJpIjoiYzgwYTQ0ZjEyNzQzNGJhN2JmNjEyZTM0NmRhZWZhNjIiLCJwIjoic2hlZXRzLWppcmEifQ","RTT-6326")</f>
        <v>RTT-6326</v>
      </c>
      <c r="H1495" s="1" t="s">
        <v>1058</v>
      </c>
      <c r="I1495" s="1" t="s">
        <v>28</v>
      </c>
      <c r="J1495" s="1" t="s">
        <v>26</v>
      </c>
      <c r="K1495" s="1" t="s">
        <v>1072</v>
      </c>
      <c r="L1495" s="1" t="s">
        <v>26</v>
      </c>
      <c r="M1495" s="1" t="s">
        <v>27</v>
      </c>
      <c r="N1495" s="1" t="s">
        <v>26</v>
      </c>
      <c r="O1495" s="1" t="s">
        <v>26</v>
      </c>
      <c r="P1495" s="4">
        <v>45069.671793981484</v>
      </c>
    </row>
    <row r="1496" hidden="1">
      <c r="A1496" s="1" t="s">
        <v>1055</v>
      </c>
      <c r="B1496" s="3" t="str">
        <f>HYPERLINK("https://hawk-eye.atlassian.net/browse/HWKREPORT-2070?atlOrigin=eyJpIjoiYzgwYTQ0ZjEyNzQzNGJhN2JmNjEyZTM0NmRhZWZhNjIiLCJwIjoic2hlZXRzLWppcmEifQ","HWKREPORT-2070")</f>
        <v>HWKREPORT-2070</v>
      </c>
      <c r="C1496" s="1" t="s">
        <v>2736</v>
      </c>
      <c r="D1496" s="1" t="s">
        <v>48</v>
      </c>
      <c r="E1496" s="1" t="s">
        <v>1057</v>
      </c>
      <c r="F1496" s="4">
        <v>45061.37604166667</v>
      </c>
      <c r="G1496" s="3" t="str">
        <f>HYPERLINK("https://hawk-eye.atlassian.net/browse/GT-1107?atlOrigin=eyJpIjoiYzgwYTQ0ZjEyNzQzNGJhN2JmNjEyZTM0NmRhZWZhNjIiLCJwIjoic2hlZXRzLWppcmEifQ","GT-1107")</f>
        <v>GT-1107</v>
      </c>
      <c r="H1496" s="1" t="s">
        <v>1058</v>
      </c>
      <c r="I1496" s="1" t="s">
        <v>1085</v>
      </c>
      <c r="J1496" s="1" t="s">
        <v>26</v>
      </c>
      <c r="K1496" s="1" t="s">
        <v>1148</v>
      </c>
      <c r="L1496" s="1" t="s">
        <v>26</v>
      </c>
      <c r="M1496" s="1" t="s">
        <v>27</v>
      </c>
      <c r="N1496" s="1" t="s">
        <v>26</v>
      </c>
      <c r="O1496" s="1" t="s">
        <v>26</v>
      </c>
      <c r="P1496" s="4">
        <v>45061.376064814816</v>
      </c>
    </row>
    <row r="1497" hidden="1">
      <c r="A1497" s="1" t="s">
        <v>1055</v>
      </c>
      <c r="B1497" s="3" t="str">
        <f>HYPERLINK("https://hawk-eye.atlassian.net/browse/HWKREPORT-2071?atlOrigin=eyJpIjoiYzgwYTQ0ZjEyNzQzNGJhN2JmNjEyZTM0NmRhZWZhNjIiLCJwIjoic2hlZXRzLWppcmEifQ","HWKREPORT-2071")</f>
        <v>HWKREPORT-2071</v>
      </c>
      <c r="C1497" s="1" t="s">
        <v>2737</v>
      </c>
      <c r="D1497" s="1" t="s">
        <v>48</v>
      </c>
      <c r="E1497" s="1" t="s">
        <v>1207</v>
      </c>
      <c r="F1497" s="4">
        <v>45061.421377314815</v>
      </c>
      <c r="G1497" s="3" t="str">
        <f>HYPERLINK("https://hawk-eye.atlassian.net/browse/RTT-6334?atlOrigin=eyJpIjoiYzgwYTQ0ZjEyNzQzNGJhN2JmNjEyZTM0NmRhZWZhNjIiLCJwIjoic2hlZXRzLWppcmEifQ","RTT-6334")</f>
        <v>RTT-6334</v>
      </c>
      <c r="H1497" s="1" t="s">
        <v>1058</v>
      </c>
      <c r="I1497" s="1" t="s">
        <v>1082</v>
      </c>
      <c r="J1497" s="1" t="s">
        <v>26</v>
      </c>
      <c r="K1497" s="1" t="s">
        <v>1247</v>
      </c>
      <c r="L1497" s="1" t="s">
        <v>26</v>
      </c>
      <c r="M1497" s="1" t="s">
        <v>27</v>
      </c>
      <c r="N1497" s="1" t="s">
        <v>26</v>
      </c>
      <c r="O1497" s="1" t="s">
        <v>26</v>
      </c>
      <c r="P1497" s="4">
        <v>45064.6353125</v>
      </c>
    </row>
    <row r="1498" hidden="1">
      <c r="A1498" s="1" t="s">
        <v>21</v>
      </c>
      <c r="B1498" s="3" t="str">
        <f>HYPERLINK("https://hawk-eye.atlassian.net/browse/HWKREPORT-2072?atlOrigin=eyJpIjoiYzgwYTQ0ZjEyNzQzNGJhN2JmNjEyZTM0NmRhZWZhNjIiLCJwIjoic2hlZXRzLWppcmEifQ","HWKREPORT-2072")</f>
        <v>HWKREPORT-2072</v>
      </c>
      <c r="C1498" s="1" t="s">
        <v>2738</v>
      </c>
      <c r="D1498" s="1" t="s">
        <v>23</v>
      </c>
      <c r="E1498" s="1" t="s">
        <v>1057</v>
      </c>
      <c r="F1498" s="4">
        <v>45061.620034722226</v>
      </c>
      <c r="G1498" s="3" t="str">
        <f t="shared" ref="G1498:G1499" si="127">HYPERLINK("https://hawk-eye.atlassian.net/browse/?atlOrigin=eyJpIjoiYzgwYTQ0ZjEyNzQzNGJhN2JmNjEyZTM0NmRhZWZhNjIiLCJwIjoic2hlZXRzLWppcmEifQ","")</f>
        <v/>
      </c>
      <c r="H1498" s="1" t="s">
        <v>1058</v>
      </c>
      <c r="I1498" s="1" t="s">
        <v>1071</v>
      </c>
      <c r="J1498" s="1" t="s">
        <v>26</v>
      </c>
      <c r="K1498" s="1" t="s">
        <v>1072</v>
      </c>
      <c r="L1498" s="1" t="s">
        <v>26</v>
      </c>
      <c r="M1498" s="1" t="s">
        <v>27</v>
      </c>
      <c r="N1498" s="1" t="s">
        <v>26</v>
      </c>
      <c r="O1498" s="1" t="s">
        <v>26</v>
      </c>
      <c r="P1498" s="4">
        <v>45061.620034722226</v>
      </c>
    </row>
    <row r="1499" hidden="1">
      <c r="A1499" s="1" t="s">
        <v>21</v>
      </c>
      <c r="B1499" s="3" t="str">
        <f>HYPERLINK("https://hawk-eye.atlassian.net/browse/HWKREPORT-2073?atlOrigin=eyJpIjoiYzgwYTQ0ZjEyNzQzNGJhN2JmNjEyZTM0NmRhZWZhNjIiLCJwIjoic2hlZXRzLWppcmEifQ","HWKREPORT-2073")</f>
        <v>HWKREPORT-2073</v>
      </c>
      <c r="C1499" s="1" t="s">
        <v>2739</v>
      </c>
      <c r="D1499" s="1" t="s">
        <v>23</v>
      </c>
      <c r="E1499" s="1" t="s">
        <v>1057</v>
      </c>
      <c r="F1499" s="4">
        <v>45061.62467592592</v>
      </c>
      <c r="G1499" s="3" t="str">
        <f t="shared" si="127"/>
        <v/>
      </c>
      <c r="H1499" s="1" t="s">
        <v>1058</v>
      </c>
      <c r="I1499" s="1" t="s">
        <v>1071</v>
      </c>
      <c r="J1499" s="1" t="s">
        <v>26</v>
      </c>
      <c r="K1499" s="1" t="s">
        <v>2197</v>
      </c>
      <c r="L1499" s="1" t="s">
        <v>26</v>
      </c>
      <c r="M1499" s="1" t="s">
        <v>27</v>
      </c>
      <c r="N1499" s="1" t="s">
        <v>26</v>
      </c>
      <c r="O1499" s="1" t="s">
        <v>26</v>
      </c>
      <c r="P1499" s="4">
        <v>45061.6246875</v>
      </c>
    </row>
    <row r="1500" hidden="1">
      <c r="A1500" s="1" t="s">
        <v>21</v>
      </c>
      <c r="B1500" s="3" t="str">
        <f>HYPERLINK("https://hawk-eye.atlassian.net/browse/HWKREPORT-2074?atlOrigin=eyJpIjoiYzgwYTQ0ZjEyNzQzNGJhN2JmNjEyZTM0NmRhZWZhNjIiLCJwIjoic2hlZXRzLWppcmEifQ","HWKREPORT-2074")</f>
        <v>HWKREPORT-2074</v>
      </c>
      <c r="C1500" s="1" t="s">
        <v>2740</v>
      </c>
      <c r="D1500" s="1" t="s">
        <v>23</v>
      </c>
      <c r="E1500" s="1" t="s">
        <v>1207</v>
      </c>
      <c r="F1500" s="4">
        <v>45061.681435185186</v>
      </c>
      <c r="G1500" s="3" t="str">
        <f>HYPERLINK("https://hawk-eye.atlassian.net/browse/RTT-6343?atlOrigin=eyJpIjoiYzgwYTQ0ZjEyNzQzNGJhN2JmNjEyZTM0NmRhZWZhNjIiLCJwIjoic2hlZXRzLWppcmEifQ","RTT-6343")</f>
        <v>RTT-6343</v>
      </c>
      <c r="H1500" s="1" t="s">
        <v>1058</v>
      </c>
      <c r="I1500" s="1" t="s">
        <v>1071</v>
      </c>
      <c r="J1500" s="1" t="s">
        <v>26</v>
      </c>
      <c r="K1500" s="1" t="s">
        <v>1072</v>
      </c>
      <c r="L1500" s="1" t="s">
        <v>26</v>
      </c>
      <c r="M1500" s="1" t="s">
        <v>27</v>
      </c>
      <c r="N1500" s="1" t="s">
        <v>26</v>
      </c>
      <c r="O1500" s="1" t="s">
        <v>26</v>
      </c>
      <c r="P1500" s="4">
        <v>45084.40693287037</v>
      </c>
    </row>
    <row r="1501" hidden="1">
      <c r="A1501" s="1" t="s">
        <v>1055</v>
      </c>
      <c r="B1501" s="3" t="str">
        <f>HYPERLINK("https://hawk-eye.atlassian.net/browse/HWKREPORT-2075?atlOrigin=eyJpIjoiYzgwYTQ0ZjEyNzQzNGJhN2JmNjEyZTM0NmRhZWZhNjIiLCJwIjoic2hlZXRzLWppcmEifQ","HWKREPORT-2075")</f>
        <v>HWKREPORT-2075</v>
      </c>
      <c r="C1501" s="1" t="s">
        <v>2741</v>
      </c>
      <c r="D1501" s="1" t="s">
        <v>48</v>
      </c>
      <c r="E1501" s="1" t="s">
        <v>1057</v>
      </c>
      <c r="F1501" s="4">
        <v>45061.68225694444</v>
      </c>
      <c r="G1501" s="3" t="str">
        <f t="shared" ref="G1501:G1504" si="128">HYPERLINK("https://hawk-eye.atlassian.net/browse/?atlOrigin=eyJpIjoiYzgwYTQ0ZjEyNzQzNGJhN2JmNjEyZTM0NmRhZWZhNjIiLCJwIjoic2hlZXRzLWppcmEifQ","")</f>
        <v/>
      </c>
      <c r="H1501" s="1" t="s">
        <v>1058</v>
      </c>
      <c r="I1501" s="1" t="s">
        <v>1082</v>
      </c>
      <c r="J1501" s="1" t="s">
        <v>26</v>
      </c>
      <c r="K1501" s="1" t="s">
        <v>1083</v>
      </c>
      <c r="L1501" s="1" t="s">
        <v>26</v>
      </c>
      <c r="M1501" s="1" t="s">
        <v>27</v>
      </c>
      <c r="N1501" s="1" t="s">
        <v>26</v>
      </c>
      <c r="O1501" s="1" t="s">
        <v>26</v>
      </c>
      <c r="P1501" s="4">
        <v>45061.68226851852</v>
      </c>
    </row>
    <row r="1502" hidden="1">
      <c r="A1502" s="1" t="s">
        <v>21</v>
      </c>
      <c r="B1502" s="3" t="str">
        <f>HYPERLINK("https://hawk-eye.atlassian.net/browse/HWKREPORT-1874?atlOrigin=eyJpIjoiYzgwYTQ0ZjEyNzQzNGJhN2JmNjEyZTM0NmRhZWZhNjIiLCJwIjoic2hlZXRzLWppcmEifQ","HWKREPORT-1874")</f>
        <v>HWKREPORT-1874</v>
      </c>
      <c r="C1502" s="1" t="s">
        <v>2742</v>
      </c>
      <c r="D1502" s="1" t="s">
        <v>83</v>
      </c>
      <c r="E1502" s="1" t="s">
        <v>1057</v>
      </c>
      <c r="F1502" s="4">
        <v>44974.406805555554</v>
      </c>
      <c r="G1502" s="3" t="str">
        <f t="shared" si="128"/>
        <v/>
      </c>
      <c r="H1502" s="1" t="s">
        <v>1058</v>
      </c>
      <c r="I1502" s="1" t="s">
        <v>1126</v>
      </c>
      <c r="J1502" s="1" t="s">
        <v>26</v>
      </c>
      <c r="K1502" s="1" t="s">
        <v>2420</v>
      </c>
      <c r="L1502" s="1" t="s">
        <v>26</v>
      </c>
      <c r="M1502" s="1" t="s">
        <v>27</v>
      </c>
      <c r="N1502" s="1" t="s">
        <v>26</v>
      </c>
      <c r="O1502" s="1" t="s">
        <v>26</v>
      </c>
      <c r="P1502" s="4">
        <v>44974.40681712963</v>
      </c>
    </row>
    <row r="1503" hidden="1">
      <c r="A1503" s="1" t="s">
        <v>21</v>
      </c>
      <c r="B1503" s="3" t="str">
        <f>HYPERLINK("https://hawk-eye.atlassian.net/browse/HWKREPORT-1875?atlOrigin=eyJpIjoiYzgwYTQ0ZjEyNzQzNGJhN2JmNjEyZTM0NmRhZWZhNjIiLCJwIjoic2hlZXRzLWppcmEifQ","HWKREPORT-1875")</f>
        <v>HWKREPORT-1875</v>
      </c>
      <c r="C1503" s="1" t="s">
        <v>2743</v>
      </c>
      <c r="D1503" s="1" t="s">
        <v>23</v>
      </c>
      <c r="E1503" s="1" t="s">
        <v>1057</v>
      </c>
      <c r="F1503" s="4">
        <v>44974.46026620371</v>
      </c>
      <c r="G1503" s="3" t="str">
        <f t="shared" si="128"/>
        <v/>
      </c>
      <c r="H1503" s="1" t="s">
        <v>1058</v>
      </c>
      <c r="I1503" s="1" t="s">
        <v>1126</v>
      </c>
      <c r="J1503" s="1" t="s">
        <v>26</v>
      </c>
      <c r="K1503" s="1" t="s">
        <v>2744</v>
      </c>
      <c r="L1503" s="1" t="s">
        <v>26</v>
      </c>
      <c r="M1503" s="1" t="s">
        <v>27</v>
      </c>
      <c r="N1503" s="1" t="s">
        <v>26</v>
      </c>
      <c r="O1503" s="1" t="s">
        <v>26</v>
      </c>
      <c r="P1503" s="4">
        <v>44974.46028935185</v>
      </c>
    </row>
    <row r="1504" hidden="1">
      <c r="A1504" s="1" t="s">
        <v>1055</v>
      </c>
      <c r="B1504" s="3" t="str">
        <f>HYPERLINK("https://hawk-eye.atlassian.net/browse/HWKREPORT-1876?atlOrigin=eyJpIjoiYzgwYTQ0ZjEyNzQzNGJhN2JmNjEyZTM0NmRhZWZhNjIiLCJwIjoic2hlZXRzLWppcmEifQ","HWKREPORT-1876")</f>
        <v>HWKREPORT-1876</v>
      </c>
      <c r="C1504" s="1" t="s">
        <v>2745</v>
      </c>
      <c r="D1504" s="1" t="s">
        <v>48</v>
      </c>
      <c r="E1504" s="1" t="s">
        <v>1057</v>
      </c>
      <c r="F1504" s="4">
        <v>44977.25896990741</v>
      </c>
      <c r="G1504" s="3" t="str">
        <f t="shared" si="128"/>
        <v/>
      </c>
      <c r="H1504" s="1" t="s">
        <v>1058</v>
      </c>
      <c r="I1504" s="1" t="s">
        <v>1071</v>
      </c>
      <c r="J1504" s="1" t="s">
        <v>26</v>
      </c>
      <c r="K1504" s="1" t="s">
        <v>1898</v>
      </c>
      <c r="L1504" s="1" t="s">
        <v>26</v>
      </c>
      <c r="M1504" s="1" t="s">
        <v>27</v>
      </c>
      <c r="N1504" s="1" t="s">
        <v>26</v>
      </c>
      <c r="O1504" s="1" t="s">
        <v>26</v>
      </c>
      <c r="P1504" s="4">
        <v>44977.258993055555</v>
      </c>
    </row>
    <row r="1505" hidden="1">
      <c r="A1505" s="1" t="s">
        <v>21</v>
      </c>
      <c r="B1505" s="3" t="str">
        <f>HYPERLINK("https://hawk-eye.atlassian.net/browse/HWKREPORT-1877?atlOrigin=eyJpIjoiYzgwYTQ0ZjEyNzQzNGJhN2JmNjEyZTM0NmRhZWZhNjIiLCJwIjoic2hlZXRzLWppcmEifQ","HWKREPORT-1877")</f>
        <v>HWKREPORT-1877</v>
      </c>
      <c r="C1505" s="1" t="s">
        <v>2746</v>
      </c>
      <c r="D1505" s="1" t="s">
        <v>40</v>
      </c>
      <c r="E1505" s="1" t="s">
        <v>1207</v>
      </c>
      <c r="F1505" s="4">
        <v>44977.39810185185</v>
      </c>
      <c r="G1505" s="3" t="str">
        <f>HYPERLINK("https://hawk-eye.atlassian.net/browse/AL-691?atlOrigin=eyJpIjoiYzgwYTQ0ZjEyNzQzNGJhN2JmNjEyZTM0NmRhZWZhNjIiLCJwIjoic2hlZXRzLWppcmEifQ","AL-691")</f>
        <v>AL-691</v>
      </c>
      <c r="H1505" s="1" t="s">
        <v>1058</v>
      </c>
      <c r="I1505" s="1" t="s">
        <v>1085</v>
      </c>
      <c r="J1505" s="1" t="s">
        <v>26</v>
      </c>
      <c r="K1505" s="1" t="s">
        <v>1717</v>
      </c>
      <c r="L1505" s="1" t="s">
        <v>26</v>
      </c>
      <c r="M1505" s="1" t="s">
        <v>27</v>
      </c>
      <c r="N1505" s="1" t="s">
        <v>26</v>
      </c>
      <c r="O1505" s="1" t="s">
        <v>26</v>
      </c>
      <c r="P1505" s="4">
        <v>44980.7081712963</v>
      </c>
    </row>
    <row r="1506" hidden="1">
      <c r="A1506" s="1" t="s">
        <v>1055</v>
      </c>
      <c r="B1506" s="3" t="str">
        <f>HYPERLINK("https://hawk-eye.atlassian.net/browse/HWKREPORT-1878?atlOrigin=eyJpIjoiYzgwYTQ0ZjEyNzQzNGJhN2JmNjEyZTM0NmRhZWZhNjIiLCJwIjoic2hlZXRzLWppcmEifQ","HWKREPORT-1878")</f>
        <v>HWKREPORT-1878</v>
      </c>
      <c r="C1506" s="1" t="s">
        <v>2747</v>
      </c>
      <c r="D1506" s="1" t="s">
        <v>48</v>
      </c>
      <c r="E1506" s="1" t="s">
        <v>1207</v>
      </c>
      <c r="F1506" s="4">
        <v>44977.693761574075</v>
      </c>
      <c r="G1506" s="3" t="str">
        <f>HYPERLINK("https://hawk-eye.atlassian.net/browse/RTT-5947?atlOrigin=eyJpIjoiYzgwYTQ0ZjEyNzQzNGJhN2JmNjEyZTM0NmRhZWZhNjIiLCJwIjoic2hlZXRzLWppcmEifQ","RTT-5947")</f>
        <v>RTT-5947</v>
      </c>
      <c r="H1506" s="1" t="s">
        <v>1058</v>
      </c>
      <c r="I1506" s="1" t="s">
        <v>1071</v>
      </c>
      <c r="J1506" s="1" t="s">
        <v>26</v>
      </c>
      <c r="K1506" s="1" t="s">
        <v>1072</v>
      </c>
      <c r="L1506" s="1" t="s">
        <v>26</v>
      </c>
      <c r="M1506" s="1" t="s">
        <v>27</v>
      </c>
      <c r="N1506" s="1" t="s">
        <v>26</v>
      </c>
      <c r="O1506" s="1" t="s">
        <v>26</v>
      </c>
      <c r="P1506" s="4">
        <v>44986.69667824074</v>
      </c>
    </row>
    <row r="1507" hidden="1">
      <c r="A1507" s="1" t="s">
        <v>1055</v>
      </c>
      <c r="B1507" s="3" t="str">
        <f>HYPERLINK("https://hawk-eye.atlassian.net/browse/HWKREPORT-1879?atlOrigin=eyJpIjoiYzgwYTQ0ZjEyNzQzNGJhN2JmNjEyZTM0NmRhZWZhNjIiLCJwIjoic2hlZXRzLWppcmEifQ","HWKREPORT-1879")</f>
        <v>HWKREPORT-1879</v>
      </c>
      <c r="C1507" s="1" t="s">
        <v>2748</v>
      </c>
      <c r="D1507" s="1" t="s">
        <v>48</v>
      </c>
      <c r="E1507" s="1" t="s">
        <v>1057</v>
      </c>
      <c r="F1507" s="4">
        <v>44977.76550925926</v>
      </c>
      <c r="G1507" s="3" t="str">
        <f>HYPERLINK("https://hawk-eye.atlassian.net/browse/RTT-5949?atlOrigin=eyJpIjoiYzgwYTQ0ZjEyNzQzNGJhN2JmNjEyZTM0NmRhZWZhNjIiLCJwIjoic2hlZXRzLWppcmEifQ","RTT-5949")</f>
        <v>RTT-5949</v>
      </c>
      <c r="H1507" s="1" t="s">
        <v>1058</v>
      </c>
      <c r="I1507" s="1" t="s">
        <v>1071</v>
      </c>
      <c r="J1507" s="1" t="s">
        <v>26</v>
      </c>
      <c r="K1507" s="1" t="s">
        <v>1072</v>
      </c>
      <c r="L1507" s="1" t="s">
        <v>26</v>
      </c>
      <c r="M1507" s="1" t="s">
        <v>27</v>
      </c>
      <c r="N1507" s="1" t="s">
        <v>26</v>
      </c>
      <c r="O1507" s="1" t="s">
        <v>26</v>
      </c>
      <c r="P1507" s="4">
        <v>44977.76552083333</v>
      </c>
    </row>
    <row r="1508" hidden="1">
      <c r="A1508" s="1" t="s">
        <v>21</v>
      </c>
      <c r="B1508" s="3" t="str">
        <f>HYPERLINK("https://hawk-eye.atlassian.net/browse/HWKREPORT-1880?atlOrigin=eyJpIjoiYzgwYTQ0ZjEyNzQzNGJhN2JmNjEyZTM0NmRhZWZhNjIiLCJwIjoic2hlZXRzLWppcmEifQ","HWKREPORT-1880")</f>
        <v>HWKREPORT-1880</v>
      </c>
      <c r="C1508" s="1" t="s">
        <v>2749</v>
      </c>
      <c r="D1508" s="1" t="s">
        <v>83</v>
      </c>
      <c r="E1508" s="1" t="s">
        <v>35</v>
      </c>
      <c r="F1508" s="4">
        <v>44978.41900462963</v>
      </c>
      <c r="G1508" s="3" t="str">
        <f>HYPERLINK("https://hawk-eye.atlassian.net/browse/?atlOrigin=eyJpIjoiYzgwYTQ0ZjEyNzQzNGJhN2JmNjEyZTM0NmRhZWZhNjIiLCJwIjoic2hlZXRzLWppcmEifQ","")</f>
        <v/>
      </c>
      <c r="H1508" s="1" t="s">
        <v>1058</v>
      </c>
      <c r="I1508" s="1" t="s">
        <v>1082</v>
      </c>
      <c r="J1508" s="1" t="s">
        <v>26</v>
      </c>
      <c r="K1508" s="1" t="s">
        <v>2750</v>
      </c>
      <c r="L1508" s="1" t="s">
        <v>26</v>
      </c>
      <c r="M1508" s="1" t="s">
        <v>27</v>
      </c>
      <c r="N1508" s="1" t="s">
        <v>26</v>
      </c>
      <c r="O1508" s="1" t="s">
        <v>26</v>
      </c>
      <c r="P1508" s="4">
        <v>45714.40436342593</v>
      </c>
    </row>
    <row r="1509" hidden="1">
      <c r="A1509" s="1" t="s">
        <v>1055</v>
      </c>
      <c r="B1509" s="3" t="str">
        <f>HYPERLINK("https://hawk-eye.atlassian.net/browse/HWKREPORT-1881?atlOrigin=eyJpIjoiYzgwYTQ0ZjEyNzQzNGJhN2JmNjEyZTM0NmRhZWZhNjIiLCJwIjoic2hlZXRzLWppcmEifQ","HWKREPORT-1881")</f>
        <v>HWKREPORT-1881</v>
      </c>
      <c r="C1509" s="1" t="s">
        <v>2751</v>
      </c>
      <c r="D1509" s="1" t="s">
        <v>48</v>
      </c>
      <c r="E1509" s="1" t="s">
        <v>1207</v>
      </c>
      <c r="F1509" s="4">
        <v>44978.61138888889</v>
      </c>
      <c r="G1509" s="3" t="str">
        <f>HYPERLINK("https://hawk-eye.atlassian.net/browse/AL-699?atlOrigin=eyJpIjoiYzgwYTQ0ZjEyNzQzNGJhN2JmNjEyZTM0NmRhZWZhNjIiLCJwIjoic2hlZXRzLWppcmEifQ","AL-699")</f>
        <v>AL-699</v>
      </c>
      <c r="H1509" s="1" t="s">
        <v>1058</v>
      </c>
      <c r="I1509" s="1" t="s">
        <v>1071</v>
      </c>
      <c r="J1509" s="1" t="s">
        <v>26</v>
      </c>
      <c r="K1509" s="1" t="s">
        <v>2299</v>
      </c>
      <c r="L1509" s="1" t="s">
        <v>26</v>
      </c>
      <c r="M1509" s="1" t="s">
        <v>27</v>
      </c>
      <c r="N1509" s="1" t="s">
        <v>26</v>
      </c>
      <c r="O1509" s="1" t="s">
        <v>26</v>
      </c>
      <c r="P1509" s="4">
        <v>44979.70899305555</v>
      </c>
    </row>
    <row r="1510" hidden="1">
      <c r="A1510" s="1" t="s">
        <v>1055</v>
      </c>
      <c r="B1510" s="3" t="str">
        <f>HYPERLINK("https://hawk-eye.atlassian.net/browse/HWKREPORT-1882?atlOrigin=eyJpIjoiYzgwYTQ0ZjEyNzQzNGJhN2JmNjEyZTM0NmRhZWZhNjIiLCJwIjoic2hlZXRzLWppcmEifQ","HWKREPORT-1882")</f>
        <v>HWKREPORT-1882</v>
      </c>
      <c r="C1510" s="1" t="s">
        <v>2752</v>
      </c>
      <c r="D1510" s="1" t="s">
        <v>48</v>
      </c>
      <c r="E1510" s="1" t="s">
        <v>1207</v>
      </c>
      <c r="F1510" s="4">
        <v>44978.65178240741</v>
      </c>
      <c r="G1510" s="3" t="str">
        <f>HYPERLINK("https://hawk-eye.atlassian.net/browse/RTT-5953?atlOrigin=eyJpIjoiYzgwYTQ0ZjEyNzQzNGJhN2JmNjEyZTM0NmRhZWZhNjIiLCJwIjoic2hlZXRzLWppcmEifQ","RTT-5953")</f>
        <v>RTT-5953</v>
      </c>
      <c r="H1510" s="1" t="s">
        <v>1058</v>
      </c>
      <c r="I1510" s="1" t="s">
        <v>1085</v>
      </c>
      <c r="J1510" s="1" t="s">
        <v>26</v>
      </c>
      <c r="K1510" s="1" t="s">
        <v>1247</v>
      </c>
      <c r="L1510" s="1" t="s">
        <v>26</v>
      </c>
      <c r="M1510" s="1" t="s">
        <v>27</v>
      </c>
      <c r="N1510" s="1" t="s">
        <v>26</v>
      </c>
      <c r="O1510" s="1" t="s">
        <v>26</v>
      </c>
      <c r="P1510" s="4">
        <v>44986.59333333333</v>
      </c>
    </row>
    <row r="1511" hidden="1">
      <c r="A1511" s="1" t="s">
        <v>1055</v>
      </c>
      <c r="B1511" s="3" t="str">
        <f>HYPERLINK("https://hawk-eye.atlassian.net/browse/HWKREPORT-1883?atlOrigin=eyJpIjoiYzgwYTQ0ZjEyNzQzNGJhN2JmNjEyZTM0NmRhZWZhNjIiLCJwIjoic2hlZXRzLWppcmEifQ","HWKREPORT-1883")</f>
        <v>HWKREPORT-1883</v>
      </c>
      <c r="C1511" s="1" t="s">
        <v>2753</v>
      </c>
      <c r="D1511" s="1" t="s">
        <v>48</v>
      </c>
      <c r="E1511" s="1" t="s">
        <v>1057</v>
      </c>
      <c r="F1511" s="4">
        <v>44978.662627314814</v>
      </c>
      <c r="G1511" s="3" t="str">
        <f>HYPERLINK("https://hawk-eye.atlassian.net/browse/RTT-7500?atlOrigin=eyJpIjoiYzgwYTQ0ZjEyNzQzNGJhN2JmNjEyZTM0NmRhZWZhNjIiLCJwIjoic2hlZXRzLWppcmEifQ","RTT-7500")</f>
        <v>RTT-7500</v>
      </c>
      <c r="H1511" s="1" t="s">
        <v>1058</v>
      </c>
      <c r="I1511" s="1" t="s">
        <v>1085</v>
      </c>
      <c r="J1511" s="1" t="s">
        <v>26</v>
      </c>
      <c r="K1511" s="1" t="s">
        <v>1312</v>
      </c>
      <c r="L1511" s="1" t="s">
        <v>26</v>
      </c>
      <c r="M1511" s="1" t="s">
        <v>27</v>
      </c>
      <c r="N1511" s="1" t="s">
        <v>26</v>
      </c>
      <c r="O1511" s="1" t="s">
        <v>26</v>
      </c>
      <c r="P1511" s="4">
        <v>44978.662627314814</v>
      </c>
    </row>
    <row r="1512" hidden="1">
      <c r="A1512" s="1" t="s">
        <v>1055</v>
      </c>
      <c r="B1512" s="3" t="str">
        <f>HYPERLINK("https://hawk-eye.atlassian.net/browse/HWKREPORT-1884?atlOrigin=eyJpIjoiYzgwYTQ0ZjEyNzQzNGJhN2JmNjEyZTM0NmRhZWZhNjIiLCJwIjoic2hlZXRzLWppcmEifQ","HWKREPORT-1884")</f>
        <v>HWKREPORT-1884</v>
      </c>
      <c r="C1512" s="1" t="s">
        <v>2754</v>
      </c>
      <c r="D1512" s="1" t="s">
        <v>48</v>
      </c>
      <c r="E1512" s="1" t="s">
        <v>35</v>
      </c>
      <c r="F1512" s="4">
        <v>44978.69541666667</v>
      </c>
      <c r="G1512" s="3" t="str">
        <f>HYPERLINK("https://hawk-eye.atlassian.net/browse/MLT-1324?atlOrigin=eyJpIjoiYzgwYTQ0ZjEyNzQzNGJhN2JmNjEyZTM0NmRhZWZhNjIiLCJwIjoic2hlZXRzLWppcmEifQ","MLT-1324")</f>
        <v>MLT-1324</v>
      </c>
      <c r="H1512" s="1" t="s">
        <v>1058</v>
      </c>
      <c r="I1512" s="1" t="s">
        <v>1071</v>
      </c>
      <c r="J1512" s="1" t="s">
        <v>26</v>
      </c>
      <c r="K1512" s="1" t="s">
        <v>1099</v>
      </c>
      <c r="L1512" s="1" t="s">
        <v>26</v>
      </c>
      <c r="M1512" s="1" t="s">
        <v>27</v>
      </c>
      <c r="N1512" s="1" t="s">
        <v>26</v>
      </c>
      <c r="O1512" s="1" t="s">
        <v>26</v>
      </c>
      <c r="P1512" s="4">
        <v>44985.58217592593</v>
      </c>
    </row>
    <row r="1513" hidden="1">
      <c r="A1513" s="1" t="s">
        <v>21</v>
      </c>
      <c r="B1513" s="3" t="str">
        <f>HYPERLINK("https://hawk-eye.atlassian.net/browse/HWKREPORT-1885?atlOrigin=eyJpIjoiYzgwYTQ0ZjEyNzQzNGJhN2JmNjEyZTM0NmRhZWZhNjIiLCJwIjoic2hlZXRzLWppcmEifQ","HWKREPORT-1885")</f>
        <v>HWKREPORT-1885</v>
      </c>
      <c r="C1513" s="1" t="s">
        <v>2755</v>
      </c>
      <c r="D1513" s="1" t="s">
        <v>23</v>
      </c>
      <c r="E1513" s="1" t="s">
        <v>35</v>
      </c>
      <c r="F1513" s="4">
        <v>44978.70395833333</v>
      </c>
      <c r="G1513" s="3" t="str">
        <f>HYPERLINK("https://hawk-eye.atlassian.net/browse/TRD-124?atlOrigin=eyJpIjoiYzgwYTQ0ZjEyNzQzNGJhN2JmNjEyZTM0NmRhZWZhNjIiLCJwIjoic2hlZXRzLWppcmEifQ","TRD-124")</f>
        <v>TRD-124</v>
      </c>
      <c r="H1513" s="1" t="s">
        <v>1058</v>
      </c>
      <c r="I1513" s="1" t="s">
        <v>1126</v>
      </c>
      <c r="J1513" s="1" t="s">
        <v>26</v>
      </c>
      <c r="K1513" s="1" t="s">
        <v>1211</v>
      </c>
      <c r="L1513" s="1" t="s">
        <v>26</v>
      </c>
      <c r="M1513" s="1" t="s">
        <v>27</v>
      </c>
      <c r="N1513" s="1" t="s">
        <v>26</v>
      </c>
      <c r="O1513" s="1" t="s">
        <v>26</v>
      </c>
      <c r="P1513" s="4">
        <v>45021.4477662037</v>
      </c>
    </row>
    <row r="1514" hidden="1">
      <c r="A1514" s="1" t="s">
        <v>21</v>
      </c>
      <c r="B1514" s="3" t="str">
        <f>HYPERLINK("https://hawk-eye.atlassian.net/browse/HWKREPORT-1886?atlOrigin=eyJpIjoiYzgwYTQ0ZjEyNzQzNGJhN2JmNjEyZTM0NmRhZWZhNjIiLCJwIjoic2hlZXRzLWppcmEifQ","HWKREPORT-1886")</f>
        <v>HWKREPORT-1886</v>
      </c>
      <c r="C1514" s="1" t="s">
        <v>2756</v>
      </c>
      <c r="D1514" s="1" t="s">
        <v>34</v>
      </c>
      <c r="E1514" s="1" t="s">
        <v>1541</v>
      </c>
      <c r="F1514" s="4">
        <v>44979.40721064815</v>
      </c>
      <c r="G1514" s="3" t="str">
        <f>HYPERLINK("https://hawk-eye.atlassian.net/browse/GT-899?atlOrigin=eyJpIjoiYzgwYTQ0ZjEyNzQzNGJhN2JmNjEyZTM0NmRhZWZhNjIiLCJwIjoic2hlZXRzLWppcmEifQ","GT-899")</f>
        <v>GT-899</v>
      </c>
      <c r="H1514" s="1" t="s">
        <v>1058</v>
      </c>
      <c r="I1514" s="1" t="s">
        <v>1126</v>
      </c>
      <c r="J1514" s="1" t="s">
        <v>26</v>
      </c>
      <c r="K1514" s="1" t="s">
        <v>1105</v>
      </c>
      <c r="L1514" s="1" t="s">
        <v>26</v>
      </c>
      <c r="M1514" s="1" t="s">
        <v>27</v>
      </c>
      <c r="N1514" s="1" t="s">
        <v>26</v>
      </c>
      <c r="O1514" s="1" t="s">
        <v>26</v>
      </c>
      <c r="P1514" s="4">
        <v>44994.48204861111</v>
      </c>
    </row>
    <row r="1515" hidden="1">
      <c r="A1515" s="1" t="s">
        <v>21</v>
      </c>
      <c r="B1515" s="3" t="str">
        <f>HYPERLINK("https://hawk-eye.atlassian.net/browse/HWKREPORT-1887?atlOrigin=eyJpIjoiYzgwYTQ0ZjEyNzQzNGJhN2JmNjEyZTM0NmRhZWZhNjIiLCJwIjoic2hlZXRzLWppcmEifQ","HWKREPORT-1887")</f>
        <v>HWKREPORT-1887</v>
      </c>
      <c r="C1515" s="1" t="s">
        <v>2757</v>
      </c>
      <c r="D1515" s="1" t="s">
        <v>34</v>
      </c>
      <c r="E1515" s="1" t="s">
        <v>35</v>
      </c>
      <c r="F1515" s="4">
        <v>44979.41599537037</v>
      </c>
      <c r="G1515" s="3" t="str">
        <f t="shared" ref="G1515:G1516" si="129">HYPERLINK("https://hawk-eye.atlassian.net/browse/?atlOrigin=eyJpIjoiYzgwYTQ0ZjEyNzQzNGJhN2JmNjEyZTM0NmRhZWZhNjIiLCJwIjoic2hlZXRzLWppcmEifQ","")</f>
        <v/>
      </c>
      <c r="H1515" s="1" t="s">
        <v>1058</v>
      </c>
      <c r="I1515" s="1" t="s">
        <v>1126</v>
      </c>
      <c r="J1515" s="1" t="s">
        <v>26</v>
      </c>
      <c r="K1515" s="1" t="s">
        <v>1148</v>
      </c>
      <c r="L1515" s="1" t="s">
        <v>26</v>
      </c>
      <c r="M1515" s="1" t="s">
        <v>27</v>
      </c>
      <c r="N1515" s="1" t="s">
        <v>26</v>
      </c>
      <c r="O1515" s="1" t="s">
        <v>26</v>
      </c>
      <c r="P1515" s="4">
        <v>44979.42428240741</v>
      </c>
    </row>
    <row r="1516" hidden="1">
      <c r="A1516" s="1" t="s">
        <v>21</v>
      </c>
      <c r="B1516" s="3" t="str">
        <f>HYPERLINK("https://hawk-eye.atlassian.net/browse/HWKREPORT-1888?atlOrigin=eyJpIjoiYzgwYTQ0ZjEyNzQzNGJhN2JmNjEyZTM0NmRhZWZhNjIiLCJwIjoic2hlZXRzLWppcmEifQ","HWKREPORT-1888")</f>
        <v>HWKREPORT-1888</v>
      </c>
      <c r="C1516" s="1" t="s">
        <v>2758</v>
      </c>
      <c r="D1516" s="1" t="s">
        <v>34</v>
      </c>
      <c r="E1516" s="1" t="s">
        <v>35</v>
      </c>
      <c r="F1516" s="4">
        <v>44979.43103009259</v>
      </c>
      <c r="G1516" s="3" t="str">
        <f t="shared" si="129"/>
        <v/>
      </c>
      <c r="H1516" s="1" t="s">
        <v>1058</v>
      </c>
      <c r="I1516" s="1" t="s">
        <v>1126</v>
      </c>
      <c r="J1516" s="1" t="s">
        <v>26</v>
      </c>
      <c r="K1516" s="1" t="s">
        <v>1148</v>
      </c>
      <c r="L1516" s="1" t="s">
        <v>26</v>
      </c>
      <c r="M1516" s="1" t="s">
        <v>27</v>
      </c>
      <c r="N1516" s="1" t="s">
        <v>26</v>
      </c>
      <c r="O1516" s="1" t="s">
        <v>26</v>
      </c>
      <c r="P1516" s="4">
        <v>45127.675092592595</v>
      </c>
    </row>
    <row r="1517" hidden="1">
      <c r="A1517" s="1" t="s">
        <v>21</v>
      </c>
      <c r="B1517" s="3" t="str">
        <f>HYPERLINK("https://hawk-eye.atlassian.net/browse/HWKREPORT-1889?atlOrigin=eyJpIjoiYzgwYTQ0ZjEyNzQzNGJhN2JmNjEyZTM0NmRhZWZhNjIiLCJwIjoic2hlZXRzLWppcmEifQ","HWKREPORT-1889")</f>
        <v>HWKREPORT-1889</v>
      </c>
      <c r="C1517" s="1" t="s">
        <v>2759</v>
      </c>
      <c r="D1517" s="1" t="s">
        <v>23</v>
      </c>
      <c r="E1517" s="1" t="s">
        <v>35</v>
      </c>
      <c r="F1517" s="4">
        <v>44979.68638888889</v>
      </c>
      <c r="G1517" s="3" t="str">
        <f>HYPERLINK("https://hawk-eye.atlassian.net/browse/RTT-5957?atlOrigin=eyJpIjoiYzgwYTQ0ZjEyNzQzNGJhN2JmNjEyZTM0NmRhZWZhNjIiLCJwIjoic2hlZXRzLWppcmEifQ","RTT-5957")</f>
        <v>RTT-5957</v>
      </c>
      <c r="H1517" s="1" t="s">
        <v>1058</v>
      </c>
      <c r="I1517" s="1" t="s">
        <v>1377</v>
      </c>
      <c r="J1517" s="1" t="s">
        <v>26</v>
      </c>
      <c r="K1517" s="1" t="s">
        <v>1312</v>
      </c>
      <c r="L1517" s="1" t="s">
        <v>26</v>
      </c>
      <c r="M1517" s="1" t="s">
        <v>27</v>
      </c>
      <c r="N1517" s="1" t="s">
        <v>26</v>
      </c>
      <c r="O1517" s="1" t="s">
        <v>26</v>
      </c>
      <c r="P1517" s="4">
        <v>45390.66584490741</v>
      </c>
    </row>
    <row r="1518" hidden="1">
      <c r="A1518" s="1" t="s">
        <v>21</v>
      </c>
      <c r="B1518" s="3" t="str">
        <f>HYPERLINK("https://hawk-eye.atlassian.net/browse/HWKREPORT-1890?atlOrigin=eyJpIjoiYzgwYTQ0ZjEyNzQzNGJhN2JmNjEyZTM0NmRhZWZhNjIiLCJwIjoic2hlZXRzLWppcmEifQ","HWKREPORT-1890")</f>
        <v>HWKREPORT-1890</v>
      </c>
      <c r="C1518" s="1" t="s">
        <v>2760</v>
      </c>
      <c r="D1518" s="1" t="s">
        <v>23</v>
      </c>
      <c r="E1518" s="1" t="s">
        <v>35</v>
      </c>
      <c r="F1518" s="4">
        <v>44982.67009259259</v>
      </c>
      <c r="G1518" s="3" t="str">
        <f>HYPERLINK("https://hawk-eye.atlassian.net/browse/TRD-148?atlOrigin=eyJpIjoiYzgwYTQ0ZjEyNzQzNGJhN2JmNjEyZTM0NmRhZWZhNjIiLCJwIjoic2hlZXRzLWppcmEifQ","TRD-148")</f>
        <v>TRD-148</v>
      </c>
      <c r="H1518" s="1" t="s">
        <v>1058</v>
      </c>
      <c r="I1518" s="1" t="s">
        <v>1126</v>
      </c>
      <c r="J1518" s="1" t="s">
        <v>26</v>
      </c>
      <c r="K1518" s="1" t="s">
        <v>1211</v>
      </c>
      <c r="L1518" s="1" t="s">
        <v>26</v>
      </c>
      <c r="M1518" s="1" t="s">
        <v>27</v>
      </c>
      <c r="N1518" s="1" t="s">
        <v>26</v>
      </c>
      <c r="O1518" s="1" t="s">
        <v>26</v>
      </c>
      <c r="P1518" s="4">
        <v>45159.58325231481</v>
      </c>
    </row>
    <row r="1519" hidden="1">
      <c r="A1519" s="1" t="s">
        <v>1055</v>
      </c>
      <c r="B1519" s="3" t="str">
        <f>HYPERLINK("https://hawk-eye.atlassian.net/browse/HWKREPORT-1891?atlOrigin=eyJpIjoiYzgwYTQ0ZjEyNzQzNGJhN2JmNjEyZTM0NmRhZWZhNjIiLCJwIjoic2hlZXRzLWppcmEifQ","HWKREPORT-1891")</f>
        <v>HWKREPORT-1891</v>
      </c>
      <c r="C1519" s="1" t="s">
        <v>2761</v>
      </c>
      <c r="D1519" s="1" t="s">
        <v>48</v>
      </c>
      <c r="E1519" s="1" t="s">
        <v>1057</v>
      </c>
      <c r="F1519" s="4">
        <v>44982.67260416667</v>
      </c>
      <c r="G1519" s="3" t="str">
        <f>HYPERLINK("https://hawk-eye.atlassian.net/browse/BDP-1229?atlOrigin=eyJpIjoiYzgwYTQ0ZjEyNzQzNGJhN2JmNjEyZTM0NmRhZWZhNjIiLCJwIjoic2hlZXRzLWppcmEifQ","BDP-1229")</f>
        <v>BDP-1229</v>
      </c>
      <c r="H1519" s="1" t="s">
        <v>1058</v>
      </c>
      <c r="I1519" s="1" t="s">
        <v>1071</v>
      </c>
      <c r="J1519" s="1" t="s">
        <v>26</v>
      </c>
      <c r="K1519" s="1" t="s">
        <v>1130</v>
      </c>
      <c r="L1519" s="1" t="s">
        <v>26</v>
      </c>
      <c r="M1519" s="1" t="s">
        <v>27</v>
      </c>
      <c r="N1519" s="1" t="s">
        <v>26</v>
      </c>
      <c r="O1519" s="1" t="s">
        <v>26</v>
      </c>
      <c r="P1519" s="4">
        <v>44982.67261574074</v>
      </c>
    </row>
    <row r="1520" hidden="1">
      <c r="A1520" s="1" t="s">
        <v>21</v>
      </c>
      <c r="B1520" s="3" t="str">
        <f>HYPERLINK("https://hawk-eye.atlassian.net/browse/HWKREPORT-1892?atlOrigin=eyJpIjoiYzgwYTQ0ZjEyNzQzNGJhN2JmNjEyZTM0NmRhZWZhNjIiLCJwIjoic2hlZXRzLWppcmEifQ","HWKREPORT-1892")</f>
        <v>HWKREPORT-1892</v>
      </c>
      <c r="C1520" s="1" t="s">
        <v>2762</v>
      </c>
      <c r="D1520" s="1" t="s">
        <v>23</v>
      </c>
      <c r="E1520" s="1" t="s">
        <v>35</v>
      </c>
      <c r="F1520" s="4">
        <v>44983.77532407407</v>
      </c>
      <c r="G1520" s="3" t="str">
        <f>HYPERLINK("https://hawk-eye.atlassian.net/browse/AL-704?atlOrigin=eyJpIjoiYzgwYTQ0ZjEyNzQzNGJhN2JmNjEyZTM0NmRhZWZhNjIiLCJwIjoic2hlZXRzLWppcmEifQ","AL-704")</f>
        <v>AL-704</v>
      </c>
      <c r="H1520" s="1" t="s">
        <v>1058</v>
      </c>
      <c r="I1520" s="1" t="s">
        <v>1071</v>
      </c>
      <c r="J1520" s="1" t="s">
        <v>26</v>
      </c>
      <c r="K1520" s="1" t="s">
        <v>1276</v>
      </c>
      <c r="L1520" s="1" t="s">
        <v>26</v>
      </c>
      <c r="M1520" s="1" t="s">
        <v>27</v>
      </c>
      <c r="N1520" s="1" t="s">
        <v>26</v>
      </c>
      <c r="O1520" s="1" t="s">
        <v>26</v>
      </c>
      <c r="P1520" s="4">
        <v>45085.51662037037</v>
      </c>
    </row>
    <row r="1521" hidden="1">
      <c r="A1521" s="1" t="s">
        <v>21</v>
      </c>
      <c r="B1521" s="3" t="str">
        <f>HYPERLINK("https://hawk-eye.atlassian.net/browse/HWKREPORT-1893?atlOrigin=eyJpIjoiYzgwYTQ0ZjEyNzQzNGJhN2JmNjEyZTM0NmRhZWZhNjIiLCJwIjoic2hlZXRzLWppcmEifQ","HWKREPORT-1893")</f>
        <v>HWKREPORT-1893</v>
      </c>
      <c r="C1521" s="1" t="s">
        <v>2763</v>
      </c>
      <c r="D1521" s="1" t="s">
        <v>83</v>
      </c>
      <c r="E1521" s="1" t="s">
        <v>35</v>
      </c>
      <c r="F1521" s="4">
        <v>44984.10488425926</v>
      </c>
      <c r="G1521" s="3" t="str">
        <f>HYPERLINK("https://hawk-eye.atlassian.net/browse/SO-692?atlOrigin=eyJpIjoiYzgwYTQ0ZjEyNzQzNGJhN2JmNjEyZTM0NmRhZWZhNjIiLCJwIjoic2hlZXRzLWppcmEifQ","SO-692")</f>
        <v>SO-692</v>
      </c>
      <c r="H1521" s="1" t="s">
        <v>1058</v>
      </c>
      <c r="I1521" s="1" t="s">
        <v>1085</v>
      </c>
      <c r="J1521" s="1" t="s">
        <v>26</v>
      </c>
      <c r="K1521" s="1" t="s">
        <v>1116</v>
      </c>
      <c r="L1521" s="1" t="s">
        <v>26</v>
      </c>
      <c r="M1521" s="1" t="s">
        <v>27</v>
      </c>
      <c r="N1521" s="1" t="s">
        <v>26</v>
      </c>
      <c r="O1521" s="1" t="s">
        <v>26</v>
      </c>
      <c r="P1521" s="4">
        <v>44999.57299768519</v>
      </c>
    </row>
    <row r="1522" hidden="1">
      <c r="A1522" s="1" t="s">
        <v>21</v>
      </c>
      <c r="B1522" s="3" t="str">
        <f>HYPERLINK("https://hawk-eye.atlassian.net/browse/HWKREPORT-1895?atlOrigin=eyJpIjoiYzgwYTQ0ZjEyNzQzNGJhN2JmNjEyZTM0NmRhZWZhNjIiLCJwIjoic2hlZXRzLWppcmEifQ","HWKREPORT-1895")</f>
        <v>HWKREPORT-1895</v>
      </c>
      <c r="C1522" s="1" t="s">
        <v>2764</v>
      </c>
      <c r="D1522" s="1" t="s">
        <v>83</v>
      </c>
      <c r="E1522" s="1" t="s">
        <v>35</v>
      </c>
      <c r="F1522" s="4">
        <v>44984.598287037035</v>
      </c>
      <c r="G1522" s="3" t="str">
        <f>HYPERLINK("https://hawk-eye.atlassian.net/browse/?atlOrigin=eyJpIjoiYzgwYTQ0ZjEyNzQzNGJhN2JmNjEyZTM0NmRhZWZhNjIiLCJwIjoic2hlZXRzLWppcmEifQ","")</f>
        <v/>
      </c>
      <c r="H1522" s="1" t="s">
        <v>1058</v>
      </c>
      <c r="I1522" s="1" t="s">
        <v>1085</v>
      </c>
      <c r="J1522" s="1" t="s">
        <v>26</v>
      </c>
      <c r="K1522" s="1" t="s">
        <v>1219</v>
      </c>
      <c r="L1522" s="1" t="s">
        <v>26</v>
      </c>
      <c r="M1522" s="1" t="s">
        <v>27</v>
      </c>
      <c r="N1522" s="1" t="s">
        <v>26</v>
      </c>
      <c r="O1522" s="1" t="s">
        <v>26</v>
      </c>
      <c r="P1522" s="4">
        <v>45070.61011574074</v>
      </c>
    </row>
    <row r="1523" hidden="1">
      <c r="A1523" s="1" t="s">
        <v>1055</v>
      </c>
      <c r="B1523" s="3" t="str">
        <f>HYPERLINK("https://hawk-eye.atlassian.net/browse/HWKREPORT-1896?atlOrigin=eyJpIjoiYzgwYTQ0ZjEyNzQzNGJhN2JmNjEyZTM0NmRhZWZhNjIiLCJwIjoic2hlZXRzLWppcmEifQ","HWKREPORT-1896")</f>
        <v>HWKREPORT-1896</v>
      </c>
      <c r="C1523" s="1" t="s">
        <v>2765</v>
      </c>
      <c r="D1523" s="1" t="s">
        <v>48</v>
      </c>
      <c r="E1523" s="1" t="s">
        <v>1207</v>
      </c>
      <c r="F1523" s="4">
        <v>44984.63570601852</v>
      </c>
      <c r="G1523" s="3" t="str">
        <f>HYPERLINK("https://hawk-eye.atlassian.net/browse/RTT-5970?atlOrigin=eyJpIjoiYzgwYTQ0ZjEyNzQzNGJhN2JmNjEyZTM0NmRhZWZhNjIiLCJwIjoic2hlZXRzLWppcmEifQ","RTT-5970")</f>
        <v>RTT-5970</v>
      </c>
      <c r="H1523" s="1" t="s">
        <v>1058</v>
      </c>
      <c r="I1523" s="1" t="s">
        <v>1085</v>
      </c>
      <c r="J1523" s="1" t="s">
        <v>26</v>
      </c>
      <c r="K1523" s="1" t="s">
        <v>1072</v>
      </c>
      <c r="L1523" s="1" t="s">
        <v>26</v>
      </c>
      <c r="M1523" s="1" t="s">
        <v>27</v>
      </c>
      <c r="N1523" s="1" t="s">
        <v>26</v>
      </c>
      <c r="O1523" s="1" t="s">
        <v>26</v>
      </c>
      <c r="P1523" s="4">
        <v>45012.69495370371</v>
      </c>
    </row>
    <row r="1524" hidden="1">
      <c r="A1524" s="1" t="s">
        <v>21</v>
      </c>
      <c r="B1524" s="3" t="str">
        <f>HYPERLINK("https://hawk-eye.atlassian.net/browse/HWKREPORT-1897?atlOrigin=eyJpIjoiYzgwYTQ0ZjEyNzQzNGJhN2JmNjEyZTM0NmRhZWZhNjIiLCJwIjoic2hlZXRzLWppcmEifQ","HWKREPORT-1897")</f>
        <v>HWKREPORT-1897</v>
      </c>
      <c r="C1524" s="1" t="s">
        <v>2766</v>
      </c>
      <c r="D1524" s="1" t="s">
        <v>23</v>
      </c>
      <c r="E1524" s="1" t="s">
        <v>1207</v>
      </c>
      <c r="F1524" s="4">
        <v>44985.673310185186</v>
      </c>
      <c r="G1524" s="3" t="str">
        <f>HYPERLINK("https://hawk-eye.atlassian.net/browse/RTT-5974?atlOrigin=eyJpIjoiYzgwYTQ0ZjEyNzQzNGJhN2JmNjEyZTM0NmRhZWZhNjIiLCJwIjoic2hlZXRzLWppcmEifQ","RTT-5974")</f>
        <v>RTT-5974</v>
      </c>
      <c r="H1524" s="1" t="s">
        <v>1058</v>
      </c>
      <c r="I1524" s="1" t="s">
        <v>1071</v>
      </c>
      <c r="J1524" s="1" t="s">
        <v>26</v>
      </c>
      <c r="K1524" s="1" t="s">
        <v>1099</v>
      </c>
      <c r="L1524" s="1" t="s">
        <v>26</v>
      </c>
      <c r="M1524" s="1" t="s">
        <v>27</v>
      </c>
      <c r="N1524" s="1" t="s">
        <v>26</v>
      </c>
      <c r="O1524" s="1" t="s">
        <v>26</v>
      </c>
      <c r="P1524" s="4">
        <v>45020.528958333336</v>
      </c>
    </row>
    <row r="1525" hidden="1">
      <c r="A1525" s="1" t="s">
        <v>1055</v>
      </c>
      <c r="B1525" s="3" t="str">
        <f>HYPERLINK("https://hawk-eye.atlassian.net/browse/HWKREPORT-1898?atlOrigin=eyJpIjoiYzgwYTQ0ZjEyNzQzNGJhN2JmNjEyZTM0NmRhZWZhNjIiLCJwIjoic2hlZXRzLWppcmEifQ","HWKREPORT-1898")</f>
        <v>HWKREPORT-1898</v>
      </c>
      <c r="C1525" s="1" t="s">
        <v>2767</v>
      </c>
      <c r="D1525" s="1" t="s">
        <v>48</v>
      </c>
      <c r="E1525" s="1" t="s">
        <v>35</v>
      </c>
      <c r="F1525" s="4">
        <v>44985.67835648148</v>
      </c>
      <c r="G1525" s="3" t="str">
        <f>HYPERLINK("https://hawk-eye.atlassian.net/issues/?atlOrigin=eyJpIjoiYzgwYTQ0ZjEyNzQzNGJhN2JmNjEyZTM0NmRhZWZhNjIiLCJwIjoic2hlZXRzLWppcmEifQ&amp;jql=key+in+%28RTT-6086%2CRTT-5980%29","RTT-6086;RTT-5980")</f>
        <v>RTT-6086;RTT-5980</v>
      </c>
      <c r="H1525" s="1" t="s">
        <v>1058</v>
      </c>
      <c r="I1525" s="1" t="s">
        <v>1071</v>
      </c>
      <c r="J1525" s="1" t="s">
        <v>26</v>
      </c>
      <c r="K1525" s="1" t="s">
        <v>1093</v>
      </c>
      <c r="L1525" s="1" t="s">
        <v>26</v>
      </c>
      <c r="M1525" s="1" t="s">
        <v>27</v>
      </c>
      <c r="N1525" s="1" t="s">
        <v>26</v>
      </c>
      <c r="O1525" s="1" t="s">
        <v>26</v>
      </c>
      <c r="P1525" s="4">
        <v>45028.47100694444</v>
      </c>
    </row>
    <row r="1526" hidden="1">
      <c r="A1526" s="1" t="s">
        <v>1055</v>
      </c>
      <c r="B1526" s="3" t="str">
        <f>HYPERLINK("https://hawk-eye.atlassian.net/browse/HWKREPORT-1899?atlOrigin=eyJpIjoiYzgwYTQ0ZjEyNzQzNGJhN2JmNjEyZTM0NmRhZWZhNjIiLCJwIjoic2hlZXRzLWppcmEifQ","HWKREPORT-1899")</f>
        <v>HWKREPORT-1899</v>
      </c>
      <c r="C1526" s="1" t="s">
        <v>2768</v>
      </c>
      <c r="D1526" s="1" t="s">
        <v>48</v>
      </c>
      <c r="E1526" s="1" t="s">
        <v>1207</v>
      </c>
      <c r="F1526" s="4">
        <v>44985.80767361111</v>
      </c>
      <c r="G1526" s="3" t="str">
        <f>HYPERLINK("https://hawk-eye.atlassian.net/browse/RTT-6007?atlOrigin=eyJpIjoiYzgwYTQ0ZjEyNzQzNGJhN2JmNjEyZTM0NmRhZWZhNjIiLCJwIjoic2hlZXRzLWppcmEifQ","RTT-6007")</f>
        <v>RTT-6007</v>
      </c>
      <c r="H1526" s="1" t="s">
        <v>1058</v>
      </c>
      <c r="I1526" s="1" t="s">
        <v>1071</v>
      </c>
      <c r="J1526" s="1" t="s">
        <v>26</v>
      </c>
      <c r="K1526" s="1" t="s">
        <v>1072</v>
      </c>
      <c r="L1526" s="1" t="s">
        <v>26</v>
      </c>
      <c r="M1526" s="1" t="s">
        <v>27</v>
      </c>
      <c r="N1526" s="1" t="s">
        <v>26</v>
      </c>
      <c r="O1526" s="1" t="s">
        <v>26</v>
      </c>
      <c r="P1526" s="4">
        <v>45013.80472222222</v>
      </c>
    </row>
    <row r="1527" hidden="1">
      <c r="A1527" s="1" t="s">
        <v>21</v>
      </c>
      <c r="B1527" s="3" t="str">
        <f>HYPERLINK("https://hawk-eye.atlassian.net/browse/HWKREPORT-1900?atlOrigin=eyJpIjoiYzgwYTQ0ZjEyNzQzNGJhN2JmNjEyZTM0NmRhZWZhNjIiLCJwIjoic2hlZXRzLWppcmEifQ","HWKREPORT-1900")</f>
        <v>HWKREPORT-1900</v>
      </c>
      <c r="C1527" s="1" t="s">
        <v>2769</v>
      </c>
      <c r="D1527" s="1" t="s">
        <v>23</v>
      </c>
      <c r="E1527" s="1" t="s">
        <v>1207</v>
      </c>
      <c r="F1527" s="4">
        <v>44986.51605324074</v>
      </c>
      <c r="G1527" s="3" t="str">
        <f>HYPERLINK("https://hawk-eye.atlassian.net/browse/RTT-6008?atlOrigin=eyJpIjoiYzgwYTQ0ZjEyNzQzNGJhN2JmNjEyZTM0NmRhZWZhNjIiLCJwIjoic2hlZXRzLWppcmEifQ","RTT-6008")</f>
        <v>RTT-6008</v>
      </c>
      <c r="H1527" s="1" t="s">
        <v>1058</v>
      </c>
      <c r="I1527" s="1" t="s">
        <v>1085</v>
      </c>
      <c r="J1527" s="1" t="s">
        <v>26</v>
      </c>
      <c r="K1527" s="1" t="s">
        <v>1072</v>
      </c>
      <c r="L1527" s="1" t="s">
        <v>26</v>
      </c>
      <c r="M1527" s="1" t="s">
        <v>27</v>
      </c>
      <c r="N1527" s="1" t="s">
        <v>26</v>
      </c>
      <c r="O1527" s="1" t="s">
        <v>26</v>
      </c>
      <c r="P1527" s="4">
        <v>44995.67592592593</v>
      </c>
    </row>
    <row r="1528" hidden="1">
      <c r="A1528" s="1" t="s">
        <v>21</v>
      </c>
      <c r="B1528" s="3" t="str">
        <f>HYPERLINK("https://hawk-eye.atlassian.net/browse/HWKREPORT-1901?atlOrigin=eyJpIjoiYzgwYTQ0ZjEyNzQzNGJhN2JmNjEyZTM0NmRhZWZhNjIiLCJwIjoic2hlZXRzLWppcmEifQ","HWKREPORT-1901")</f>
        <v>HWKREPORT-1901</v>
      </c>
      <c r="C1528" s="1" t="s">
        <v>2770</v>
      </c>
      <c r="D1528" s="1" t="s">
        <v>34</v>
      </c>
      <c r="E1528" s="1" t="s">
        <v>35</v>
      </c>
      <c r="F1528" s="4">
        <v>44986.51825231482</v>
      </c>
      <c r="G1528" s="3" t="str">
        <f>HYPERLINK("https://hawk-eye.atlassian.net/browse/RTT-6010?atlOrigin=eyJpIjoiYzgwYTQ0ZjEyNzQzNGJhN2JmNjEyZTM0NmRhZWZhNjIiLCJwIjoic2hlZXRzLWppcmEifQ","RTT-6010")</f>
        <v>RTT-6010</v>
      </c>
      <c r="H1528" s="1" t="s">
        <v>1058</v>
      </c>
      <c r="I1528" s="1" t="s">
        <v>1085</v>
      </c>
      <c r="J1528" s="1" t="s">
        <v>26</v>
      </c>
      <c r="K1528" s="1" t="s">
        <v>1072</v>
      </c>
      <c r="L1528" s="1" t="s">
        <v>26</v>
      </c>
      <c r="M1528" s="1" t="s">
        <v>27</v>
      </c>
      <c r="N1528" s="1" t="s">
        <v>26</v>
      </c>
      <c r="O1528" s="1" t="s">
        <v>26</v>
      </c>
      <c r="P1528" s="4">
        <v>45061.5134375</v>
      </c>
    </row>
    <row r="1529" hidden="1">
      <c r="A1529" s="1" t="s">
        <v>1055</v>
      </c>
      <c r="B1529" s="3" t="str">
        <f>HYPERLINK("https://hawk-eye.atlassian.net/browse/HWKREPORT-1902?atlOrigin=eyJpIjoiYzgwYTQ0ZjEyNzQzNGJhN2JmNjEyZTM0NmRhZWZhNjIiLCJwIjoic2hlZXRzLWppcmEifQ","HWKREPORT-1902")</f>
        <v>HWKREPORT-1902</v>
      </c>
      <c r="C1529" s="1" t="s">
        <v>2771</v>
      </c>
      <c r="D1529" s="1" t="s">
        <v>48</v>
      </c>
      <c r="E1529" s="1" t="s">
        <v>1057</v>
      </c>
      <c r="F1529" s="4">
        <v>44986.535995370374</v>
      </c>
      <c r="G1529" s="3" t="str">
        <f>HYPERLINK("https://hawk-eye.atlassian.net/browse/AL-1158?atlOrigin=eyJpIjoiYzgwYTQ0ZjEyNzQzNGJhN2JmNjEyZTM0NmRhZWZhNjIiLCJwIjoic2hlZXRzLWppcmEifQ","AL-1158")</f>
        <v>AL-1158</v>
      </c>
      <c r="H1529" s="1" t="s">
        <v>1058</v>
      </c>
      <c r="I1529" s="1" t="s">
        <v>1085</v>
      </c>
      <c r="J1529" s="1" t="s">
        <v>26</v>
      </c>
      <c r="K1529" s="1" t="s">
        <v>1219</v>
      </c>
      <c r="L1529" s="1" t="s">
        <v>26</v>
      </c>
      <c r="M1529" s="1" t="s">
        <v>27</v>
      </c>
      <c r="N1529" s="1" t="s">
        <v>26</v>
      </c>
      <c r="O1529" s="1" t="s">
        <v>26</v>
      </c>
      <c r="P1529" s="4">
        <v>44986.53600694444</v>
      </c>
    </row>
    <row r="1530" hidden="1">
      <c r="A1530" s="1" t="s">
        <v>1055</v>
      </c>
      <c r="B1530" s="3" t="str">
        <f>HYPERLINK("https://hawk-eye.atlassian.net/browse/HWKREPORT-1903?atlOrigin=eyJpIjoiYzgwYTQ0ZjEyNzQzNGJhN2JmNjEyZTM0NmRhZWZhNjIiLCJwIjoic2hlZXRzLWppcmEifQ","HWKREPORT-1903")</f>
        <v>HWKREPORT-1903</v>
      </c>
      <c r="C1530" s="1" t="s">
        <v>2772</v>
      </c>
      <c r="D1530" s="1" t="s">
        <v>48</v>
      </c>
      <c r="E1530" s="1" t="s">
        <v>1057</v>
      </c>
      <c r="F1530" s="4">
        <v>44986.538298611114</v>
      </c>
      <c r="G1530" s="3" t="str">
        <f>HYPERLINK("https://hawk-eye.atlassian.net/browse/?atlOrigin=eyJpIjoiYzgwYTQ0ZjEyNzQzNGJhN2JmNjEyZTM0NmRhZWZhNjIiLCJwIjoic2hlZXRzLWppcmEifQ","")</f>
        <v/>
      </c>
      <c r="H1530" s="1" t="s">
        <v>1058</v>
      </c>
      <c r="I1530" s="1" t="s">
        <v>1085</v>
      </c>
      <c r="J1530" s="1" t="s">
        <v>26</v>
      </c>
      <c r="K1530" s="1" t="s">
        <v>1219</v>
      </c>
      <c r="L1530" s="1" t="s">
        <v>26</v>
      </c>
      <c r="M1530" s="1" t="s">
        <v>27</v>
      </c>
      <c r="N1530" s="1" t="s">
        <v>26</v>
      </c>
      <c r="O1530" s="1" t="s">
        <v>26</v>
      </c>
      <c r="P1530" s="4">
        <v>44986.53832175926</v>
      </c>
    </row>
    <row r="1531" hidden="1">
      <c r="A1531" s="1" t="s">
        <v>21</v>
      </c>
      <c r="B1531" s="3" t="str">
        <f>HYPERLINK("https://hawk-eye.atlassian.net/browse/HWKREPORT-1904?atlOrigin=eyJpIjoiYzgwYTQ0ZjEyNzQzNGJhN2JmNjEyZTM0NmRhZWZhNjIiLCJwIjoic2hlZXRzLWppcmEifQ","HWKREPORT-1904")</f>
        <v>HWKREPORT-1904</v>
      </c>
      <c r="C1531" s="1" t="s">
        <v>2773</v>
      </c>
      <c r="D1531" s="1" t="s">
        <v>23</v>
      </c>
      <c r="E1531" s="1" t="s">
        <v>35</v>
      </c>
      <c r="F1531" s="4">
        <v>44986.69231481481</v>
      </c>
      <c r="G1531" s="3" t="str">
        <f>HYPERLINK("https://hawk-eye.atlassian.net/browse/RTT-6009?atlOrigin=eyJpIjoiYzgwYTQ0ZjEyNzQzNGJhN2JmNjEyZTM0NmRhZWZhNjIiLCJwIjoic2hlZXRzLWppcmEifQ","RTT-6009")</f>
        <v>RTT-6009</v>
      </c>
      <c r="H1531" s="1" t="s">
        <v>1058</v>
      </c>
      <c r="I1531" s="1" t="s">
        <v>1085</v>
      </c>
      <c r="J1531" s="1" t="s">
        <v>26</v>
      </c>
      <c r="K1531" s="1" t="s">
        <v>1072</v>
      </c>
      <c r="L1531" s="1" t="s">
        <v>26</v>
      </c>
      <c r="M1531" s="1" t="s">
        <v>27</v>
      </c>
      <c r="N1531" s="1" t="s">
        <v>26</v>
      </c>
      <c r="O1531" s="1" t="s">
        <v>26</v>
      </c>
      <c r="P1531" s="4">
        <v>45041.44778935185</v>
      </c>
    </row>
    <row r="1532" hidden="1">
      <c r="A1532" s="1" t="s">
        <v>1055</v>
      </c>
      <c r="B1532" s="3" t="str">
        <f>HYPERLINK("https://hawk-eye.atlassian.net/browse/HWKREPORT-1905?atlOrigin=eyJpIjoiYzgwYTQ0ZjEyNzQzNGJhN2JmNjEyZTM0NmRhZWZhNjIiLCJwIjoic2hlZXRzLWppcmEifQ","HWKREPORT-1905")</f>
        <v>HWKREPORT-1905</v>
      </c>
      <c r="C1532" s="1" t="s">
        <v>2774</v>
      </c>
      <c r="D1532" s="1" t="s">
        <v>48</v>
      </c>
      <c r="E1532" s="1" t="s">
        <v>1057</v>
      </c>
      <c r="F1532" s="4">
        <v>44987.48306712963</v>
      </c>
      <c r="G1532" s="3" t="str">
        <f>HYPERLINK("https://hawk-eye.atlassian.net/browse/GT-872?atlOrigin=eyJpIjoiYzgwYTQ0ZjEyNzQzNGJhN2JmNjEyZTM0NmRhZWZhNjIiLCJwIjoic2hlZXRzLWppcmEifQ","GT-872")</f>
        <v>GT-872</v>
      </c>
      <c r="H1532" s="1" t="s">
        <v>1058</v>
      </c>
      <c r="I1532" s="1" t="s">
        <v>1085</v>
      </c>
      <c r="J1532" s="1" t="s">
        <v>26</v>
      </c>
      <c r="K1532" s="1" t="s">
        <v>1114</v>
      </c>
      <c r="L1532" s="1" t="s">
        <v>26</v>
      </c>
      <c r="M1532" s="1" t="s">
        <v>27</v>
      </c>
      <c r="N1532" s="1" t="s">
        <v>26</v>
      </c>
      <c r="O1532" s="1" t="s">
        <v>26</v>
      </c>
      <c r="P1532" s="4">
        <v>44987.48306712963</v>
      </c>
    </row>
    <row r="1533" hidden="1">
      <c r="A1533" s="1" t="s">
        <v>21</v>
      </c>
      <c r="B1533" s="3" t="str">
        <f>HYPERLINK("https://hawk-eye.atlassian.net/browse/HWKREPORT-1906?atlOrigin=eyJpIjoiYzgwYTQ0ZjEyNzQzNGJhN2JmNjEyZTM0NmRhZWZhNjIiLCJwIjoic2hlZXRzLWppcmEifQ","HWKREPORT-1906")</f>
        <v>HWKREPORT-1906</v>
      </c>
      <c r="C1533" s="1" t="s">
        <v>2775</v>
      </c>
      <c r="D1533" s="1" t="s">
        <v>23</v>
      </c>
      <c r="E1533" s="1" t="s">
        <v>1057</v>
      </c>
      <c r="F1533" s="4">
        <v>44987.51550925926</v>
      </c>
      <c r="G1533" s="3" t="str">
        <f>HYPERLINK("https://hawk-eye.atlassian.net/browse/?atlOrigin=eyJpIjoiYzgwYTQ0ZjEyNzQzNGJhN2JmNjEyZTM0NmRhZWZhNjIiLCJwIjoic2hlZXRzLWppcmEifQ","")</f>
        <v/>
      </c>
      <c r="H1533" s="1" t="s">
        <v>1058</v>
      </c>
      <c r="I1533" s="1" t="s">
        <v>1085</v>
      </c>
      <c r="J1533" s="1" t="s">
        <v>26</v>
      </c>
      <c r="K1533" s="1" t="s">
        <v>1114</v>
      </c>
      <c r="L1533" s="1" t="s">
        <v>26</v>
      </c>
      <c r="M1533" s="1" t="s">
        <v>27</v>
      </c>
      <c r="N1533" s="1" t="s">
        <v>26</v>
      </c>
      <c r="O1533" s="1" t="s">
        <v>26</v>
      </c>
      <c r="P1533" s="4">
        <v>44987.51552083333</v>
      </c>
    </row>
    <row r="1534" hidden="1">
      <c r="A1534" s="1" t="s">
        <v>1055</v>
      </c>
      <c r="B1534" s="3" t="str">
        <f>HYPERLINK("https://hawk-eye.atlassian.net/browse/HWKREPORT-1907?atlOrigin=eyJpIjoiYzgwYTQ0ZjEyNzQzNGJhN2JmNjEyZTM0NmRhZWZhNjIiLCJwIjoic2hlZXRzLWppcmEifQ","HWKREPORT-1907")</f>
        <v>HWKREPORT-1907</v>
      </c>
      <c r="C1534" s="1" t="s">
        <v>2776</v>
      </c>
      <c r="D1534" s="1" t="s">
        <v>48</v>
      </c>
      <c r="E1534" s="1" t="s">
        <v>1057</v>
      </c>
      <c r="F1534" s="4">
        <v>44991.63731481481</v>
      </c>
      <c r="G1534" s="3" t="str">
        <f>HYPERLINK("https://hawk-eye.atlassian.net/browse/SO-199?atlOrigin=eyJpIjoiYzgwYTQ0ZjEyNzQzNGJhN2JmNjEyZTM0NmRhZWZhNjIiLCJwIjoic2hlZXRzLWppcmEifQ","SO-199")</f>
        <v>SO-199</v>
      </c>
      <c r="H1534" s="1" t="s">
        <v>1058</v>
      </c>
      <c r="I1534" s="1" t="s">
        <v>1085</v>
      </c>
      <c r="J1534" s="1" t="s">
        <v>26</v>
      </c>
      <c r="K1534" s="1" t="s">
        <v>1116</v>
      </c>
      <c r="L1534" s="1" t="s">
        <v>26</v>
      </c>
      <c r="M1534" s="1" t="s">
        <v>27</v>
      </c>
      <c r="N1534" s="1" t="s">
        <v>26</v>
      </c>
      <c r="O1534" s="1" t="s">
        <v>26</v>
      </c>
      <c r="P1534" s="4">
        <v>44991.63731481481</v>
      </c>
    </row>
    <row r="1535" hidden="1">
      <c r="A1535" s="1" t="s">
        <v>21</v>
      </c>
      <c r="B1535" s="3" t="str">
        <f>HYPERLINK("https://hawk-eye.atlassian.net/browse/HWKREPORT-1908?atlOrigin=eyJpIjoiYzgwYTQ0ZjEyNzQzNGJhN2JmNjEyZTM0NmRhZWZhNjIiLCJwIjoic2hlZXRzLWppcmEifQ","HWKREPORT-1908")</f>
        <v>HWKREPORT-1908</v>
      </c>
      <c r="C1535" s="1" t="s">
        <v>2777</v>
      </c>
      <c r="D1535" s="1" t="s">
        <v>23</v>
      </c>
      <c r="E1535" s="1" t="s">
        <v>35</v>
      </c>
      <c r="F1535" s="4">
        <v>44991.773194444446</v>
      </c>
      <c r="G1535" s="3" t="str">
        <f>HYPERLINK("https://hawk-eye.atlassian.net/browse/CORE-208?atlOrigin=eyJpIjoiYzgwYTQ0ZjEyNzQzNGJhN2JmNjEyZTM0NmRhZWZhNjIiLCJwIjoic2hlZXRzLWppcmEifQ","CORE-208")</f>
        <v>CORE-208</v>
      </c>
      <c r="H1535" s="1" t="s">
        <v>1058</v>
      </c>
      <c r="I1535" s="1" t="s">
        <v>1071</v>
      </c>
      <c r="J1535" s="1" t="s">
        <v>26</v>
      </c>
      <c r="K1535" s="1" t="s">
        <v>1134</v>
      </c>
      <c r="L1535" s="1" t="s">
        <v>26</v>
      </c>
      <c r="M1535" s="1" t="s">
        <v>27</v>
      </c>
      <c r="N1535" s="1" t="s">
        <v>26</v>
      </c>
      <c r="O1535" s="1" t="s">
        <v>26</v>
      </c>
      <c r="P1535" s="4">
        <v>45000.58516203704</v>
      </c>
    </row>
    <row r="1536" hidden="1">
      <c r="A1536" s="1" t="s">
        <v>1055</v>
      </c>
      <c r="B1536" s="3" t="str">
        <f>HYPERLINK("https://hawk-eye.atlassian.net/browse/HWKREPORT-1909?atlOrigin=eyJpIjoiYzgwYTQ0ZjEyNzQzNGJhN2JmNjEyZTM0NmRhZWZhNjIiLCJwIjoic2hlZXRzLWppcmEifQ","HWKREPORT-1909")</f>
        <v>HWKREPORT-1909</v>
      </c>
      <c r="C1536" s="1" t="s">
        <v>2778</v>
      </c>
      <c r="D1536" s="1" t="s">
        <v>48</v>
      </c>
      <c r="E1536" s="1" t="s">
        <v>35</v>
      </c>
      <c r="F1536" s="4">
        <v>44993.77931712963</v>
      </c>
      <c r="G1536" s="3" t="str">
        <f>HYPERLINK("https://hawk-eye.atlassian.net/browse/CORE-207?atlOrigin=eyJpIjoiYzgwYTQ0ZjEyNzQzNGJhN2JmNjEyZTM0NmRhZWZhNjIiLCJwIjoic2hlZXRzLWppcmEifQ","CORE-207")</f>
        <v>CORE-207</v>
      </c>
      <c r="H1536" s="1" t="s">
        <v>1058</v>
      </c>
      <c r="I1536" s="1" t="s">
        <v>1071</v>
      </c>
      <c r="J1536" s="1" t="s">
        <v>26</v>
      </c>
      <c r="K1536" s="1" t="s">
        <v>1134</v>
      </c>
      <c r="L1536" s="1" t="s">
        <v>26</v>
      </c>
      <c r="M1536" s="1" t="s">
        <v>27</v>
      </c>
      <c r="N1536" s="1" t="s">
        <v>26</v>
      </c>
      <c r="O1536" s="1" t="s">
        <v>26</v>
      </c>
      <c r="P1536" s="4">
        <v>45007.70506944445</v>
      </c>
    </row>
    <row r="1537" hidden="1">
      <c r="A1537" s="1" t="s">
        <v>1055</v>
      </c>
      <c r="B1537" s="3" t="str">
        <f>HYPERLINK("https://hawk-eye.atlassian.net/browse/HWKREPORT-1910?atlOrigin=eyJpIjoiYzgwYTQ0ZjEyNzQzNGJhN2JmNjEyZTM0NmRhZWZhNjIiLCJwIjoic2hlZXRzLWppcmEifQ","HWKREPORT-1910")</f>
        <v>HWKREPORT-1910</v>
      </c>
      <c r="C1537" s="1" t="s">
        <v>2779</v>
      </c>
      <c r="D1537" s="1" t="s">
        <v>48</v>
      </c>
      <c r="E1537" s="1" t="s">
        <v>35</v>
      </c>
      <c r="F1537" s="4">
        <v>44993.78141203704</v>
      </c>
      <c r="G1537" s="3" t="str">
        <f>HYPERLINK("https://hawk-eye.atlassian.net/browse/?atlOrigin=eyJpIjoiYzgwYTQ0ZjEyNzQzNGJhN2JmNjEyZTM0NmRhZWZhNjIiLCJwIjoic2hlZXRzLWppcmEifQ","")</f>
        <v/>
      </c>
      <c r="H1537" s="1" t="s">
        <v>1058</v>
      </c>
      <c r="I1537" s="1" t="s">
        <v>1071</v>
      </c>
      <c r="J1537" s="1" t="s">
        <v>26</v>
      </c>
      <c r="K1537" s="1" t="s">
        <v>1134</v>
      </c>
      <c r="L1537" s="1" t="s">
        <v>26</v>
      </c>
      <c r="M1537" s="1" t="s">
        <v>27</v>
      </c>
      <c r="N1537" s="1" t="s">
        <v>26</v>
      </c>
      <c r="O1537" s="1" t="s">
        <v>26</v>
      </c>
      <c r="P1537" s="4">
        <v>45021.43537037037</v>
      </c>
    </row>
    <row r="1538">
      <c r="A1538" s="1" t="s">
        <v>21</v>
      </c>
      <c r="B1538" s="3" t="str">
        <f>HYPERLINK("https://hawk-eye.atlassian.net/browse/HWKREPORT-1911?atlOrigin=eyJpIjoiYzgwYTQ0ZjEyNzQzNGJhN2JmNjEyZTM0NmRhZWZhNjIiLCJwIjoic2hlZXRzLWppcmEifQ","HWKREPORT-1911")</f>
        <v>HWKREPORT-1911</v>
      </c>
      <c r="C1538" s="1" t="s">
        <v>2780</v>
      </c>
      <c r="D1538" s="1" t="s">
        <v>23</v>
      </c>
      <c r="E1538" s="1" t="s">
        <v>35</v>
      </c>
      <c r="F1538" s="4">
        <v>44994.65070601852</v>
      </c>
      <c r="G1538" s="3" t="str">
        <f>HYPERLINK("https://hawk-eye.atlassian.net/browse/RTT-6037?atlOrigin=eyJpIjoiYzgwYTQ0ZjEyNzQzNGJhN2JmNjEyZTM0NmRhZWZhNjIiLCJwIjoic2hlZXRzLWppcmEifQ","RTT-6037")</f>
        <v>RTT-6037</v>
      </c>
      <c r="H1538" s="1" t="s">
        <v>1058</v>
      </c>
      <c r="I1538" s="1" t="s">
        <v>28</v>
      </c>
      <c r="J1538" s="1" t="s">
        <v>26</v>
      </c>
      <c r="K1538" s="1" t="s">
        <v>1072</v>
      </c>
      <c r="L1538" s="1" t="s">
        <v>26</v>
      </c>
      <c r="M1538" s="1" t="s">
        <v>27</v>
      </c>
      <c r="N1538" s="1" t="s">
        <v>26</v>
      </c>
      <c r="O1538" s="1" t="s">
        <v>26</v>
      </c>
      <c r="P1538" s="4">
        <v>45524.73070601852</v>
      </c>
    </row>
    <row r="1539" hidden="1">
      <c r="A1539" s="1" t="s">
        <v>1055</v>
      </c>
      <c r="B1539" s="3" t="str">
        <f>HYPERLINK("https://hawk-eye.atlassian.net/browse/HWKREPORT-1912?atlOrigin=eyJpIjoiYzgwYTQ0ZjEyNzQzNGJhN2JmNjEyZTM0NmRhZWZhNjIiLCJwIjoic2hlZXRzLWppcmEifQ","HWKREPORT-1912")</f>
        <v>HWKREPORT-1912</v>
      </c>
      <c r="C1539" s="1" t="s">
        <v>2781</v>
      </c>
      <c r="D1539" s="1" t="s">
        <v>48</v>
      </c>
      <c r="E1539" s="1" t="s">
        <v>1207</v>
      </c>
      <c r="F1539" s="4">
        <v>44994.73342592592</v>
      </c>
      <c r="G1539" s="3" t="str">
        <f>HYPERLINK("https://hawk-eye.atlassian.net/browse/RTT-6038?atlOrigin=eyJpIjoiYzgwYTQ0ZjEyNzQzNGJhN2JmNjEyZTM0NmRhZWZhNjIiLCJwIjoic2hlZXRzLWppcmEifQ","RTT-6038")</f>
        <v>RTT-6038</v>
      </c>
      <c r="H1539" s="1" t="s">
        <v>1058</v>
      </c>
      <c r="I1539" s="1" t="s">
        <v>1085</v>
      </c>
      <c r="J1539" s="1" t="s">
        <v>26</v>
      </c>
      <c r="K1539" s="1" t="s">
        <v>1072</v>
      </c>
      <c r="L1539" s="1" t="s">
        <v>26</v>
      </c>
      <c r="M1539" s="1" t="s">
        <v>27</v>
      </c>
      <c r="N1539" s="1" t="s">
        <v>26</v>
      </c>
      <c r="O1539" s="1" t="s">
        <v>26</v>
      </c>
      <c r="P1539" s="4">
        <v>45266.35296296296</v>
      </c>
    </row>
    <row r="1540" hidden="1">
      <c r="A1540" s="1" t="s">
        <v>21</v>
      </c>
      <c r="B1540" s="3" t="str">
        <f>HYPERLINK("https://hawk-eye.atlassian.net/browse/HWKREPORT-1913?atlOrigin=eyJpIjoiYzgwYTQ0ZjEyNzQzNGJhN2JmNjEyZTM0NmRhZWZhNjIiLCJwIjoic2hlZXRzLWppcmEifQ","HWKREPORT-1913")</f>
        <v>HWKREPORT-1913</v>
      </c>
      <c r="C1540" s="1" t="s">
        <v>2782</v>
      </c>
      <c r="D1540" s="1" t="s">
        <v>34</v>
      </c>
      <c r="E1540" s="1" t="s">
        <v>35</v>
      </c>
      <c r="F1540" s="4">
        <v>44994.73606481482</v>
      </c>
      <c r="G1540" s="3" t="str">
        <f>HYPERLINK("https://hawk-eye.atlassian.net/browse/RTT-6028?atlOrigin=eyJpIjoiYzgwYTQ0ZjEyNzQzNGJhN2JmNjEyZTM0NmRhZWZhNjIiLCJwIjoic2hlZXRzLWppcmEifQ","RTT-6028")</f>
        <v>RTT-6028</v>
      </c>
      <c r="H1540" s="1" t="s">
        <v>1058</v>
      </c>
      <c r="I1540" s="1" t="s">
        <v>1085</v>
      </c>
      <c r="J1540" s="1" t="s">
        <v>26</v>
      </c>
      <c r="K1540" s="1" t="s">
        <v>1072</v>
      </c>
      <c r="L1540" s="1" t="s">
        <v>26</v>
      </c>
      <c r="M1540" s="1" t="s">
        <v>27</v>
      </c>
      <c r="N1540" s="1" t="s">
        <v>26</v>
      </c>
      <c r="O1540" s="1" t="s">
        <v>26</v>
      </c>
      <c r="P1540" s="4">
        <v>45014.66273148148</v>
      </c>
    </row>
    <row r="1541" hidden="1">
      <c r="A1541" s="1" t="s">
        <v>1055</v>
      </c>
      <c r="B1541" s="3" t="str">
        <f>HYPERLINK("https://hawk-eye.atlassian.net/browse/HWKREPORT-1914?atlOrigin=eyJpIjoiYzgwYTQ0ZjEyNzQzNGJhN2JmNjEyZTM0NmRhZWZhNjIiLCJwIjoic2hlZXRzLWppcmEifQ","HWKREPORT-1914")</f>
        <v>HWKREPORT-1914</v>
      </c>
      <c r="C1541" s="1" t="s">
        <v>2783</v>
      </c>
      <c r="D1541" s="1" t="s">
        <v>48</v>
      </c>
      <c r="E1541" s="1" t="s">
        <v>35</v>
      </c>
      <c r="F1541" s="4">
        <v>44994.80737268519</v>
      </c>
      <c r="G1541" s="3" t="str">
        <f>HYPERLINK("https://hawk-eye.atlassian.net/browse/RTT-6036?atlOrigin=eyJpIjoiYzgwYTQ0ZjEyNzQzNGJhN2JmNjEyZTM0NmRhZWZhNjIiLCJwIjoic2hlZXRzLWppcmEifQ","RTT-6036")</f>
        <v>RTT-6036</v>
      </c>
      <c r="H1541" s="1" t="s">
        <v>1058</v>
      </c>
      <c r="I1541" s="1" t="s">
        <v>28</v>
      </c>
      <c r="J1541" s="1" t="s">
        <v>26</v>
      </c>
      <c r="K1541" s="1" t="s">
        <v>1072</v>
      </c>
      <c r="L1541" s="1" t="s">
        <v>26</v>
      </c>
      <c r="M1541" s="1" t="s">
        <v>27</v>
      </c>
      <c r="N1541" s="1" t="s">
        <v>26</v>
      </c>
      <c r="O1541" s="1" t="s">
        <v>26</v>
      </c>
      <c r="P1541" s="4">
        <v>45526.68366898148</v>
      </c>
    </row>
    <row r="1542" hidden="1">
      <c r="A1542" s="1" t="s">
        <v>21</v>
      </c>
      <c r="B1542" s="3" t="str">
        <f>HYPERLINK("https://hawk-eye.atlassian.net/browse/HWKREPORT-1915?atlOrigin=eyJpIjoiYzgwYTQ0ZjEyNzQzNGJhN2JmNjEyZTM0NmRhZWZhNjIiLCJwIjoic2hlZXRzLWppcmEifQ","HWKREPORT-1915")</f>
        <v>HWKREPORT-1915</v>
      </c>
      <c r="C1542" s="1" t="s">
        <v>2784</v>
      </c>
      <c r="D1542" s="1" t="s">
        <v>40</v>
      </c>
      <c r="E1542" s="1" t="s">
        <v>35</v>
      </c>
      <c r="F1542" s="4">
        <v>44995.459131944444</v>
      </c>
      <c r="G1542" s="3" t="str">
        <f>HYPERLINK("https://hawk-eye.atlassian.net/browse/RTT-6026?atlOrigin=eyJpIjoiYzgwYTQ0ZjEyNzQzNGJhN2JmNjEyZTM0NmRhZWZhNjIiLCJwIjoic2hlZXRzLWppcmEifQ","RTT-6026")</f>
        <v>RTT-6026</v>
      </c>
      <c r="H1542" s="1" t="s">
        <v>1058</v>
      </c>
      <c r="I1542" s="1" t="s">
        <v>1071</v>
      </c>
      <c r="J1542" s="1" t="s">
        <v>26</v>
      </c>
      <c r="K1542" s="1" t="s">
        <v>1099</v>
      </c>
      <c r="L1542" s="1" t="s">
        <v>26</v>
      </c>
      <c r="M1542" s="1" t="s">
        <v>27</v>
      </c>
      <c r="N1542" s="1" t="s">
        <v>26</v>
      </c>
      <c r="O1542" s="1" t="s">
        <v>26</v>
      </c>
      <c r="P1542" s="4">
        <v>45709.647824074076</v>
      </c>
    </row>
    <row r="1543" hidden="1">
      <c r="A1543" s="1" t="s">
        <v>21</v>
      </c>
      <c r="B1543" s="3" t="str">
        <f>HYPERLINK("https://hawk-eye.atlassian.net/browse/HWKREPORT-1916?atlOrigin=eyJpIjoiYzgwYTQ0ZjEyNzQzNGJhN2JmNjEyZTM0NmRhZWZhNjIiLCJwIjoic2hlZXRzLWppcmEifQ","HWKREPORT-1916")</f>
        <v>HWKREPORT-1916</v>
      </c>
      <c r="C1543" s="1" t="s">
        <v>2785</v>
      </c>
      <c r="D1543" s="1" t="s">
        <v>23</v>
      </c>
      <c r="E1543" s="1" t="s">
        <v>35</v>
      </c>
      <c r="F1543" s="4">
        <v>44995.664305555554</v>
      </c>
      <c r="G1543" s="3" t="str">
        <f>HYPERLINK("https://hawk-eye.atlassian.net/browse/RTT-6025?atlOrigin=eyJpIjoiYzgwYTQ0ZjEyNzQzNGJhN2JmNjEyZTM0NmRhZWZhNjIiLCJwIjoic2hlZXRzLWppcmEifQ","RTT-6025")</f>
        <v>RTT-6025</v>
      </c>
      <c r="H1543" s="1" t="s">
        <v>1058</v>
      </c>
      <c r="I1543" s="1" t="s">
        <v>1059</v>
      </c>
      <c r="J1543" s="1" t="s">
        <v>26</v>
      </c>
      <c r="K1543" s="1" t="s">
        <v>1072</v>
      </c>
      <c r="L1543" s="1" t="s">
        <v>26</v>
      </c>
      <c r="M1543" s="1" t="s">
        <v>27</v>
      </c>
      <c r="N1543" s="1" t="s">
        <v>26</v>
      </c>
      <c r="O1543" s="1" t="s">
        <v>26</v>
      </c>
      <c r="P1543" s="4">
        <v>45596.705034722225</v>
      </c>
    </row>
    <row r="1544" hidden="1">
      <c r="A1544" s="1" t="s">
        <v>1055</v>
      </c>
      <c r="B1544" s="3" t="str">
        <f>HYPERLINK("https://hawk-eye.atlassian.net/browse/HWKREPORT-1917?atlOrigin=eyJpIjoiYzgwYTQ0ZjEyNzQzNGJhN2JmNjEyZTM0NmRhZWZhNjIiLCJwIjoic2hlZXRzLWppcmEifQ","HWKREPORT-1917")</f>
        <v>HWKREPORT-1917</v>
      </c>
      <c r="C1544" s="1" t="s">
        <v>2786</v>
      </c>
      <c r="D1544" s="1" t="s">
        <v>48</v>
      </c>
      <c r="E1544" s="1" t="s">
        <v>1057</v>
      </c>
      <c r="F1544" s="4">
        <v>44998.611875</v>
      </c>
      <c r="G1544" s="3" t="str">
        <f>HYPERLINK("https://hawk-eye.atlassian.net/browse/RTT-6030?atlOrigin=eyJpIjoiYzgwYTQ0ZjEyNzQzNGJhN2JmNjEyZTM0NmRhZWZhNjIiLCJwIjoic2hlZXRzLWppcmEifQ","RTT-6030")</f>
        <v>RTT-6030</v>
      </c>
      <c r="H1544" s="1" t="s">
        <v>1058</v>
      </c>
      <c r="I1544" s="1" t="s">
        <v>1085</v>
      </c>
      <c r="J1544" s="1" t="s">
        <v>26</v>
      </c>
      <c r="K1544" s="1" t="s">
        <v>1072</v>
      </c>
      <c r="L1544" s="1" t="s">
        <v>26</v>
      </c>
      <c r="M1544" s="1" t="s">
        <v>27</v>
      </c>
      <c r="N1544" s="1" t="s">
        <v>26</v>
      </c>
      <c r="O1544" s="1" t="s">
        <v>26</v>
      </c>
      <c r="P1544" s="4">
        <v>44998.61188657407</v>
      </c>
    </row>
    <row r="1545" hidden="1">
      <c r="A1545" s="1" t="s">
        <v>1055</v>
      </c>
      <c r="B1545" s="3" t="str">
        <f>HYPERLINK("https://hawk-eye.atlassian.net/browse/HWKREPORT-1918?atlOrigin=eyJpIjoiYzgwYTQ0ZjEyNzQzNGJhN2JmNjEyZTM0NmRhZWZhNjIiLCJwIjoic2hlZXRzLWppcmEifQ","HWKREPORT-1918")</f>
        <v>HWKREPORT-1918</v>
      </c>
      <c r="C1545" s="1" t="s">
        <v>2787</v>
      </c>
      <c r="D1545" s="1" t="s">
        <v>48</v>
      </c>
      <c r="E1545" s="1" t="s">
        <v>1207</v>
      </c>
      <c r="F1545" s="4">
        <v>44998.646875</v>
      </c>
      <c r="G1545" s="3" t="str">
        <f>HYPERLINK("https://hawk-eye.atlassian.net/browse/RTT-6039?atlOrigin=eyJpIjoiYzgwYTQ0ZjEyNzQzNGJhN2JmNjEyZTM0NmRhZWZhNjIiLCJwIjoic2hlZXRzLWppcmEifQ","RTT-6039")</f>
        <v>RTT-6039</v>
      </c>
      <c r="H1545" s="1" t="s">
        <v>1058</v>
      </c>
      <c r="I1545" s="1" t="s">
        <v>1071</v>
      </c>
      <c r="J1545" s="1" t="s">
        <v>26</v>
      </c>
      <c r="K1545" s="1" t="s">
        <v>1099</v>
      </c>
      <c r="L1545" s="1" t="s">
        <v>26</v>
      </c>
      <c r="M1545" s="1" t="s">
        <v>27</v>
      </c>
      <c r="N1545" s="1" t="s">
        <v>26</v>
      </c>
      <c r="O1545" s="1" t="s">
        <v>26</v>
      </c>
      <c r="P1545" s="4">
        <v>45040.73844907407</v>
      </c>
    </row>
    <row r="1546" hidden="1">
      <c r="A1546" s="1" t="s">
        <v>1055</v>
      </c>
      <c r="B1546" s="3" t="str">
        <f>HYPERLINK("https://hawk-eye.atlassian.net/browse/HWKREPORT-1919?atlOrigin=eyJpIjoiYzgwYTQ0ZjEyNzQzNGJhN2JmNjEyZTM0NmRhZWZhNjIiLCJwIjoic2hlZXRzLWppcmEifQ","HWKREPORT-1919")</f>
        <v>HWKREPORT-1919</v>
      </c>
      <c r="C1546" s="1" t="s">
        <v>2788</v>
      </c>
      <c r="D1546" s="1" t="s">
        <v>48</v>
      </c>
      <c r="E1546" s="1" t="s">
        <v>1057</v>
      </c>
      <c r="F1546" s="4">
        <v>44998.65758101852</v>
      </c>
      <c r="G1546" s="3" t="str">
        <f t="shared" ref="G1546:G1548" si="130">HYPERLINK("https://hawk-eye.atlassian.net/browse/?atlOrigin=eyJpIjoiYzgwYTQ0ZjEyNzQzNGJhN2JmNjEyZTM0NmRhZWZhNjIiLCJwIjoic2hlZXRzLWppcmEifQ","")</f>
        <v/>
      </c>
      <c r="H1546" s="1" t="s">
        <v>1058</v>
      </c>
      <c r="I1546" s="1" t="s">
        <v>1071</v>
      </c>
      <c r="J1546" s="1" t="s">
        <v>26</v>
      </c>
      <c r="K1546" s="1" t="s">
        <v>1762</v>
      </c>
      <c r="L1546" s="1" t="s">
        <v>26</v>
      </c>
      <c r="M1546" s="1" t="s">
        <v>27</v>
      </c>
      <c r="N1546" s="1" t="s">
        <v>26</v>
      </c>
      <c r="O1546" s="1" t="s">
        <v>26</v>
      </c>
      <c r="P1546" s="4">
        <v>44998.65760416666</v>
      </c>
    </row>
    <row r="1547" hidden="1">
      <c r="A1547" s="1" t="s">
        <v>21</v>
      </c>
      <c r="B1547" s="3" t="str">
        <f>HYPERLINK("https://hawk-eye.atlassian.net/browse/HWKREPORT-1920?atlOrigin=eyJpIjoiYzgwYTQ0ZjEyNzQzNGJhN2JmNjEyZTM0NmRhZWZhNjIiLCJwIjoic2hlZXRzLWppcmEifQ","HWKREPORT-1920")</f>
        <v>HWKREPORT-1920</v>
      </c>
      <c r="C1547" s="1" t="s">
        <v>2789</v>
      </c>
      <c r="D1547" s="1" t="s">
        <v>83</v>
      </c>
      <c r="E1547" s="1" t="s">
        <v>1057</v>
      </c>
      <c r="F1547" s="4">
        <v>44998.75641203704</v>
      </c>
      <c r="G1547" s="3" t="str">
        <f t="shared" si="130"/>
        <v/>
      </c>
      <c r="H1547" s="1" t="s">
        <v>1058</v>
      </c>
      <c r="I1547" s="1" t="s">
        <v>1126</v>
      </c>
      <c r="J1547" s="1" t="s">
        <v>26</v>
      </c>
      <c r="K1547" s="1" t="s">
        <v>1241</v>
      </c>
      <c r="L1547" s="1" t="s">
        <v>26</v>
      </c>
      <c r="M1547" s="1" t="s">
        <v>27</v>
      </c>
      <c r="N1547" s="1" t="s">
        <v>26</v>
      </c>
      <c r="O1547" s="1" t="s">
        <v>26</v>
      </c>
      <c r="P1547" s="4">
        <v>44998.75641203704</v>
      </c>
    </row>
    <row r="1548" hidden="1">
      <c r="A1548" s="1" t="s">
        <v>1055</v>
      </c>
      <c r="B1548" s="3" t="str">
        <f>HYPERLINK("https://hawk-eye.atlassian.net/browse/HWKREPORT-1921?atlOrigin=eyJpIjoiYzgwYTQ0ZjEyNzQzNGJhN2JmNjEyZTM0NmRhZWZhNjIiLCJwIjoic2hlZXRzLWppcmEifQ","HWKREPORT-1921")</f>
        <v>HWKREPORT-1921</v>
      </c>
      <c r="C1548" s="1" t="s">
        <v>2790</v>
      </c>
      <c r="D1548" s="1" t="s">
        <v>48</v>
      </c>
      <c r="E1548" s="1" t="s">
        <v>1057</v>
      </c>
      <c r="F1548" s="4">
        <v>44998.75798611111</v>
      </c>
      <c r="G1548" s="3" t="str">
        <f t="shared" si="130"/>
        <v/>
      </c>
      <c r="H1548" s="1" t="s">
        <v>1058</v>
      </c>
      <c r="I1548" s="1" t="s">
        <v>1071</v>
      </c>
      <c r="J1548" s="1" t="s">
        <v>26</v>
      </c>
      <c r="K1548" s="1" t="s">
        <v>1813</v>
      </c>
      <c r="L1548" s="1" t="s">
        <v>26</v>
      </c>
      <c r="M1548" s="1" t="s">
        <v>27</v>
      </c>
      <c r="N1548" s="1" t="s">
        <v>26</v>
      </c>
      <c r="O1548" s="1" t="s">
        <v>26</v>
      </c>
      <c r="P1548" s="4">
        <v>44998.757997685185</v>
      </c>
    </row>
    <row r="1549" hidden="1">
      <c r="A1549" s="1" t="s">
        <v>21</v>
      </c>
      <c r="B1549" s="3" t="str">
        <f>HYPERLINK("https://hawk-eye.atlassian.net/browse/HWKREPORT-1922?atlOrigin=eyJpIjoiYzgwYTQ0ZjEyNzQzNGJhN2JmNjEyZTM0NmRhZWZhNjIiLCJwIjoic2hlZXRzLWppcmEifQ","HWKREPORT-1922")</f>
        <v>HWKREPORT-1922</v>
      </c>
      <c r="C1549" s="1" t="s">
        <v>2791</v>
      </c>
      <c r="D1549" s="1" t="s">
        <v>23</v>
      </c>
      <c r="E1549" s="1" t="s">
        <v>35</v>
      </c>
      <c r="F1549" s="4">
        <v>44998.94396990741</v>
      </c>
      <c r="G1549" s="3" t="str">
        <f>HYPERLINK("https://hawk-eye.atlassian.net/browse/RTT-6035?atlOrigin=eyJpIjoiYzgwYTQ0ZjEyNzQzNGJhN2JmNjEyZTM0NmRhZWZhNjIiLCJwIjoic2hlZXRzLWppcmEifQ","RTT-6035")</f>
        <v>RTT-6035</v>
      </c>
      <c r="H1549" s="1" t="s">
        <v>1058</v>
      </c>
      <c r="I1549" s="1" t="s">
        <v>1059</v>
      </c>
      <c r="J1549" s="1" t="s">
        <v>26</v>
      </c>
      <c r="K1549" s="1" t="s">
        <v>1072</v>
      </c>
      <c r="L1549" s="1" t="s">
        <v>26</v>
      </c>
      <c r="M1549" s="1" t="s">
        <v>27</v>
      </c>
      <c r="N1549" s="1" t="s">
        <v>26</v>
      </c>
      <c r="O1549" s="1" t="s">
        <v>26</v>
      </c>
      <c r="P1549" s="4">
        <v>45596.70486111111</v>
      </c>
    </row>
    <row r="1550" hidden="1">
      <c r="A1550" s="1" t="s">
        <v>21</v>
      </c>
      <c r="B1550" s="3" t="str">
        <f>HYPERLINK("https://hawk-eye.atlassian.net/browse/HWKREPORT-1923?atlOrigin=eyJpIjoiYzgwYTQ0ZjEyNzQzNGJhN2JmNjEyZTM0NmRhZWZhNjIiLCJwIjoic2hlZXRzLWppcmEifQ","HWKREPORT-1923")</f>
        <v>HWKREPORT-1923</v>
      </c>
      <c r="C1550" s="1" t="s">
        <v>2792</v>
      </c>
      <c r="D1550" s="1" t="s">
        <v>23</v>
      </c>
      <c r="E1550" s="1" t="s">
        <v>35</v>
      </c>
      <c r="F1550" s="4">
        <v>44998.967673611114</v>
      </c>
      <c r="G1550" s="3" t="str">
        <f>HYPERLINK("https://hawk-eye.atlassian.net/browse/RTT-6034?atlOrigin=eyJpIjoiYzgwYTQ0ZjEyNzQzNGJhN2JmNjEyZTM0NmRhZWZhNjIiLCJwIjoic2hlZXRzLWppcmEifQ","RTT-6034")</f>
        <v>RTT-6034</v>
      </c>
      <c r="H1550" s="1" t="s">
        <v>1058</v>
      </c>
      <c r="I1550" s="1" t="s">
        <v>1059</v>
      </c>
      <c r="J1550" s="1" t="s">
        <v>26</v>
      </c>
      <c r="K1550" s="1" t="s">
        <v>1072</v>
      </c>
      <c r="L1550" s="1" t="s">
        <v>26</v>
      </c>
      <c r="M1550" s="1" t="s">
        <v>27</v>
      </c>
      <c r="N1550" s="1" t="s">
        <v>26</v>
      </c>
      <c r="O1550" s="1" t="s">
        <v>26</v>
      </c>
      <c r="P1550" s="4">
        <v>45391.38302083333</v>
      </c>
    </row>
    <row r="1551" hidden="1">
      <c r="A1551" s="1" t="s">
        <v>21</v>
      </c>
      <c r="B1551" s="3" t="str">
        <f>HYPERLINK("https://hawk-eye.atlassian.net/browse/HWKREPORT-1924?atlOrigin=eyJpIjoiYzgwYTQ0ZjEyNzQzNGJhN2JmNjEyZTM0NmRhZWZhNjIiLCJwIjoic2hlZXRzLWppcmEifQ","HWKREPORT-1924")</f>
        <v>HWKREPORT-1924</v>
      </c>
      <c r="C1551" s="1" t="s">
        <v>2793</v>
      </c>
      <c r="D1551" s="1" t="s">
        <v>23</v>
      </c>
      <c r="E1551" s="1" t="s">
        <v>35</v>
      </c>
      <c r="F1551" s="4">
        <v>44998.97439814815</v>
      </c>
      <c r="G1551" s="3" t="str">
        <f>HYPERLINK("https://hawk-eye.atlassian.net/browse/RTT-6033?atlOrigin=eyJpIjoiYzgwYTQ0ZjEyNzQzNGJhN2JmNjEyZTM0NmRhZWZhNjIiLCJwIjoic2hlZXRzLWppcmEifQ","RTT-6033")</f>
        <v>RTT-6033</v>
      </c>
      <c r="H1551" s="1" t="s">
        <v>1058</v>
      </c>
      <c r="I1551" s="1" t="s">
        <v>1059</v>
      </c>
      <c r="J1551" s="1" t="s">
        <v>26</v>
      </c>
      <c r="K1551" s="1" t="s">
        <v>1072</v>
      </c>
      <c r="L1551" s="1" t="s">
        <v>26</v>
      </c>
      <c r="M1551" s="1" t="s">
        <v>27</v>
      </c>
      <c r="N1551" s="1" t="s">
        <v>26</v>
      </c>
      <c r="O1551" s="1" t="s">
        <v>26</v>
      </c>
      <c r="P1551" s="4">
        <v>45303.658796296295</v>
      </c>
    </row>
    <row r="1552" hidden="1">
      <c r="A1552" s="1" t="s">
        <v>21</v>
      </c>
      <c r="B1552" s="3" t="str">
        <f>HYPERLINK("https://hawk-eye.atlassian.net/browse/HWKREPORT-1925?atlOrigin=eyJpIjoiYzgwYTQ0ZjEyNzQzNGJhN2JmNjEyZTM0NmRhZWZhNjIiLCJwIjoic2hlZXRzLWppcmEifQ","HWKREPORT-1925")</f>
        <v>HWKREPORT-1925</v>
      </c>
      <c r="C1552" s="1" t="s">
        <v>2794</v>
      </c>
      <c r="D1552" s="1" t="s">
        <v>23</v>
      </c>
      <c r="E1552" s="1" t="s">
        <v>35</v>
      </c>
      <c r="F1552" s="4">
        <v>44999.479537037034</v>
      </c>
      <c r="G1552" s="3" t="str">
        <f>HYPERLINK("https://hawk-eye.atlassian.net/browse/TDP-1623?atlOrigin=eyJpIjoiYzgwYTQ0ZjEyNzQzNGJhN2JmNjEyZTM0NmRhZWZhNjIiLCJwIjoic2hlZXRzLWppcmEifQ","TDP-1623")</f>
        <v>TDP-1623</v>
      </c>
      <c r="H1552" s="1" t="s">
        <v>1058</v>
      </c>
      <c r="I1552" s="1" t="s">
        <v>1126</v>
      </c>
      <c r="J1552" s="1" t="s">
        <v>26</v>
      </c>
      <c r="K1552" s="1" t="s">
        <v>1211</v>
      </c>
      <c r="L1552" s="1" t="s">
        <v>26</v>
      </c>
      <c r="M1552" s="1" t="s">
        <v>27</v>
      </c>
      <c r="N1552" s="1" t="s">
        <v>26</v>
      </c>
      <c r="O1552" s="1" t="s">
        <v>26</v>
      </c>
      <c r="P1552" s="4">
        <v>45005.588842592595</v>
      </c>
    </row>
    <row r="1553" hidden="1">
      <c r="A1553" s="1" t="s">
        <v>21</v>
      </c>
      <c r="B1553" s="3" t="str">
        <f>HYPERLINK("https://hawk-eye.atlassian.net/browse/HWKREPORT-1926?atlOrigin=eyJpIjoiYzgwYTQ0ZjEyNzQzNGJhN2JmNjEyZTM0NmRhZWZhNjIiLCJwIjoic2hlZXRzLWppcmEifQ","HWKREPORT-1926")</f>
        <v>HWKREPORT-1926</v>
      </c>
      <c r="C1553" s="1" t="s">
        <v>2795</v>
      </c>
      <c r="D1553" s="1" t="s">
        <v>23</v>
      </c>
      <c r="E1553" s="1" t="s">
        <v>1207</v>
      </c>
      <c r="F1553" s="4">
        <v>44999.57650462963</v>
      </c>
      <c r="G1553" s="3" t="str">
        <f>HYPERLINK("https://hawk-eye.atlassian.net/browse/RTT-6045?atlOrigin=eyJpIjoiYzgwYTQ0ZjEyNzQzNGJhN2JmNjEyZTM0NmRhZWZhNjIiLCJwIjoic2hlZXRzLWppcmEifQ","RTT-6045")</f>
        <v>RTT-6045</v>
      </c>
      <c r="H1553" s="1" t="s">
        <v>1058</v>
      </c>
      <c r="I1553" s="1" t="s">
        <v>1071</v>
      </c>
      <c r="J1553" s="1" t="s">
        <v>26</v>
      </c>
      <c r="K1553" s="1" t="s">
        <v>1072</v>
      </c>
      <c r="L1553" s="1" t="s">
        <v>26</v>
      </c>
      <c r="M1553" s="1" t="s">
        <v>27</v>
      </c>
      <c r="N1553" s="1" t="s">
        <v>26</v>
      </c>
      <c r="O1553" s="1" t="s">
        <v>26</v>
      </c>
      <c r="P1553" s="4">
        <v>45014.46197916667</v>
      </c>
    </row>
    <row r="1554" hidden="1">
      <c r="A1554" s="1" t="s">
        <v>21</v>
      </c>
      <c r="B1554" s="3" t="str">
        <f>HYPERLINK("https://hawk-eye.atlassian.net/browse/HWKREPORT-1927?atlOrigin=eyJpIjoiYzgwYTQ0ZjEyNzQzNGJhN2JmNjEyZTM0NmRhZWZhNjIiLCJwIjoic2hlZXRzLWppcmEifQ","HWKREPORT-1927")</f>
        <v>HWKREPORT-1927</v>
      </c>
      <c r="C1554" s="1" t="s">
        <v>2796</v>
      </c>
      <c r="D1554" s="1" t="s">
        <v>23</v>
      </c>
      <c r="E1554" s="1" t="s">
        <v>1207</v>
      </c>
      <c r="F1554" s="4">
        <v>44999.85737268518</v>
      </c>
      <c r="G1554" s="3" t="str">
        <f>HYPERLINK("https://hawk-eye.atlassian.net/browse/RTT-6055?atlOrigin=eyJpIjoiYzgwYTQ0ZjEyNzQzNGJhN2JmNjEyZTM0NmRhZWZhNjIiLCJwIjoic2hlZXRzLWppcmEifQ","RTT-6055")</f>
        <v>RTT-6055</v>
      </c>
      <c r="H1554" s="1" t="s">
        <v>1058</v>
      </c>
      <c r="I1554" s="1" t="s">
        <v>1071</v>
      </c>
      <c r="J1554" s="1" t="s">
        <v>26</v>
      </c>
      <c r="K1554" s="1" t="s">
        <v>1072</v>
      </c>
      <c r="L1554" s="1" t="s">
        <v>26</v>
      </c>
      <c r="M1554" s="1" t="s">
        <v>27</v>
      </c>
      <c r="N1554" s="1" t="s">
        <v>26</v>
      </c>
      <c r="O1554" s="1" t="s">
        <v>26</v>
      </c>
      <c r="P1554" s="4">
        <v>45043.59028935185</v>
      </c>
    </row>
    <row r="1555" hidden="1">
      <c r="A1555" s="1" t="s">
        <v>21</v>
      </c>
      <c r="B1555" s="3" t="str">
        <f>HYPERLINK("https://hawk-eye.atlassian.net/browse/HWKREPORT-1928?atlOrigin=eyJpIjoiYzgwYTQ0ZjEyNzQzNGJhN2JmNjEyZTM0NmRhZWZhNjIiLCJwIjoic2hlZXRzLWppcmEifQ","HWKREPORT-1928")</f>
        <v>HWKREPORT-1928</v>
      </c>
      <c r="C1555" s="1" t="s">
        <v>2797</v>
      </c>
      <c r="D1555" s="1" t="s">
        <v>23</v>
      </c>
      <c r="E1555" s="1" t="s">
        <v>35</v>
      </c>
      <c r="F1555" s="4">
        <v>45000.83314814815</v>
      </c>
      <c r="G1555" s="3" t="str">
        <f>HYPERLINK("https://hawk-eye.atlassian.net/browse/RTT-6065?atlOrigin=eyJpIjoiYzgwYTQ0ZjEyNzQzNGJhN2JmNjEyZTM0NmRhZWZhNjIiLCJwIjoic2hlZXRzLWppcmEifQ","RTT-6065")</f>
        <v>RTT-6065</v>
      </c>
      <c r="H1555" s="1" t="s">
        <v>1058</v>
      </c>
      <c r="I1555" s="1" t="s">
        <v>1059</v>
      </c>
      <c r="J1555" s="1" t="s">
        <v>26</v>
      </c>
      <c r="K1555" s="1" t="s">
        <v>1072</v>
      </c>
      <c r="L1555" s="1" t="s">
        <v>26</v>
      </c>
      <c r="M1555" s="1" t="s">
        <v>27</v>
      </c>
      <c r="N1555" s="1" t="s">
        <v>26</v>
      </c>
      <c r="O1555" s="1" t="s">
        <v>26</v>
      </c>
      <c r="P1555" s="4">
        <v>45596.704513888886</v>
      </c>
    </row>
    <row r="1556" hidden="1">
      <c r="A1556" s="1" t="s">
        <v>1055</v>
      </c>
      <c r="B1556" s="3" t="str">
        <f>HYPERLINK("https://hawk-eye.atlassian.net/browse/HWKREPORT-1929?atlOrigin=eyJpIjoiYzgwYTQ0ZjEyNzQzNGJhN2JmNjEyZTM0NmRhZWZhNjIiLCJwIjoic2hlZXRzLWppcmEifQ","HWKREPORT-1929")</f>
        <v>HWKREPORT-1929</v>
      </c>
      <c r="C1556" s="1" t="s">
        <v>2798</v>
      </c>
      <c r="D1556" s="1" t="s">
        <v>48</v>
      </c>
      <c r="E1556" s="1" t="s">
        <v>35</v>
      </c>
      <c r="F1556" s="4">
        <v>45001.508784722224</v>
      </c>
      <c r="G1556" s="3" t="str">
        <f>HYPERLINK("https://hawk-eye.atlassian.net/browse/RTT-6064?atlOrigin=eyJpIjoiYzgwYTQ0ZjEyNzQzNGJhN2JmNjEyZTM0NmRhZWZhNjIiLCJwIjoic2hlZXRzLWppcmEifQ","RTT-6064")</f>
        <v>RTT-6064</v>
      </c>
      <c r="H1556" s="1" t="s">
        <v>1058</v>
      </c>
      <c r="I1556" s="1" t="s">
        <v>28</v>
      </c>
      <c r="J1556" s="1" t="s">
        <v>26</v>
      </c>
      <c r="K1556" s="1" t="s">
        <v>1072</v>
      </c>
      <c r="L1556" s="1" t="s">
        <v>26</v>
      </c>
      <c r="M1556" s="1" t="s">
        <v>27</v>
      </c>
      <c r="N1556" s="1" t="s">
        <v>26</v>
      </c>
      <c r="O1556" s="1" t="s">
        <v>26</v>
      </c>
      <c r="P1556" s="4">
        <v>45524.73064814815</v>
      </c>
    </row>
    <row r="1557" hidden="1">
      <c r="A1557" s="1" t="s">
        <v>21</v>
      </c>
      <c r="B1557" s="3" t="str">
        <f>HYPERLINK("https://hawk-eye.atlassian.net/browse/HWKREPORT-1930?atlOrigin=eyJpIjoiYzgwYTQ0ZjEyNzQzNGJhN2JmNjEyZTM0NmRhZWZhNjIiLCJwIjoic2hlZXRzLWppcmEifQ","HWKREPORT-1930")</f>
        <v>HWKREPORT-1930</v>
      </c>
      <c r="C1557" s="1" t="s">
        <v>2799</v>
      </c>
      <c r="D1557" s="1" t="s">
        <v>23</v>
      </c>
      <c r="E1557" s="1" t="s">
        <v>35</v>
      </c>
      <c r="F1557" s="4">
        <v>45002.67934027778</v>
      </c>
      <c r="G1557" s="3" t="str">
        <f>HYPERLINK("https://hawk-eye.atlassian.net/browse/TDP-1626?atlOrigin=eyJpIjoiYzgwYTQ0ZjEyNzQzNGJhN2JmNjEyZTM0NmRhZWZhNjIiLCJwIjoic2hlZXRzLWppcmEifQ","TDP-1626")</f>
        <v>TDP-1626</v>
      </c>
      <c r="H1557" s="1" t="s">
        <v>1058</v>
      </c>
      <c r="I1557" s="1" t="s">
        <v>1126</v>
      </c>
      <c r="J1557" s="1" t="s">
        <v>26</v>
      </c>
      <c r="K1557" s="1" t="s">
        <v>1211</v>
      </c>
      <c r="L1557" s="1" t="s">
        <v>26</v>
      </c>
      <c r="M1557" s="1" t="s">
        <v>27</v>
      </c>
      <c r="N1557" s="1" t="s">
        <v>26</v>
      </c>
      <c r="O1557" s="1" t="s">
        <v>26</v>
      </c>
      <c r="P1557" s="4">
        <v>45252.405127314814</v>
      </c>
    </row>
    <row r="1558" hidden="1">
      <c r="A1558" s="1" t="s">
        <v>1055</v>
      </c>
      <c r="B1558" s="3" t="str">
        <f>HYPERLINK("https://hawk-eye.atlassian.net/browse/HWKREPORT-1931?atlOrigin=eyJpIjoiYzgwYTQ0ZjEyNzQzNGJhN2JmNjEyZTM0NmRhZWZhNjIiLCJwIjoic2hlZXRzLWppcmEifQ","HWKREPORT-1931")</f>
        <v>HWKREPORT-1931</v>
      </c>
      <c r="C1558" s="1" t="s">
        <v>2800</v>
      </c>
      <c r="D1558" s="1" t="s">
        <v>48</v>
      </c>
      <c r="E1558" s="1" t="s">
        <v>35</v>
      </c>
      <c r="F1558" s="4">
        <v>45005.48662037037</v>
      </c>
      <c r="G1558" s="3" t="str">
        <f>HYPERLINK("https://hawk-eye.atlassian.net/browse/TDP-1627?atlOrigin=eyJpIjoiYzgwYTQ0ZjEyNzQzNGJhN2JmNjEyZTM0NmRhZWZhNjIiLCJwIjoic2hlZXRzLWppcmEifQ","TDP-1627")</f>
        <v>TDP-1627</v>
      </c>
      <c r="H1558" s="1" t="s">
        <v>1058</v>
      </c>
      <c r="I1558" s="1" t="s">
        <v>1126</v>
      </c>
      <c r="J1558" s="1" t="s">
        <v>26</v>
      </c>
      <c r="K1558" s="1" t="s">
        <v>1211</v>
      </c>
      <c r="L1558" s="1" t="s">
        <v>26</v>
      </c>
      <c r="M1558" s="1" t="s">
        <v>27</v>
      </c>
      <c r="N1558" s="1" t="s">
        <v>26</v>
      </c>
      <c r="O1558" s="1" t="s">
        <v>26</v>
      </c>
      <c r="P1558" s="4">
        <v>45252.40677083333</v>
      </c>
    </row>
    <row r="1559" hidden="1">
      <c r="A1559" s="1" t="s">
        <v>21</v>
      </c>
      <c r="B1559" s="3" t="str">
        <f>HYPERLINK("https://hawk-eye.atlassian.net/browse/HWKREPORT-1932?atlOrigin=eyJpIjoiYzgwYTQ0ZjEyNzQzNGJhN2JmNjEyZTM0NmRhZWZhNjIiLCJwIjoic2hlZXRzLWppcmEifQ","HWKREPORT-1932")</f>
        <v>HWKREPORT-1932</v>
      </c>
      <c r="C1559" s="1" t="s">
        <v>2801</v>
      </c>
      <c r="D1559" s="1" t="s">
        <v>23</v>
      </c>
      <c r="E1559" s="1" t="s">
        <v>35</v>
      </c>
      <c r="F1559" s="4">
        <v>45005.73337962963</v>
      </c>
      <c r="G1559" s="3" t="str">
        <f>HYPERLINK("https://hawk-eye.atlassian.net/browse/TDP-1628?atlOrigin=eyJpIjoiYzgwYTQ0ZjEyNzQzNGJhN2JmNjEyZTM0NmRhZWZhNjIiLCJwIjoic2hlZXRzLWppcmEifQ","TDP-1628")</f>
        <v>TDP-1628</v>
      </c>
      <c r="H1559" s="1" t="s">
        <v>1058</v>
      </c>
      <c r="I1559" s="1" t="s">
        <v>1126</v>
      </c>
      <c r="J1559" s="1" t="s">
        <v>26</v>
      </c>
      <c r="K1559" s="1" t="s">
        <v>1211</v>
      </c>
      <c r="L1559" s="1" t="s">
        <v>26</v>
      </c>
      <c r="M1559" s="1" t="s">
        <v>27</v>
      </c>
      <c r="N1559" s="1" t="s">
        <v>26</v>
      </c>
      <c r="O1559" s="1" t="s">
        <v>26</v>
      </c>
      <c r="P1559" s="4">
        <v>45252.40542824074</v>
      </c>
    </row>
    <row r="1560" hidden="1">
      <c r="A1560" s="1" t="s">
        <v>21</v>
      </c>
      <c r="B1560" s="3" t="str">
        <f>HYPERLINK("https://hawk-eye.atlassian.net/browse/HWKREPORT-1933?atlOrigin=eyJpIjoiYzgwYTQ0ZjEyNzQzNGJhN2JmNjEyZTM0NmRhZWZhNjIiLCJwIjoic2hlZXRzLWppcmEifQ","HWKREPORT-1933")</f>
        <v>HWKREPORT-1933</v>
      </c>
      <c r="C1560" s="1" t="s">
        <v>2802</v>
      </c>
      <c r="D1560" s="1" t="s">
        <v>34</v>
      </c>
      <c r="E1560" s="1" t="s">
        <v>1057</v>
      </c>
      <c r="F1560" s="4">
        <v>45005.73689814815</v>
      </c>
      <c r="G1560" s="3" t="str">
        <f>HYPERLINK("https://hawk-eye.atlassian.net/browse/GT-930?atlOrigin=eyJpIjoiYzgwYTQ0ZjEyNzQzNGJhN2JmNjEyZTM0NmRhZWZhNjIiLCJwIjoic2hlZXRzLWppcmEifQ","GT-930")</f>
        <v>GT-930</v>
      </c>
      <c r="H1560" s="1" t="s">
        <v>1058</v>
      </c>
      <c r="I1560" s="1" t="s">
        <v>1085</v>
      </c>
      <c r="J1560" s="1" t="s">
        <v>26</v>
      </c>
      <c r="K1560" s="1" t="s">
        <v>1114</v>
      </c>
      <c r="L1560" s="1" t="s">
        <v>26</v>
      </c>
      <c r="M1560" s="1" t="s">
        <v>27</v>
      </c>
      <c r="N1560" s="1" t="s">
        <v>26</v>
      </c>
      <c r="O1560" s="1" t="s">
        <v>26</v>
      </c>
      <c r="P1560" s="4">
        <v>45005.736909722225</v>
      </c>
    </row>
    <row r="1561" hidden="1">
      <c r="A1561" s="1" t="s">
        <v>21</v>
      </c>
      <c r="B1561" s="3" t="str">
        <f>HYPERLINK("https://hawk-eye.atlassian.net/browse/HWKREPORT-1934?atlOrigin=eyJpIjoiYzgwYTQ0ZjEyNzQzNGJhN2JmNjEyZTM0NmRhZWZhNjIiLCJwIjoic2hlZXRzLWppcmEifQ","HWKREPORT-1934")</f>
        <v>HWKREPORT-1934</v>
      </c>
      <c r="C1561" s="1" t="s">
        <v>2803</v>
      </c>
      <c r="D1561" s="1" t="s">
        <v>23</v>
      </c>
      <c r="E1561" s="1" t="s">
        <v>35</v>
      </c>
      <c r="F1561" s="4">
        <v>45006.00579861111</v>
      </c>
      <c r="G1561" s="3" t="str">
        <f>HYPERLINK("https://hawk-eye.atlassian.net/browse/CORE-211?atlOrigin=eyJpIjoiYzgwYTQ0ZjEyNzQzNGJhN2JmNjEyZTM0NmRhZWZhNjIiLCJwIjoic2hlZXRzLWppcmEifQ","CORE-211")</f>
        <v>CORE-211</v>
      </c>
      <c r="H1561" s="1" t="s">
        <v>1058</v>
      </c>
      <c r="I1561" s="1" t="s">
        <v>1924</v>
      </c>
      <c r="J1561" s="1" t="s">
        <v>26</v>
      </c>
      <c r="K1561" s="1" t="s">
        <v>2674</v>
      </c>
      <c r="L1561" s="1" t="s">
        <v>26</v>
      </c>
      <c r="M1561" s="1" t="s">
        <v>27</v>
      </c>
      <c r="N1561" s="1" t="s">
        <v>26</v>
      </c>
      <c r="O1561" s="1" t="s">
        <v>26</v>
      </c>
      <c r="P1561" s="4">
        <v>45041.36474537037</v>
      </c>
    </row>
    <row r="1562" hidden="1">
      <c r="A1562" s="1" t="s">
        <v>21</v>
      </c>
      <c r="B1562" s="3" t="str">
        <f>HYPERLINK("https://hawk-eye.atlassian.net/browse/HWKREPORT-1935?atlOrigin=eyJpIjoiYzgwYTQ0ZjEyNzQzNGJhN2JmNjEyZTM0NmRhZWZhNjIiLCJwIjoic2hlZXRzLWppcmEifQ","HWKREPORT-1935")</f>
        <v>HWKREPORT-1935</v>
      </c>
      <c r="C1562" s="1" t="s">
        <v>2804</v>
      </c>
      <c r="D1562" s="1" t="s">
        <v>23</v>
      </c>
      <c r="E1562" s="1" t="s">
        <v>1207</v>
      </c>
      <c r="F1562" s="4">
        <v>45006.4269212963</v>
      </c>
      <c r="G1562" s="3" t="str">
        <f>HYPERLINK("https://hawk-eye.atlassian.net/browse/RTT-7461?atlOrigin=eyJpIjoiYzgwYTQ0ZjEyNzQzNGJhN2JmNjEyZTM0NmRhZWZhNjIiLCJwIjoic2hlZXRzLWppcmEifQ","RTT-7461")</f>
        <v>RTT-7461</v>
      </c>
      <c r="H1562" s="1" t="s">
        <v>1058</v>
      </c>
      <c r="I1562" s="1" t="s">
        <v>1126</v>
      </c>
      <c r="J1562" s="1" t="s">
        <v>26</v>
      </c>
      <c r="K1562" s="1" t="s">
        <v>1312</v>
      </c>
      <c r="L1562" s="1" t="s">
        <v>26</v>
      </c>
      <c r="M1562" s="1" t="s">
        <v>27</v>
      </c>
      <c r="N1562" s="1" t="s">
        <v>26</v>
      </c>
      <c r="O1562" s="1" t="s">
        <v>26</v>
      </c>
      <c r="P1562" s="4">
        <v>45266.619108796294</v>
      </c>
    </row>
    <row r="1563" hidden="1">
      <c r="A1563" s="1" t="s">
        <v>21</v>
      </c>
      <c r="B1563" s="3" t="str">
        <f>HYPERLINK("https://hawk-eye.atlassian.net/browse/HWKREPORT-1936?atlOrigin=eyJpIjoiYzgwYTQ0ZjEyNzQzNGJhN2JmNjEyZTM0NmRhZWZhNjIiLCJwIjoic2hlZXRzLWppcmEifQ","HWKREPORT-1936")</f>
        <v>HWKREPORT-1936</v>
      </c>
      <c r="C1563" s="1" t="s">
        <v>2805</v>
      </c>
      <c r="D1563" s="1" t="s">
        <v>34</v>
      </c>
      <c r="E1563" s="1" t="s">
        <v>1057</v>
      </c>
      <c r="F1563" s="4">
        <v>45006.56390046296</v>
      </c>
      <c r="G1563" s="3" t="str">
        <f>HYPERLINK("https://hawk-eye.atlassian.net/browse/RTT-6080?atlOrigin=eyJpIjoiYzgwYTQ0ZjEyNzQzNGJhN2JmNjEyZTM0NmRhZWZhNjIiLCJwIjoic2hlZXRzLWppcmEifQ","RTT-6080")</f>
        <v>RTT-6080</v>
      </c>
      <c r="H1563" s="1" t="s">
        <v>1058</v>
      </c>
      <c r="I1563" s="1" t="s">
        <v>1126</v>
      </c>
      <c r="J1563" s="1" t="s">
        <v>26</v>
      </c>
      <c r="K1563" s="1" t="s">
        <v>1312</v>
      </c>
      <c r="L1563" s="1" t="s">
        <v>26</v>
      </c>
      <c r="M1563" s="1" t="s">
        <v>27</v>
      </c>
      <c r="N1563" s="1" t="s">
        <v>26</v>
      </c>
      <c r="O1563" s="1" t="s">
        <v>26</v>
      </c>
      <c r="P1563" s="4">
        <v>45006.56391203704</v>
      </c>
    </row>
    <row r="1564" hidden="1">
      <c r="A1564" s="1" t="s">
        <v>21</v>
      </c>
      <c r="B1564" s="3" t="str">
        <f>HYPERLINK("https://hawk-eye.atlassian.net/browse/HWKREPORT-1937?atlOrigin=eyJpIjoiYzgwYTQ0ZjEyNzQzNGJhN2JmNjEyZTM0NmRhZWZhNjIiLCJwIjoic2hlZXRzLWppcmEifQ","HWKREPORT-1937")</f>
        <v>HWKREPORT-1937</v>
      </c>
      <c r="C1564" s="1" t="s">
        <v>2806</v>
      </c>
      <c r="D1564" s="1" t="s">
        <v>40</v>
      </c>
      <c r="E1564" s="1" t="s">
        <v>35</v>
      </c>
      <c r="F1564" s="4">
        <v>45006.64990740741</v>
      </c>
      <c r="G1564" s="3" t="str">
        <f>HYPERLINK("https://hawk-eye.atlassian.net/browse/AL-745?atlOrigin=eyJpIjoiYzgwYTQ0ZjEyNzQzNGJhN2JmNjEyZTM0NmRhZWZhNjIiLCJwIjoic2hlZXRzLWppcmEifQ","AL-745")</f>
        <v>AL-745</v>
      </c>
      <c r="H1564" s="1" t="s">
        <v>1058</v>
      </c>
      <c r="I1564" s="1" t="s">
        <v>1071</v>
      </c>
      <c r="J1564" s="1" t="s">
        <v>26</v>
      </c>
      <c r="K1564" s="1" t="s">
        <v>1898</v>
      </c>
      <c r="L1564" s="1" t="s">
        <v>26</v>
      </c>
      <c r="M1564" s="1" t="s">
        <v>27</v>
      </c>
      <c r="N1564" s="1" t="s">
        <v>26</v>
      </c>
      <c r="O1564" s="1" t="s">
        <v>26</v>
      </c>
      <c r="P1564" s="4">
        <v>45065.38224537037</v>
      </c>
    </row>
    <row r="1565" hidden="1">
      <c r="A1565" s="1" t="s">
        <v>21</v>
      </c>
      <c r="B1565" s="3" t="str">
        <f>HYPERLINK("https://hawk-eye.atlassian.net/browse/HWKREPORT-1938?atlOrigin=eyJpIjoiYzgwYTQ0ZjEyNzQzNGJhN2JmNjEyZTM0NmRhZWZhNjIiLCJwIjoic2hlZXRzLWppcmEifQ","HWKREPORT-1938")</f>
        <v>HWKREPORT-1938</v>
      </c>
      <c r="C1565" s="1" t="s">
        <v>2807</v>
      </c>
      <c r="D1565" s="1" t="s">
        <v>34</v>
      </c>
      <c r="E1565" s="1" t="s">
        <v>35</v>
      </c>
      <c r="F1565" s="4">
        <v>45007.43912037037</v>
      </c>
      <c r="G1565" s="3" t="str">
        <f>HYPERLINK("https://hawk-eye.atlassian.net/browse/RTT-6070?atlOrigin=eyJpIjoiYzgwYTQ0ZjEyNzQzNGJhN2JmNjEyZTM0NmRhZWZhNjIiLCJwIjoic2hlZXRzLWppcmEifQ","RTT-6070")</f>
        <v>RTT-6070</v>
      </c>
      <c r="H1565" s="1" t="s">
        <v>1058</v>
      </c>
      <c r="I1565" s="1" t="s">
        <v>1082</v>
      </c>
      <c r="J1565" s="1" t="s">
        <v>26</v>
      </c>
      <c r="K1565" s="1" t="s">
        <v>1247</v>
      </c>
      <c r="L1565" s="1" t="s">
        <v>26</v>
      </c>
      <c r="M1565" s="1" t="s">
        <v>27</v>
      </c>
      <c r="N1565" s="1" t="s">
        <v>26</v>
      </c>
      <c r="O1565" s="1" t="s">
        <v>26</v>
      </c>
      <c r="P1565" s="4">
        <v>45063.43922453704</v>
      </c>
    </row>
    <row r="1566" hidden="1">
      <c r="A1566" s="1" t="s">
        <v>21</v>
      </c>
      <c r="B1566" s="3" t="str">
        <f>HYPERLINK("https://hawk-eye.atlassian.net/browse/HWKREPORT-1939?atlOrigin=eyJpIjoiYzgwYTQ0ZjEyNzQzNGJhN2JmNjEyZTM0NmRhZWZhNjIiLCJwIjoic2hlZXRzLWppcmEifQ","HWKREPORT-1939")</f>
        <v>HWKREPORT-1939</v>
      </c>
      <c r="C1566" s="1" t="s">
        <v>2808</v>
      </c>
      <c r="D1566" s="1" t="s">
        <v>83</v>
      </c>
      <c r="E1566" s="1" t="s">
        <v>35</v>
      </c>
      <c r="F1566" s="4">
        <v>45007.715208333335</v>
      </c>
      <c r="G1566" s="3" t="str">
        <f t="shared" ref="G1566:G1567" si="131">HYPERLINK("https://hawk-eye.atlassian.net/browse/?atlOrigin=eyJpIjoiYzgwYTQ0ZjEyNzQzNGJhN2JmNjEyZTM0NmRhZWZhNjIiLCJwIjoic2hlZXRzLWppcmEifQ","")</f>
        <v/>
      </c>
      <c r="H1566" s="1" t="s">
        <v>1058</v>
      </c>
      <c r="I1566" s="1" t="s">
        <v>1082</v>
      </c>
      <c r="J1566" s="1" t="s">
        <v>26</v>
      </c>
      <c r="K1566" s="1" t="s">
        <v>1700</v>
      </c>
      <c r="L1566" s="1" t="s">
        <v>26</v>
      </c>
      <c r="M1566" s="1" t="s">
        <v>27</v>
      </c>
      <c r="N1566" s="1" t="s">
        <v>26</v>
      </c>
      <c r="O1566" s="1" t="s">
        <v>26</v>
      </c>
      <c r="P1566" s="4">
        <v>45714.40425925926</v>
      </c>
    </row>
    <row r="1567" hidden="1">
      <c r="A1567" s="1" t="s">
        <v>21</v>
      </c>
      <c r="B1567" s="3" t="str">
        <f>HYPERLINK("https://hawk-eye.atlassian.net/browse/HWKREPORT-1940?atlOrigin=eyJpIjoiYzgwYTQ0ZjEyNzQzNGJhN2JmNjEyZTM0NmRhZWZhNjIiLCJwIjoic2hlZXRzLWppcmEifQ","HWKREPORT-1940")</f>
        <v>HWKREPORT-1940</v>
      </c>
      <c r="C1567" s="1" t="s">
        <v>2809</v>
      </c>
      <c r="D1567" s="1" t="s">
        <v>23</v>
      </c>
      <c r="E1567" s="1" t="s">
        <v>1057</v>
      </c>
      <c r="F1567" s="4">
        <v>45008.352685185186</v>
      </c>
      <c r="G1567" s="3" t="str">
        <f t="shared" si="131"/>
        <v/>
      </c>
      <c r="H1567" s="1" t="s">
        <v>1058</v>
      </c>
      <c r="I1567" s="1" t="s">
        <v>1071</v>
      </c>
      <c r="J1567" s="1" t="s">
        <v>26</v>
      </c>
      <c r="K1567" s="1" t="s">
        <v>1898</v>
      </c>
      <c r="L1567" s="1" t="s">
        <v>26</v>
      </c>
      <c r="M1567" s="1" t="s">
        <v>27</v>
      </c>
      <c r="N1567" s="1" t="s">
        <v>26</v>
      </c>
      <c r="O1567" s="1" t="s">
        <v>26</v>
      </c>
      <c r="P1567" s="4">
        <v>45008.352685185186</v>
      </c>
    </row>
    <row r="1568" hidden="1">
      <c r="A1568" s="1" t="s">
        <v>1055</v>
      </c>
      <c r="B1568" s="3" t="str">
        <f>HYPERLINK("https://hawk-eye.atlassian.net/browse/HWKREPORT-1941?atlOrigin=eyJpIjoiYzgwYTQ0ZjEyNzQzNGJhN2JmNjEyZTM0NmRhZWZhNjIiLCJwIjoic2hlZXRzLWppcmEifQ","HWKREPORT-1941")</f>
        <v>HWKREPORT-1941</v>
      </c>
      <c r="C1568" s="1" t="s">
        <v>2810</v>
      </c>
      <c r="D1568" s="1" t="s">
        <v>48</v>
      </c>
      <c r="E1568" s="1" t="s">
        <v>35</v>
      </c>
      <c r="F1568" s="4">
        <v>45008.450277777774</v>
      </c>
      <c r="G1568" s="3" t="str">
        <f>HYPERLINK("https://hawk-eye.atlassian.net/browse/TDP-1634?atlOrigin=eyJpIjoiYzgwYTQ0ZjEyNzQzNGJhN2JmNjEyZTM0NmRhZWZhNjIiLCJwIjoic2hlZXRzLWppcmEifQ","TDP-1634")</f>
        <v>TDP-1634</v>
      </c>
      <c r="H1568" s="1" t="s">
        <v>1058</v>
      </c>
      <c r="I1568" s="1" t="s">
        <v>1126</v>
      </c>
      <c r="J1568" s="1" t="s">
        <v>26</v>
      </c>
      <c r="K1568" s="1" t="s">
        <v>1211</v>
      </c>
      <c r="L1568" s="1" t="s">
        <v>26</v>
      </c>
      <c r="M1568" s="1" t="s">
        <v>27</v>
      </c>
      <c r="N1568" s="1" t="s">
        <v>26</v>
      </c>
      <c r="O1568" s="1" t="s">
        <v>26</v>
      </c>
      <c r="P1568" s="4">
        <v>45252.406331018516</v>
      </c>
    </row>
    <row r="1569" hidden="1">
      <c r="A1569" s="1" t="s">
        <v>21</v>
      </c>
      <c r="B1569" s="3" t="str">
        <f>HYPERLINK("https://hawk-eye.atlassian.net/browse/HWKREPORT-1942?atlOrigin=eyJpIjoiYzgwYTQ0ZjEyNzQzNGJhN2JmNjEyZTM0NmRhZWZhNjIiLCJwIjoic2hlZXRzLWppcmEifQ","HWKREPORT-1942")</f>
        <v>HWKREPORT-1942</v>
      </c>
      <c r="C1569" s="1" t="s">
        <v>2811</v>
      </c>
      <c r="D1569" s="1" t="s">
        <v>40</v>
      </c>
      <c r="E1569" s="1" t="s">
        <v>1207</v>
      </c>
      <c r="F1569" s="4">
        <v>45008.70931712963</v>
      </c>
      <c r="G1569" s="3" t="str">
        <f>HYPERLINK("https://hawk-eye.atlassian.net/issues/?atlOrigin=eyJpIjoiYzgwYTQ0ZjEyNzQzNGJhN2JmNjEyZTM0NmRhZWZhNjIiLCJwIjoic2hlZXRzLWppcmEifQ&amp;jql=key+in+%28RTT-6212%2CRTT-6077%29","RTT-6212;RTT-6077")</f>
        <v>RTT-6212;RTT-6077</v>
      </c>
      <c r="H1569" s="1" t="s">
        <v>1058</v>
      </c>
      <c r="I1569" s="1" t="s">
        <v>1085</v>
      </c>
      <c r="J1569" s="1" t="s">
        <v>26</v>
      </c>
      <c r="K1569" s="1" t="s">
        <v>1072</v>
      </c>
      <c r="L1569" s="1" t="s">
        <v>26</v>
      </c>
      <c r="M1569" s="1" t="s">
        <v>27</v>
      </c>
      <c r="N1569" s="1" t="s">
        <v>26</v>
      </c>
      <c r="O1569" s="1" t="s">
        <v>26</v>
      </c>
      <c r="P1569" s="4">
        <v>45043.015706018516</v>
      </c>
    </row>
    <row r="1570" hidden="1">
      <c r="A1570" s="1" t="s">
        <v>21</v>
      </c>
      <c r="B1570" s="3" t="str">
        <f>HYPERLINK("https://hawk-eye.atlassian.net/browse/HWKREPORT-1943?atlOrigin=eyJpIjoiYzgwYTQ0ZjEyNzQzNGJhN2JmNjEyZTM0NmRhZWZhNjIiLCJwIjoic2hlZXRzLWppcmEifQ","HWKREPORT-1943")</f>
        <v>HWKREPORT-1943</v>
      </c>
      <c r="C1570" s="1" t="s">
        <v>2812</v>
      </c>
      <c r="D1570" s="1" t="s">
        <v>23</v>
      </c>
      <c r="E1570" s="1" t="s">
        <v>35</v>
      </c>
      <c r="F1570" s="4">
        <v>45008.796793981484</v>
      </c>
      <c r="G1570" s="3" t="str">
        <f>HYPERLINK("https://hawk-eye.atlassian.net/browse/MLT-1369?atlOrigin=eyJpIjoiYzgwYTQ0ZjEyNzQzNGJhN2JmNjEyZTM0NmRhZWZhNjIiLCJwIjoic2hlZXRzLWppcmEifQ","MLT-1369")</f>
        <v>MLT-1369</v>
      </c>
      <c r="H1570" s="1" t="s">
        <v>1058</v>
      </c>
      <c r="I1570" s="1" t="s">
        <v>1071</v>
      </c>
      <c r="J1570" s="1" t="s">
        <v>26</v>
      </c>
      <c r="K1570" s="1" t="s">
        <v>1099</v>
      </c>
      <c r="L1570" s="1" t="s">
        <v>26</v>
      </c>
      <c r="M1570" s="1" t="s">
        <v>27</v>
      </c>
      <c r="N1570" s="1" t="s">
        <v>26</v>
      </c>
      <c r="O1570" s="1" t="s">
        <v>26</v>
      </c>
      <c r="P1570" s="4">
        <v>45019.628020833334</v>
      </c>
    </row>
    <row r="1571" hidden="1">
      <c r="A1571" s="1" t="s">
        <v>1055</v>
      </c>
      <c r="B1571" s="3" t="str">
        <f>HYPERLINK("https://hawk-eye.atlassian.net/browse/HWKREPORT-1944?atlOrigin=eyJpIjoiYzgwYTQ0ZjEyNzQzNGJhN2JmNjEyZTM0NmRhZWZhNjIiLCJwIjoic2hlZXRzLWppcmEifQ","HWKREPORT-1944")</f>
        <v>HWKREPORT-1944</v>
      </c>
      <c r="C1571" s="1" t="s">
        <v>2813</v>
      </c>
      <c r="D1571" s="1" t="s">
        <v>48</v>
      </c>
      <c r="E1571" s="1" t="s">
        <v>1057</v>
      </c>
      <c r="F1571" s="4">
        <v>45008.82640046296</v>
      </c>
      <c r="G1571" s="3" t="str">
        <f t="shared" ref="G1571:G1572" si="132">HYPERLINK("https://hawk-eye.atlassian.net/browse/?atlOrigin=eyJpIjoiYzgwYTQ0ZjEyNzQzNGJhN2JmNjEyZTM0NmRhZWZhNjIiLCJwIjoic2hlZXRzLWppcmEifQ","")</f>
        <v/>
      </c>
      <c r="H1571" s="1" t="s">
        <v>1058</v>
      </c>
      <c r="I1571" s="1" t="s">
        <v>1085</v>
      </c>
      <c r="J1571" s="1" t="s">
        <v>26</v>
      </c>
      <c r="K1571" s="1" t="s">
        <v>1219</v>
      </c>
      <c r="L1571" s="1" t="s">
        <v>26</v>
      </c>
      <c r="M1571" s="1" t="s">
        <v>27</v>
      </c>
      <c r="N1571" s="1" t="s">
        <v>26</v>
      </c>
      <c r="O1571" s="1" t="s">
        <v>26</v>
      </c>
      <c r="P1571" s="4">
        <v>45008.82640046296</v>
      </c>
    </row>
    <row r="1572" hidden="1">
      <c r="A1572" s="1" t="s">
        <v>1055</v>
      </c>
      <c r="B1572" s="3" t="str">
        <f>HYPERLINK("https://hawk-eye.atlassian.net/browse/HWKREPORT-1945?atlOrigin=eyJpIjoiYzgwYTQ0ZjEyNzQzNGJhN2JmNjEyZTM0NmRhZWZhNjIiLCJwIjoic2hlZXRzLWppcmEifQ","HWKREPORT-1945")</f>
        <v>HWKREPORT-1945</v>
      </c>
      <c r="C1572" s="1" t="s">
        <v>2814</v>
      </c>
      <c r="D1572" s="1" t="s">
        <v>48</v>
      </c>
      <c r="E1572" s="1" t="s">
        <v>1057</v>
      </c>
      <c r="F1572" s="4">
        <v>45008.82947916666</v>
      </c>
      <c r="G1572" s="3" t="str">
        <f t="shared" si="132"/>
        <v/>
      </c>
      <c r="H1572" s="1" t="s">
        <v>1058</v>
      </c>
      <c r="I1572" s="1" t="s">
        <v>1085</v>
      </c>
      <c r="J1572" s="1" t="s">
        <v>26</v>
      </c>
      <c r="K1572" s="1" t="s">
        <v>1219</v>
      </c>
      <c r="L1572" s="1" t="s">
        <v>26</v>
      </c>
      <c r="M1572" s="1" t="s">
        <v>27</v>
      </c>
      <c r="N1572" s="1" t="s">
        <v>26</v>
      </c>
      <c r="O1572" s="1" t="s">
        <v>26</v>
      </c>
      <c r="P1572" s="4">
        <v>45008.82949074074</v>
      </c>
    </row>
    <row r="1573" hidden="1">
      <c r="A1573" s="1" t="s">
        <v>1055</v>
      </c>
      <c r="B1573" s="3" t="str">
        <f>HYPERLINK("https://hawk-eye.atlassian.net/browse/HWKREPORT-1946?atlOrigin=eyJpIjoiYzgwYTQ0ZjEyNzQzNGJhN2JmNjEyZTM0NmRhZWZhNjIiLCJwIjoic2hlZXRzLWppcmEifQ","HWKREPORT-1946")</f>
        <v>HWKREPORT-1946</v>
      </c>
      <c r="C1573" s="1" t="s">
        <v>2815</v>
      </c>
      <c r="D1573" s="1" t="s">
        <v>48</v>
      </c>
      <c r="E1573" s="1" t="s">
        <v>1207</v>
      </c>
      <c r="F1573" s="4">
        <v>45009.485810185186</v>
      </c>
      <c r="G1573" s="3" t="str">
        <f>HYPERLINK("https://hawk-eye.atlassian.net/browse/RTT-6137?atlOrigin=eyJpIjoiYzgwYTQ0ZjEyNzQzNGJhN2JmNjEyZTM0NmRhZWZhNjIiLCJwIjoic2hlZXRzLWppcmEifQ","RTT-6137")</f>
        <v>RTT-6137</v>
      </c>
      <c r="H1573" s="1" t="s">
        <v>1058</v>
      </c>
      <c r="I1573" s="1" t="s">
        <v>2178</v>
      </c>
      <c r="J1573" s="1" t="s">
        <v>26</v>
      </c>
      <c r="K1573" s="1" t="s">
        <v>1072</v>
      </c>
      <c r="L1573" s="1" t="s">
        <v>26</v>
      </c>
      <c r="M1573" s="1" t="s">
        <v>27</v>
      </c>
      <c r="N1573" s="1" t="s">
        <v>26</v>
      </c>
      <c r="O1573" s="1" t="s">
        <v>26</v>
      </c>
      <c r="P1573" s="4">
        <v>45387.40796296296</v>
      </c>
    </row>
    <row r="1574" hidden="1">
      <c r="A1574" s="1" t="s">
        <v>21</v>
      </c>
      <c r="B1574" s="3" t="str">
        <f>HYPERLINK("https://hawk-eye.atlassian.net/browse/HWKREPORT-1947?atlOrigin=eyJpIjoiYzgwYTQ0ZjEyNzQzNGJhN2JmNjEyZTM0NmRhZWZhNjIiLCJwIjoic2hlZXRzLWppcmEifQ","HWKREPORT-1947")</f>
        <v>HWKREPORT-1947</v>
      </c>
      <c r="C1574" s="1" t="s">
        <v>2816</v>
      </c>
      <c r="D1574" s="1" t="s">
        <v>83</v>
      </c>
      <c r="E1574" s="1" t="s">
        <v>35</v>
      </c>
      <c r="F1574" s="4">
        <v>45009.67065972222</v>
      </c>
      <c r="G1574" s="3" t="str">
        <f>HYPERLINK("https://hawk-eye.atlassian.net/browse/?atlOrigin=eyJpIjoiYzgwYTQ0ZjEyNzQzNGJhN2JmNjEyZTM0NmRhZWZhNjIiLCJwIjoic2hlZXRzLWppcmEifQ","")</f>
        <v/>
      </c>
      <c r="H1574" s="1" t="s">
        <v>1058</v>
      </c>
      <c r="I1574" s="1" t="s">
        <v>1082</v>
      </c>
      <c r="J1574" s="1" t="s">
        <v>26</v>
      </c>
      <c r="K1574" s="1" t="s">
        <v>1700</v>
      </c>
      <c r="L1574" s="1" t="s">
        <v>26</v>
      </c>
      <c r="M1574" s="1" t="s">
        <v>27</v>
      </c>
      <c r="N1574" s="1" t="s">
        <v>26</v>
      </c>
      <c r="O1574" s="1" t="s">
        <v>26</v>
      </c>
      <c r="P1574" s="4">
        <v>45714.404594907406</v>
      </c>
    </row>
    <row r="1575" hidden="1">
      <c r="A1575" s="1" t="s">
        <v>21</v>
      </c>
      <c r="B1575" s="3" t="str">
        <f>HYPERLINK("https://hawk-eye.atlassian.net/browse/HWKREPORT-1948?atlOrigin=eyJpIjoiYzgwYTQ0ZjEyNzQzNGJhN2JmNjEyZTM0NmRhZWZhNjIiLCJwIjoic2hlZXRzLWppcmEifQ","HWKREPORT-1948")</f>
        <v>HWKREPORT-1948</v>
      </c>
      <c r="C1575" s="1" t="s">
        <v>2817</v>
      </c>
      <c r="D1575" s="1" t="s">
        <v>23</v>
      </c>
      <c r="E1575" s="1" t="s">
        <v>35</v>
      </c>
      <c r="F1575" s="4">
        <v>45009.675416666665</v>
      </c>
      <c r="G1575" s="3" t="str">
        <f>HYPERLINK("https://hawk-eye.atlassian.net/browse/TDP-1638?atlOrigin=eyJpIjoiYzgwYTQ0ZjEyNzQzNGJhN2JmNjEyZTM0NmRhZWZhNjIiLCJwIjoic2hlZXRzLWppcmEifQ","TDP-1638")</f>
        <v>TDP-1638</v>
      </c>
      <c r="H1575" s="1" t="s">
        <v>1058</v>
      </c>
      <c r="I1575" s="1" t="s">
        <v>1126</v>
      </c>
      <c r="J1575" s="1" t="s">
        <v>26</v>
      </c>
      <c r="K1575" s="1" t="s">
        <v>1211</v>
      </c>
      <c r="L1575" s="1" t="s">
        <v>26</v>
      </c>
      <c r="M1575" s="1" t="s">
        <v>27</v>
      </c>
      <c r="N1575" s="1" t="s">
        <v>26</v>
      </c>
      <c r="O1575" s="1" t="s">
        <v>26</v>
      </c>
      <c r="P1575" s="4">
        <v>45133.449224537035</v>
      </c>
    </row>
    <row r="1576" hidden="1">
      <c r="A1576" s="1" t="s">
        <v>21</v>
      </c>
      <c r="B1576" s="3" t="str">
        <f>HYPERLINK("https://hawk-eye.atlassian.net/browse/HWKREPORT-1949?atlOrigin=eyJpIjoiYzgwYTQ0ZjEyNzQzNGJhN2JmNjEyZTM0NmRhZWZhNjIiLCJwIjoic2hlZXRzLWppcmEifQ","HWKREPORT-1949")</f>
        <v>HWKREPORT-1949</v>
      </c>
      <c r="C1576" s="1" t="s">
        <v>2818</v>
      </c>
      <c r="D1576" s="1" t="s">
        <v>48</v>
      </c>
      <c r="E1576" s="1" t="s">
        <v>35</v>
      </c>
      <c r="F1576" s="4">
        <v>45009.675671296296</v>
      </c>
      <c r="G1576" s="3" t="str">
        <f>HYPERLINK("https://hawk-eye.atlassian.net/browse/?atlOrigin=eyJpIjoiYzgwYTQ0ZjEyNzQzNGJhN2JmNjEyZTM0NmRhZWZhNjIiLCJwIjoic2hlZXRzLWppcmEifQ","")</f>
        <v/>
      </c>
      <c r="H1576" s="1" t="s">
        <v>1058</v>
      </c>
      <c r="I1576" s="1" t="s">
        <v>1082</v>
      </c>
      <c r="J1576" s="1" t="s">
        <v>26</v>
      </c>
      <c r="K1576" s="1" t="s">
        <v>1700</v>
      </c>
      <c r="L1576" s="1" t="s">
        <v>26</v>
      </c>
      <c r="M1576" s="1" t="s">
        <v>27</v>
      </c>
      <c r="N1576" s="1" t="s">
        <v>26</v>
      </c>
      <c r="O1576" s="1" t="s">
        <v>26</v>
      </c>
      <c r="P1576" s="4">
        <v>45714.40561342592</v>
      </c>
    </row>
    <row r="1577" hidden="1">
      <c r="A1577" s="1" t="s">
        <v>21</v>
      </c>
      <c r="B1577" s="3" t="str">
        <f>HYPERLINK("https://hawk-eye.atlassian.net/browse/HWKREPORT-1950?atlOrigin=eyJpIjoiYzgwYTQ0ZjEyNzQzNGJhN2JmNjEyZTM0NmRhZWZhNjIiLCJwIjoic2hlZXRzLWppcmEifQ","HWKREPORT-1950")</f>
        <v>HWKREPORT-1950</v>
      </c>
      <c r="C1577" s="1" t="s">
        <v>2819</v>
      </c>
      <c r="D1577" s="1" t="s">
        <v>23</v>
      </c>
      <c r="E1577" s="1" t="s">
        <v>1057</v>
      </c>
      <c r="F1577" s="4">
        <v>45009.677349537036</v>
      </c>
      <c r="G1577" s="3" t="str">
        <f>HYPERLINK("https://hawk-eye.atlassian.net/browse/RTT-6084?atlOrigin=eyJpIjoiYzgwYTQ0ZjEyNzQzNGJhN2JmNjEyZTM0NmRhZWZhNjIiLCJwIjoic2hlZXRzLWppcmEifQ","RTT-6084")</f>
        <v>RTT-6084</v>
      </c>
      <c r="H1577" s="1" t="s">
        <v>1058</v>
      </c>
      <c r="I1577" s="1" t="s">
        <v>1085</v>
      </c>
      <c r="J1577" s="1" t="s">
        <v>26</v>
      </c>
      <c r="K1577" s="1" t="s">
        <v>1072</v>
      </c>
      <c r="L1577" s="1" t="s">
        <v>26</v>
      </c>
      <c r="M1577" s="1" t="s">
        <v>27</v>
      </c>
      <c r="N1577" s="1" t="s">
        <v>26</v>
      </c>
      <c r="O1577" s="1" t="s">
        <v>26</v>
      </c>
      <c r="P1577" s="4">
        <v>45009.677349537036</v>
      </c>
    </row>
    <row r="1578" hidden="1">
      <c r="A1578" s="1" t="s">
        <v>21</v>
      </c>
      <c r="B1578" s="3" t="str">
        <f>HYPERLINK("https://hawk-eye.atlassian.net/browse/HWKREPORT-1951?atlOrigin=eyJpIjoiYzgwYTQ0ZjEyNzQzNGJhN2JmNjEyZTM0NmRhZWZhNjIiLCJwIjoic2hlZXRzLWppcmEifQ","HWKREPORT-1951")</f>
        <v>HWKREPORT-1951</v>
      </c>
      <c r="C1578" s="1" t="s">
        <v>2820</v>
      </c>
      <c r="D1578" s="1" t="s">
        <v>83</v>
      </c>
      <c r="E1578" s="1" t="s">
        <v>35</v>
      </c>
      <c r="F1578" s="4">
        <v>45009.67836805555</v>
      </c>
      <c r="G1578" s="3" t="str">
        <f t="shared" ref="G1578:G1579" si="133">HYPERLINK("https://hawk-eye.atlassian.net/browse/?atlOrigin=eyJpIjoiYzgwYTQ0ZjEyNzQzNGJhN2JmNjEyZTM0NmRhZWZhNjIiLCJwIjoic2hlZXRzLWppcmEifQ","")</f>
        <v/>
      </c>
      <c r="H1578" s="1" t="s">
        <v>1058</v>
      </c>
      <c r="I1578" s="1" t="s">
        <v>1082</v>
      </c>
      <c r="J1578" s="1" t="s">
        <v>26</v>
      </c>
      <c r="K1578" s="1" t="s">
        <v>1700</v>
      </c>
      <c r="L1578" s="1" t="s">
        <v>26</v>
      </c>
      <c r="M1578" s="1" t="s">
        <v>27</v>
      </c>
      <c r="N1578" s="1" t="s">
        <v>26</v>
      </c>
      <c r="O1578" s="1" t="s">
        <v>26</v>
      </c>
      <c r="P1578" s="4">
        <v>45714.40467592593</v>
      </c>
    </row>
    <row r="1579" hidden="1">
      <c r="A1579" s="1" t="s">
        <v>21</v>
      </c>
      <c r="B1579" s="3" t="str">
        <f>HYPERLINK("https://hawk-eye.atlassian.net/browse/HWKREPORT-1952?atlOrigin=eyJpIjoiYzgwYTQ0ZjEyNzQzNGJhN2JmNjEyZTM0NmRhZWZhNjIiLCJwIjoic2hlZXRzLWppcmEifQ","HWKREPORT-1952")</f>
        <v>HWKREPORT-1952</v>
      </c>
      <c r="C1579" s="1" t="s">
        <v>2821</v>
      </c>
      <c r="D1579" s="1" t="s">
        <v>83</v>
      </c>
      <c r="E1579" s="1" t="s">
        <v>35</v>
      </c>
      <c r="F1579" s="4">
        <v>45009.68084490741</v>
      </c>
      <c r="G1579" s="3" t="str">
        <f t="shared" si="133"/>
        <v/>
      </c>
      <c r="H1579" s="1" t="s">
        <v>1058</v>
      </c>
      <c r="I1579" s="1" t="s">
        <v>1082</v>
      </c>
      <c r="J1579" s="1" t="s">
        <v>26</v>
      </c>
      <c r="K1579" s="1" t="s">
        <v>1700</v>
      </c>
      <c r="L1579" s="1" t="s">
        <v>26</v>
      </c>
      <c r="M1579" s="1" t="s">
        <v>27</v>
      </c>
      <c r="N1579" s="1" t="s">
        <v>26</v>
      </c>
      <c r="O1579" s="1" t="s">
        <v>26</v>
      </c>
      <c r="P1579" s="4">
        <v>45714.404756944445</v>
      </c>
    </row>
    <row r="1580" hidden="1">
      <c r="A1580" s="1" t="s">
        <v>21</v>
      </c>
      <c r="B1580" s="3" t="str">
        <f>HYPERLINK("https://hawk-eye.atlassian.net/browse/HWKREPORT-1953?atlOrigin=eyJpIjoiYzgwYTQ0ZjEyNzQzNGJhN2JmNjEyZTM0NmRhZWZhNjIiLCJwIjoic2hlZXRzLWppcmEifQ","HWKREPORT-1953")</f>
        <v>HWKREPORT-1953</v>
      </c>
      <c r="C1580" s="1" t="s">
        <v>2822</v>
      </c>
      <c r="D1580" s="1" t="s">
        <v>23</v>
      </c>
      <c r="E1580" s="1" t="s">
        <v>35</v>
      </c>
      <c r="F1580" s="4">
        <v>45012.52974537037</v>
      </c>
      <c r="G1580" s="3" t="str">
        <f>HYPERLINK("https://hawk-eye.atlassian.net/browse/AL-751?atlOrigin=eyJpIjoiYzgwYTQ0ZjEyNzQzNGJhN2JmNjEyZTM0NmRhZWZhNjIiLCJwIjoic2hlZXRzLWppcmEifQ","AL-751")</f>
        <v>AL-751</v>
      </c>
      <c r="H1580" s="1" t="s">
        <v>1058</v>
      </c>
      <c r="I1580" s="1" t="s">
        <v>1085</v>
      </c>
      <c r="J1580" s="1" t="s">
        <v>26</v>
      </c>
      <c r="K1580" s="1" t="s">
        <v>2823</v>
      </c>
      <c r="L1580" s="1" t="s">
        <v>26</v>
      </c>
      <c r="M1580" s="1" t="s">
        <v>27</v>
      </c>
      <c r="N1580" s="1" t="s">
        <v>26</v>
      </c>
      <c r="O1580" s="1" t="s">
        <v>26</v>
      </c>
      <c r="P1580" s="4">
        <v>45013.42087962963</v>
      </c>
    </row>
    <row r="1581" hidden="1">
      <c r="A1581" s="1" t="s">
        <v>21</v>
      </c>
      <c r="B1581" s="3" t="str">
        <f>HYPERLINK("https://hawk-eye.atlassian.net/browse/HWKREPORT-1954?atlOrigin=eyJpIjoiYzgwYTQ0ZjEyNzQzNGJhN2JmNjEyZTM0NmRhZWZhNjIiLCJwIjoic2hlZXRzLWppcmEifQ","HWKREPORT-1954")</f>
        <v>HWKREPORT-1954</v>
      </c>
      <c r="C1581" s="1" t="s">
        <v>2824</v>
      </c>
      <c r="D1581" s="1" t="s">
        <v>23</v>
      </c>
      <c r="E1581" s="1" t="s">
        <v>1057</v>
      </c>
      <c r="F1581" s="4">
        <v>45012.55335648148</v>
      </c>
      <c r="G1581" s="3" t="str">
        <f>HYPERLINK("https://hawk-eye.atlassian.net/browse/RTT-6078?atlOrigin=eyJpIjoiYzgwYTQ0ZjEyNzQzNGJhN2JmNjEyZTM0NmRhZWZhNjIiLCJwIjoic2hlZXRzLWppcmEifQ","RTT-6078")</f>
        <v>RTT-6078</v>
      </c>
      <c r="H1581" s="1" t="s">
        <v>1058</v>
      </c>
      <c r="I1581" s="1" t="s">
        <v>1085</v>
      </c>
      <c r="J1581" s="1" t="s">
        <v>26</v>
      </c>
      <c r="K1581" s="1" t="s">
        <v>1196</v>
      </c>
      <c r="L1581" s="1" t="s">
        <v>26</v>
      </c>
      <c r="M1581" s="1" t="s">
        <v>27</v>
      </c>
      <c r="N1581" s="1" t="s">
        <v>26</v>
      </c>
      <c r="O1581" s="1" t="s">
        <v>26</v>
      </c>
      <c r="P1581" s="4">
        <v>45021.340520833335</v>
      </c>
    </row>
    <row r="1582" hidden="1">
      <c r="A1582" s="1" t="s">
        <v>21</v>
      </c>
      <c r="B1582" s="3" t="str">
        <f>HYPERLINK("https://hawk-eye.atlassian.net/browse/HWKREPORT-1955?atlOrigin=eyJpIjoiYzgwYTQ0ZjEyNzQzNGJhN2JmNjEyZTM0NmRhZWZhNjIiLCJwIjoic2hlZXRzLWppcmEifQ","HWKREPORT-1955")</f>
        <v>HWKREPORT-1955</v>
      </c>
      <c r="C1582" s="1" t="s">
        <v>2825</v>
      </c>
      <c r="D1582" s="1" t="s">
        <v>83</v>
      </c>
      <c r="E1582" s="1" t="s">
        <v>1057</v>
      </c>
      <c r="F1582" s="4">
        <v>45012.738032407404</v>
      </c>
      <c r="G1582" s="3" t="str">
        <f t="shared" ref="G1582:G1583" si="134">HYPERLINK("https://hawk-eye.atlassian.net/browse/?atlOrigin=eyJpIjoiYzgwYTQ0ZjEyNzQzNGJhN2JmNjEyZTM0NmRhZWZhNjIiLCJwIjoic2hlZXRzLWppcmEifQ","")</f>
        <v/>
      </c>
      <c r="H1582" s="1" t="s">
        <v>1058</v>
      </c>
      <c r="I1582" s="1" t="s">
        <v>1082</v>
      </c>
      <c r="J1582" s="1" t="s">
        <v>26</v>
      </c>
      <c r="K1582" s="1" t="s">
        <v>1700</v>
      </c>
      <c r="L1582" s="1" t="s">
        <v>26</v>
      </c>
      <c r="M1582" s="1" t="s">
        <v>27</v>
      </c>
      <c r="N1582" s="1" t="s">
        <v>26</v>
      </c>
      <c r="O1582" s="1" t="s">
        <v>26</v>
      </c>
      <c r="P1582" s="4">
        <v>45012.73804398148</v>
      </c>
    </row>
    <row r="1583" hidden="1">
      <c r="A1583" s="1" t="s">
        <v>21</v>
      </c>
      <c r="B1583" s="3" t="str">
        <f>HYPERLINK("https://hawk-eye.atlassian.net/browse/HWKREPORT-1956?atlOrigin=eyJpIjoiYzgwYTQ0ZjEyNzQzNGJhN2JmNjEyZTM0NmRhZWZhNjIiLCJwIjoic2hlZXRzLWppcmEifQ","HWKREPORT-1956")</f>
        <v>HWKREPORT-1956</v>
      </c>
      <c r="C1583" s="1" t="s">
        <v>2826</v>
      </c>
      <c r="D1583" s="1" t="s">
        <v>83</v>
      </c>
      <c r="E1583" s="1" t="s">
        <v>1057</v>
      </c>
      <c r="F1583" s="4">
        <v>45012.75305555556</v>
      </c>
      <c r="G1583" s="3" t="str">
        <f t="shared" si="134"/>
        <v/>
      </c>
      <c r="H1583" s="1" t="s">
        <v>1058</v>
      </c>
      <c r="I1583" s="1" t="s">
        <v>1082</v>
      </c>
      <c r="J1583" s="1" t="s">
        <v>26</v>
      </c>
      <c r="K1583" s="1" t="s">
        <v>1700</v>
      </c>
      <c r="L1583" s="1" t="s">
        <v>26</v>
      </c>
      <c r="M1583" s="1" t="s">
        <v>27</v>
      </c>
      <c r="N1583" s="1" t="s">
        <v>26</v>
      </c>
      <c r="O1583" s="1" t="s">
        <v>26</v>
      </c>
      <c r="P1583" s="4">
        <v>45012.753067129626</v>
      </c>
    </row>
    <row r="1584" hidden="1">
      <c r="A1584" s="1" t="s">
        <v>21</v>
      </c>
      <c r="B1584" s="3" t="str">
        <f>HYPERLINK("https://hawk-eye.atlassian.net/browse/HWKREPORT-1957?atlOrigin=eyJpIjoiYzgwYTQ0ZjEyNzQzNGJhN2JmNjEyZTM0NmRhZWZhNjIiLCJwIjoic2hlZXRzLWppcmEifQ","HWKREPORT-1957")</f>
        <v>HWKREPORT-1957</v>
      </c>
      <c r="C1584" s="1" t="s">
        <v>2827</v>
      </c>
      <c r="D1584" s="1" t="s">
        <v>23</v>
      </c>
      <c r="E1584" s="1" t="s">
        <v>1207</v>
      </c>
      <c r="F1584" s="4">
        <v>45012.819814814815</v>
      </c>
      <c r="G1584" s="3" t="str">
        <f>HYPERLINK("https://hawk-eye.atlassian.net/browse/RTT-6082?atlOrigin=eyJpIjoiYzgwYTQ0ZjEyNzQzNGJhN2JmNjEyZTM0NmRhZWZhNjIiLCJwIjoic2hlZXRzLWppcmEifQ","RTT-6082")</f>
        <v>RTT-6082</v>
      </c>
      <c r="H1584" s="1" t="s">
        <v>1058</v>
      </c>
      <c r="I1584" s="1" t="s">
        <v>1085</v>
      </c>
      <c r="J1584" s="1" t="s">
        <v>26</v>
      </c>
      <c r="K1584" s="1" t="s">
        <v>1196</v>
      </c>
      <c r="L1584" s="1" t="s">
        <v>26</v>
      </c>
      <c r="M1584" s="1" t="s">
        <v>27</v>
      </c>
      <c r="N1584" s="1" t="s">
        <v>26</v>
      </c>
      <c r="O1584" s="1" t="s">
        <v>26</v>
      </c>
      <c r="P1584" s="4">
        <v>45033.39435185185</v>
      </c>
    </row>
    <row r="1585" hidden="1">
      <c r="A1585" s="1" t="s">
        <v>21</v>
      </c>
      <c r="B1585" s="3" t="str">
        <f>HYPERLINK("https://hawk-eye.atlassian.net/browse/HWKREPORT-1958?atlOrigin=eyJpIjoiYzgwYTQ0ZjEyNzQzNGJhN2JmNjEyZTM0NmRhZWZhNjIiLCJwIjoic2hlZXRzLWppcmEifQ","HWKREPORT-1958")</f>
        <v>HWKREPORT-1958</v>
      </c>
      <c r="C1585" s="1" t="s">
        <v>2828</v>
      </c>
      <c r="D1585" s="1" t="s">
        <v>23</v>
      </c>
      <c r="E1585" s="1" t="s">
        <v>35</v>
      </c>
      <c r="F1585" s="4">
        <v>45013.80289351852</v>
      </c>
      <c r="G1585" s="3" t="str">
        <f>HYPERLINK("https://hawk-eye.atlassian.net/browse/TDP-1637?atlOrigin=eyJpIjoiYzgwYTQ0ZjEyNzQzNGJhN2JmNjEyZTM0NmRhZWZhNjIiLCJwIjoic2hlZXRzLWppcmEifQ","TDP-1637")</f>
        <v>TDP-1637</v>
      </c>
      <c r="H1585" s="1" t="s">
        <v>1058</v>
      </c>
      <c r="I1585" s="1" t="s">
        <v>1126</v>
      </c>
      <c r="J1585" s="1" t="s">
        <v>26</v>
      </c>
      <c r="K1585" s="1" t="s">
        <v>1211</v>
      </c>
      <c r="L1585" s="1" t="s">
        <v>26</v>
      </c>
      <c r="M1585" s="1" t="s">
        <v>27</v>
      </c>
      <c r="N1585" s="1" t="s">
        <v>26</v>
      </c>
      <c r="O1585" s="1" t="s">
        <v>26</v>
      </c>
      <c r="P1585" s="4">
        <v>45252.72142361111</v>
      </c>
    </row>
    <row r="1586" hidden="1">
      <c r="A1586" s="1" t="s">
        <v>1055</v>
      </c>
      <c r="B1586" s="3" t="str">
        <f>HYPERLINK("https://hawk-eye.atlassian.net/browse/HWKREPORT-1959?atlOrigin=eyJpIjoiYzgwYTQ0ZjEyNzQzNGJhN2JmNjEyZTM0NmRhZWZhNjIiLCJwIjoic2hlZXRzLWppcmEifQ","HWKREPORT-1959")</f>
        <v>HWKREPORT-1959</v>
      </c>
      <c r="C1586" s="1" t="s">
        <v>2829</v>
      </c>
      <c r="D1586" s="1" t="s">
        <v>48</v>
      </c>
      <c r="E1586" s="1" t="s">
        <v>35</v>
      </c>
      <c r="F1586" s="4">
        <v>45014.43646990741</v>
      </c>
      <c r="G1586" s="3" t="str">
        <f>HYPERLINK("https://hawk-eye.atlassian.net/browse/TDP-1636?atlOrigin=eyJpIjoiYzgwYTQ0ZjEyNzQzNGJhN2JmNjEyZTM0NmRhZWZhNjIiLCJwIjoic2hlZXRzLWppcmEifQ","TDP-1636")</f>
        <v>TDP-1636</v>
      </c>
      <c r="H1586" s="1" t="s">
        <v>1058</v>
      </c>
      <c r="I1586" s="1" t="s">
        <v>1126</v>
      </c>
      <c r="J1586" s="1" t="s">
        <v>26</v>
      </c>
      <c r="K1586" s="1" t="s">
        <v>1211</v>
      </c>
      <c r="L1586" s="1" t="s">
        <v>26</v>
      </c>
      <c r="M1586" s="1" t="s">
        <v>27</v>
      </c>
      <c r="N1586" s="1" t="s">
        <v>26</v>
      </c>
      <c r="O1586" s="1" t="s">
        <v>26</v>
      </c>
      <c r="P1586" s="4">
        <v>45218.440625</v>
      </c>
    </row>
    <row r="1587" hidden="1">
      <c r="A1587" s="1" t="s">
        <v>21</v>
      </c>
      <c r="B1587" s="3" t="str">
        <f>HYPERLINK("https://hawk-eye.atlassian.net/browse/HWKREPORT-1960?atlOrigin=eyJpIjoiYzgwYTQ0ZjEyNzQzNGJhN2JmNjEyZTM0NmRhZWZhNjIiLCJwIjoic2hlZXRzLWppcmEifQ","HWKREPORT-1960")</f>
        <v>HWKREPORT-1960</v>
      </c>
      <c r="C1587" s="1" t="s">
        <v>2830</v>
      </c>
      <c r="D1587" s="1" t="s">
        <v>23</v>
      </c>
      <c r="E1587" s="1" t="s">
        <v>35</v>
      </c>
      <c r="F1587" s="4">
        <v>45014.69626157408</v>
      </c>
      <c r="G1587" s="3" t="str">
        <f>HYPERLINK("https://hawk-eye.atlassian.net/browse/TDP-1632?atlOrigin=eyJpIjoiYzgwYTQ0ZjEyNzQzNGJhN2JmNjEyZTM0NmRhZWZhNjIiLCJwIjoic2hlZXRzLWppcmEifQ","TDP-1632")</f>
        <v>TDP-1632</v>
      </c>
      <c r="H1587" s="1" t="s">
        <v>1058</v>
      </c>
      <c r="I1587" s="1" t="s">
        <v>1126</v>
      </c>
      <c r="J1587" s="1" t="s">
        <v>26</v>
      </c>
      <c r="K1587" s="1" t="s">
        <v>1211</v>
      </c>
      <c r="L1587" s="1" t="s">
        <v>26</v>
      </c>
      <c r="M1587" s="1" t="s">
        <v>27</v>
      </c>
      <c r="N1587" s="1" t="s">
        <v>26</v>
      </c>
      <c r="O1587" s="1" t="s">
        <v>26</v>
      </c>
      <c r="P1587" s="4">
        <v>45041.91680555556</v>
      </c>
    </row>
    <row r="1588" hidden="1">
      <c r="A1588" s="1" t="s">
        <v>21</v>
      </c>
      <c r="B1588" s="3" t="str">
        <f>HYPERLINK("https://hawk-eye.atlassian.net/browse/HWKREPORT-1961?atlOrigin=eyJpIjoiYzgwYTQ0ZjEyNzQzNGJhN2JmNjEyZTM0NmRhZWZhNjIiLCJwIjoic2hlZXRzLWppcmEifQ","HWKREPORT-1961")</f>
        <v>HWKREPORT-1961</v>
      </c>
      <c r="C1588" s="1" t="s">
        <v>2831</v>
      </c>
      <c r="D1588" s="1" t="s">
        <v>23</v>
      </c>
      <c r="E1588" s="1" t="s">
        <v>35</v>
      </c>
      <c r="F1588" s="4">
        <v>45014.82693287037</v>
      </c>
      <c r="G1588" s="3" t="str">
        <f>HYPERLINK("https://hawk-eye.atlassian.net/browse/TDP-1635?atlOrigin=eyJpIjoiYzgwYTQ0ZjEyNzQzNGJhN2JmNjEyZTM0NmRhZWZhNjIiLCJwIjoic2hlZXRzLWppcmEifQ","TDP-1635")</f>
        <v>TDP-1635</v>
      </c>
      <c r="H1588" s="1" t="s">
        <v>1058</v>
      </c>
      <c r="I1588" s="1" t="s">
        <v>1126</v>
      </c>
      <c r="J1588" s="1" t="s">
        <v>26</v>
      </c>
      <c r="K1588" s="1" t="s">
        <v>1211</v>
      </c>
      <c r="L1588" s="1" t="s">
        <v>26</v>
      </c>
      <c r="M1588" s="1" t="s">
        <v>27</v>
      </c>
      <c r="N1588" s="1" t="s">
        <v>26</v>
      </c>
      <c r="O1588" s="1" t="s">
        <v>26</v>
      </c>
      <c r="P1588" s="4">
        <v>45056.649050925924</v>
      </c>
    </row>
    <row r="1589" hidden="1">
      <c r="A1589" s="1" t="s">
        <v>1055</v>
      </c>
      <c r="B1589" s="3" t="str">
        <f>HYPERLINK("https://hawk-eye.atlassian.net/browse/HWKREPORT-1962?atlOrigin=eyJpIjoiYzgwYTQ0ZjEyNzQzNGJhN2JmNjEyZTM0NmRhZWZhNjIiLCJwIjoic2hlZXRzLWppcmEifQ","HWKREPORT-1962")</f>
        <v>HWKREPORT-1962</v>
      </c>
      <c r="C1589" s="1" t="s">
        <v>2832</v>
      </c>
      <c r="D1589" s="1" t="s">
        <v>48</v>
      </c>
      <c r="E1589" s="1" t="s">
        <v>35</v>
      </c>
      <c r="F1589" s="4">
        <v>45015.66364583333</v>
      </c>
      <c r="G1589" s="3" t="str">
        <f>HYPERLINK("https://hawk-eye.atlassian.net/browse/RTT-6103?atlOrigin=eyJpIjoiYzgwYTQ0ZjEyNzQzNGJhN2JmNjEyZTM0NmRhZWZhNjIiLCJwIjoic2hlZXRzLWppcmEifQ","RTT-6103")</f>
        <v>RTT-6103</v>
      </c>
      <c r="H1589" s="1" t="s">
        <v>1058</v>
      </c>
      <c r="I1589" s="1" t="s">
        <v>28</v>
      </c>
      <c r="J1589" s="1" t="s">
        <v>26</v>
      </c>
      <c r="K1589" s="1" t="s">
        <v>1072</v>
      </c>
      <c r="L1589" s="1" t="s">
        <v>26</v>
      </c>
      <c r="M1589" s="1" t="s">
        <v>27</v>
      </c>
      <c r="N1589" s="1" t="s">
        <v>26</v>
      </c>
      <c r="O1589" s="1" t="s">
        <v>26</v>
      </c>
      <c r="P1589" s="4">
        <v>45524.730578703704</v>
      </c>
    </row>
    <row r="1590">
      <c r="A1590" s="1" t="s">
        <v>21</v>
      </c>
      <c r="B1590" s="3" t="str">
        <f>HYPERLINK("https://hawk-eye.atlassian.net/browse/HWKREPORT-1963?atlOrigin=eyJpIjoiYzgwYTQ0ZjEyNzQzNGJhN2JmNjEyZTM0NmRhZWZhNjIiLCJwIjoic2hlZXRzLWppcmEifQ","HWKREPORT-1963")</f>
        <v>HWKREPORT-1963</v>
      </c>
      <c r="C1590" s="1" t="s">
        <v>2833</v>
      </c>
      <c r="D1590" s="1" t="s">
        <v>40</v>
      </c>
      <c r="E1590" s="1" t="s">
        <v>35</v>
      </c>
      <c r="F1590" s="4">
        <v>45015.7655787037</v>
      </c>
      <c r="G1590" s="3" t="str">
        <f>HYPERLINK("https://hawk-eye.atlassian.net/browse/RTT-6102?atlOrigin=eyJpIjoiYzgwYTQ0ZjEyNzQzNGJhN2JmNjEyZTM0NmRhZWZhNjIiLCJwIjoic2hlZXRzLWppcmEifQ","RTT-6102")</f>
        <v>RTT-6102</v>
      </c>
      <c r="H1590" s="1" t="s">
        <v>1058</v>
      </c>
      <c r="I1590" s="1" t="s">
        <v>28</v>
      </c>
      <c r="J1590" s="1" t="s">
        <v>26</v>
      </c>
      <c r="K1590" s="1" t="s">
        <v>1072</v>
      </c>
      <c r="L1590" s="1" t="s">
        <v>26</v>
      </c>
      <c r="M1590" s="1" t="s">
        <v>27</v>
      </c>
      <c r="N1590" s="1" t="s">
        <v>26</v>
      </c>
      <c r="O1590" s="1" t="s">
        <v>26</v>
      </c>
      <c r="P1590" s="4">
        <v>45027.50274305556</v>
      </c>
    </row>
    <row r="1591" hidden="1">
      <c r="A1591" s="1" t="s">
        <v>21</v>
      </c>
      <c r="B1591" s="3" t="str">
        <f>HYPERLINK("https://hawk-eye.atlassian.net/browse/HWKREPORT-1964?atlOrigin=eyJpIjoiYzgwYTQ0ZjEyNzQzNGJhN2JmNjEyZTM0NmRhZWZhNjIiLCJwIjoic2hlZXRzLWppcmEifQ","HWKREPORT-1964")</f>
        <v>HWKREPORT-1964</v>
      </c>
      <c r="C1591" s="1" t="s">
        <v>2834</v>
      </c>
      <c r="D1591" s="1" t="s">
        <v>23</v>
      </c>
      <c r="E1591" s="1" t="s">
        <v>35</v>
      </c>
      <c r="F1591" s="4">
        <v>45015.86274305556</v>
      </c>
      <c r="G1591" s="3" t="str">
        <f t="shared" ref="G1591:G1593" si="135">HYPERLINK("https://hawk-eye.atlassian.net/browse/?atlOrigin=eyJpIjoiYzgwYTQ0ZjEyNzQzNGJhN2JmNjEyZTM0NmRhZWZhNjIiLCJwIjoic2hlZXRzLWppcmEifQ","")</f>
        <v/>
      </c>
      <c r="H1591" s="1" t="s">
        <v>1058</v>
      </c>
      <c r="I1591" s="1" t="s">
        <v>1126</v>
      </c>
      <c r="J1591" s="1" t="s">
        <v>26</v>
      </c>
      <c r="K1591" s="1" t="s">
        <v>1211</v>
      </c>
      <c r="L1591" s="1" t="s">
        <v>26</v>
      </c>
      <c r="M1591" s="1" t="s">
        <v>27</v>
      </c>
      <c r="N1591" s="1" t="s">
        <v>26</v>
      </c>
      <c r="O1591" s="1" t="s">
        <v>26</v>
      </c>
      <c r="P1591" s="4">
        <v>45614.46121527778</v>
      </c>
    </row>
    <row r="1592" hidden="1">
      <c r="A1592" s="1" t="s">
        <v>21</v>
      </c>
      <c r="B1592" s="3" t="str">
        <f>HYPERLINK("https://hawk-eye.atlassian.net/browse/HWKREPORT-1965?atlOrigin=eyJpIjoiYzgwYTQ0ZjEyNzQzNGJhN2JmNjEyZTM0NmRhZWZhNjIiLCJwIjoic2hlZXRzLWppcmEifQ","HWKREPORT-1965")</f>
        <v>HWKREPORT-1965</v>
      </c>
      <c r="C1592" s="1" t="s">
        <v>2835</v>
      </c>
      <c r="D1592" s="1" t="s">
        <v>34</v>
      </c>
      <c r="E1592" s="1" t="s">
        <v>1057</v>
      </c>
      <c r="F1592" s="4">
        <v>45016.80511574074</v>
      </c>
      <c r="G1592" s="3" t="str">
        <f t="shared" si="135"/>
        <v/>
      </c>
      <c r="H1592" s="1" t="s">
        <v>1058</v>
      </c>
      <c r="I1592" s="1" t="s">
        <v>1071</v>
      </c>
      <c r="J1592" s="1" t="s">
        <v>26</v>
      </c>
      <c r="K1592" s="1" t="s">
        <v>1143</v>
      </c>
      <c r="L1592" s="1" t="s">
        <v>26</v>
      </c>
      <c r="M1592" s="1" t="s">
        <v>27</v>
      </c>
      <c r="N1592" s="1" t="s">
        <v>26</v>
      </c>
      <c r="O1592" s="1" t="s">
        <v>26</v>
      </c>
      <c r="P1592" s="4">
        <v>45016.805127314816</v>
      </c>
    </row>
    <row r="1593" hidden="1">
      <c r="A1593" s="1" t="s">
        <v>21</v>
      </c>
      <c r="B1593" s="3" t="str">
        <f>HYPERLINK("https://hawk-eye.atlassian.net/browse/HWKREPORT-1966?atlOrigin=eyJpIjoiYzgwYTQ0ZjEyNzQzNGJhN2JmNjEyZTM0NmRhZWZhNjIiLCJwIjoic2hlZXRzLWppcmEifQ","HWKREPORT-1966")</f>
        <v>HWKREPORT-1966</v>
      </c>
      <c r="C1593" s="1" t="s">
        <v>2836</v>
      </c>
      <c r="D1593" s="1" t="s">
        <v>23</v>
      </c>
      <c r="E1593" s="1" t="s">
        <v>1057</v>
      </c>
      <c r="F1593" s="4">
        <v>45017.7869212963</v>
      </c>
      <c r="G1593" s="3" t="str">
        <f t="shared" si="135"/>
        <v/>
      </c>
      <c r="H1593" s="1" t="s">
        <v>1058</v>
      </c>
      <c r="I1593" s="1" t="s">
        <v>1071</v>
      </c>
      <c r="J1593" s="1" t="s">
        <v>26</v>
      </c>
      <c r="K1593" s="1" t="s">
        <v>1762</v>
      </c>
      <c r="L1593" s="1" t="s">
        <v>26</v>
      </c>
      <c r="M1593" s="1" t="s">
        <v>27</v>
      </c>
      <c r="N1593" s="1" t="s">
        <v>26</v>
      </c>
      <c r="O1593" s="1" t="s">
        <v>26</v>
      </c>
      <c r="P1593" s="4">
        <v>45017.7869212963</v>
      </c>
    </row>
    <row r="1594" hidden="1">
      <c r="A1594" s="1" t="s">
        <v>21</v>
      </c>
      <c r="B1594" s="3" t="str">
        <f>HYPERLINK("https://hawk-eye.atlassian.net/browse/HWKREPORT-1967?atlOrigin=eyJpIjoiYzgwYTQ0ZjEyNzQzNGJhN2JmNjEyZTM0NmRhZWZhNjIiLCJwIjoic2hlZXRzLWppcmEifQ","HWKREPORT-1967")</f>
        <v>HWKREPORT-1967</v>
      </c>
      <c r="C1594" s="1" t="s">
        <v>2837</v>
      </c>
      <c r="D1594" s="1" t="s">
        <v>23</v>
      </c>
      <c r="E1594" s="1" t="s">
        <v>1207</v>
      </c>
      <c r="F1594" s="4">
        <v>45017.85563657407</v>
      </c>
      <c r="G1594" s="3" t="str">
        <f>HYPERLINK("https://hawk-eye.atlassian.net/browse/AL-761?atlOrigin=eyJpIjoiYzgwYTQ0ZjEyNzQzNGJhN2JmNjEyZTM0NmRhZWZhNjIiLCJwIjoic2hlZXRzLWppcmEifQ","AL-761")</f>
        <v>AL-761</v>
      </c>
      <c r="H1594" s="1" t="s">
        <v>1058</v>
      </c>
      <c r="I1594" s="1" t="s">
        <v>1071</v>
      </c>
      <c r="J1594" s="1" t="s">
        <v>26</v>
      </c>
      <c r="K1594" s="1" t="s">
        <v>1143</v>
      </c>
      <c r="L1594" s="1" t="s">
        <v>26</v>
      </c>
      <c r="M1594" s="1" t="s">
        <v>27</v>
      </c>
      <c r="N1594" s="1" t="s">
        <v>26</v>
      </c>
      <c r="O1594" s="1" t="s">
        <v>26</v>
      </c>
      <c r="P1594" s="4">
        <v>45040.46726851852</v>
      </c>
    </row>
    <row r="1595" hidden="1">
      <c r="A1595" s="1" t="s">
        <v>21</v>
      </c>
      <c r="B1595" s="3" t="str">
        <f>HYPERLINK("https://hawk-eye.atlassian.net/browse/HWKREPORT-1968?atlOrigin=eyJpIjoiYzgwYTQ0ZjEyNzQzNGJhN2JmNjEyZTM0NmRhZWZhNjIiLCJwIjoic2hlZXRzLWppcmEifQ","HWKREPORT-1968")</f>
        <v>HWKREPORT-1968</v>
      </c>
      <c r="C1595" s="1" t="s">
        <v>2838</v>
      </c>
      <c r="D1595" s="1" t="s">
        <v>23</v>
      </c>
      <c r="E1595" s="1" t="s">
        <v>35</v>
      </c>
      <c r="F1595" s="4">
        <v>45017.87559027778</v>
      </c>
      <c r="G1595" s="3" t="str">
        <f>HYPERLINK("https://hawk-eye.atlassian.net/browse/RTT-6108?atlOrigin=eyJpIjoiYzgwYTQ0ZjEyNzQzNGJhN2JmNjEyZTM0NmRhZWZhNjIiLCJwIjoic2hlZXRzLWppcmEifQ","RTT-6108")</f>
        <v>RTT-6108</v>
      </c>
      <c r="H1595" s="1" t="s">
        <v>1058</v>
      </c>
      <c r="I1595" s="1" t="s">
        <v>1059</v>
      </c>
      <c r="J1595" s="1" t="s">
        <v>26</v>
      </c>
      <c r="K1595" s="1" t="s">
        <v>1072</v>
      </c>
      <c r="L1595" s="1" t="s">
        <v>26</v>
      </c>
      <c r="M1595" s="1" t="s">
        <v>27</v>
      </c>
      <c r="N1595" s="1" t="s">
        <v>26</v>
      </c>
      <c r="O1595" s="1" t="s">
        <v>26</v>
      </c>
      <c r="P1595" s="4">
        <v>45190.70469907407</v>
      </c>
    </row>
    <row r="1596" hidden="1">
      <c r="A1596" s="1" t="s">
        <v>21</v>
      </c>
      <c r="B1596" s="3" t="str">
        <f>HYPERLINK("https://hawk-eye.atlassian.net/browse/HWKREPORT-1969?atlOrigin=eyJpIjoiYzgwYTQ0ZjEyNzQzNGJhN2JmNjEyZTM0NmRhZWZhNjIiLCJwIjoic2hlZXRzLWppcmEifQ","HWKREPORT-1969")</f>
        <v>HWKREPORT-1969</v>
      </c>
      <c r="C1596" s="1" t="s">
        <v>2839</v>
      </c>
      <c r="D1596" s="1" t="s">
        <v>23</v>
      </c>
      <c r="E1596" s="1" t="s">
        <v>1057</v>
      </c>
      <c r="F1596" s="4">
        <v>45017.8765162037</v>
      </c>
      <c r="G1596" s="3" t="str">
        <f t="shared" ref="G1596:G1597" si="136">HYPERLINK("https://hawk-eye.atlassian.net/browse/?atlOrigin=eyJpIjoiYzgwYTQ0ZjEyNzQzNGJhN2JmNjEyZTM0NmRhZWZhNjIiLCJwIjoic2hlZXRzLWppcmEifQ","")</f>
        <v/>
      </c>
      <c r="H1596" s="1" t="s">
        <v>1058</v>
      </c>
      <c r="I1596" s="1" t="s">
        <v>1071</v>
      </c>
      <c r="J1596" s="1" t="s">
        <v>26</v>
      </c>
      <c r="K1596" s="1" t="s">
        <v>1813</v>
      </c>
      <c r="L1596" s="1" t="s">
        <v>26</v>
      </c>
      <c r="M1596" s="1" t="s">
        <v>27</v>
      </c>
      <c r="N1596" s="1" t="s">
        <v>26</v>
      </c>
      <c r="O1596" s="1" t="s">
        <v>26</v>
      </c>
      <c r="P1596" s="4">
        <v>45017.87652777778</v>
      </c>
    </row>
    <row r="1597" hidden="1">
      <c r="A1597" s="1" t="s">
        <v>21</v>
      </c>
      <c r="B1597" s="3" t="str">
        <f>HYPERLINK("https://hawk-eye.atlassian.net/browse/HWKREPORT-1970?atlOrigin=eyJpIjoiYzgwYTQ0ZjEyNzQzNGJhN2JmNjEyZTM0NmRhZWZhNjIiLCJwIjoic2hlZXRzLWppcmEifQ","HWKREPORT-1970")</f>
        <v>HWKREPORT-1970</v>
      </c>
      <c r="C1597" s="1" t="s">
        <v>2840</v>
      </c>
      <c r="D1597" s="1" t="s">
        <v>40</v>
      </c>
      <c r="E1597" s="1" t="s">
        <v>1057</v>
      </c>
      <c r="F1597" s="4">
        <v>45019.45988425926</v>
      </c>
      <c r="G1597" s="3" t="str">
        <f t="shared" si="136"/>
        <v/>
      </c>
      <c r="H1597" s="1" t="s">
        <v>1058</v>
      </c>
      <c r="I1597" s="1" t="s">
        <v>1071</v>
      </c>
      <c r="J1597" s="1" t="s">
        <v>26</v>
      </c>
      <c r="K1597" s="1" t="s">
        <v>2841</v>
      </c>
      <c r="L1597" s="1" t="s">
        <v>26</v>
      </c>
      <c r="M1597" s="1" t="s">
        <v>27</v>
      </c>
      <c r="N1597" s="1" t="s">
        <v>26</v>
      </c>
      <c r="O1597" s="1" t="s">
        <v>26</v>
      </c>
      <c r="P1597" s="4">
        <v>45019.45989583333</v>
      </c>
    </row>
    <row r="1598" hidden="1">
      <c r="A1598" s="1" t="s">
        <v>21</v>
      </c>
      <c r="B1598" s="3" t="str">
        <f>HYPERLINK("https://hawk-eye.atlassian.net/browse/HWKREPORT-1971?atlOrigin=eyJpIjoiYzgwYTQ0ZjEyNzQzNGJhN2JmNjEyZTM0NmRhZWZhNjIiLCJwIjoic2hlZXRzLWppcmEifQ","HWKREPORT-1971")</f>
        <v>HWKREPORT-1971</v>
      </c>
      <c r="C1598" s="1" t="s">
        <v>2842</v>
      </c>
      <c r="D1598" s="1" t="s">
        <v>23</v>
      </c>
      <c r="E1598" s="1" t="s">
        <v>35</v>
      </c>
      <c r="F1598" s="4">
        <v>45019.648888888885</v>
      </c>
      <c r="G1598" s="3" t="str">
        <f>HYPERLINK("https://hawk-eye.atlassian.net/browse/RTT-6136?atlOrigin=eyJpIjoiYzgwYTQ0ZjEyNzQzNGJhN2JmNjEyZTM0NmRhZWZhNjIiLCJwIjoic2hlZXRzLWppcmEifQ","RTT-6136")</f>
        <v>RTT-6136</v>
      </c>
      <c r="H1598" s="1" t="s">
        <v>1058</v>
      </c>
      <c r="I1598" s="1" t="s">
        <v>1085</v>
      </c>
      <c r="J1598" s="1" t="s">
        <v>26</v>
      </c>
      <c r="K1598" s="1" t="s">
        <v>1372</v>
      </c>
      <c r="L1598" s="1" t="s">
        <v>26</v>
      </c>
      <c r="M1598" s="1" t="s">
        <v>27</v>
      </c>
      <c r="N1598" s="1" t="s">
        <v>26</v>
      </c>
      <c r="O1598" s="1" t="s">
        <v>26</v>
      </c>
      <c r="P1598" s="4">
        <v>45341.55861111111</v>
      </c>
    </row>
    <row r="1599" hidden="1">
      <c r="A1599" s="1" t="s">
        <v>21</v>
      </c>
      <c r="B1599" s="3" t="str">
        <f>HYPERLINK("https://hawk-eye.atlassian.net/browse/HWKREPORT-1972?atlOrigin=eyJpIjoiYzgwYTQ0ZjEyNzQzNGJhN2JmNjEyZTM0NmRhZWZhNjIiLCJwIjoic2hlZXRzLWppcmEifQ","HWKREPORT-1972")</f>
        <v>HWKREPORT-1972</v>
      </c>
      <c r="C1599" s="1" t="s">
        <v>2843</v>
      </c>
      <c r="D1599" s="1" t="s">
        <v>23</v>
      </c>
      <c r="E1599" s="1" t="s">
        <v>1207</v>
      </c>
      <c r="F1599" s="4">
        <v>45019.65335648148</v>
      </c>
      <c r="G1599" s="3" t="str">
        <f>HYPERLINK("https://hawk-eye.atlassian.net/browse/RTT-6129?atlOrigin=eyJpIjoiYzgwYTQ0ZjEyNzQzNGJhN2JmNjEyZTM0NmRhZWZhNjIiLCJwIjoic2hlZXRzLWppcmEifQ","RTT-6129")</f>
        <v>RTT-6129</v>
      </c>
      <c r="H1599" s="1" t="s">
        <v>1058</v>
      </c>
      <c r="I1599" s="1" t="s">
        <v>1085</v>
      </c>
      <c r="J1599" s="1" t="s">
        <v>26</v>
      </c>
      <c r="K1599" s="1" t="s">
        <v>2844</v>
      </c>
      <c r="L1599" s="1" t="s">
        <v>26</v>
      </c>
      <c r="M1599" s="1" t="s">
        <v>27</v>
      </c>
      <c r="N1599" s="1" t="s">
        <v>26</v>
      </c>
      <c r="O1599" s="1" t="s">
        <v>26</v>
      </c>
      <c r="P1599" s="4">
        <v>45533.44553240741</v>
      </c>
    </row>
    <row r="1600" hidden="1">
      <c r="A1600" s="1" t="s">
        <v>21</v>
      </c>
      <c r="B1600" s="3" t="str">
        <f>HYPERLINK("https://hawk-eye.atlassian.net/browse/HWKREPORT-1973?atlOrigin=eyJpIjoiYzgwYTQ0ZjEyNzQzNGJhN2JmNjEyZTM0NmRhZWZhNjIiLCJwIjoic2hlZXRzLWppcmEifQ","HWKREPORT-1973")</f>
        <v>HWKREPORT-1973</v>
      </c>
      <c r="C1600" s="1" t="s">
        <v>2845</v>
      </c>
      <c r="D1600" s="1" t="s">
        <v>23</v>
      </c>
      <c r="E1600" s="1" t="s">
        <v>1207</v>
      </c>
      <c r="F1600" s="4">
        <v>45019.751608796294</v>
      </c>
      <c r="G1600" s="3" t="str">
        <f>HYPERLINK("https://hawk-eye.atlassian.net/browse/RTT-6114?atlOrigin=eyJpIjoiYzgwYTQ0ZjEyNzQzNGJhN2JmNjEyZTM0NmRhZWZhNjIiLCJwIjoic2hlZXRzLWppcmEifQ","RTT-6114")</f>
        <v>RTT-6114</v>
      </c>
      <c r="H1600" s="1" t="s">
        <v>1058</v>
      </c>
      <c r="I1600" s="1" t="s">
        <v>1071</v>
      </c>
      <c r="J1600" s="1" t="s">
        <v>26</v>
      </c>
      <c r="K1600" s="1" t="s">
        <v>1072</v>
      </c>
      <c r="L1600" s="1" t="s">
        <v>26</v>
      </c>
      <c r="M1600" s="1" t="s">
        <v>27</v>
      </c>
      <c r="N1600" s="1" t="s">
        <v>26</v>
      </c>
      <c r="O1600" s="1" t="s">
        <v>26</v>
      </c>
      <c r="P1600" s="4">
        <v>45028.63810185185</v>
      </c>
    </row>
    <row r="1601" hidden="1">
      <c r="A1601" s="1" t="s">
        <v>21</v>
      </c>
      <c r="B1601" s="3" t="str">
        <f>HYPERLINK("https://hawk-eye.atlassian.net/browse/HWKREPORT-1974?atlOrigin=eyJpIjoiYzgwYTQ0ZjEyNzQzNGJhN2JmNjEyZTM0NmRhZWZhNjIiLCJwIjoic2hlZXRzLWppcmEifQ","HWKREPORT-1974")</f>
        <v>HWKREPORT-1974</v>
      </c>
      <c r="C1601" s="1" t="s">
        <v>2846</v>
      </c>
      <c r="D1601" s="1" t="s">
        <v>34</v>
      </c>
      <c r="E1601" s="1" t="s">
        <v>35</v>
      </c>
      <c r="F1601" s="4">
        <v>45019.75634259259</v>
      </c>
      <c r="G1601" s="3" t="str">
        <f>HYPERLINK("https://hawk-eye.atlassian.net/browse/?atlOrigin=eyJpIjoiYzgwYTQ0ZjEyNzQzNGJhN2JmNjEyZTM0NmRhZWZhNjIiLCJwIjoic2hlZXRzLWppcmEifQ","")</f>
        <v/>
      </c>
      <c r="H1601" s="1" t="s">
        <v>1058</v>
      </c>
      <c r="I1601" s="1" t="s">
        <v>1071</v>
      </c>
      <c r="J1601" s="1" t="s">
        <v>26</v>
      </c>
      <c r="K1601" s="1" t="s">
        <v>1116</v>
      </c>
      <c r="L1601" s="1" t="s">
        <v>26</v>
      </c>
      <c r="M1601" s="1" t="s">
        <v>27</v>
      </c>
      <c r="N1601" s="1" t="s">
        <v>26</v>
      </c>
      <c r="O1601" s="1" t="s">
        <v>26</v>
      </c>
      <c r="P1601" s="4">
        <v>45181.39564814815</v>
      </c>
    </row>
    <row r="1602" hidden="1">
      <c r="A1602" s="1" t="s">
        <v>21</v>
      </c>
      <c r="B1602" s="3" t="str">
        <f>HYPERLINK("https://hawk-eye.atlassian.net/browse/HWKREPORT-1774?atlOrigin=eyJpIjoiYzgwYTQ0ZjEyNzQzNGJhN2JmNjEyZTM0NmRhZWZhNjIiLCJwIjoic2hlZXRzLWppcmEifQ","HWKREPORT-1774")</f>
        <v>HWKREPORT-1774</v>
      </c>
      <c r="C1602" s="1" t="s">
        <v>2847</v>
      </c>
      <c r="D1602" s="1" t="s">
        <v>23</v>
      </c>
      <c r="E1602" s="1" t="s">
        <v>35</v>
      </c>
      <c r="F1602" s="4">
        <v>44936.73259259259</v>
      </c>
      <c r="G1602" s="3" t="str">
        <f>HYPERLINK("https://hawk-eye.atlassian.net/browse/HWKREPORT-1773?atlOrigin=eyJpIjoiYzgwYTQ0ZjEyNzQzNGJhN2JmNjEyZTM0NmRhZWZhNjIiLCJwIjoic2hlZXRzLWppcmEifQ","HWKREPORT-1773")</f>
        <v>HWKREPORT-1773</v>
      </c>
      <c r="H1602" s="1" t="s">
        <v>1058</v>
      </c>
      <c r="I1602" s="1" t="s">
        <v>1085</v>
      </c>
      <c r="J1602" s="1" t="s">
        <v>26</v>
      </c>
      <c r="K1602" s="1" t="s">
        <v>1157</v>
      </c>
      <c r="L1602" s="1" t="s">
        <v>26</v>
      </c>
      <c r="M1602" s="1" t="s">
        <v>27</v>
      </c>
      <c r="N1602" s="1" t="s">
        <v>26</v>
      </c>
      <c r="O1602" s="1" t="s">
        <v>26</v>
      </c>
      <c r="P1602" s="4">
        <v>45770.48153935185</v>
      </c>
    </row>
    <row r="1603" hidden="1">
      <c r="A1603" s="1" t="s">
        <v>1055</v>
      </c>
      <c r="B1603" s="3" t="str">
        <f>HYPERLINK("https://hawk-eye.atlassian.net/browse/HWKREPORT-1775?atlOrigin=eyJpIjoiYzgwYTQ0ZjEyNzQzNGJhN2JmNjEyZTM0NmRhZWZhNjIiLCJwIjoic2hlZXRzLWppcmEifQ","HWKREPORT-1775")</f>
        <v>HWKREPORT-1775</v>
      </c>
      <c r="C1603" s="1" t="s">
        <v>2848</v>
      </c>
      <c r="D1603" s="1" t="s">
        <v>48</v>
      </c>
      <c r="E1603" s="1" t="s">
        <v>35</v>
      </c>
      <c r="F1603" s="4">
        <v>44936.73810185185</v>
      </c>
      <c r="G1603" s="3" t="str">
        <f>HYPERLINK("https://hawk-eye.atlassian.net/browse/RTT-5741?atlOrigin=eyJpIjoiYzgwYTQ0ZjEyNzQzNGJhN2JmNjEyZTM0NmRhZWZhNjIiLCJwIjoic2hlZXRzLWppcmEifQ","RTT-5741")</f>
        <v>RTT-5741</v>
      </c>
      <c r="H1603" s="1" t="s">
        <v>1058</v>
      </c>
      <c r="I1603" s="1" t="s">
        <v>28</v>
      </c>
      <c r="J1603" s="1" t="s">
        <v>26</v>
      </c>
      <c r="K1603" s="1" t="s">
        <v>1072</v>
      </c>
      <c r="L1603" s="1" t="s">
        <v>26</v>
      </c>
      <c r="M1603" s="1" t="s">
        <v>27</v>
      </c>
      <c r="N1603" s="1" t="s">
        <v>26</v>
      </c>
      <c r="O1603" s="1" t="s">
        <v>26</v>
      </c>
      <c r="P1603" s="4">
        <v>45028.599224537036</v>
      </c>
    </row>
    <row r="1604" hidden="1">
      <c r="A1604" s="1" t="s">
        <v>21</v>
      </c>
      <c r="B1604" s="3" t="str">
        <f>HYPERLINK("https://hawk-eye.atlassian.net/browse/HWKREPORT-1776?atlOrigin=eyJpIjoiYzgwYTQ0ZjEyNzQzNGJhN2JmNjEyZTM0NmRhZWZhNjIiLCJwIjoic2hlZXRzLWppcmEifQ","HWKREPORT-1776")</f>
        <v>HWKREPORT-1776</v>
      </c>
      <c r="C1604" s="1" t="s">
        <v>2849</v>
      </c>
      <c r="D1604" s="1" t="s">
        <v>23</v>
      </c>
      <c r="E1604" s="1" t="s">
        <v>35</v>
      </c>
      <c r="F1604" s="4">
        <v>44936.74287037037</v>
      </c>
      <c r="G1604" s="3" t="str">
        <f>HYPERLINK("https://hawk-eye.atlassian.net/issues/?atlOrigin=eyJpIjoiYzgwYTQ0ZjEyNzQzNGJhN2JmNjEyZTM0NmRhZWZhNjIiLCJwIjoic2hlZXRzLWppcmEifQ&amp;jql=key+in+%28HWKREPORT-1773%2CHWKREPORT-1778%29","HWKREPORT-1773;HWKREPORT-1778")</f>
        <v>HWKREPORT-1773;HWKREPORT-1778</v>
      </c>
      <c r="H1604" s="1" t="s">
        <v>1058</v>
      </c>
      <c r="I1604" s="1" t="s">
        <v>1085</v>
      </c>
      <c r="J1604" s="1" t="s">
        <v>26</v>
      </c>
      <c r="K1604" s="1" t="s">
        <v>1157</v>
      </c>
      <c r="L1604" s="1" t="s">
        <v>26</v>
      </c>
      <c r="M1604" s="1" t="s">
        <v>27</v>
      </c>
      <c r="N1604" s="1" t="s">
        <v>26</v>
      </c>
      <c r="O1604" s="1" t="s">
        <v>26</v>
      </c>
      <c r="P1604" s="4">
        <v>45770.481469907405</v>
      </c>
    </row>
    <row r="1605" hidden="1">
      <c r="A1605" s="1" t="s">
        <v>21</v>
      </c>
      <c r="B1605" s="3" t="str">
        <f>HYPERLINK("https://hawk-eye.atlassian.net/browse/HWKREPORT-1777?atlOrigin=eyJpIjoiYzgwYTQ0ZjEyNzQzNGJhN2JmNjEyZTM0NmRhZWZhNjIiLCJwIjoic2hlZXRzLWppcmEifQ","HWKREPORT-1777")</f>
        <v>HWKREPORT-1777</v>
      </c>
      <c r="C1605" s="1" t="s">
        <v>2850</v>
      </c>
      <c r="D1605" s="1" t="s">
        <v>23</v>
      </c>
      <c r="E1605" s="1" t="s">
        <v>35</v>
      </c>
      <c r="F1605" s="4">
        <v>44936.74811342593</v>
      </c>
      <c r="G1605" s="3" t="str">
        <f>HYPERLINK("https://hawk-eye.atlassian.net/browse/HWKREPORT-1773?atlOrigin=eyJpIjoiYzgwYTQ0ZjEyNzQzNGJhN2JmNjEyZTM0NmRhZWZhNjIiLCJwIjoic2hlZXRzLWppcmEifQ","HWKREPORT-1773")</f>
        <v>HWKREPORT-1773</v>
      </c>
      <c r="H1605" s="1" t="s">
        <v>1058</v>
      </c>
      <c r="I1605" s="1" t="s">
        <v>1085</v>
      </c>
      <c r="J1605" s="1" t="s">
        <v>26</v>
      </c>
      <c r="K1605" s="1" t="s">
        <v>1157</v>
      </c>
      <c r="L1605" s="1" t="s">
        <v>26</v>
      </c>
      <c r="M1605" s="1" t="s">
        <v>27</v>
      </c>
      <c r="N1605" s="1" t="s">
        <v>26</v>
      </c>
      <c r="O1605" s="1" t="s">
        <v>26</v>
      </c>
      <c r="P1605" s="4">
        <v>45770.481458333335</v>
      </c>
    </row>
    <row r="1606" hidden="1">
      <c r="A1606" s="1" t="s">
        <v>21</v>
      </c>
      <c r="B1606" s="3" t="str">
        <f>HYPERLINK("https://hawk-eye.atlassian.net/browse/HWKREPORT-1778?atlOrigin=eyJpIjoiYzgwYTQ0ZjEyNzQzNGJhN2JmNjEyZTM0NmRhZWZhNjIiLCJwIjoic2hlZXRzLWppcmEifQ","HWKREPORT-1778")</f>
        <v>HWKREPORT-1778</v>
      </c>
      <c r="C1606" s="1" t="s">
        <v>2851</v>
      </c>
      <c r="D1606" s="1" t="s">
        <v>23</v>
      </c>
      <c r="E1606" s="1" t="s">
        <v>35</v>
      </c>
      <c r="F1606" s="4">
        <v>44936.75068287037</v>
      </c>
      <c r="G1606" s="3" t="str">
        <f>HYPERLINK("https://hawk-eye.atlassian.net/browse/HWKREPORT-1776?atlOrigin=eyJpIjoiYzgwYTQ0ZjEyNzQzNGJhN2JmNjEyZTM0NmRhZWZhNjIiLCJwIjoic2hlZXRzLWppcmEifQ","HWKREPORT-1776")</f>
        <v>HWKREPORT-1776</v>
      </c>
      <c r="H1606" s="1" t="s">
        <v>1058</v>
      </c>
      <c r="I1606" s="1" t="s">
        <v>1085</v>
      </c>
      <c r="J1606" s="1" t="s">
        <v>26</v>
      </c>
      <c r="K1606" s="1" t="s">
        <v>1157</v>
      </c>
      <c r="L1606" s="1" t="s">
        <v>26</v>
      </c>
      <c r="M1606" s="1" t="s">
        <v>27</v>
      </c>
      <c r="N1606" s="1" t="s">
        <v>26</v>
      </c>
      <c r="O1606" s="1" t="s">
        <v>26</v>
      </c>
      <c r="P1606" s="4">
        <v>45770.48142361111</v>
      </c>
    </row>
    <row r="1607" hidden="1">
      <c r="A1607" s="1" t="s">
        <v>21</v>
      </c>
      <c r="B1607" s="3" t="str">
        <f>HYPERLINK("https://hawk-eye.atlassian.net/browse/HWKREPORT-1779?atlOrigin=eyJpIjoiYzgwYTQ0ZjEyNzQzNGJhN2JmNjEyZTM0NmRhZWZhNjIiLCJwIjoic2hlZXRzLWppcmEifQ","HWKREPORT-1779")</f>
        <v>HWKREPORT-1779</v>
      </c>
      <c r="C1607" s="1" t="s">
        <v>2852</v>
      </c>
      <c r="D1607" s="1" t="s">
        <v>23</v>
      </c>
      <c r="E1607" s="1" t="s">
        <v>35</v>
      </c>
      <c r="F1607" s="4">
        <v>44936.7628125</v>
      </c>
      <c r="G1607" s="3" t="str">
        <f>HYPERLINK("https://hawk-eye.atlassian.net/browse/?atlOrigin=eyJpIjoiYzgwYTQ0ZjEyNzQzNGJhN2JmNjEyZTM0NmRhZWZhNjIiLCJwIjoic2hlZXRzLWppcmEifQ","")</f>
        <v/>
      </c>
      <c r="H1607" s="1" t="s">
        <v>1058</v>
      </c>
      <c r="I1607" s="1" t="s">
        <v>1085</v>
      </c>
      <c r="J1607" s="1" t="s">
        <v>26</v>
      </c>
      <c r="K1607" s="1" t="s">
        <v>1157</v>
      </c>
      <c r="L1607" s="1" t="s">
        <v>26</v>
      </c>
      <c r="M1607" s="1" t="s">
        <v>27</v>
      </c>
      <c r="N1607" s="1" t="s">
        <v>26</v>
      </c>
      <c r="O1607" s="1" t="s">
        <v>26</v>
      </c>
      <c r="P1607" s="4">
        <v>45770.48150462963</v>
      </c>
    </row>
    <row r="1608" hidden="1">
      <c r="A1608" s="1" t="s">
        <v>1055</v>
      </c>
      <c r="B1608" s="3" t="str">
        <f>HYPERLINK("https://hawk-eye.atlassian.net/browse/HWKREPORT-1780?atlOrigin=eyJpIjoiYzgwYTQ0ZjEyNzQzNGJhN2JmNjEyZTM0NmRhZWZhNjIiLCJwIjoic2hlZXRzLWppcmEifQ","HWKREPORT-1780")</f>
        <v>HWKREPORT-1780</v>
      </c>
      <c r="C1608" s="1" t="s">
        <v>2853</v>
      </c>
      <c r="D1608" s="1" t="s">
        <v>48</v>
      </c>
      <c r="E1608" s="1" t="s">
        <v>35</v>
      </c>
      <c r="F1608" s="4">
        <v>44936.793541666666</v>
      </c>
      <c r="G1608" s="3" t="str">
        <f>HYPERLINK("https://hawk-eye.atlassian.net/browse/AL-642?atlOrigin=eyJpIjoiYzgwYTQ0ZjEyNzQzNGJhN2JmNjEyZTM0NmRhZWZhNjIiLCJwIjoic2hlZXRzLWppcmEifQ","AL-642")</f>
        <v>AL-642</v>
      </c>
      <c r="H1608" s="1" t="s">
        <v>1058</v>
      </c>
      <c r="I1608" s="1" t="s">
        <v>1071</v>
      </c>
      <c r="J1608" s="1" t="s">
        <v>26</v>
      </c>
      <c r="K1608" s="1" t="s">
        <v>2299</v>
      </c>
      <c r="L1608" s="1" t="s">
        <v>26</v>
      </c>
      <c r="M1608" s="1" t="s">
        <v>27</v>
      </c>
      <c r="N1608" s="1" t="s">
        <v>26</v>
      </c>
      <c r="O1608" s="1" t="s">
        <v>26</v>
      </c>
      <c r="P1608" s="4">
        <v>44963.549409722225</v>
      </c>
    </row>
    <row r="1609" hidden="1">
      <c r="A1609" s="1" t="s">
        <v>1055</v>
      </c>
      <c r="B1609" s="3" t="str">
        <f>HYPERLINK("https://hawk-eye.atlassian.net/browse/HWKREPORT-1781?atlOrigin=eyJpIjoiYzgwYTQ0ZjEyNzQzNGJhN2JmNjEyZTM0NmRhZWZhNjIiLCJwIjoic2hlZXRzLWppcmEifQ","HWKREPORT-1781")</f>
        <v>HWKREPORT-1781</v>
      </c>
      <c r="C1609" s="1" t="s">
        <v>2854</v>
      </c>
      <c r="D1609" s="1" t="s">
        <v>48</v>
      </c>
      <c r="E1609" s="1" t="s">
        <v>35</v>
      </c>
      <c r="F1609" s="4">
        <v>44936.811435185184</v>
      </c>
      <c r="G1609" s="3" t="str">
        <f>HYPERLINK("https://hawk-eye.atlassian.net/browse/RTT-5742?atlOrigin=eyJpIjoiYzgwYTQ0ZjEyNzQzNGJhN2JmNjEyZTM0NmRhZWZhNjIiLCJwIjoic2hlZXRzLWppcmEifQ","RTT-5742")</f>
        <v>RTT-5742</v>
      </c>
      <c r="H1609" s="1" t="s">
        <v>1058</v>
      </c>
      <c r="I1609" s="1" t="s">
        <v>28</v>
      </c>
      <c r="J1609" s="1" t="s">
        <v>26</v>
      </c>
      <c r="K1609" s="1" t="s">
        <v>1072</v>
      </c>
      <c r="L1609" s="1" t="s">
        <v>26</v>
      </c>
      <c r="M1609" s="1" t="s">
        <v>27</v>
      </c>
      <c r="N1609" s="1" t="s">
        <v>26</v>
      </c>
      <c r="O1609" s="1" t="s">
        <v>26</v>
      </c>
      <c r="P1609" s="4">
        <v>45079.613217592596</v>
      </c>
    </row>
    <row r="1610" hidden="1">
      <c r="A1610" s="1" t="s">
        <v>21</v>
      </c>
      <c r="B1610" s="3" t="str">
        <f>HYPERLINK("https://hawk-eye.atlassian.net/browse/HWKREPORT-1782?atlOrigin=eyJpIjoiYzgwYTQ0ZjEyNzQzNGJhN2JmNjEyZTM0NmRhZWZhNjIiLCJwIjoic2hlZXRzLWppcmEifQ","HWKREPORT-1782")</f>
        <v>HWKREPORT-1782</v>
      </c>
      <c r="C1610" s="1" t="s">
        <v>2855</v>
      </c>
      <c r="D1610" s="1" t="s">
        <v>48</v>
      </c>
      <c r="E1610" s="1" t="s">
        <v>35</v>
      </c>
      <c r="F1610" s="4">
        <v>44937.67670138889</v>
      </c>
      <c r="G1610" s="3" t="str">
        <f>HYPERLINK("https://hawk-eye.atlassian.net/browse/RTT-5743?atlOrigin=eyJpIjoiYzgwYTQ0ZjEyNzQzNGJhN2JmNjEyZTM0NmRhZWZhNjIiLCJwIjoic2hlZXRzLWppcmEifQ","RTT-5743")</f>
        <v>RTT-5743</v>
      </c>
      <c r="H1610" s="1" t="s">
        <v>1058</v>
      </c>
      <c r="I1610" s="1" t="s">
        <v>1071</v>
      </c>
      <c r="J1610" s="1" t="s">
        <v>26</v>
      </c>
      <c r="K1610" s="1" t="s">
        <v>1072</v>
      </c>
      <c r="L1610" s="1" t="s">
        <v>26</v>
      </c>
      <c r="M1610" s="1" t="s">
        <v>27</v>
      </c>
      <c r="N1610" s="1" t="s">
        <v>26</v>
      </c>
      <c r="O1610" s="1" t="s">
        <v>26</v>
      </c>
      <c r="P1610" s="4">
        <v>44946.73501157408</v>
      </c>
    </row>
    <row r="1611" hidden="1">
      <c r="A1611" s="1" t="s">
        <v>21</v>
      </c>
      <c r="B1611" s="3" t="str">
        <f>HYPERLINK("https://hawk-eye.atlassian.net/browse/HWKREPORT-1783?atlOrigin=eyJpIjoiYzgwYTQ0ZjEyNzQzNGJhN2JmNjEyZTM0NmRhZWZhNjIiLCJwIjoic2hlZXRzLWppcmEifQ","HWKREPORT-1783")</f>
        <v>HWKREPORT-1783</v>
      </c>
      <c r="C1611" s="1" t="s">
        <v>2856</v>
      </c>
      <c r="D1611" s="1" t="s">
        <v>40</v>
      </c>
      <c r="E1611" s="1" t="s">
        <v>35</v>
      </c>
      <c r="F1611" s="4">
        <v>44938.366423611114</v>
      </c>
      <c r="G1611" s="3" t="str">
        <f>HYPERLINK("https://hawk-eye.atlassian.net/browse/?atlOrigin=eyJpIjoiYzgwYTQ0ZjEyNzQzNGJhN2JmNjEyZTM0NmRhZWZhNjIiLCJwIjoic2hlZXRzLWppcmEifQ","")</f>
        <v/>
      </c>
      <c r="H1611" s="1" t="s">
        <v>1058</v>
      </c>
      <c r="I1611" s="1" t="s">
        <v>1126</v>
      </c>
      <c r="J1611" s="1" t="s">
        <v>26</v>
      </c>
      <c r="K1611" s="1" t="s">
        <v>1211</v>
      </c>
      <c r="L1611" s="1" t="s">
        <v>26</v>
      </c>
      <c r="M1611" s="1" t="s">
        <v>27</v>
      </c>
      <c r="N1611" s="1" t="s">
        <v>26</v>
      </c>
      <c r="O1611" s="1" t="s">
        <v>26</v>
      </c>
      <c r="P1611" s="4">
        <v>44971.50662037037</v>
      </c>
    </row>
    <row r="1612" hidden="1">
      <c r="A1612" s="1" t="s">
        <v>21</v>
      </c>
      <c r="B1612" s="3" t="str">
        <f>HYPERLINK("https://hawk-eye.atlassian.net/browse/HWKREPORT-1784?atlOrigin=eyJpIjoiYzgwYTQ0ZjEyNzQzNGJhN2JmNjEyZTM0NmRhZWZhNjIiLCJwIjoic2hlZXRzLWppcmEifQ","HWKREPORT-1784")</f>
        <v>HWKREPORT-1784</v>
      </c>
      <c r="C1612" s="1" t="s">
        <v>2857</v>
      </c>
      <c r="D1612" s="1" t="s">
        <v>23</v>
      </c>
      <c r="E1612" s="1" t="s">
        <v>35</v>
      </c>
      <c r="F1612" s="4">
        <v>44938.456041666665</v>
      </c>
      <c r="G1612" s="3" t="str">
        <f>HYPERLINK("https://hawk-eye.atlassian.net/browse/GT-852?atlOrigin=eyJpIjoiYzgwYTQ0ZjEyNzQzNGJhN2JmNjEyZTM0NmRhZWZhNjIiLCJwIjoic2hlZXRzLWppcmEifQ","GT-852")</f>
        <v>GT-852</v>
      </c>
      <c r="H1612" s="1" t="s">
        <v>1058</v>
      </c>
      <c r="I1612" s="1" t="s">
        <v>1085</v>
      </c>
      <c r="J1612" s="1" t="s">
        <v>26</v>
      </c>
      <c r="K1612" s="1" t="s">
        <v>1105</v>
      </c>
      <c r="L1612" s="1" t="s">
        <v>26</v>
      </c>
      <c r="M1612" s="1" t="s">
        <v>27</v>
      </c>
      <c r="N1612" s="1" t="s">
        <v>26</v>
      </c>
      <c r="O1612" s="1" t="s">
        <v>26</v>
      </c>
      <c r="P1612" s="4">
        <v>45021.647372685184</v>
      </c>
    </row>
    <row r="1613" hidden="1">
      <c r="A1613" s="1" t="s">
        <v>1055</v>
      </c>
      <c r="B1613" s="3" t="str">
        <f>HYPERLINK("https://hawk-eye.atlassian.net/browse/HWKREPORT-1785?atlOrigin=eyJpIjoiYzgwYTQ0ZjEyNzQzNGJhN2JmNjEyZTM0NmRhZWZhNjIiLCJwIjoic2hlZXRzLWppcmEifQ","HWKREPORT-1785")</f>
        <v>HWKREPORT-1785</v>
      </c>
      <c r="C1613" s="1" t="s">
        <v>2858</v>
      </c>
      <c r="D1613" s="1" t="s">
        <v>48</v>
      </c>
      <c r="E1613" s="1" t="s">
        <v>35</v>
      </c>
      <c r="F1613" s="4">
        <v>44938.467569444445</v>
      </c>
      <c r="G1613" s="3" t="str">
        <f>HYPERLINK("https://hawk-eye.atlassian.net/browse/CTK-118?atlOrigin=eyJpIjoiYzgwYTQ0ZjEyNzQzNGJhN2JmNjEyZTM0NmRhZWZhNjIiLCJwIjoic2hlZXRzLWppcmEifQ","CTK-118")</f>
        <v>CTK-118</v>
      </c>
      <c r="H1613" s="1" t="s">
        <v>1058</v>
      </c>
      <c r="I1613" s="1" t="s">
        <v>1082</v>
      </c>
      <c r="J1613" s="1" t="s">
        <v>26</v>
      </c>
      <c r="K1613" s="1" t="s">
        <v>1083</v>
      </c>
      <c r="L1613" s="1" t="s">
        <v>26</v>
      </c>
      <c r="M1613" s="1" t="s">
        <v>27</v>
      </c>
      <c r="N1613" s="1" t="s">
        <v>26</v>
      </c>
      <c r="O1613" s="1" t="s">
        <v>26</v>
      </c>
      <c r="P1613" s="4">
        <v>45252.40053240741</v>
      </c>
    </row>
    <row r="1614" hidden="1">
      <c r="A1614" s="1" t="s">
        <v>21</v>
      </c>
      <c r="B1614" s="3" t="str">
        <f>HYPERLINK("https://hawk-eye.atlassian.net/browse/HWKREPORT-1786?atlOrigin=eyJpIjoiYzgwYTQ0ZjEyNzQzNGJhN2JmNjEyZTM0NmRhZWZhNjIiLCJwIjoic2hlZXRzLWppcmEifQ","HWKREPORT-1786")</f>
        <v>HWKREPORT-1786</v>
      </c>
      <c r="C1614" s="1" t="s">
        <v>2859</v>
      </c>
      <c r="D1614" s="1" t="s">
        <v>23</v>
      </c>
      <c r="E1614" s="1" t="s">
        <v>35</v>
      </c>
      <c r="F1614" s="4">
        <v>44938.475856481484</v>
      </c>
      <c r="G1614" s="3" t="str">
        <f>HYPERLINK("https://hawk-eye.atlassian.net/browse/CTK-119?atlOrigin=eyJpIjoiYzgwYTQ0ZjEyNzQzNGJhN2JmNjEyZTM0NmRhZWZhNjIiLCJwIjoic2hlZXRzLWppcmEifQ","CTK-119")</f>
        <v>CTK-119</v>
      </c>
      <c r="H1614" s="1" t="s">
        <v>1058</v>
      </c>
      <c r="I1614" s="1" t="s">
        <v>1082</v>
      </c>
      <c r="J1614" s="1" t="s">
        <v>26</v>
      </c>
      <c r="K1614" s="1" t="s">
        <v>1083</v>
      </c>
      <c r="L1614" s="1" t="s">
        <v>26</v>
      </c>
      <c r="M1614" s="1" t="s">
        <v>27</v>
      </c>
      <c r="N1614" s="1" t="s">
        <v>26</v>
      </c>
      <c r="O1614" s="1" t="s">
        <v>26</v>
      </c>
      <c r="P1614" s="4">
        <v>45252.40149305556</v>
      </c>
    </row>
    <row r="1615" hidden="1">
      <c r="A1615" s="1" t="s">
        <v>1055</v>
      </c>
      <c r="B1615" s="3" t="str">
        <f>HYPERLINK("https://hawk-eye.atlassian.net/browse/HWKREPORT-1787?atlOrigin=eyJpIjoiYzgwYTQ0ZjEyNzQzNGJhN2JmNjEyZTM0NmRhZWZhNjIiLCJwIjoic2hlZXRzLWppcmEifQ","HWKREPORT-1787")</f>
        <v>HWKREPORT-1787</v>
      </c>
      <c r="C1615" s="1" t="s">
        <v>2860</v>
      </c>
      <c r="D1615" s="1" t="s">
        <v>48</v>
      </c>
      <c r="E1615" s="1" t="s">
        <v>35</v>
      </c>
      <c r="F1615" s="4">
        <v>44938.47792824074</v>
      </c>
      <c r="G1615" s="3" t="str">
        <f>HYPERLINK("https://hawk-eye.atlassian.net/browse/RTT-5744?atlOrigin=eyJpIjoiYzgwYTQ0ZjEyNzQzNGJhN2JmNjEyZTM0NmRhZWZhNjIiLCJwIjoic2hlZXRzLWppcmEifQ","RTT-5744")</f>
        <v>RTT-5744</v>
      </c>
      <c r="H1615" s="1" t="s">
        <v>1058</v>
      </c>
      <c r="I1615" s="1" t="s">
        <v>1085</v>
      </c>
      <c r="J1615" s="1" t="s">
        <v>26</v>
      </c>
      <c r="K1615" s="1" t="s">
        <v>2861</v>
      </c>
      <c r="L1615" s="1" t="s">
        <v>26</v>
      </c>
      <c r="M1615" s="1" t="s">
        <v>27</v>
      </c>
      <c r="N1615" s="1" t="s">
        <v>26</v>
      </c>
      <c r="O1615" s="1" t="s">
        <v>26</v>
      </c>
      <c r="P1615" s="4">
        <v>45013.452002314814</v>
      </c>
    </row>
    <row r="1616" hidden="1">
      <c r="A1616" s="1" t="s">
        <v>1055</v>
      </c>
      <c r="B1616" s="3" t="str">
        <f>HYPERLINK("https://hawk-eye.atlassian.net/browse/HWKREPORT-1788?atlOrigin=eyJpIjoiYzgwYTQ0ZjEyNzQzNGJhN2JmNjEyZTM0NmRhZWZhNjIiLCJwIjoic2hlZXRzLWppcmEifQ","HWKREPORT-1788")</f>
        <v>HWKREPORT-1788</v>
      </c>
      <c r="C1616" s="1" t="s">
        <v>2862</v>
      </c>
      <c r="D1616" s="1" t="s">
        <v>23</v>
      </c>
      <c r="E1616" s="1" t="s">
        <v>1207</v>
      </c>
      <c r="F1616" s="4">
        <v>44938.485289351855</v>
      </c>
      <c r="G1616" s="3" t="str">
        <f>HYPERLINK("https://hawk-eye.atlassian.net/browse/RTT-5748?atlOrigin=eyJpIjoiYzgwYTQ0ZjEyNzQzNGJhN2JmNjEyZTM0NmRhZWZhNjIiLCJwIjoic2hlZXRzLWppcmEifQ","RTT-5748")</f>
        <v>RTT-5748</v>
      </c>
      <c r="H1616" s="1" t="s">
        <v>1058</v>
      </c>
      <c r="I1616" s="1" t="s">
        <v>1085</v>
      </c>
      <c r="J1616" s="1" t="s">
        <v>26</v>
      </c>
      <c r="K1616" s="1" t="s">
        <v>1312</v>
      </c>
      <c r="L1616" s="1" t="s">
        <v>26</v>
      </c>
      <c r="M1616" s="1" t="s">
        <v>27</v>
      </c>
      <c r="N1616" s="1" t="s">
        <v>26</v>
      </c>
      <c r="O1616" s="1" t="s">
        <v>26</v>
      </c>
      <c r="P1616" s="4">
        <v>45121.42114583333</v>
      </c>
    </row>
    <row r="1617" hidden="1">
      <c r="A1617" s="1" t="s">
        <v>21</v>
      </c>
      <c r="B1617" s="3" t="str">
        <f>HYPERLINK("https://hawk-eye.atlassian.net/browse/HWKREPORT-1789?atlOrigin=eyJpIjoiYzgwYTQ0ZjEyNzQzNGJhN2JmNjEyZTM0NmRhZWZhNjIiLCJwIjoic2hlZXRzLWppcmEifQ","HWKREPORT-1789")</f>
        <v>HWKREPORT-1789</v>
      </c>
      <c r="C1617" s="1" t="s">
        <v>2863</v>
      </c>
      <c r="D1617" s="1" t="s">
        <v>23</v>
      </c>
      <c r="E1617" s="1" t="s">
        <v>35</v>
      </c>
      <c r="F1617" s="4">
        <v>44938.4930787037</v>
      </c>
      <c r="G1617" s="3" t="str">
        <f>HYPERLINK("https://hawk-eye.atlassian.net/browse/GT-606?atlOrigin=eyJpIjoiYzgwYTQ0ZjEyNzQzNGJhN2JmNjEyZTM0NmRhZWZhNjIiLCJwIjoic2hlZXRzLWppcmEifQ","GT-606")</f>
        <v>GT-606</v>
      </c>
      <c r="H1617" s="1" t="s">
        <v>1058</v>
      </c>
      <c r="I1617" s="1" t="s">
        <v>1085</v>
      </c>
      <c r="J1617" s="1" t="s">
        <v>26</v>
      </c>
      <c r="K1617" s="1" t="s">
        <v>1148</v>
      </c>
      <c r="L1617" s="1" t="s">
        <v>26</v>
      </c>
      <c r="M1617" s="1" t="s">
        <v>27</v>
      </c>
      <c r="N1617" s="1" t="s">
        <v>26</v>
      </c>
      <c r="O1617" s="1" t="s">
        <v>26</v>
      </c>
      <c r="P1617" s="4">
        <v>45014.69802083333</v>
      </c>
    </row>
    <row r="1618" hidden="1">
      <c r="A1618" s="1" t="s">
        <v>21</v>
      </c>
      <c r="B1618" s="3" t="str">
        <f>HYPERLINK("https://hawk-eye.atlassian.net/browse/HWKREPORT-1790?atlOrigin=eyJpIjoiYzgwYTQ0ZjEyNzQzNGJhN2JmNjEyZTM0NmRhZWZhNjIiLCJwIjoic2hlZXRzLWppcmEifQ","HWKREPORT-1790")</f>
        <v>HWKREPORT-1790</v>
      </c>
      <c r="C1618" s="1" t="s">
        <v>2864</v>
      </c>
      <c r="D1618" s="1" t="s">
        <v>23</v>
      </c>
      <c r="E1618" s="1" t="s">
        <v>35</v>
      </c>
      <c r="F1618" s="4">
        <v>44938.49527777778</v>
      </c>
      <c r="G1618" s="3" t="str">
        <f>HYPERLINK("https://hawk-eye.atlassian.net/browse/CTK-120?atlOrigin=eyJpIjoiYzgwYTQ0ZjEyNzQzNGJhN2JmNjEyZTM0NmRhZWZhNjIiLCJwIjoic2hlZXRzLWppcmEifQ","CTK-120")</f>
        <v>CTK-120</v>
      </c>
      <c r="H1618" s="1" t="s">
        <v>1058</v>
      </c>
      <c r="I1618" s="1" t="s">
        <v>1082</v>
      </c>
      <c r="J1618" s="1" t="s">
        <v>26</v>
      </c>
      <c r="K1618" s="1" t="s">
        <v>1083</v>
      </c>
      <c r="L1618" s="1" t="s">
        <v>26</v>
      </c>
      <c r="M1618" s="1" t="s">
        <v>27</v>
      </c>
      <c r="N1618" s="1" t="s">
        <v>26</v>
      </c>
      <c r="O1618" s="1" t="s">
        <v>26</v>
      </c>
      <c r="P1618" s="4">
        <v>45252.401550925926</v>
      </c>
    </row>
    <row r="1619" hidden="1">
      <c r="A1619" s="1" t="s">
        <v>1055</v>
      </c>
      <c r="B1619" s="3" t="str">
        <f>HYPERLINK("https://hawk-eye.atlassian.net/browse/HWKREPORT-1791?atlOrigin=eyJpIjoiYzgwYTQ0ZjEyNzQzNGJhN2JmNjEyZTM0NmRhZWZhNjIiLCJwIjoic2hlZXRzLWppcmEifQ","HWKREPORT-1791")</f>
        <v>HWKREPORT-1791</v>
      </c>
      <c r="C1619" s="1" t="s">
        <v>2865</v>
      </c>
      <c r="D1619" s="1" t="s">
        <v>48</v>
      </c>
      <c r="E1619" s="1" t="s">
        <v>1207</v>
      </c>
      <c r="F1619" s="4">
        <v>44938.520636574074</v>
      </c>
      <c r="G1619" s="3" t="str">
        <f>HYPERLINK("https://hawk-eye.atlassian.net/browse/RTT-5747?atlOrigin=eyJpIjoiYzgwYTQ0ZjEyNzQzNGJhN2JmNjEyZTM0NmRhZWZhNjIiLCJwIjoic2hlZXRzLWppcmEifQ","RTT-5747")</f>
        <v>RTT-5747</v>
      </c>
      <c r="H1619" s="1" t="s">
        <v>1058</v>
      </c>
      <c r="I1619" s="1" t="s">
        <v>1085</v>
      </c>
      <c r="J1619" s="1" t="s">
        <v>26</v>
      </c>
      <c r="K1619" s="1" t="s">
        <v>1312</v>
      </c>
      <c r="L1619" s="1" t="s">
        <v>26</v>
      </c>
      <c r="M1619" s="1" t="s">
        <v>27</v>
      </c>
      <c r="N1619" s="1" t="s">
        <v>26</v>
      </c>
      <c r="O1619" s="1" t="s">
        <v>26</v>
      </c>
      <c r="P1619" s="4">
        <v>45121.421111111114</v>
      </c>
    </row>
    <row r="1620" hidden="1">
      <c r="A1620" s="1" t="s">
        <v>1055</v>
      </c>
      <c r="B1620" s="3" t="str">
        <f>HYPERLINK("https://hawk-eye.atlassian.net/browse/HWKREPORT-1792?atlOrigin=eyJpIjoiYzgwYTQ0ZjEyNzQzNGJhN2JmNjEyZTM0NmRhZWZhNjIiLCJwIjoic2hlZXRzLWppcmEifQ","HWKREPORT-1792")</f>
        <v>HWKREPORT-1792</v>
      </c>
      <c r="C1620" s="1" t="s">
        <v>2866</v>
      </c>
      <c r="D1620" s="1" t="s">
        <v>48</v>
      </c>
      <c r="E1620" s="1" t="s">
        <v>1207</v>
      </c>
      <c r="F1620" s="4">
        <v>44938.542291666665</v>
      </c>
      <c r="G1620" s="3" t="str">
        <f>HYPERLINK("https://hawk-eye.atlassian.net/browse/RTT-5746?atlOrigin=eyJpIjoiYzgwYTQ0ZjEyNzQzNGJhN2JmNjEyZTM0NmRhZWZhNjIiLCJwIjoic2hlZXRzLWppcmEifQ","RTT-5746")</f>
        <v>RTT-5746</v>
      </c>
      <c r="H1620" s="1" t="s">
        <v>1058</v>
      </c>
      <c r="I1620" s="1" t="s">
        <v>1085</v>
      </c>
      <c r="J1620" s="1" t="s">
        <v>26</v>
      </c>
      <c r="K1620" s="1" t="s">
        <v>1312</v>
      </c>
      <c r="L1620" s="1" t="s">
        <v>26</v>
      </c>
      <c r="M1620" s="1" t="s">
        <v>27</v>
      </c>
      <c r="N1620" s="1" t="s">
        <v>26</v>
      </c>
      <c r="O1620" s="1" t="s">
        <v>26</v>
      </c>
      <c r="P1620" s="4">
        <v>45121.421122685184</v>
      </c>
    </row>
    <row r="1621" hidden="1">
      <c r="A1621" s="1" t="s">
        <v>1055</v>
      </c>
      <c r="B1621" s="3" t="str">
        <f>HYPERLINK("https://hawk-eye.atlassian.net/browse/HWKREPORT-1793?atlOrigin=eyJpIjoiYzgwYTQ0ZjEyNzQzNGJhN2JmNjEyZTM0NmRhZWZhNjIiLCJwIjoic2hlZXRzLWppcmEifQ","HWKREPORT-1793")</f>
        <v>HWKREPORT-1793</v>
      </c>
      <c r="C1621" s="1" t="s">
        <v>2867</v>
      </c>
      <c r="D1621" s="1" t="s">
        <v>48</v>
      </c>
      <c r="E1621" s="1" t="s">
        <v>1207</v>
      </c>
      <c r="F1621" s="4">
        <v>44938.546261574076</v>
      </c>
      <c r="G1621" s="3" t="str">
        <f>HYPERLINK("https://hawk-eye.atlassian.net/browse/RTT-5745?atlOrigin=eyJpIjoiYzgwYTQ0ZjEyNzQzNGJhN2JmNjEyZTM0NmRhZWZhNjIiLCJwIjoic2hlZXRzLWppcmEifQ","RTT-5745")</f>
        <v>RTT-5745</v>
      </c>
      <c r="H1621" s="1" t="s">
        <v>1058</v>
      </c>
      <c r="I1621" s="1" t="s">
        <v>1085</v>
      </c>
      <c r="J1621" s="1" t="s">
        <v>26</v>
      </c>
      <c r="K1621" s="1" t="s">
        <v>1312</v>
      </c>
      <c r="L1621" s="1" t="s">
        <v>26</v>
      </c>
      <c r="M1621" s="1" t="s">
        <v>27</v>
      </c>
      <c r="N1621" s="1" t="s">
        <v>26</v>
      </c>
      <c r="O1621" s="1" t="s">
        <v>26</v>
      </c>
      <c r="P1621" s="4">
        <v>45121.42109953704</v>
      </c>
    </row>
    <row r="1622" hidden="1">
      <c r="A1622" s="1" t="s">
        <v>1055</v>
      </c>
      <c r="B1622" s="3" t="str">
        <f>HYPERLINK("https://hawk-eye.atlassian.net/browse/HWKREPORT-1794?atlOrigin=eyJpIjoiYzgwYTQ0ZjEyNzQzNGJhN2JmNjEyZTM0NmRhZWZhNjIiLCJwIjoic2hlZXRzLWppcmEifQ","HWKREPORT-1794")</f>
        <v>HWKREPORT-1794</v>
      </c>
      <c r="C1622" s="1" t="s">
        <v>2868</v>
      </c>
      <c r="D1622" s="1" t="s">
        <v>48</v>
      </c>
      <c r="E1622" s="1" t="s">
        <v>35</v>
      </c>
      <c r="F1622" s="4">
        <v>44938.7787962963</v>
      </c>
      <c r="G1622" s="3" t="str">
        <f>HYPERLINK("https://hawk-eye.atlassian.net/browse/RTT-5749?atlOrigin=eyJpIjoiYzgwYTQ0ZjEyNzQzNGJhN2JmNjEyZTM0NmRhZWZhNjIiLCJwIjoic2hlZXRzLWppcmEifQ","RTT-5749")</f>
        <v>RTT-5749</v>
      </c>
      <c r="H1622" s="1" t="s">
        <v>1058</v>
      </c>
      <c r="I1622" s="1" t="s">
        <v>28</v>
      </c>
      <c r="J1622" s="1" t="s">
        <v>26</v>
      </c>
      <c r="K1622" s="1" t="s">
        <v>1072</v>
      </c>
      <c r="L1622" s="1" t="s">
        <v>26</v>
      </c>
      <c r="M1622" s="1" t="s">
        <v>27</v>
      </c>
      <c r="N1622" s="1" t="s">
        <v>26</v>
      </c>
      <c r="O1622" s="1" t="s">
        <v>26</v>
      </c>
      <c r="P1622" s="4">
        <v>44963.394212962965</v>
      </c>
    </row>
    <row r="1623" hidden="1">
      <c r="A1623" s="1" t="s">
        <v>21</v>
      </c>
      <c r="B1623" s="3" t="str">
        <f>HYPERLINK("https://hawk-eye.atlassian.net/browse/HWKREPORT-1795?atlOrigin=eyJpIjoiYzgwYTQ0ZjEyNzQzNGJhN2JmNjEyZTM0NmRhZWZhNjIiLCJwIjoic2hlZXRzLWppcmEifQ","HWKREPORT-1795")</f>
        <v>HWKREPORT-1795</v>
      </c>
      <c r="C1623" s="1" t="s">
        <v>2869</v>
      </c>
      <c r="D1623" s="1" t="s">
        <v>23</v>
      </c>
      <c r="E1623" s="1" t="s">
        <v>35</v>
      </c>
      <c r="F1623" s="4">
        <v>44939.441712962966</v>
      </c>
      <c r="G1623" s="3" t="str">
        <f>HYPERLINK("https://hawk-eye.atlassian.net/browse/GT-851?atlOrigin=eyJpIjoiYzgwYTQ0ZjEyNzQzNGJhN2JmNjEyZTM0NmRhZWZhNjIiLCJwIjoic2hlZXRzLWppcmEifQ","GT-851")</f>
        <v>GT-851</v>
      </c>
      <c r="H1623" s="1" t="s">
        <v>1058</v>
      </c>
      <c r="I1623" s="1" t="s">
        <v>1085</v>
      </c>
      <c r="J1623" s="1" t="s">
        <v>26</v>
      </c>
      <c r="K1623" s="1" t="s">
        <v>1148</v>
      </c>
      <c r="L1623" s="1" t="s">
        <v>26</v>
      </c>
      <c r="M1623" s="1" t="s">
        <v>27</v>
      </c>
      <c r="N1623" s="1" t="s">
        <v>26</v>
      </c>
      <c r="O1623" s="1" t="s">
        <v>26</v>
      </c>
      <c r="P1623" s="4">
        <v>44943.49041666667</v>
      </c>
    </row>
    <row r="1624" hidden="1">
      <c r="A1624" s="1" t="s">
        <v>21</v>
      </c>
      <c r="B1624" s="3" t="str">
        <f>HYPERLINK("https://hawk-eye.atlassian.net/browse/HWKREPORT-1796?atlOrigin=eyJpIjoiYzgwYTQ0ZjEyNzQzNGJhN2JmNjEyZTM0NmRhZWZhNjIiLCJwIjoic2hlZXRzLWppcmEifQ","HWKREPORT-1796")</f>
        <v>HWKREPORT-1796</v>
      </c>
      <c r="C1624" s="6" t="s">
        <v>2870</v>
      </c>
      <c r="D1624" s="1" t="s">
        <v>34</v>
      </c>
      <c r="E1624" s="1" t="s">
        <v>35</v>
      </c>
      <c r="F1624" s="4">
        <v>44939.4450462963</v>
      </c>
      <c r="G1624" s="3" t="str">
        <f>HYPERLINK("https://hawk-eye.atlassian.net/browse/AT-681?atlOrigin=eyJpIjoiYzgwYTQ0ZjEyNzQzNGJhN2JmNjEyZTM0NmRhZWZhNjIiLCJwIjoic2hlZXRzLWppcmEifQ","AT-681")</f>
        <v>AT-681</v>
      </c>
      <c r="H1624" s="1" t="s">
        <v>1058</v>
      </c>
      <c r="I1624" s="1" t="s">
        <v>1085</v>
      </c>
      <c r="J1624" s="1" t="s">
        <v>26</v>
      </c>
      <c r="K1624" s="1" t="s">
        <v>1148</v>
      </c>
      <c r="L1624" s="1" t="s">
        <v>26</v>
      </c>
      <c r="M1624" s="1" t="s">
        <v>27</v>
      </c>
      <c r="N1624" s="1" t="s">
        <v>26</v>
      </c>
      <c r="O1624" s="1" t="s">
        <v>26</v>
      </c>
      <c r="P1624" s="4">
        <v>45337.67383101852</v>
      </c>
    </row>
    <row r="1625" hidden="1">
      <c r="A1625" s="1" t="s">
        <v>21</v>
      </c>
      <c r="B1625" s="3" t="str">
        <f>HYPERLINK("https://hawk-eye.atlassian.net/browse/HWKREPORT-1797?atlOrigin=eyJpIjoiYzgwYTQ0ZjEyNzQzNGJhN2JmNjEyZTM0NmRhZWZhNjIiLCJwIjoic2hlZXRzLWppcmEifQ","HWKREPORT-1797")</f>
        <v>HWKREPORT-1797</v>
      </c>
      <c r="C1625" s="1" t="s">
        <v>2871</v>
      </c>
      <c r="D1625" s="1" t="s">
        <v>48</v>
      </c>
      <c r="E1625" s="1" t="s">
        <v>35</v>
      </c>
      <c r="F1625" s="4">
        <v>44939.61981481482</v>
      </c>
      <c r="G1625" s="3" t="str">
        <f>HYPERLINK("https://hawk-eye.atlassian.net/issues/?atlOrigin=eyJpIjoiYzgwYTQ0ZjEyNzQzNGJhN2JmNjEyZTM0NmRhZWZhNjIiLCJwIjoic2hlZXRzLWppcmEifQ&amp;jql=key+in+%28AT-681%2CGT-865%29","AT-681;GT-865")</f>
        <v>AT-681;GT-865</v>
      </c>
      <c r="H1625" s="1" t="s">
        <v>1058</v>
      </c>
      <c r="I1625" s="1" t="s">
        <v>1085</v>
      </c>
      <c r="J1625" s="1" t="s">
        <v>26</v>
      </c>
      <c r="K1625" s="1" t="s">
        <v>1148</v>
      </c>
      <c r="L1625" s="1" t="s">
        <v>26</v>
      </c>
      <c r="M1625" s="1" t="s">
        <v>27</v>
      </c>
      <c r="N1625" s="1" t="s">
        <v>26</v>
      </c>
      <c r="O1625" s="1" t="s">
        <v>26</v>
      </c>
      <c r="P1625" s="4">
        <v>44950.438564814816</v>
      </c>
    </row>
    <row r="1626" hidden="1">
      <c r="A1626" s="1" t="s">
        <v>21</v>
      </c>
      <c r="B1626" s="3" t="str">
        <f>HYPERLINK("https://hawk-eye.atlassian.net/browse/HWKREPORT-1798?atlOrigin=eyJpIjoiYzgwYTQ0ZjEyNzQzNGJhN2JmNjEyZTM0NmRhZWZhNjIiLCJwIjoic2hlZXRzLWppcmEifQ","HWKREPORT-1798")</f>
        <v>HWKREPORT-1798</v>
      </c>
      <c r="C1626" s="1" t="s">
        <v>2872</v>
      </c>
      <c r="D1626" s="1" t="s">
        <v>34</v>
      </c>
      <c r="E1626" s="1" t="s">
        <v>35</v>
      </c>
      <c r="F1626" s="4">
        <v>44942.37936342593</v>
      </c>
      <c r="G1626" s="3" t="str">
        <f>HYPERLINK("https://hawk-eye.atlassian.net/browse/GT-857?atlOrigin=eyJpIjoiYzgwYTQ0ZjEyNzQzNGJhN2JmNjEyZTM0NmRhZWZhNjIiLCJwIjoic2hlZXRzLWppcmEifQ","GT-857")</f>
        <v>GT-857</v>
      </c>
      <c r="H1626" s="1" t="s">
        <v>1058</v>
      </c>
      <c r="I1626" s="1" t="s">
        <v>1085</v>
      </c>
      <c r="J1626" s="1" t="s">
        <v>26</v>
      </c>
      <c r="K1626" s="1" t="s">
        <v>1105</v>
      </c>
      <c r="L1626" s="1" t="s">
        <v>26</v>
      </c>
      <c r="M1626" s="1" t="s">
        <v>27</v>
      </c>
      <c r="N1626" s="1" t="s">
        <v>26</v>
      </c>
      <c r="O1626" s="1" t="s">
        <v>26</v>
      </c>
      <c r="P1626" s="4">
        <v>44943.466770833336</v>
      </c>
    </row>
    <row r="1627" hidden="1">
      <c r="A1627" s="1" t="s">
        <v>21</v>
      </c>
      <c r="B1627" s="3" t="str">
        <f>HYPERLINK("https://hawk-eye.atlassian.net/browse/HWKREPORT-1799?atlOrigin=eyJpIjoiYzgwYTQ0ZjEyNzQzNGJhN2JmNjEyZTM0NmRhZWZhNjIiLCJwIjoic2hlZXRzLWppcmEifQ","HWKREPORT-1799")</f>
        <v>HWKREPORT-1799</v>
      </c>
      <c r="C1627" s="1" t="s">
        <v>2873</v>
      </c>
      <c r="D1627" s="1" t="s">
        <v>48</v>
      </c>
      <c r="E1627" s="1" t="s">
        <v>1057</v>
      </c>
      <c r="F1627" s="4">
        <v>44942.414722222224</v>
      </c>
      <c r="G1627" s="3" t="str">
        <f t="shared" ref="G1627:G1629" si="137">HYPERLINK("https://hawk-eye.atlassian.net/browse/?atlOrigin=eyJpIjoiYzgwYTQ0ZjEyNzQzNGJhN2JmNjEyZTM0NmRhZWZhNjIiLCJwIjoic2hlZXRzLWppcmEifQ","")</f>
        <v/>
      </c>
      <c r="H1627" s="1" t="s">
        <v>1058</v>
      </c>
      <c r="I1627" s="1" t="s">
        <v>1193</v>
      </c>
      <c r="J1627" s="1" t="s">
        <v>26</v>
      </c>
      <c r="K1627" s="1" t="s">
        <v>1383</v>
      </c>
      <c r="L1627" s="1" t="s">
        <v>26</v>
      </c>
      <c r="M1627" s="1" t="s">
        <v>27</v>
      </c>
      <c r="N1627" s="1" t="s">
        <v>26</v>
      </c>
      <c r="O1627" s="1" t="s">
        <v>26</v>
      </c>
      <c r="P1627" s="4">
        <v>44942.414722222224</v>
      </c>
    </row>
    <row r="1628" hidden="1">
      <c r="A1628" s="1" t="s">
        <v>21</v>
      </c>
      <c r="B1628" s="3" t="str">
        <f>HYPERLINK("https://hawk-eye.atlassian.net/browse/HWKREPORT-1800?atlOrigin=eyJpIjoiYzgwYTQ0ZjEyNzQzNGJhN2JmNjEyZTM0NmRhZWZhNjIiLCJwIjoic2hlZXRzLWppcmEifQ","HWKREPORT-1800")</f>
        <v>HWKREPORT-1800</v>
      </c>
      <c r="C1628" s="1" t="s">
        <v>2874</v>
      </c>
      <c r="D1628" s="1" t="s">
        <v>48</v>
      </c>
      <c r="E1628" s="1" t="s">
        <v>1057</v>
      </c>
      <c r="F1628" s="4">
        <v>44942.4171412037</v>
      </c>
      <c r="G1628" s="3" t="str">
        <f t="shared" si="137"/>
        <v/>
      </c>
      <c r="H1628" s="1" t="s">
        <v>1058</v>
      </c>
      <c r="I1628" s="1" t="s">
        <v>1193</v>
      </c>
      <c r="J1628" s="1" t="s">
        <v>26</v>
      </c>
      <c r="K1628" s="1" t="s">
        <v>2875</v>
      </c>
      <c r="L1628" s="1" t="s">
        <v>26</v>
      </c>
      <c r="M1628" s="1" t="s">
        <v>27</v>
      </c>
      <c r="N1628" s="1" t="s">
        <v>26</v>
      </c>
      <c r="O1628" s="1" t="s">
        <v>26</v>
      </c>
      <c r="P1628" s="4">
        <v>44942.41715277778</v>
      </c>
    </row>
    <row r="1629" hidden="1">
      <c r="A1629" s="1" t="s">
        <v>1055</v>
      </c>
      <c r="B1629" s="3" t="str">
        <f>HYPERLINK("https://hawk-eye.atlassian.net/browse/HWKREPORT-1801?atlOrigin=eyJpIjoiYzgwYTQ0ZjEyNzQzNGJhN2JmNjEyZTM0NmRhZWZhNjIiLCJwIjoic2hlZXRzLWppcmEifQ","HWKREPORT-1801")</f>
        <v>HWKREPORT-1801</v>
      </c>
      <c r="C1629" s="1" t="s">
        <v>2876</v>
      </c>
      <c r="D1629" s="1" t="s">
        <v>48</v>
      </c>
      <c r="E1629" s="1" t="s">
        <v>1057</v>
      </c>
      <c r="F1629" s="4">
        <v>44942.42591435185</v>
      </c>
      <c r="G1629" s="3" t="str">
        <f t="shared" si="137"/>
        <v/>
      </c>
      <c r="H1629" s="1" t="s">
        <v>1058</v>
      </c>
      <c r="I1629" s="1" t="s">
        <v>1085</v>
      </c>
      <c r="J1629" s="1" t="s">
        <v>26</v>
      </c>
      <c r="K1629" s="1" t="s">
        <v>1157</v>
      </c>
      <c r="L1629" s="1" t="s">
        <v>26</v>
      </c>
      <c r="M1629" s="1" t="s">
        <v>27</v>
      </c>
      <c r="N1629" s="1" t="s">
        <v>26</v>
      </c>
      <c r="O1629" s="1" t="s">
        <v>26</v>
      </c>
      <c r="P1629" s="4">
        <v>44942.42591435185</v>
      </c>
    </row>
    <row r="1630" hidden="1">
      <c r="A1630" s="1" t="s">
        <v>21</v>
      </c>
      <c r="B1630" s="3" t="str">
        <f>HYPERLINK("https://hawk-eye.atlassian.net/browse/HWKREPORT-1802?atlOrigin=eyJpIjoiYzgwYTQ0ZjEyNzQzNGJhN2JmNjEyZTM0NmRhZWZhNjIiLCJwIjoic2hlZXRzLWppcmEifQ","HWKREPORT-1802")</f>
        <v>HWKREPORT-1802</v>
      </c>
      <c r="C1630" s="1" t="s">
        <v>2877</v>
      </c>
      <c r="D1630" s="1" t="s">
        <v>23</v>
      </c>
      <c r="E1630" s="1" t="s">
        <v>35</v>
      </c>
      <c r="F1630" s="4">
        <v>44942.43174768519</v>
      </c>
      <c r="G1630" s="3" t="str">
        <f>HYPERLINK("https://hawk-eye.atlassian.net/browse/SO-654?atlOrigin=eyJpIjoiYzgwYTQ0ZjEyNzQzNGJhN2JmNjEyZTM0NmRhZWZhNjIiLCJwIjoic2hlZXRzLWppcmEifQ","SO-654")</f>
        <v>SO-654</v>
      </c>
      <c r="H1630" s="1" t="s">
        <v>1058</v>
      </c>
      <c r="I1630" s="1" t="s">
        <v>1502</v>
      </c>
      <c r="J1630" s="1" t="s">
        <v>26</v>
      </c>
      <c r="K1630" s="1" t="s">
        <v>1116</v>
      </c>
      <c r="L1630" s="1" t="s">
        <v>26</v>
      </c>
      <c r="M1630" s="1" t="s">
        <v>27</v>
      </c>
      <c r="N1630" s="1" t="s">
        <v>26</v>
      </c>
      <c r="O1630" s="1" t="s">
        <v>26</v>
      </c>
      <c r="P1630" s="4">
        <v>44994.44545138889</v>
      </c>
    </row>
    <row r="1631" hidden="1">
      <c r="A1631" s="1" t="s">
        <v>1055</v>
      </c>
      <c r="B1631" s="3" t="str">
        <f>HYPERLINK("https://hawk-eye.atlassian.net/browse/HWKREPORT-1803?atlOrigin=eyJpIjoiYzgwYTQ0ZjEyNzQzNGJhN2JmNjEyZTM0NmRhZWZhNjIiLCJwIjoic2hlZXRzLWppcmEifQ","HWKREPORT-1803")</f>
        <v>HWKREPORT-1803</v>
      </c>
      <c r="C1631" s="1" t="s">
        <v>2878</v>
      </c>
      <c r="D1631" s="1" t="s">
        <v>48</v>
      </c>
      <c r="E1631" s="1" t="s">
        <v>35</v>
      </c>
      <c r="F1631" s="4">
        <v>44942.43314814815</v>
      </c>
      <c r="G1631" s="3" t="str">
        <f>HYPERLINK("https://hawk-eye.atlassian.net/browse/SO-655?atlOrigin=eyJpIjoiYzgwYTQ0ZjEyNzQzNGJhN2JmNjEyZTM0NmRhZWZhNjIiLCJwIjoic2hlZXRzLWppcmEifQ","SO-655")</f>
        <v>SO-655</v>
      </c>
      <c r="H1631" s="1" t="s">
        <v>1058</v>
      </c>
      <c r="I1631" s="1" t="s">
        <v>1502</v>
      </c>
      <c r="J1631" s="1" t="s">
        <v>26</v>
      </c>
      <c r="K1631" s="1" t="s">
        <v>1116</v>
      </c>
      <c r="L1631" s="1" t="s">
        <v>26</v>
      </c>
      <c r="M1631" s="1" t="s">
        <v>27</v>
      </c>
      <c r="N1631" s="1" t="s">
        <v>26</v>
      </c>
      <c r="O1631" s="1" t="s">
        <v>26</v>
      </c>
      <c r="P1631" s="4">
        <v>44994.44563657408</v>
      </c>
    </row>
    <row r="1632" hidden="1">
      <c r="A1632" s="1" t="s">
        <v>21</v>
      </c>
      <c r="B1632" s="3" t="str">
        <f>HYPERLINK("https://hawk-eye.atlassian.net/browse/HWKREPORT-1804?atlOrigin=eyJpIjoiYzgwYTQ0ZjEyNzQzNGJhN2JmNjEyZTM0NmRhZWZhNjIiLCJwIjoic2hlZXRzLWppcmEifQ","HWKREPORT-1804")</f>
        <v>HWKREPORT-1804</v>
      </c>
      <c r="C1632" s="1" t="s">
        <v>2879</v>
      </c>
      <c r="D1632" s="1" t="s">
        <v>23</v>
      </c>
      <c r="E1632" s="1" t="s">
        <v>1057</v>
      </c>
      <c r="F1632" s="4">
        <v>44942.61722222222</v>
      </c>
      <c r="G1632" s="3" t="str">
        <f>HYPERLINK("https://hawk-eye.atlassian.net/browse/?atlOrigin=eyJpIjoiYzgwYTQ0ZjEyNzQzNGJhN2JmNjEyZTM0NmRhZWZhNjIiLCJwIjoic2hlZXRzLWppcmEifQ","")</f>
        <v/>
      </c>
      <c r="H1632" s="1" t="s">
        <v>1058</v>
      </c>
      <c r="I1632" s="1" t="s">
        <v>1126</v>
      </c>
      <c r="J1632" s="1" t="s">
        <v>26</v>
      </c>
      <c r="K1632" s="1" t="s">
        <v>1211</v>
      </c>
      <c r="L1632" s="1" t="s">
        <v>26</v>
      </c>
      <c r="M1632" s="1" t="s">
        <v>27</v>
      </c>
      <c r="N1632" s="1" t="s">
        <v>26</v>
      </c>
      <c r="O1632" s="1" t="s">
        <v>26</v>
      </c>
      <c r="P1632" s="4">
        <v>44942.61722222222</v>
      </c>
    </row>
    <row r="1633" hidden="1">
      <c r="A1633" s="1" t="s">
        <v>1055</v>
      </c>
      <c r="B1633" s="3" t="str">
        <f>HYPERLINK("https://hawk-eye.atlassian.net/browse/HWKREPORT-1805?atlOrigin=eyJpIjoiYzgwYTQ0ZjEyNzQzNGJhN2JmNjEyZTM0NmRhZWZhNjIiLCJwIjoic2hlZXRzLWppcmEifQ","HWKREPORT-1805")</f>
        <v>HWKREPORT-1805</v>
      </c>
      <c r="C1633" s="1" t="s">
        <v>2880</v>
      </c>
      <c r="D1633" s="1" t="s">
        <v>48</v>
      </c>
      <c r="E1633" s="1" t="s">
        <v>35</v>
      </c>
      <c r="F1633" s="4">
        <v>44942.62798611111</v>
      </c>
      <c r="G1633" s="3" t="str">
        <f>HYPERLINK("https://hawk-eye.atlassian.net/browse/AT-690?atlOrigin=eyJpIjoiYzgwYTQ0ZjEyNzQzNGJhN2JmNjEyZTM0NmRhZWZhNjIiLCJwIjoic2hlZXRzLWppcmEifQ","AT-690")</f>
        <v>AT-690</v>
      </c>
      <c r="H1633" s="1" t="s">
        <v>1058</v>
      </c>
      <c r="I1633" s="1" t="s">
        <v>1085</v>
      </c>
      <c r="J1633" s="1" t="s">
        <v>26</v>
      </c>
      <c r="K1633" s="1" t="s">
        <v>1105</v>
      </c>
      <c r="L1633" s="1" t="s">
        <v>26</v>
      </c>
      <c r="M1633" s="1" t="s">
        <v>27</v>
      </c>
      <c r="N1633" s="1" t="s">
        <v>26</v>
      </c>
      <c r="O1633" s="1" t="s">
        <v>26</v>
      </c>
      <c r="P1633" s="4">
        <v>44952.396574074075</v>
      </c>
    </row>
    <row r="1634" hidden="1">
      <c r="A1634" s="1" t="s">
        <v>1055</v>
      </c>
      <c r="B1634" s="3" t="str">
        <f>HYPERLINK("https://hawk-eye.atlassian.net/browse/HWKREPORT-1806?atlOrigin=eyJpIjoiYzgwYTQ0ZjEyNzQzNGJhN2JmNjEyZTM0NmRhZWZhNjIiLCJwIjoic2hlZXRzLWppcmEifQ","HWKREPORT-1806")</f>
        <v>HWKREPORT-1806</v>
      </c>
      <c r="C1634" s="1" t="s">
        <v>2881</v>
      </c>
      <c r="D1634" s="1" t="s">
        <v>48</v>
      </c>
      <c r="E1634" s="1" t="s">
        <v>1057</v>
      </c>
      <c r="F1634" s="4">
        <v>44942.639710648145</v>
      </c>
      <c r="G1634" s="3" t="str">
        <f>HYPERLINK("https://hawk-eye.atlassian.net/browse/?atlOrigin=eyJpIjoiYzgwYTQ0ZjEyNzQzNGJhN2JmNjEyZTM0NmRhZWZhNjIiLCJwIjoic2hlZXRzLWppcmEifQ","")</f>
        <v/>
      </c>
      <c r="H1634" s="1" t="s">
        <v>1058</v>
      </c>
      <c r="I1634" s="1" t="s">
        <v>1085</v>
      </c>
      <c r="J1634" s="1" t="s">
        <v>26</v>
      </c>
      <c r="K1634" s="1" t="s">
        <v>26</v>
      </c>
      <c r="L1634" s="1" t="s">
        <v>26</v>
      </c>
      <c r="M1634" s="1" t="s">
        <v>27</v>
      </c>
      <c r="N1634" s="1" t="s">
        <v>26</v>
      </c>
      <c r="O1634" s="1" t="s">
        <v>26</v>
      </c>
      <c r="P1634" s="4">
        <v>44942.639710648145</v>
      </c>
    </row>
    <row r="1635" hidden="1">
      <c r="A1635" s="1" t="s">
        <v>21</v>
      </c>
      <c r="B1635" s="3" t="str">
        <f>HYPERLINK("https://hawk-eye.atlassian.net/browse/HWKREPORT-1807?atlOrigin=eyJpIjoiYzgwYTQ0ZjEyNzQzNGJhN2JmNjEyZTM0NmRhZWZhNjIiLCJwIjoic2hlZXRzLWppcmEifQ","HWKREPORT-1807")</f>
        <v>HWKREPORT-1807</v>
      </c>
      <c r="C1635" s="1" t="s">
        <v>2882</v>
      </c>
      <c r="D1635" s="1" t="s">
        <v>23</v>
      </c>
      <c r="E1635" s="1" t="s">
        <v>35</v>
      </c>
      <c r="F1635" s="4">
        <v>44943.4840625</v>
      </c>
      <c r="G1635" s="3" t="str">
        <f>HYPERLINK("https://hawk-eye.atlassian.net/issues/?atlOrigin=eyJpIjoiYzgwYTQ0ZjEyNzQzNGJhN2JmNjEyZTM0NmRhZWZhNjIiLCJwIjoic2hlZXRzLWppcmEifQ&amp;jql=key+in+%28HWKREPORT-1768%2CHWKREPORT-1808%29","HWKREPORT-1768;HWKREPORT-1808")</f>
        <v>HWKREPORT-1768;HWKREPORT-1808</v>
      </c>
      <c r="H1635" s="1" t="s">
        <v>1058</v>
      </c>
      <c r="I1635" s="1" t="s">
        <v>1085</v>
      </c>
      <c r="J1635" s="1" t="s">
        <v>26</v>
      </c>
      <c r="K1635" s="1" t="s">
        <v>1157</v>
      </c>
      <c r="L1635" s="1" t="s">
        <v>26</v>
      </c>
      <c r="M1635" s="1" t="s">
        <v>27</v>
      </c>
      <c r="N1635" s="1" t="s">
        <v>26</v>
      </c>
      <c r="O1635" s="1" t="s">
        <v>26</v>
      </c>
      <c r="P1635" s="4">
        <v>45770.48149305556</v>
      </c>
    </row>
    <row r="1636" hidden="1">
      <c r="A1636" s="1" t="s">
        <v>21</v>
      </c>
      <c r="B1636" s="3" t="str">
        <f>HYPERLINK("https://hawk-eye.atlassian.net/browse/HWKREPORT-1808?atlOrigin=eyJpIjoiYzgwYTQ0ZjEyNzQzNGJhN2JmNjEyZTM0NmRhZWZhNjIiLCJwIjoic2hlZXRzLWppcmEifQ","HWKREPORT-1808")</f>
        <v>HWKREPORT-1808</v>
      </c>
      <c r="C1636" s="1" t="s">
        <v>2883</v>
      </c>
      <c r="D1636" s="1" t="s">
        <v>23</v>
      </c>
      <c r="E1636" s="1" t="s">
        <v>35</v>
      </c>
      <c r="F1636" s="4">
        <v>44943.487905092596</v>
      </c>
      <c r="G1636" s="3" t="str">
        <f>HYPERLINK("https://hawk-eye.atlassian.net/issues/?atlOrigin=eyJpIjoiYzgwYTQ0ZjEyNzQzNGJhN2JmNjEyZTM0NmRhZWZhNjIiLCJwIjoic2hlZXRzLWppcmEifQ&amp;jql=key+in+%28HWKREPORT-1807%2CHWKREPORT-1809%29","HWKREPORT-1807;HWKREPORT-1809")</f>
        <v>HWKREPORT-1807;HWKREPORT-1809</v>
      </c>
      <c r="H1636" s="1" t="s">
        <v>1058</v>
      </c>
      <c r="I1636" s="1" t="s">
        <v>1085</v>
      </c>
      <c r="J1636" s="1" t="s">
        <v>26</v>
      </c>
      <c r="K1636" s="1" t="s">
        <v>1157</v>
      </c>
      <c r="L1636" s="1" t="s">
        <v>26</v>
      </c>
      <c r="M1636" s="1" t="s">
        <v>27</v>
      </c>
      <c r="N1636" s="1" t="s">
        <v>26</v>
      </c>
      <c r="O1636" s="1" t="s">
        <v>26</v>
      </c>
      <c r="P1636" s="4">
        <v>45770.48148148148</v>
      </c>
    </row>
    <row r="1637" hidden="1">
      <c r="A1637" s="1" t="s">
        <v>21</v>
      </c>
      <c r="B1637" s="3" t="str">
        <f>HYPERLINK("https://hawk-eye.atlassian.net/browse/HWKREPORT-1809?atlOrigin=eyJpIjoiYzgwYTQ0ZjEyNzQzNGJhN2JmNjEyZTM0NmRhZWZhNjIiLCJwIjoic2hlZXRzLWppcmEifQ","HWKREPORT-1809")</f>
        <v>HWKREPORT-1809</v>
      </c>
      <c r="C1637" s="1" t="s">
        <v>2884</v>
      </c>
      <c r="D1637" s="1" t="s">
        <v>23</v>
      </c>
      <c r="E1637" s="1" t="s">
        <v>35</v>
      </c>
      <c r="F1637" s="4">
        <v>44943.49554398148</v>
      </c>
      <c r="G1637" s="3" t="str">
        <f>HYPERLINK("https://hawk-eye.atlassian.net/issues/?atlOrigin=eyJpIjoiYzgwYTQ0ZjEyNzQzNGJhN2JmNjEyZTM0NmRhZWZhNjIiLCJwIjoic2hlZXRzLWppcmEifQ&amp;jql=key+in+%28HWKREPORT-1808%2CHWKREPORT-1810%29","HWKREPORT-1808;HWKREPORT-1810")</f>
        <v>HWKREPORT-1808;HWKREPORT-1810</v>
      </c>
      <c r="H1637" s="1" t="s">
        <v>1058</v>
      </c>
      <c r="I1637" s="1" t="s">
        <v>1085</v>
      </c>
      <c r="J1637" s="1" t="s">
        <v>26</v>
      </c>
      <c r="K1637" s="1" t="s">
        <v>1157</v>
      </c>
      <c r="L1637" s="1" t="s">
        <v>26</v>
      </c>
      <c r="M1637" s="1" t="s">
        <v>27</v>
      </c>
      <c r="N1637" s="1" t="s">
        <v>26</v>
      </c>
      <c r="O1637" s="1" t="s">
        <v>26</v>
      </c>
      <c r="P1637" s="4">
        <v>45770.481458333335</v>
      </c>
    </row>
    <row r="1638" hidden="1">
      <c r="A1638" s="1" t="s">
        <v>21</v>
      </c>
      <c r="B1638" s="3" t="str">
        <f>HYPERLINK("https://hawk-eye.atlassian.net/browse/HWKREPORT-1810?atlOrigin=eyJpIjoiYzgwYTQ0ZjEyNzQzNGJhN2JmNjEyZTM0NmRhZWZhNjIiLCJwIjoic2hlZXRzLWppcmEifQ","HWKREPORT-1810")</f>
        <v>HWKREPORT-1810</v>
      </c>
      <c r="C1638" s="1" t="s">
        <v>2885</v>
      </c>
      <c r="D1638" s="1" t="s">
        <v>23</v>
      </c>
      <c r="E1638" s="1" t="s">
        <v>35</v>
      </c>
      <c r="F1638" s="4">
        <v>44943.50013888889</v>
      </c>
      <c r="G1638" s="3" t="str">
        <f>HYPERLINK("https://hawk-eye.atlassian.net/issues/?atlOrigin=eyJpIjoiYzgwYTQ0ZjEyNzQzNGJhN2JmNjEyZTM0NmRhZWZhNjIiLCJwIjoic2hlZXRzLWppcmEifQ&amp;jql=key+in+%28HWKREPORT-1809%2CHWKREPORT-1811%29","HWKREPORT-1809;HWKREPORT-1811")</f>
        <v>HWKREPORT-1809;HWKREPORT-1811</v>
      </c>
      <c r="H1638" s="1" t="s">
        <v>1058</v>
      </c>
      <c r="I1638" s="1" t="s">
        <v>1085</v>
      </c>
      <c r="J1638" s="1" t="s">
        <v>26</v>
      </c>
      <c r="K1638" s="1" t="s">
        <v>1157</v>
      </c>
      <c r="L1638" s="1" t="s">
        <v>26</v>
      </c>
      <c r="M1638" s="1" t="s">
        <v>27</v>
      </c>
      <c r="N1638" s="1" t="s">
        <v>26</v>
      </c>
      <c r="O1638" s="1" t="s">
        <v>26</v>
      </c>
      <c r="P1638" s="4">
        <v>45770.48144675926</v>
      </c>
    </row>
    <row r="1639" hidden="1">
      <c r="A1639" s="1" t="s">
        <v>21</v>
      </c>
      <c r="B1639" s="3" t="str">
        <f>HYPERLINK("https://hawk-eye.atlassian.net/browse/HWKREPORT-1811?atlOrigin=eyJpIjoiYzgwYTQ0ZjEyNzQzNGJhN2JmNjEyZTM0NmRhZWZhNjIiLCJwIjoic2hlZXRzLWppcmEifQ","HWKREPORT-1811")</f>
        <v>HWKREPORT-1811</v>
      </c>
      <c r="C1639" s="1" t="s">
        <v>2886</v>
      </c>
      <c r="D1639" s="1" t="s">
        <v>23</v>
      </c>
      <c r="E1639" s="1" t="s">
        <v>35</v>
      </c>
      <c r="F1639" s="4">
        <v>44943.50287037037</v>
      </c>
      <c r="G1639" s="3" t="str">
        <f>HYPERLINK("https://hawk-eye.atlassian.net/browse/HWKREPORT-1810?atlOrigin=eyJpIjoiYzgwYTQ0ZjEyNzQzNGJhN2JmNjEyZTM0NmRhZWZhNjIiLCJwIjoic2hlZXRzLWppcmEifQ","HWKREPORT-1810")</f>
        <v>HWKREPORT-1810</v>
      </c>
      <c r="H1639" s="1" t="s">
        <v>1058</v>
      </c>
      <c r="I1639" s="1" t="s">
        <v>1085</v>
      </c>
      <c r="J1639" s="1" t="s">
        <v>26</v>
      </c>
      <c r="K1639" s="1" t="s">
        <v>1157</v>
      </c>
      <c r="L1639" s="1" t="s">
        <v>26</v>
      </c>
      <c r="M1639" s="1" t="s">
        <v>27</v>
      </c>
      <c r="N1639" s="1" t="s">
        <v>26</v>
      </c>
      <c r="O1639" s="1" t="s">
        <v>26</v>
      </c>
      <c r="P1639" s="4">
        <v>45770.481516203705</v>
      </c>
    </row>
    <row r="1640" hidden="1">
      <c r="A1640" s="1" t="s">
        <v>21</v>
      </c>
      <c r="B1640" s="3" t="str">
        <f>HYPERLINK("https://hawk-eye.atlassian.net/browse/HWKREPORT-1812?atlOrigin=eyJpIjoiYzgwYTQ0ZjEyNzQzNGJhN2JmNjEyZTM0NmRhZWZhNjIiLCJwIjoic2hlZXRzLWppcmEifQ","HWKREPORT-1812")</f>
        <v>HWKREPORT-1812</v>
      </c>
      <c r="C1640" s="1" t="s">
        <v>2887</v>
      </c>
      <c r="D1640" s="1" t="s">
        <v>48</v>
      </c>
      <c r="E1640" s="1" t="s">
        <v>35</v>
      </c>
      <c r="F1640" s="4">
        <v>44943.91547453704</v>
      </c>
      <c r="G1640" s="3" t="str">
        <f>HYPERLINK("https://hawk-eye.atlassian.net/browse/RTT-5790?atlOrigin=eyJpIjoiYzgwYTQ0ZjEyNzQzNGJhN2JmNjEyZTM0NmRhZWZhNjIiLCJwIjoic2hlZXRzLWppcmEifQ","RTT-5790")</f>
        <v>RTT-5790</v>
      </c>
      <c r="H1640" s="1" t="s">
        <v>1058</v>
      </c>
      <c r="I1640" s="1" t="s">
        <v>1059</v>
      </c>
      <c r="J1640" s="1" t="s">
        <v>26</v>
      </c>
      <c r="K1640" s="1" t="s">
        <v>1072</v>
      </c>
      <c r="L1640" s="1" t="s">
        <v>26</v>
      </c>
      <c r="M1640" s="1" t="s">
        <v>27</v>
      </c>
      <c r="N1640" s="1" t="s">
        <v>26</v>
      </c>
      <c r="O1640" s="1" t="s">
        <v>26</v>
      </c>
      <c r="P1640" s="4">
        <v>44965.43561342593</v>
      </c>
    </row>
    <row r="1641" hidden="1">
      <c r="A1641" s="1" t="s">
        <v>1055</v>
      </c>
      <c r="B1641" s="3" t="str">
        <f>HYPERLINK("https://hawk-eye.atlassian.net/browse/HWKREPORT-1813?atlOrigin=eyJpIjoiYzgwYTQ0ZjEyNzQzNGJhN2JmNjEyZTM0NmRhZWZhNjIiLCJwIjoic2hlZXRzLWppcmEifQ","HWKREPORT-1813")</f>
        <v>HWKREPORT-1813</v>
      </c>
      <c r="C1641" s="6" t="s">
        <v>2888</v>
      </c>
      <c r="D1641" s="1" t="s">
        <v>48</v>
      </c>
      <c r="E1641" s="1" t="s">
        <v>1207</v>
      </c>
      <c r="F1641" s="4">
        <v>44944.36277777778</v>
      </c>
      <c r="G1641" s="3" t="str">
        <f>HYPERLINK("https://hawk-eye.atlassian.net/browse/RTT-5794?atlOrigin=eyJpIjoiYzgwYTQ0ZjEyNzQzNGJhN2JmNjEyZTM0NmRhZWZhNjIiLCJwIjoic2hlZXRzLWppcmEifQ","RTT-5794")</f>
        <v>RTT-5794</v>
      </c>
      <c r="H1641" s="1" t="s">
        <v>1058</v>
      </c>
      <c r="I1641" s="1" t="s">
        <v>1085</v>
      </c>
      <c r="J1641" s="1" t="s">
        <v>26</v>
      </c>
      <c r="K1641" s="1" t="s">
        <v>1072</v>
      </c>
      <c r="L1641" s="1" t="s">
        <v>26</v>
      </c>
      <c r="M1641" s="1" t="s">
        <v>27</v>
      </c>
      <c r="N1641" s="1" t="s">
        <v>26</v>
      </c>
      <c r="O1641" s="1" t="s">
        <v>26</v>
      </c>
      <c r="P1641" s="4">
        <v>45070.42107638889</v>
      </c>
    </row>
    <row r="1642" hidden="1">
      <c r="A1642" s="1" t="s">
        <v>21</v>
      </c>
      <c r="B1642" s="3" t="str">
        <f>HYPERLINK("https://hawk-eye.atlassian.net/browse/HWKREPORT-1814?atlOrigin=eyJpIjoiYzgwYTQ0ZjEyNzQzNGJhN2JmNjEyZTM0NmRhZWZhNjIiLCJwIjoic2hlZXRzLWppcmEifQ","HWKREPORT-1814")</f>
        <v>HWKREPORT-1814</v>
      </c>
      <c r="C1642" s="1" t="s">
        <v>2889</v>
      </c>
      <c r="D1642" s="1" t="s">
        <v>23</v>
      </c>
      <c r="E1642" s="1" t="s">
        <v>1207</v>
      </c>
      <c r="F1642" s="4">
        <v>44944.51652777778</v>
      </c>
      <c r="G1642" s="3" t="str">
        <f>HYPERLINK("https://hawk-eye.atlassian.net/browse/RTT-5800?atlOrigin=eyJpIjoiYzgwYTQ0ZjEyNzQzNGJhN2JmNjEyZTM0NmRhZWZhNjIiLCJwIjoic2hlZXRzLWppcmEifQ","RTT-5800")</f>
        <v>RTT-5800</v>
      </c>
      <c r="H1642" s="1" t="s">
        <v>1058</v>
      </c>
      <c r="I1642" s="1" t="s">
        <v>1126</v>
      </c>
      <c r="J1642" s="1" t="s">
        <v>26</v>
      </c>
      <c r="K1642" s="1" t="s">
        <v>1211</v>
      </c>
      <c r="L1642" s="1" t="s">
        <v>26</v>
      </c>
      <c r="M1642" s="1" t="s">
        <v>27</v>
      </c>
      <c r="N1642" s="1" t="s">
        <v>26</v>
      </c>
      <c r="O1642" s="1" t="s">
        <v>26</v>
      </c>
      <c r="P1642" s="4">
        <v>45036.43085648148</v>
      </c>
    </row>
    <row r="1643" hidden="1">
      <c r="A1643" s="1" t="s">
        <v>21</v>
      </c>
      <c r="B1643" s="3" t="str">
        <f>HYPERLINK("https://hawk-eye.atlassian.net/browse/HWKREPORT-1815?atlOrigin=eyJpIjoiYzgwYTQ0ZjEyNzQzNGJhN2JmNjEyZTM0NmRhZWZhNjIiLCJwIjoic2hlZXRzLWppcmEifQ","HWKREPORT-1815")</f>
        <v>HWKREPORT-1815</v>
      </c>
      <c r="C1643" s="1" t="s">
        <v>2890</v>
      </c>
      <c r="D1643" s="1" t="s">
        <v>23</v>
      </c>
      <c r="E1643" s="1" t="s">
        <v>35</v>
      </c>
      <c r="F1643" s="4">
        <v>44944.53128472222</v>
      </c>
      <c r="G1643" s="3" t="str">
        <f>HYPERLINK("https://hawk-eye.atlassian.net/browse/TDP-1580?atlOrigin=eyJpIjoiYzgwYTQ0ZjEyNzQzNGJhN2JmNjEyZTM0NmRhZWZhNjIiLCJwIjoic2hlZXRzLWppcmEifQ","TDP-1580")</f>
        <v>TDP-1580</v>
      </c>
      <c r="H1643" s="1" t="s">
        <v>1058</v>
      </c>
      <c r="I1643" s="1" t="s">
        <v>1126</v>
      </c>
      <c r="J1643" s="1" t="s">
        <v>26</v>
      </c>
      <c r="K1643" s="1" t="s">
        <v>1211</v>
      </c>
      <c r="L1643" s="1" t="s">
        <v>26</v>
      </c>
      <c r="M1643" s="1" t="s">
        <v>27</v>
      </c>
      <c r="N1643" s="1" t="s">
        <v>26</v>
      </c>
      <c r="O1643" s="1" t="s">
        <v>26</v>
      </c>
      <c r="P1643" s="4">
        <v>45397.487233796295</v>
      </c>
    </row>
    <row r="1644" hidden="1">
      <c r="A1644" s="1" t="s">
        <v>1055</v>
      </c>
      <c r="B1644" s="3" t="str">
        <f>HYPERLINK("https://hawk-eye.atlassian.net/browse/HWKREPORT-1816?atlOrigin=eyJpIjoiYzgwYTQ0ZjEyNzQzNGJhN2JmNjEyZTM0NmRhZWZhNjIiLCJwIjoic2hlZXRzLWppcmEifQ","HWKREPORT-1816")</f>
        <v>HWKREPORT-1816</v>
      </c>
      <c r="C1644" s="1" t="s">
        <v>2891</v>
      </c>
      <c r="D1644" s="1" t="s">
        <v>48</v>
      </c>
      <c r="E1644" s="1" t="s">
        <v>35</v>
      </c>
      <c r="F1644" s="4">
        <v>44946.623078703706</v>
      </c>
      <c r="G1644" s="3" t="str">
        <f>HYPERLINK("https://hawk-eye.atlassian.net/browse/RTT-5797?atlOrigin=eyJpIjoiYzgwYTQ0ZjEyNzQzNGJhN2JmNjEyZTM0NmRhZWZhNjIiLCJwIjoic2hlZXRzLWppcmEifQ","RTT-5797")</f>
        <v>RTT-5797</v>
      </c>
      <c r="H1644" s="1" t="s">
        <v>1058</v>
      </c>
      <c r="I1644" s="1" t="s">
        <v>28</v>
      </c>
      <c r="J1644" s="1" t="s">
        <v>26</v>
      </c>
      <c r="K1644" s="1" t="s">
        <v>1072</v>
      </c>
      <c r="L1644" s="1" t="s">
        <v>26</v>
      </c>
      <c r="M1644" s="1" t="s">
        <v>27</v>
      </c>
      <c r="N1644" s="1" t="s">
        <v>26</v>
      </c>
      <c r="O1644" s="1" t="s">
        <v>26</v>
      </c>
      <c r="P1644" s="4">
        <v>45524.7309837963</v>
      </c>
    </row>
    <row r="1645" hidden="1">
      <c r="A1645" s="1" t="s">
        <v>21</v>
      </c>
      <c r="B1645" s="3" t="str">
        <f>HYPERLINK("https://hawk-eye.atlassian.net/browse/HWKREPORT-1817?atlOrigin=eyJpIjoiYzgwYTQ0ZjEyNzQzNGJhN2JmNjEyZTM0NmRhZWZhNjIiLCJwIjoic2hlZXRzLWppcmEifQ","HWKREPORT-1817")</f>
        <v>HWKREPORT-1817</v>
      </c>
      <c r="C1645" s="1" t="s">
        <v>2892</v>
      </c>
      <c r="D1645" s="1" t="s">
        <v>23</v>
      </c>
      <c r="E1645" s="1" t="s">
        <v>35</v>
      </c>
      <c r="F1645" s="4">
        <v>44946.883784722224</v>
      </c>
      <c r="G1645" s="3" t="str">
        <f>HYPERLINK("https://hawk-eye.atlassian.net/browse/CORE-200?atlOrigin=eyJpIjoiYzgwYTQ0ZjEyNzQzNGJhN2JmNjEyZTM0NmRhZWZhNjIiLCJwIjoic2hlZXRzLWppcmEifQ","CORE-200")</f>
        <v>CORE-200</v>
      </c>
      <c r="H1645" s="1" t="s">
        <v>1058</v>
      </c>
      <c r="I1645" s="1" t="s">
        <v>1071</v>
      </c>
      <c r="J1645" s="1" t="s">
        <v>26</v>
      </c>
      <c r="K1645" s="1" t="s">
        <v>1134</v>
      </c>
      <c r="L1645" s="1" t="s">
        <v>26</v>
      </c>
      <c r="M1645" s="1" t="s">
        <v>27</v>
      </c>
      <c r="N1645" s="1" t="s">
        <v>26</v>
      </c>
      <c r="O1645" s="1" t="s">
        <v>26</v>
      </c>
      <c r="P1645" s="4">
        <v>44959.62704861111</v>
      </c>
    </row>
    <row r="1646" hidden="1">
      <c r="A1646" s="1" t="s">
        <v>21</v>
      </c>
      <c r="B1646" s="3" t="str">
        <f>HYPERLINK("https://hawk-eye.atlassian.net/browse/HWKREPORT-1818?atlOrigin=eyJpIjoiYzgwYTQ0ZjEyNzQzNGJhN2JmNjEyZTM0NmRhZWZhNjIiLCJwIjoic2hlZXRzLWppcmEifQ","HWKREPORT-1818")</f>
        <v>HWKREPORT-1818</v>
      </c>
      <c r="C1646" s="1" t="s">
        <v>2893</v>
      </c>
      <c r="D1646" s="1" t="s">
        <v>34</v>
      </c>
      <c r="E1646" s="1" t="s">
        <v>35</v>
      </c>
      <c r="F1646" s="4">
        <v>44947.62965277778</v>
      </c>
      <c r="G1646" s="3" t="str">
        <f>HYPERLINK("https://hawk-eye.atlassian.net/issues/?atlOrigin=eyJpIjoiYzgwYTQ0ZjEyNzQzNGJhN2JmNjEyZTM0NmRhZWZhNjIiLCJwIjoic2hlZXRzLWppcmEifQ&amp;jql=key+in+%28HE-1140%2CDSF-90%29","HE-1140;DSF-90")</f>
        <v>HE-1140;DSF-90</v>
      </c>
      <c r="H1646" s="1" t="s">
        <v>1058</v>
      </c>
      <c r="I1646" s="1" t="s">
        <v>1085</v>
      </c>
      <c r="J1646" s="1" t="s">
        <v>26</v>
      </c>
      <c r="K1646" s="1" t="s">
        <v>1157</v>
      </c>
      <c r="L1646" s="1" t="s">
        <v>26</v>
      </c>
      <c r="M1646" s="1" t="s">
        <v>27</v>
      </c>
      <c r="N1646" s="1" t="s">
        <v>26</v>
      </c>
      <c r="O1646" s="1" t="s">
        <v>26</v>
      </c>
      <c r="P1646" s="4">
        <v>44949.73386574074</v>
      </c>
    </row>
    <row r="1647" hidden="1">
      <c r="A1647" s="1" t="s">
        <v>21</v>
      </c>
      <c r="B1647" s="3" t="str">
        <f>HYPERLINK("https://hawk-eye.atlassian.net/browse/HWKREPORT-1819?atlOrigin=eyJpIjoiYzgwYTQ0ZjEyNzQzNGJhN2JmNjEyZTM0NmRhZWZhNjIiLCJwIjoic2hlZXRzLWppcmEifQ","HWKREPORT-1819")</f>
        <v>HWKREPORT-1819</v>
      </c>
      <c r="C1647" s="1" t="s">
        <v>2894</v>
      </c>
      <c r="D1647" s="1" t="s">
        <v>48</v>
      </c>
      <c r="E1647" s="1" t="s">
        <v>35</v>
      </c>
      <c r="F1647" s="4">
        <v>44949.50962962963</v>
      </c>
      <c r="G1647" s="3" t="str">
        <f>HYPERLINK("https://hawk-eye.atlassian.net/browse/?atlOrigin=eyJpIjoiYzgwYTQ0ZjEyNzQzNGJhN2JmNjEyZTM0NmRhZWZhNjIiLCJwIjoic2hlZXRzLWppcmEifQ","")</f>
        <v/>
      </c>
      <c r="H1647" s="1" t="s">
        <v>1058</v>
      </c>
      <c r="I1647" s="1" t="s">
        <v>1082</v>
      </c>
      <c r="J1647" s="1" t="s">
        <v>26</v>
      </c>
      <c r="K1647" s="1" t="s">
        <v>1148</v>
      </c>
      <c r="L1647" s="1" t="s">
        <v>26</v>
      </c>
      <c r="M1647" s="1" t="s">
        <v>27</v>
      </c>
      <c r="N1647" s="1" t="s">
        <v>26</v>
      </c>
      <c r="O1647" s="1" t="s">
        <v>26</v>
      </c>
      <c r="P1647" s="4">
        <v>45127.66396990741</v>
      </c>
    </row>
    <row r="1648" hidden="1">
      <c r="A1648" s="1" t="s">
        <v>1055</v>
      </c>
      <c r="B1648" s="3" t="str">
        <f>HYPERLINK("https://hawk-eye.atlassian.net/browse/HWKREPORT-1820?atlOrigin=eyJpIjoiYzgwYTQ0ZjEyNzQzNGJhN2JmNjEyZTM0NmRhZWZhNjIiLCJwIjoic2hlZXRzLWppcmEifQ","HWKREPORT-1820")</f>
        <v>HWKREPORT-1820</v>
      </c>
      <c r="C1648" s="1" t="s">
        <v>2895</v>
      </c>
      <c r="D1648" s="1" t="s">
        <v>48</v>
      </c>
      <c r="E1648" s="1" t="s">
        <v>35</v>
      </c>
      <c r="F1648" s="4">
        <v>44949.73423611111</v>
      </c>
      <c r="G1648" s="3" t="str">
        <f>HYPERLINK("https://hawk-eye.atlassian.net/browse/RTT-5835?atlOrigin=eyJpIjoiYzgwYTQ0ZjEyNzQzNGJhN2JmNjEyZTM0NmRhZWZhNjIiLCJwIjoic2hlZXRzLWppcmEifQ","RTT-5835")</f>
        <v>RTT-5835</v>
      </c>
      <c r="H1648" s="1" t="s">
        <v>1058</v>
      </c>
      <c r="I1648" s="1" t="s">
        <v>1280</v>
      </c>
      <c r="J1648" s="1" t="s">
        <v>26</v>
      </c>
      <c r="K1648" s="1" t="s">
        <v>26</v>
      </c>
      <c r="L1648" s="1" t="s">
        <v>26</v>
      </c>
      <c r="M1648" s="1" t="s">
        <v>27</v>
      </c>
      <c r="N1648" s="1" t="s">
        <v>26</v>
      </c>
      <c r="O1648" s="1" t="s">
        <v>26</v>
      </c>
      <c r="P1648" s="4">
        <v>44986.60797453704</v>
      </c>
    </row>
    <row r="1649" hidden="1">
      <c r="A1649" s="1" t="s">
        <v>21</v>
      </c>
      <c r="B1649" s="3" t="str">
        <f>HYPERLINK("https://hawk-eye.atlassian.net/browse/HWKREPORT-1821?atlOrigin=eyJpIjoiYzgwYTQ0ZjEyNzQzNGJhN2JmNjEyZTM0NmRhZWZhNjIiLCJwIjoic2hlZXRzLWppcmEifQ","HWKREPORT-1821")</f>
        <v>HWKREPORT-1821</v>
      </c>
      <c r="C1649" s="1" t="s">
        <v>2896</v>
      </c>
      <c r="D1649" s="1" t="s">
        <v>23</v>
      </c>
      <c r="E1649" s="1" t="s">
        <v>1057</v>
      </c>
      <c r="F1649" s="4">
        <v>44950.867430555554</v>
      </c>
      <c r="G1649" s="3" t="str">
        <f>HYPERLINK("https://hawk-eye.atlassian.net/browse/RTT-5807?atlOrigin=eyJpIjoiYzgwYTQ0ZjEyNzQzNGJhN2JmNjEyZTM0NmRhZWZhNjIiLCJwIjoic2hlZXRzLWppcmEifQ","RTT-5807")</f>
        <v>RTT-5807</v>
      </c>
      <c r="H1649" s="1" t="s">
        <v>1058</v>
      </c>
      <c r="I1649" s="1" t="s">
        <v>1071</v>
      </c>
      <c r="J1649" s="1" t="s">
        <v>26</v>
      </c>
      <c r="K1649" s="1" t="s">
        <v>1072</v>
      </c>
      <c r="L1649" s="1" t="s">
        <v>26</v>
      </c>
      <c r="M1649" s="1" t="s">
        <v>27</v>
      </c>
      <c r="N1649" s="1" t="s">
        <v>26</v>
      </c>
      <c r="O1649" s="1" t="s">
        <v>26</v>
      </c>
      <c r="P1649" s="4">
        <v>45216.38805555556</v>
      </c>
    </row>
    <row r="1650" hidden="1">
      <c r="A1650" s="1" t="s">
        <v>1055</v>
      </c>
      <c r="B1650" s="3" t="str">
        <f>HYPERLINK("https://hawk-eye.atlassian.net/browse/HWKREPORT-1822?atlOrigin=eyJpIjoiYzgwYTQ0ZjEyNzQzNGJhN2JmNjEyZTM0NmRhZWZhNjIiLCJwIjoic2hlZXRzLWppcmEifQ","HWKREPORT-1822")</f>
        <v>HWKREPORT-1822</v>
      </c>
      <c r="C1650" s="1" t="s">
        <v>2897</v>
      </c>
      <c r="D1650" s="1" t="s">
        <v>48</v>
      </c>
      <c r="E1650" s="1" t="s">
        <v>1207</v>
      </c>
      <c r="F1650" s="4">
        <v>44950.944027777776</v>
      </c>
      <c r="G1650" s="3" t="str">
        <f>HYPERLINK("https://hawk-eye.atlassian.net/browse/RTT-5808?atlOrigin=eyJpIjoiYzgwYTQ0ZjEyNzQzNGJhN2JmNjEyZTM0NmRhZWZhNjIiLCJwIjoic2hlZXRzLWppcmEifQ","RTT-5808")</f>
        <v>RTT-5808</v>
      </c>
      <c r="H1650" s="1" t="s">
        <v>1058</v>
      </c>
      <c r="I1650" s="1" t="s">
        <v>1071</v>
      </c>
      <c r="J1650" s="1" t="s">
        <v>26</v>
      </c>
      <c r="K1650" s="1" t="s">
        <v>1093</v>
      </c>
      <c r="L1650" s="1" t="s">
        <v>26</v>
      </c>
      <c r="M1650" s="1" t="s">
        <v>27</v>
      </c>
      <c r="N1650" s="1" t="s">
        <v>26</v>
      </c>
      <c r="O1650" s="1" t="s">
        <v>26</v>
      </c>
      <c r="P1650" s="4">
        <v>44981.612349537034</v>
      </c>
    </row>
    <row r="1651" hidden="1">
      <c r="A1651" s="1" t="s">
        <v>21</v>
      </c>
      <c r="B1651" s="3" t="str">
        <f>HYPERLINK("https://hawk-eye.atlassian.net/browse/HWKREPORT-1823?atlOrigin=eyJpIjoiYzgwYTQ0ZjEyNzQzNGJhN2JmNjEyZTM0NmRhZWZhNjIiLCJwIjoic2hlZXRzLWppcmEifQ","HWKREPORT-1823")</f>
        <v>HWKREPORT-1823</v>
      </c>
      <c r="C1651" s="1" t="s">
        <v>2898</v>
      </c>
      <c r="D1651" s="1" t="s">
        <v>23</v>
      </c>
      <c r="E1651" s="1" t="s">
        <v>35</v>
      </c>
      <c r="F1651" s="4">
        <v>44952.46363425926</v>
      </c>
      <c r="G1651" s="3" t="str">
        <f>HYPERLINK("https://hawk-eye.atlassian.net/browse/GT-786?atlOrigin=eyJpIjoiYzgwYTQ0ZjEyNzQzNGJhN2JmNjEyZTM0NmRhZWZhNjIiLCJwIjoic2hlZXRzLWppcmEifQ","GT-786")</f>
        <v>GT-786</v>
      </c>
      <c r="H1651" s="1" t="s">
        <v>1058</v>
      </c>
      <c r="I1651" s="1" t="s">
        <v>1082</v>
      </c>
      <c r="J1651" s="1" t="s">
        <v>26</v>
      </c>
      <c r="K1651" s="1" t="s">
        <v>1148</v>
      </c>
      <c r="L1651" s="1" t="s">
        <v>26</v>
      </c>
      <c r="M1651" s="1" t="s">
        <v>27</v>
      </c>
      <c r="N1651" s="1" t="s">
        <v>26</v>
      </c>
      <c r="O1651" s="1" t="s">
        <v>26</v>
      </c>
      <c r="P1651" s="4">
        <v>44964.65315972222</v>
      </c>
    </row>
    <row r="1652" hidden="1">
      <c r="A1652" s="1" t="s">
        <v>21</v>
      </c>
      <c r="B1652" s="3" t="str">
        <f>HYPERLINK("https://hawk-eye.atlassian.net/browse/HWKREPORT-1824?atlOrigin=eyJpIjoiYzgwYTQ0ZjEyNzQzNGJhN2JmNjEyZTM0NmRhZWZhNjIiLCJwIjoic2hlZXRzLWppcmEifQ","HWKREPORT-1824")</f>
        <v>HWKREPORT-1824</v>
      </c>
      <c r="C1652" s="1" t="s">
        <v>2899</v>
      </c>
      <c r="D1652" s="1" t="s">
        <v>23</v>
      </c>
      <c r="E1652" s="1" t="s">
        <v>35</v>
      </c>
      <c r="F1652" s="4">
        <v>44952.46506944444</v>
      </c>
      <c r="G1652" s="3" t="str">
        <f>HYPERLINK("https://hawk-eye.atlassian.net/browse/GT-722?atlOrigin=eyJpIjoiYzgwYTQ0ZjEyNzQzNGJhN2JmNjEyZTM0NmRhZWZhNjIiLCJwIjoic2hlZXRzLWppcmEifQ","GT-722")</f>
        <v>GT-722</v>
      </c>
      <c r="H1652" s="1" t="s">
        <v>1058</v>
      </c>
      <c r="I1652" s="1" t="s">
        <v>1082</v>
      </c>
      <c r="J1652" s="1" t="s">
        <v>26</v>
      </c>
      <c r="K1652" s="1" t="s">
        <v>1114</v>
      </c>
      <c r="L1652" s="1" t="s">
        <v>26</v>
      </c>
      <c r="M1652" s="1" t="s">
        <v>27</v>
      </c>
      <c r="N1652" s="1" t="s">
        <v>26</v>
      </c>
      <c r="O1652" s="1" t="s">
        <v>26</v>
      </c>
      <c r="P1652" s="4">
        <v>44999.446967592594</v>
      </c>
    </row>
    <row r="1653" hidden="1">
      <c r="A1653" s="1" t="s">
        <v>21</v>
      </c>
      <c r="B1653" s="3" t="str">
        <f>HYPERLINK("https://hawk-eye.atlassian.net/browse/HWKREPORT-1825?atlOrigin=eyJpIjoiYzgwYTQ0ZjEyNzQzNGJhN2JmNjEyZTM0NmRhZWZhNjIiLCJwIjoic2hlZXRzLWppcmEifQ","HWKREPORT-1825")</f>
        <v>HWKREPORT-1825</v>
      </c>
      <c r="C1653" s="1" t="s">
        <v>2900</v>
      </c>
      <c r="D1653" s="1" t="s">
        <v>48</v>
      </c>
      <c r="E1653" s="1" t="s">
        <v>1057</v>
      </c>
      <c r="F1653" s="4">
        <v>44952.46792824074</v>
      </c>
      <c r="G1653" s="3" t="str">
        <f>HYPERLINK("https://hawk-eye.atlassian.net/browse/GT-874?atlOrigin=eyJpIjoiYzgwYTQ0ZjEyNzQzNGJhN2JmNjEyZTM0NmRhZWZhNjIiLCJwIjoic2hlZXRzLWppcmEifQ","GT-874")</f>
        <v>GT-874</v>
      </c>
      <c r="H1653" s="1" t="s">
        <v>1058</v>
      </c>
      <c r="I1653" s="1" t="s">
        <v>1082</v>
      </c>
      <c r="J1653" s="1" t="s">
        <v>26</v>
      </c>
      <c r="K1653" s="1" t="s">
        <v>1148</v>
      </c>
      <c r="L1653" s="1" t="s">
        <v>26</v>
      </c>
      <c r="M1653" s="1" t="s">
        <v>27</v>
      </c>
      <c r="N1653" s="1" t="s">
        <v>26</v>
      </c>
      <c r="O1653" s="1" t="s">
        <v>26</v>
      </c>
      <c r="P1653" s="4">
        <v>44952.467939814815</v>
      </c>
    </row>
    <row r="1654" hidden="1">
      <c r="A1654" s="1" t="s">
        <v>21</v>
      </c>
      <c r="B1654" s="3" t="str">
        <f>HYPERLINK("https://hawk-eye.atlassian.net/browse/HWKREPORT-1826?atlOrigin=eyJpIjoiYzgwYTQ0ZjEyNzQzNGJhN2JmNjEyZTM0NmRhZWZhNjIiLCJwIjoic2hlZXRzLWppcmEifQ","HWKREPORT-1826")</f>
        <v>HWKREPORT-1826</v>
      </c>
      <c r="C1654" s="1" t="s">
        <v>2901</v>
      </c>
      <c r="D1654" s="1" t="s">
        <v>34</v>
      </c>
      <c r="E1654" s="1" t="s">
        <v>35</v>
      </c>
      <c r="F1654" s="4">
        <v>44952.46957175926</v>
      </c>
      <c r="G1654" s="3" t="str">
        <f t="shared" ref="G1654:G1656" si="138">HYPERLINK("https://hawk-eye.atlassian.net/browse/?atlOrigin=eyJpIjoiYzgwYTQ0ZjEyNzQzNGJhN2JmNjEyZTM0NmRhZWZhNjIiLCJwIjoic2hlZXRzLWppcmEifQ","")</f>
        <v/>
      </c>
      <c r="H1654" s="1" t="s">
        <v>1058</v>
      </c>
      <c r="I1654" s="1" t="s">
        <v>1082</v>
      </c>
      <c r="J1654" s="1" t="s">
        <v>26</v>
      </c>
      <c r="K1654" s="1" t="s">
        <v>1114</v>
      </c>
      <c r="L1654" s="1" t="s">
        <v>26</v>
      </c>
      <c r="M1654" s="1" t="s">
        <v>27</v>
      </c>
      <c r="N1654" s="1" t="s">
        <v>26</v>
      </c>
      <c r="O1654" s="1" t="s">
        <v>26</v>
      </c>
      <c r="P1654" s="4">
        <v>44952.52400462963</v>
      </c>
    </row>
    <row r="1655" hidden="1">
      <c r="A1655" s="1" t="s">
        <v>1055</v>
      </c>
      <c r="B1655" s="3" t="str">
        <f>HYPERLINK("https://hawk-eye.atlassian.net/browse/HWKREPORT-1827?atlOrigin=eyJpIjoiYzgwYTQ0ZjEyNzQzNGJhN2JmNjEyZTM0NmRhZWZhNjIiLCJwIjoic2hlZXRzLWppcmEifQ","HWKREPORT-1827")</f>
        <v>HWKREPORT-1827</v>
      </c>
      <c r="C1655" s="1" t="s">
        <v>2902</v>
      </c>
      <c r="D1655" s="1" t="s">
        <v>48</v>
      </c>
      <c r="E1655" s="1" t="s">
        <v>1057</v>
      </c>
      <c r="F1655" s="4">
        <v>44952.479212962964</v>
      </c>
      <c r="G1655" s="3" t="str">
        <f t="shared" si="138"/>
        <v/>
      </c>
      <c r="H1655" s="1" t="s">
        <v>1058</v>
      </c>
      <c r="I1655" s="1" t="s">
        <v>1082</v>
      </c>
      <c r="J1655" s="1" t="s">
        <v>26</v>
      </c>
      <c r="K1655" s="1" t="s">
        <v>1148</v>
      </c>
      <c r="L1655" s="1" t="s">
        <v>26</v>
      </c>
      <c r="M1655" s="1" t="s">
        <v>27</v>
      </c>
      <c r="N1655" s="1" t="s">
        <v>26</v>
      </c>
      <c r="O1655" s="1" t="s">
        <v>26</v>
      </c>
      <c r="P1655" s="4">
        <v>44952.479212962964</v>
      </c>
    </row>
    <row r="1656" hidden="1">
      <c r="A1656" s="1" t="s">
        <v>21</v>
      </c>
      <c r="B1656" s="3" t="str">
        <f>HYPERLINK("https://hawk-eye.atlassian.net/browse/HWKREPORT-1828?atlOrigin=eyJpIjoiYzgwYTQ0ZjEyNzQzNGJhN2JmNjEyZTM0NmRhZWZhNjIiLCJwIjoic2hlZXRzLWppcmEifQ","HWKREPORT-1828")</f>
        <v>HWKREPORT-1828</v>
      </c>
      <c r="C1656" s="1" t="s">
        <v>2903</v>
      </c>
      <c r="D1656" s="1" t="s">
        <v>34</v>
      </c>
      <c r="E1656" s="1" t="s">
        <v>35</v>
      </c>
      <c r="F1656" s="4">
        <v>44952.48342592592</v>
      </c>
      <c r="G1656" s="3" t="str">
        <f t="shared" si="138"/>
        <v/>
      </c>
      <c r="H1656" s="1" t="s">
        <v>1058</v>
      </c>
      <c r="I1656" s="1" t="s">
        <v>1082</v>
      </c>
      <c r="J1656" s="1" t="s">
        <v>26</v>
      </c>
      <c r="K1656" s="1" t="s">
        <v>1148</v>
      </c>
      <c r="L1656" s="1" t="s">
        <v>26</v>
      </c>
      <c r="M1656" s="1" t="s">
        <v>27</v>
      </c>
      <c r="N1656" s="1" t="s">
        <v>26</v>
      </c>
      <c r="O1656" s="1" t="s">
        <v>26</v>
      </c>
      <c r="P1656" s="4">
        <v>45127.664930555555</v>
      </c>
    </row>
    <row r="1657" hidden="1">
      <c r="A1657" s="1" t="s">
        <v>21</v>
      </c>
      <c r="B1657" s="3" t="str">
        <f>HYPERLINK("https://hawk-eye.atlassian.net/browse/HWKREPORT-1829?atlOrigin=eyJpIjoiYzgwYTQ0ZjEyNzQzNGJhN2JmNjEyZTM0NmRhZWZhNjIiLCJwIjoic2hlZXRzLWppcmEifQ","HWKREPORT-1829")</f>
        <v>HWKREPORT-1829</v>
      </c>
      <c r="C1657" s="1" t="s">
        <v>2904</v>
      </c>
      <c r="D1657" s="1" t="s">
        <v>34</v>
      </c>
      <c r="E1657" s="1" t="s">
        <v>35</v>
      </c>
      <c r="F1657" s="4">
        <v>44952.814618055556</v>
      </c>
      <c r="G1657" s="3" t="str">
        <f>HYPERLINK("https://hawk-eye.atlassian.net/browse/RTT-5816?atlOrigin=eyJpIjoiYzgwYTQ0ZjEyNzQzNGJhN2JmNjEyZTM0NmRhZWZhNjIiLCJwIjoic2hlZXRzLWppcmEifQ","RTT-5816")</f>
        <v>RTT-5816</v>
      </c>
      <c r="H1657" s="1" t="s">
        <v>1058</v>
      </c>
      <c r="I1657" s="1" t="s">
        <v>1071</v>
      </c>
      <c r="J1657" s="1" t="s">
        <v>26</v>
      </c>
      <c r="K1657" s="1" t="s">
        <v>1072</v>
      </c>
      <c r="L1657" s="1" t="s">
        <v>26</v>
      </c>
      <c r="M1657" s="1" t="s">
        <v>27</v>
      </c>
      <c r="N1657" s="1" t="s">
        <v>26</v>
      </c>
      <c r="O1657" s="1" t="s">
        <v>26</v>
      </c>
      <c r="P1657" s="4">
        <v>44992.66386574074</v>
      </c>
    </row>
    <row r="1658" hidden="1">
      <c r="A1658" s="1" t="s">
        <v>21</v>
      </c>
      <c r="B1658" s="3" t="str">
        <f>HYPERLINK("https://hawk-eye.atlassian.net/browse/HWKREPORT-1830?atlOrigin=eyJpIjoiYzgwYTQ0ZjEyNzQzNGJhN2JmNjEyZTM0NmRhZWZhNjIiLCJwIjoic2hlZXRzLWppcmEifQ","HWKREPORT-1830")</f>
        <v>HWKREPORT-1830</v>
      </c>
      <c r="C1658" s="1" t="s">
        <v>2905</v>
      </c>
      <c r="D1658" s="1" t="s">
        <v>34</v>
      </c>
      <c r="E1658" s="1" t="s">
        <v>35</v>
      </c>
      <c r="F1658" s="4">
        <v>44956.730729166666</v>
      </c>
      <c r="G1658" s="3" t="str">
        <f>HYPERLINK("https://hawk-eye.atlassian.net/browse/AL-660?atlOrigin=eyJpIjoiYzgwYTQ0ZjEyNzQzNGJhN2JmNjEyZTM0NmRhZWZhNjIiLCJwIjoic2hlZXRzLWppcmEifQ","AL-660")</f>
        <v>AL-660</v>
      </c>
      <c r="H1658" s="1" t="s">
        <v>1058</v>
      </c>
      <c r="I1658" s="1" t="s">
        <v>1085</v>
      </c>
      <c r="J1658" s="1" t="s">
        <v>26</v>
      </c>
      <c r="K1658" s="1" t="s">
        <v>1219</v>
      </c>
      <c r="L1658" s="1" t="s">
        <v>26</v>
      </c>
      <c r="M1658" s="1" t="s">
        <v>27</v>
      </c>
      <c r="N1658" s="1" t="s">
        <v>26</v>
      </c>
      <c r="O1658" s="1" t="s">
        <v>26</v>
      </c>
      <c r="P1658" s="4">
        <v>44972.670636574076</v>
      </c>
    </row>
    <row r="1659" hidden="1">
      <c r="A1659" s="1" t="s">
        <v>21</v>
      </c>
      <c r="B1659" s="3" t="str">
        <f>HYPERLINK("https://hawk-eye.atlassian.net/browse/HWKREPORT-1831?atlOrigin=eyJpIjoiYzgwYTQ0ZjEyNzQzNGJhN2JmNjEyZTM0NmRhZWZhNjIiLCJwIjoic2hlZXRzLWppcmEifQ","HWKREPORT-1831")</f>
        <v>HWKREPORT-1831</v>
      </c>
      <c r="C1659" s="1" t="s">
        <v>2906</v>
      </c>
      <c r="D1659" s="1" t="s">
        <v>23</v>
      </c>
      <c r="E1659" s="1" t="s">
        <v>1057</v>
      </c>
      <c r="F1659" s="4">
        <v>44957.47184027778</v>
      </c>
      <c r="G1659" s="3" t="str">
        <f t="shared" ref="G1659:G1660" si="139">HYPERLINK("https://hawk-eye.atlassian.net/browse/?atlOrigin=eyJpIjoiYzgwYTQ0ZjEyNzQzNGJhN2JmNjEyZTM0NmRhZWZhNjIiLCJwIjoic2hlZXRzLWppcmEifQ","")</f>
        <v/>
      </c>
      <c r="H1659" s="1" t="s">
        <v>1058</v>
      </c>
      <c r="I1659" s="1" t="s">
        <v>1676</v>
      </c>
      <c r="J1659" s="1" t="s">
        <v>26</v>
      </c>
      <c r="K1659" s="1" t="s">
        <v>2166</v>
      </c>
      <c r="L1659" s="1" t="s">
        <v>26</v>
      </c>
      <c r="M1659" s="1" t="s">
        <v>27</v>
      </c>
      <c r="N1659" s="1" t="s">
        <v>26</v>
      </c>
      <c r="O1659" s="1" t="s">
        <v>26</v>
      </c>
      <c r="P1659" s="4">
        <v>44957.47185185185</v>
      </c>
    </row>
    <row r="1660" hidden="1">
      <c r="A1660" s="1" t="s">
        <v>1055</v>
      </c>
      <c r="B1660" s="3" t="str">
        <f>HYPERLINK("https://hawk-eye.atlassian.net/browse/HWKREPORT-1832?atlOrigin=eyJpIjoiYzgwYTQ0ZjEyNzQzNGJhN2JmNjEyZTM0NmRhZWZhNjIiLCJwIjoic2hlZXRzLWppcmEifQ","HWKREPORT-1832")</f>
        <v>HWKREPORT-1832</v>
      </c>
      <c r="C1660" s="1" t="s">
        <v>2907</v>
      </c>
      <c r="D1660" s="1" t="s">
        <v>48</v>
      </c>
      <c r="E1660" s="1" t="s">
        <v>1057</v>
      </c>
      <c r="F1660" s="4">
        <v>44957.47387731481</v>
      </c>
      <c r="G1660" s="3" t="str">
        <f t="shared" si="139"/>
        <v/>
      </c>
      <c r="H1660" s="1" t="s">
        <v>1058</v>
      </c>
      <c r="I1660" s="1" t="s">
        <v>1676</v>
      </c>
      <c r="J1660" s="1" t="s">
        <v>26</v>
      </c>
      <c r="K1660" s="1" t="s">
        <v>2166</v>
      </c>
      <c r="L1660" s="1" t="s">
        <v>26</v>
      </c>
      <c r="M1660" s="1" t="s">
        <v>27</v>
      </c>
      <c r="N1660" s="1" t="s">
        <v>26</v>
      </c>
      <c r="O1660" s="1" t="s">
        <v>26</v>
      </c>
      <c r="P1660" s="4">
        <v>44957.47388888889</v>
      </c>
    </row>
    <row r="1661" hidden="1">
      <c r="A1661" s="1" t="s">
        <v>21</v>
      </c>
      <c r="B1661" s="3" t="str">
        <f>HYPERLINK("https://hawk-eye.atlassian.net/browse/HWKREPORT-1833?atlOrigin=eyJpIjoiYzgwYTQ0ZjEyNzQzNGJhN2JmNjEyZTM0NmRhZWZhNjIiLCJwIjoic2hlZXRzLWppcmEifQ","HWKREPORT-1833")</f>
        <v>HWKREPORT-1833</v>
      </c>
      <c r="C1661" s="1" t="s">
        <v>2908</v>
      </c>
      <c r="D1661" s="1" t="s">
        <v>40</v>
      </c>
      <c r="E1661" s="1" t="s">
        <v>35</v>
      </c>
      <c r="F1661" s="4">
        <v>44957.576215277775</v>
      </c>
      <c r="G1661" s="3" t="str">
        <f>HYPERLINK("https://hawk-eye.atlassian.net/issues/?atlOrigin=eyJpIjoiYzgwYTQ0ZjEyNzQzNGJhN2JmNjEyZTM0NmRhZWZhNjIiLCJwIjoic2hlZXRzLWppcmEifQ&amp;jql=key+in+%28GT-882%2CRTT-5900%29","GT-882;RTT-5900")</f>
        <v>GT-882;RTT-5900</v>
      </c>
      <c r="H1661" s="1" t="s">
        <v>1058</v>
      </c>
      <c r="I1661" s="1" t="s">
        <v>1082</v>
      </c>
      <c r="J1661" s="1" t="s">
        <v>26</v>
      </c>
      <c r="K1661" s="1" t="s">
        <v>1744</v>
      </c>
      <c r="L1661" s="1" t="s">
        <v>26</v>
      </c>
      <c r="M1661" s="1" t="s">
        <v>27</v>
      </c>
      <c r="N1661" s="1" t="s">
        <v>26</v>
      </c>
      <c r="O1661" s="1" t="s">
        <v>26</v>
      </c>
      <c r="P1661" s="4">
        <v>44981.472280092596</v>
      </c>
    </row>
    <row r="1662" hidden="1">
      <c r="A1662" s="1" t="s">
        <v>1055</v>
      </c>
      <c r="B1662" s="3" t="str">
        <f>HYPERLINK("https://hawk-eye.atlassian.net/browse/HWKREPORT-1834?atlOrigin=eyJpIjoiYzgwYTQ0ZjEyNzQzNGJhN2JmNjEyZTM0NmRhZWZhNjIiLCJwIjoic2hlZXRzLWppcmEifQ","HWKREPORT-1834")</f>
        <v>HWKREPORT-1834</v>
      </c>
      <c r="C1662" s="1" t="s">
        <v>2909</v>
      </c>
      <c r="D1662" s="1" t="s">
        <v>48</v>
      </c>
      <c r="E1662" s="1" t="s">
        <v>1057</v>
      </c>
      <c r="F1662" s="4">
        <v>44959.40378472222</v>
      </c>
      <c r="G1662" s="3" t="str">
        <f>HYPERLINK("https://hawk-eye.atlassian.net/browse/?atlOrigin=eyJpIjoiYzgwYTQ0ZjEyNzQzNGJhN2JmNjEyZTM0NmRhZWZhNjIiLCJwIjoic2hlZXRzLWppcmEifQ","")</f>
        <v/>
      </c>
      <c r="H1662" s="1" t="s">
        <v>1058</v>
      </c>
      <c r="I1662" s="1" t="s">
        <v>1085</v>
      </c>
      <c r="J1662" s="1" t="s">
        <v>26</v>
      </c>
      <c r="K1662" s="1" t="s">
        <v>1148</v>
      </c>
      <c r="L1662" s="1" t="s">
        <v>26</v>
      </c>
      <c r="M1662" s="1" t="s">
        <v>27</v>
      </c>
      <c r="N1662" s="1" t="s">
        <v>26</v>
      </c>
      <c r="O1662" s="1" t="s">
        <v>26</v>
      </c>
      <c r="P1662" s="4">
        <v>44959.40378472222</v>
      </c>
    </row>
    <row r="1663">
      <c r="A1663" s="1" t="s">
        <v>21</v>
      </c>
      <c r="B1663" s="3" t="str">
        <f>HYPERLINK("https://hawk-eye.atlassian.net/browse/HWKREPORT-1835?atlOrigin=eyJpIjoiYzgwYTQ0ZjEyNzQzNGJhN2JmNjEyZTM0NmRhZWZhNjIiLCJwIjoic2hlZXRzLWppcmEifQ","HWKREPORT-1835")</f>
        <v>HWKREPORT-1835</v>
      </c>
      <c r="C1663" s="1" t="s">
        <v>2910</v>
      </c>
      <c r="D1663" s="1" t="s">
        <v>23</v>
      </c>
      <c r="E1663" s="1" t="s">
        <v>35</v>
      </c>
      <c r="F1663" s="4">
        <v>44959.89209490741</v>
      </c>
      <c r="G1663" s="3" t="str">
        <f>HYPERLINK("https://hawk-eye.atlassian.net/browse/RTT-5866?atlOrigin=eyJpIjoiYzgwYTQ0ZjEyNzQzNGJhN2JmNjEyZTM0NmRhZWZhNjIiLCJwIjoic2hlZXRzLWppcmEifQ","RTT-5866")</f>
        <v>RTT-5866</v>
      </c>
      <c r="H1663" s="1" t="s">
        <v>1058</v>
      </c>
      <c r="I1663" s="1" t="s">
        <v>28</v>
      </c>
      <c r="J1663" s="1" t="s">
        <v>26</v>
      </c>
      <c r="K1663" s="1" t="s">
        <v>1072</v>
      </c>
      <c r="L1663" s="1" t="s">
        <v>26</v>
      </c>
      <c r="M1663" s="1" t="s">
        <v>27</v>
      </c>
      <c r="N1663" s="1" t="s">
        <v>26</v>
      </c>
      <c r="O1663" s="1" t="s">
        <v>26</v>
      </c>
      <c r="P1663" s="4">
        <v>45524.73090277778</v>
      </c>
    </row>
    <row r="1664" hidden="1">
      <c r="A1664" s="1" t="s">
        <v>1055</v>
      </c>
      <c r="B1664" s="3" t="str">
        <f>HYPERLINK("https://hawk-eye.atlassian.net/browse/HWKREPORT-1836?atlOrigin=eyJpIjoiYzgwYTQ0ZjEyNzQzNGJhN2JmNjEyZTM0NmRhZWZhNjIiLCJwIjoic2hlZXRzLWppcmEifQ","HWKREPORT-1836")</f>
        <v>HWKREPORT-1836</v>
      </c>
      <c r="C1664" s="1" t="s">
        <v>2911</v>
      </c>
      <c r="D1664" s="1" t="s">
        <v>48</v>
      </c>
      <c r="E1664" s="1" t="s">
        <v>35</v>
      </c>
      <c r="F1664" s="4">
        <v>44960.72236111111</v>
      </c>
      <c r="G1664" s="3" t="str">
        <f>HYPERLINK("https://hawk-eye.atlassian.net/browse/RTT-5862?atlOrigin=eyJpIjoiYzgwYTQ0ZjEyNzQzNGJhN2JmNjEyZTM0NmRhZWZhNjIiLCJwIjoic2hlZXRzLWppcmEifQ","RTT-5862")</f>
        <v>RTT-5862</v>
      </c>
      <c r="H1664" s="1" t="s">
        <v>1058</v>
      </c>
      <c r="I1664" s="1" t="s">
        <v>28</v>
      </c>
      <c r="J1664" s="1" t="s">
        <v>26</v>
      </c>
      <c r="K1664" s="1" t="s">
        <v>1309</v>
      </c>
      <c r="L1664" s="1" t="s">
        <v>26</v>
      </c>
      <c r="M1664" s="1" t="s">
        <v>27</v>
      </c>
      <c r="N1664" s="1" t="s">
        <v>26</v>
      </c>
      <c r="O1664" s="1" t="s">
        <v>26</v>
      </c>
      <c r="P1664" s="4">
        <v>44970.50090277778</v>
      </c>
    </row>
    <row r="1665" hidden="1">
      <c r="A1665" s="1" t="s">
        <v>1055</v>
      </c>
      <c r="B1665" s="3" t="str">
        <f>HYPERLINK("https://hawk-eye.atlassian.net/browse/HWKREPORT-1837?atlOrigin=eyJpIjoiYzgwYTQ0ZjEyNzQzNGJhN2JmNjEyZTM0NmRhZWZhNjIiLCJwIjoic2hlZXRzLWppcmEifQ","HWKREPORT-1837")</f>
        <v>HWKREPORT-1837</v>
      </c>
      <c r="C1665" s="1" t="s">
        <v>2912</v>
      </c>
      <c r="D1665" s="1" t="s">
        <v>48</v>
      </c>
      <c r="E1665" s="1" t="s">
        <v>35</v>
      </c>
      <c r="F1665" s="4">
        <v>44960.7647337963</v>
      </c>
      <c r="G1665" s="3" t="str">
        <f>HYPERLINK("https://hawk-eye.atlassian.net/browse/RTT-5867?atlOrigin=eyJpIjoiYzgwYTQ0ZjEyNzQzNGJhN2JmNjEyZTM0NmRhZWZhNjIiLCJwIjoic2hlZXRzLWppcmEifQ","RTT-5867")</f>
        <v>RTT-5867</v>
      </c>
      <c r="H1665" s="1" t="s">
        <v>1058</v>
      </c>
      <c r="I1665" s="1" t="s">
        <v>28</v>
      </c>
      <c r="J1665" s="1" t="s">
        <v>26</v>
      </c>
      <c r="K1665" s="1" t="s">
        <v>1072</v>
      </c>
      <c r="L1665" s="1" t="s">
        <v>26</v>
      </c>
      <c r="M1665" s="1" t="s">
        <v>27</v>
      </c>
      <c r="N1665" s="1" t="s">
        <v>26</v>
      </c>
      <c r="O1665" s="1" t="s">
        <v>26</v>
      </c>
      <c r="P1665" s="4">
        <v>45524.73082175926</v>
      </c>
    </row>
    <row r="1666" hidden="1">
      <c r="A1666" s="1" t="s">
        <v>21</v>
      </c>
      <c r="B1666" s="3" t="str">
        <f>HYPERLINK("https://hawk-eye.atlassian.net/browse/HWKREPORT-1838?atlOrigin=eyJpIjoiYzgwYTQ0ZjEyNzQzNGJhN2JmNjEyZTM0NmRhZWZhNjIiLCJwIjoic2hlZXRzLWppcmEifQ","HWKREPORT-1838")</f>
        <v>HWKREPORT-1838</v>
      </c>
      <c r="C1666" s="1" t="s">
        <v>2913</v>
      </c>
      <c r="D1666" s="1" t="s">
        <v>23</v>
      </c>
      <c r="E1666" s="1" t="s">
        <v>1207</v>
      </c>
      <c r="F1666" s="4">
        <v>44962.909780092596</v>
      </c>
      <c r="G1666" s="3" t="str">
        <f>HYPERLINK("https://hawk-eye.atlassian.net/browse/RTT-5868?atlOrigin=eyJpIjoiYzgwYTQ0ZjEyNzQzNGJhN2JmNjEyZTM0NmRhZWZhNjIiLCJwIjoic2hlZXRzLWppcmEifQ","RTT-5868")</f>
        <v>RTT-5868</v>
      </c>
      <c r="H1666" s="1" t="s">
        <v>1058</v>
      </c>
      <c r="I1666" s="1" t="s">
        <v>1071</v>
      </c>
      <c r="J1666" s="1" t="s">
        <v>26</v>
      </c>
      <c r="K1666" s="1" t="s">
        <v>1072</v>
      </c>
      <c r="L1666" s="1" t="s">
        <v>26</v>
      </c>
      <c r="M1666" s="1" t="s">
        <v>27</v>
      </c>
      <c r="N1666" s="1" t="s">
        <v>26</v>
      </c>
      <c r="O1666" s="1" t="s">
        <v>26</v>
      </c>
      <c r="P1666" s="4">
        <v>45357.67157407408</v>
      </c>
    </row>
    <row r="1667" hidden="1">
      <c r="A1667" s="1" t="s">
        <v>21</v>
      </c>
      <c r="B1667" s="3" t="str">
        <f>HYPERLINK("https://hawk-eye.atlassian.net/browse/HWKREPORT-1839?atlOrigin=eyJpIjoiYzgwYTQ0ZjEyNzQzNGJhN2JmNjEyZTM0NmRhZWZhNjIiLCJwIjoic2hlZXRzLWppcmEifQ","HWKREPORT-1839")</f>
        <v>HWKREPORT-1839</v>
      </c>
      <c r="C1667" s="1" t="s">
        <v>2914</v>
      </c>
      <c r="D1667" s="1" t="s">
        <v>23</v>
      </c>
      <c r="E1667" s="1" t="s">
        <v>1207</v>
      </c>
      <c r="F1667" s="4">
        <v>44962.91721064815</v>
      </c>
      <c r="G1667" s="3" t="str">
        <f>HYPERLINK("https://hawk-eye.atlassian.net/browse/RTT-5869?atlOrigin=eyJpIjoiYzgwYTQ0ZjEyNzQzNGJhN2JmNjEyZTM0NmRhZWZhNjIiLCJwIjoic2hlZXRzLWppcmEifQ","RTT-5869")</f>
        <v>RTT-5869</v>
      </c>
      <c r="H1667" s="1" t="s">
        <v>1058</v>
      </c>
      <c r="I1667" s="1" t="s">
        <v>1071</v>
      </c>
      <c r="J1667" s="1" t="s">
        <v>26</v>
      </c>
      <c r="K1667" s="1" t="s">
        <v>2197</v>
      </c>
      <c r="L1667" s="1" t="s">
        <v>26</v>
      </c>
      <c r="M1667" s="1" t="s">
        <v>27</v>
      </c>
      <c r="N1667" s="1" t="s">
        <v>26</v>
      </c>
      <c r="O1667" s="1" t="s">
        <v>26</v>
      </c>
      <c r="P1667" s="4">
        <v>44999.70449074074</v>
      </c>
    </row>
    <row r="1668" hidden="1">
      <c r="A1668" s="1" t="s">
        <v>21</v>
      </c>
      <c r="B1668" s="3" t="str">
        <f>HYPERLINK("https://hawk-eye.atlassian.net/browse/HWKREPORT-1840?atlOrigin=eyJpIjoiYzgwYTQ0ZjEyNzQzNGJhN2JmNjEyZTM0NmRhZWZhNjIiLCJwIjoic2hlZXRzLWppcmEifQ","HWKREPORT-1840")</f>
        <v>HWKREPORT-1840</v>
      </c>
      <c r="C1668" s="1" t="s">
        <v>2915</v>
      </c>
      <c r="D1668" s="1" t="s">
        <v>23</v>
      </c>
      <c r="E1668" s="1" t="s">
        <v>35</v>
      </c>
      <c r="F1668" s="4">
        <v>44962.91998842593</v>
      </c>
      <c r="G1668" s="3" t="str">
        <f>HYPERLINK("https://hawk-eye.atlassian.net/browse/RTT-5870?atlOrigin=eyJpIjoiYzgwYTQ0ZjEyNzQzNGJhN2JmNjEyZTM0NmRhZWZhNjIiLCJwIjoic2hlZXRzLWppcmEifQ","RTT-5870")</f>
        <v>RTT-5870</v>
      </c>
      <c r="H1668" s="1" t="s">
        <v>1058</v>
      </c>
      <c r="I1668" s="1" t="s">
        <v>1071</v>
      </c>
      <c r="J1668" s="1" t="s">
        <v>26</v>
      </c>
      <c r="K1668" s="1" t="s">
        <v>1072</v>
      </c>
      <c r="L1668" s="1" t="s">
        <v>26</v>
      </c>
      <c r="M1668" s="1" t="s">
        <v>27</v>
      </c>
      <c r="N1668" s="1" t="s">
        <v>26</v>
      </c>
      <c r="O1668" s="1" t="s">
        <v>26</v>
      </c>
      <c r="P1668" s="4">
        <v>44986.702418981484</v>
      </c>
    </row>
    <row r="1669" hidden="1">
      <c r="A1669" s="1" t="s">
        <v>1055</v>
      </c>
      <c r="B1669" s="3" t="str">
        <f>HYPERLINK("https://hawk-eye.atlassian.net/browse/HWKREPORT-1841?atlOrigin=eyJpIjoiYzgwYTQ0ZjEyNzQzNGJhN2JmNjEyZTM0NmRhZWZhNjIiLCJwIjoic2hlZXRzLWppcmEifQ","HWKREPORT-1841")</f>
        <v>HWKREPORT-1841</v>
      </c>
      <c r="C1669" s="1" t="s">
        <v>2916</v>
      </c>
      <c r="D1669" s="1" t="s">
        <v>48</v>
      </c>
      <c r="E1669" s="1" t="s">
        <v>1057</v>
      </c>
      <c r="F1669" s="4">
        <v>44962.92337962963</v>
      </c>
      <c r="G1669" s="3" t="str">
        <f>HYPERLINK("https://hawk-eye.atlassian.net/browse/RTT-5871?atlOrigin=eyJpIjoiYzgwYTQ0ZjEyNzQzNGJhN2JmNjEyZTM0NmRhZWZhNjIiLCJwIjoic2hlZXRzLWppcmEifQ","RTT-5871")</f>
        <v>RTT-5871</v>
      </c>
      <c r="H1669" s="1" t="s">
        <v>1058</v>
      </c>
      <c r="I1669" s="1" t="s">
        <v>1071</v>
      </c>
      <c r="J1669" s="1" t="s">
        <v>26</v>
      </c>
      <c r="K1669" s="1" t="s">
        <v>1072</v>
      </c>
      <c r="L1669" s="1" t="s">
        <v>26</v>
      </c>
      <c r="M1669" s="1" t="s">
        <v>27</v>
      </c>
      <c r="N1669" s="1" t="s">
        <v>26</v>
      </c>
      <c r="O1669" s="1" t="s">
        <v>26</v>
      </c>
      <c r="P1669" s="4">
        <v>44962.9233912037</v>
      </c>
    </row>
    <row r="1670" hidden="1">
      <c r="A1670" s="1" t="s">
        <v>1055</v>
      </c>
      <c r="B1670" s="3" t="str">
        <f>HYPERLINK("https://hawk-eye.atlassian.net/browse/HWKREPORT-1842?atlOrigin=eyJpIjoiYzgwYTQ0ZjEyNzQzNGJhN2JmNjEyZTM0NmRhZWZhNjIiLCJwIjoic2hlZXRzLWppcmEifQ","HWKREPORT-1842")</f>
        <v>HWKREPORT-1842</v>
      </c>
      <c r="C1670" s="1" t="s">
        <v>2917</v>
      </c>
      <c r="D1670" s="1" t="s">
        <v>48</v>
      </c>
      <c r="E1670" s="1" t="s">
        <v>1057</v>
      </c>
      <c r="F1670" s="4">
        <v>44962.92778935185</v>
      </c>
      <c r="G1670" s="3" t="str">
        <f>HYPERLINK("https://hawk-eye.atlassian.net/browse/AL-736?atlOrigin=eyJpIjoiYzgwYTQ0ZjEyNzQzNGJhN2JmNjEyZTM0NmRhZWZhNjIiLCJwIjoic2hlZXRzLWppcmEifQ","AL-736")</f>
        <v>AL-736</v>
      </c>
      <c r="H1670" s="1" t="s">
        <v>1058</v>
      </c>
      <c r="I1670" s="1" t="s">
        <v>1071</v>
      </c>
      <c r="J1670" s="1" t="s">
        <v>26</v>
      </c>
      <c r="K1670" s="1" t="s">
        <v>1143</v>
      </c>
      <c r="L1670" s="1" t="s">
        <v>26</v>
      </c>
      <c r="M1670" s="1" t="s">
        <v>27</v>
      </c>
      <c r="N1670" s="1" t="s">
        <v>26</v>
      </c>
      <c r="O1670" s="1" t="s">
        <v>26</v>
      </c>
      <c r="P1670" s="4">
        <v>44962.92780092593</v>
      </c>
    </row>
    <row r="1671" hidden="1">
      <c r="A1671" s="1" t="s">
        <v>21</v>
      </c>
      <c r="B1671" s="3" t="str">
        <f>HYPERLINK("https://hawk-eye.atlassian.net/browse/HWKREPORT-1843?atlOrigin=eyJpIjoiYzgwYTQ0ZjEyNzQzNGJhN2JmNjEyZTM0NmRhZWZhNjIiLCJwIjoic2hlZXRzLWppcmEifQ","HWKREPORT-1843")</f>
        <v>HWKREPORT-1843</v>
      </c>
      <c r="C1671" s="1" t="s">
        <v>2918</v>
      </c>
      <c r="D1671" s="1" t="s">
        <v>23</v>
      </c>
      <c r="E1671" s="1" t="s">
        <v>35</v>
      </c>
      <c r="F1671" s="4">
        <v>44962.930451388886</v>
      </c>
      <c r="G1671" s="3" t="str">
        <f>HYPERLINK("https://hawk-eye.atlassian.net/browse/RTT-5872?atlOrigin=eyJpIjoiYzgwYTQ0ZjEyNzQzNGJhN2JmNjEyZTM0NmRhZWZhNjIiLCJwIjoic2hlZXRzLWppcmEifQ","RTT-5872")</f>
        <v>RTT-5872</v>
      </c>
      <c r="H1671" s="1" t="s">
        <v>1058</v>
      </c>
      <c r="I1671" s="1" t="s">
        <v>1071</v>
      </c>
      <c r="J1671" s="1" t="s">
        <v>26</v>
      </c>
      <c r="K1671" s="1" t="s">
        <v>1072</v>
      </c>
      <c r="L1671" s="1" t="s">
        <v>26</v>
      </c>
      <c r="M1671" s="1" t="s">
        <v>27</v>
      </c>
      <c r="N1671" s="1" t="s">
        <v>26</v>
      </c>
      <c r="O1671" s="1" t="s">
        <v>26</v>
      </c>
      <c r="P1671" s="4">
        <v>44986.60717592593</v>
      </c>
    </row>
    <row r="1672" hidden="1">
      <c r="A1672" s="1" t="s">
        <v>1055</v>
      </c>
      <c r="B1672" s="3" t="str">
        <f>HYPERLINK("https://hawk-eye.atlassian.net/browse/HWKREPORT-1844?atlOrigin=eyJpIjoiYzgwYTQ0ZjEyNzQzNGJhN2JmNjEyZTM0NmRhZWZhNjIiLCJwIjoic2hlZXRzLWppcmEifQ","HWKREPORT-1844")</f>
        <v>HWKREPORT-1844</v>
      </c>
      <c r="C1672" s="1" t="s">
        <v>2919</v>
      </c>
      <c r="D1672" s="1" t="s">
        <v>48</v>
      </c>
      <c r="E1672" s="1" t="s">
        <v>35</v>
      </c>
      <c r="F1672" s="4">
        <v>44962.96989583333</v>
      </c>
      <c r="G1672" s="3" t="str">
        <f>HYPERLINK("https://hawk-eye.atlassian.net/browse/RTT-5873?atlOrigin=eyJpIjoiYzgwYTQ0ZjEyNzQzNGJhN2JmNjEyZTM0NmRhZWZhNjIiLCJwIjoic2hlZXRzLWppcmEifQ","RTT-5873")</f>
        <v>RTT-5873</v>
      </c>
      <c r="H1672" s="1" t="s">
        <v>1058</v>
      </c>
      <c r="I1672" s="1" t="s">
        <v>1071</v>
      </c>
      <c r="J1672" s="1" t="s">
        <v>26</v>
      </c>
      <c r="K1672" s="1" t="s">
        <v>1099</v>
      </c>
      <c r="L1672" s="1" t="s">
        <v>26</v>
      </c>
      <c r="M1672" s="1" t="s">
        <v>27</v>
      </c>
      <c r="N1672" s="1" t="s">
        <v>26</v>
      </c>
      <c r="O1672" s="1" t="s">
        <v>26</v>
      </c>
      <c r="P1672" s="4">
        <v>45125.34898148148</v>
      </c>
    </row>
    <row r="1673" hidden="1">
      <c r="A1673" s="1" t="s">
        <v>21</v>
      </c>
      <c r="B1673" s="3" t="str">
        <f>HYPERLINK("https://hawk-eye.atlassian.net/browse/HWKREPORT-1845?atlOrigin=eyJpIjoiYzgwYTQ0ZjEyNzQzNGJhN2JmNjEyZTM0NmRhZWZhNjIiLCJwIjoic2hlZXRzLWppcmEifQ","HWKREPORT-1845")</f>
        <v>HWKREPORT-1845</v>
      </c>
      <c r="C1673" s="1" t="s">
        <v>2920</v>
      </c>
      <c r="D1673" s="1" t="s">
        <v>23</v>
      </c>
      <c r="E1673" s="1" t="s">
        <v>1207</v>
      </c>
      <c r="F1673" s="4">
        <v>44962.972962962966</v>
      </c>
      <c r="G1673" s="3" t="str">
        <f>HYPERLINK("https://hawk-eye.atlassian.net/browse/RTT-5874?atlOrigin=eyJpIjoiYzgwYTQ0ZjEyNzQzNGJhN2JmNjEyZTM0NmRhZWZhNjIiLCJwIjoic2hlZXRzLWppcmEifQ","RTT-5874")</f>
        <v>RTT-5874</v>
      </c>
      <c r="H1673" s="1" t="s">
        <v>1058</v>
      </c>
      <c r="I1673" s="1" t="s">
        <v>1071</v>
      </c>
      <c r="J1673" s="1" t="s">
        <v>26</v>
      </c>
      <c r="K1673" s="1" t="s">
        <v>1093</v>
      </c>
      <c r="L1673" s="1" t="s">
        <v>26</v>
      </c>
      <c r="M1673" s="1" t="s">
        <v>27</v>
      </c>
      <c r="N1673" s="1" t="s">
        <v>26</v>
      </c>
      <c r="O1673" s="1" t="s">
        <v>26</v>
      </c>
      <c r="P1673" s="4">
        <v>44981.467881944445</v>
      </c>
    </row>
    <row r="1674" hidden="1">
      <c r="A1674" s="1" t="s">
        <v>1055</v>
      </c>
      <c r="B1674" s="3" t="str">
        <f>HYPERLINK("https://hawk-eye.atlassian.net/browse/HWKREPORT-1846?atlOrigin=eyJpIjoiYzgwYTQ0ZjEyNzQzNGJhN2JmNjEyZTM0NmRhZWZhNjIiLCJwIjoic2hlZXRzLWppcmEifQ","HWKREPORT-1846")</f>
        <v>HWKREPORT-1846</v>
      </c>
      <c r="C1674" s="1" t="s">
        <v>2921</v>
      </c>
      <c r="D1674" s="1" t="s">
        <v>48</v>
      </c>
      <c r="E1674" s="1" t="s">
        <v>35</v>
      </c>
      <c r="F1674" s="4">
        <v>44962.99333333333</v>
      </c>
      <c r="G1674" s="3" t="str">
        <f>HYPERLINK("https://hawk-eye.atlassian.net/browse/?atlOrigin=eyJpIjoiYzgwYTQ0ZjEyNzQzNGJhN2JmNjEyZTM0NmRhZWZhNjIiLCJwIjoic2hlZXRzLWppcmEifQ","")</f>
        <v/>
      </c>
      <c r="H1674" s="1" t="s">
        <v>1058</v>
      </c>
      <c r="I1674" s="1" t="s">
        <v>1071</v>
      </c>
      <c r="J1674" s="1" t="s">
        <v>26</v>
      </c>
      <c r="K1674" s="1" t="s">
        <v>1072</v>
      </c>
      <c r="L1674" s="1" t="s">
        <v>26</v>
      </c>
      <c r="M1674" s="1" t="s">
        <v>27</v>
      </c>
      <c r="N1674" s="1" t="s">
        <v>26</v>
      </c>
      <c r="O1674" s="1" t="s">
        <v>26</v>
      </c>
      <c r="P1674" s="4">
        <v>44963.40357638889</v>
      </c>
    </row>
    <row r="1675" hidden="1">
      <c r="A1675" s="1" t="s">
        <v>1055</v>
      </c>
      <c r="B1675" s="3" t="str">
        <f>HYPERLINK("https://hawk-eye.atlassian.net/browse/HWKREPORT-1847?atlOrigin=eyJpIjoiYzgwYTQ0ZjEyNzQzNGJhN2JmNjEyZTM0NmRhZWZhNjIiLCJwIjoic2hlZXRzLWppcmEifQ","HWKREPORT-1847")</f>
        <v>HWKREPORT-1847</v>
      </c>
      <c r="C1675" s="1" t="s">
        <v>2922</v>
      </c>
      <c r="D1675" s="1" t="s">
        <v>48</v>
      </c>
      <c r="E1675" s="1" t="s">
        <v>1207</v>
      </c>
      <c r="F1675" s="4">
        <v>44962.99696759259</v>
      </c>
      <c r="G1675" s="3" t="str">
        <f>HYPERLINK("https://hawk-eye.atlassian.net/browse/RTT-5875?atlOrigin=eyJpIjoiYzgwYTQ0ZjEyNzQzNGJhN2JmNjEyZTM0NmRhZWZhNjIiLCJwIjoic2hlZXRzLWppcmEifQ","RTT-5875")</f>
        <v>RTT-5875</v>
      </c>
      <c r="H1675" s="1" t="s">
        <v>1058</v>
      </c>
      <c r="I1675" s="1" t="s">
        <v>1071</v>
      </c>
      <c r="J1675" s="1" t="s">
        <v>26</v>
      </c>
      <c r="K1675" s="1" t="s">
        <v>1072</v>
      </c>
      <c r="L1675" s="1" t="s">
        <v>26</v>
      </c>
      <c r="M1675" s="1" t="s">
        <v>27</v>
      </c>
      <c r="N1675" s="1" t="s">
        <v>26</v>
      </c>
      <c r="O1675" s="1" t="s">
        <v>26</v>
      </c>
      <c r="P1675" s="4">
        <v>45055.63748842593</v>
      </c>
    </row>
    <row r="1676" hidden="1">
      <c r="A1676" s="1" t="s">
        <v>21</v>
      </c>
      <c r="B1676" s="3" t="str">
        <f>HYPERLINK("https://hawk-eye.atlassian.net/browse/HWKREPORT-1848?atlOrigin=eyJpIjoiYzgwYTQ0ZjEyNzQzNGJhN2JmNjEyZTM0NmRhZWZhNjIiLCJwIjoic2hlZXRzLWppcmEifQ","HWKREPORT-1848")</f>
        <v>HWKREPORT-1848</v>
      </c>
      <c r="C1676" s="1" t="s">
        <v>2923</v>
      </c>
      <c r="D1676" s="1" t="s">
        <v>23</v>
      </c>
      <c r="E1676" s="1" t="s">
        <v>35</v>
      </c>
      <c r="F1676" s="4">
        <v>44963.013032407405</v>
      </c>
      <c r="G1676" s="3" t="str">
        <f>HYPERLINK("https://hawk-eye.atlassian.net/browse/RTT-5876?atlOrigin=eyJpIjoiYzgwYTQ0ZjEyNzQzNGJhN2JmNjEyZTM0NmRhZWZhNjIiLCJwIjoic2hlZXRzLWppcmEifQ","RTT-5876")</f>
        <v>RTT-5876</v>
      </c>
      <c r="H1676" s="1" t="s">
        <v>1058</v>
      </c>
      <c r="I1676" s="1" t="s">
        <v>1071</v>
      </c>
      <c r="J1676" s="1" t="s">
        <v>26</v>
      </c>
      <c r="K1676" s="1" t="s">
        <v>1099</v>
      </c>
      <c r="L1676" s="1" t="s">
        <v>26</v>
      </c>
      <c r="M1676" s="1" t="s">
        <v>27</v>
      </c>
      <c r="N1676" s="1" t="s">
        <v>26</v>
      </c>
      <c r="O1676" s="1" t="s">
        <v>26</v>
      </c>
      <c r="P1676" s="4">
        <v>45709.647511574076</v>
      </c>
    </row>
    <row r="1677" hidden="1">
      <c r="A1677" s="1" t="s">
        <v>1055</v>
      </c>
      <c r="B1677" s="3" t="str">
        <f>HYPERLINK("https://hawk-eye.atlassian.net/browse/HWKREPORT-1849?atlOrigin=eyJpIjoiYzgwYTQ0ZjEyNzQzNGJhN2JmNjEyZTM0NmRhZWZhNjIiLCJwIjoic2hlZXRzLWppcmEifQ","HWKREPORT-1849")</f>
        <v>HWKREPORT-1849</v>
      </c>
      <c r="C1677" s="1" t="s">
        <v>2924</v>
      </c>
      <c r="D1677" s="1" t="s">
        <v>48</v>
      </c>
      <c r="E1677" s="1" t="s">
        <v>1207</v>
      </c>
      <c r="F1677" s="4">
        <v>44963.028715277775</v>
      </c>
      <c r="G1677" s="3" t="str">
        <f>HYPERLINK("https://hawk-eye.atlassian.net/browse/RTT-5877?atlOrigin=eyJpIjoiYzgwYTQ0ZjEyNzQzNGJhN2JmNjEyZTM0NmRhZWZhNjIiLCJwIjoic2hlZXRzLWppcmEifQ","RTT-5877")</f>
        <v>RTT-5877</v>
      </c>
      <c r="H1677" s="1" t="s">
        <v>1058</v>
      </c>
      <c r="I1677" s="1" t="s">
        <v>1071</v>
      </c>
      <c r="J1677" s="1" t="s">
        <v>26</v>
      </c>
      <c r="K1677" s="1" t="s">
        <v>1072</v>
      </c>
      <c r="L1677" s="1" t="s">
        <v>26</v>
      </c>
      <c r="M1677" s="1" t="s">
        <v>27</v>
      </c>
      <c r="N1677" s="1" t="s">
        <v>26</v>
      </c>
      <c r="O1677" s="1" t="s">
        <v>26</v>
      </c>
      <c r="P1677" s="4">
        <v>44980.55211805556</v>
      </c>
    </row>
    <row r="1678" hidden="1">
      <c r="A1678" s="1" t="s">
        <v>1055</v>
      </c>
      <c r="B1678" s="3" t="str">
        <f>HYPERLINK("https://hawk-eye.atlassian.net/browse/HWKREPORT-1850?atlOrigin=eyJpIjoiYzgwYTQ0ZjEyNzQzNGJhN2JmNjEyZTM0NmRhZWZhNjIiLCJwIjoic2hlZXRzLWppcmEifQ","HWKREPORT-1850")</f>
        <v>HWKREPORT-1850</v>
      </c>
      <c r="C1678" s="1" t="s">
        <v>2925</v>
      </c>
      <c r="D1678" s="1" t="s">
        <v>48</v>
      </c>
      <c r="E1678" s="1" t="s">
        <v>1057</v>
      </c>
      <c r="F1678" s="4">
        <v>44963.46503472222</v>
      </c>
      <c r="G1678" s="3" t="str">
        <f t="shared" ref="G1678:G1679" si="140">HYPERLINK("https://hawk-eye.atlassian.net/browse/?atlOrigin=eyJpIjoiYzgwYTQ0ZjEyNzQzNGJhN2JmNjEyZTM0NmRhZWZhNjIiLCJwIjoic2hlZXRzLWppcmEifQ","")</f>
        <v/>
      </c>
      <c r="H1678" s="1" t="s">
        <v>1058</v>
      </c>
      <c r="I1678" s="1" t="s">
        <v>1082</v>
      </c>
      <c r="J1678" s="1" t="s">
        <v>26</v>
      </c>
      <c r="K1678" s="1" t="s">
        <v>1148</v>
      </c>
      <c r="L1678" s="1" t="s">
        <v>26</v>
      </c>
      <c r="M1678" s="1" t="s">
        <v>27</v>
      </c>
      <c r="N1678" s="1" t="s">
        <v>26</v>
      </c>
      <c r="O1678" s="1" t="s">
        <v>26</v>
      </c>
      <c r="P1678" s="4">
        <v>44963.46503472222</v>
      </c>
    </row>
    <row r="1679" hidden="1">
      <c r="A1679" s="1" t="s">
        <v>21</v>
      </c>
      <c r="B1679" s="3" t="str">
        <f>HYPERLINK("https://hawk-eye.atlassian.net/browse/HWKREPORT-1851?atlOrigin=eyJpIjoiYzgwYTQ0ZjEyNzQzNGJhN2JmNjEyZTM0NmRhZWZhNjIiLCJwIjoic2hlZXRzLWppcmEifQ","HWKREPORT-1851")</f>
        <v>HWKREPORT-1851</v>
      </c>
      <c r="C1679" s="1" t="s">
        <v>2926</v>
      </c>
      <c r="D1679" s="1" t="s">
        <v>23</v>
      </c>
      <c r="E1679" s="1" t="s">
        <v>1057</v>
      </c>
      <c r="F1679" s="4">
        <v>44963.59229166667</v>
      </c>
      <c r="G1679" s="3" t="str">
        <f t="shared" si="140"/>
        <v/>
      </c>
      <c r="H1679" s="1" t="s">
        <v>1058</v>
      </c>
      <c r="I1679" s="1" t="s">
        <v>1085</v>
      </c>
      <c r="J1679" s="1" t="s">
        <v>26</v>
      </c>
      <c r="K1679" s="1" t="s">
        <v>1717</v>
      </c>
      <c r="L1679" s="1" t="s">
        <v>26</v>
      </c>
      <c r="M1679" s="1" t="s">
        <v>27</v>
      </c>
      <c r="N1679" s="1" t="s">
        <v>26</v>
      </c>
      <c r="O1679" s="1" t="s">
        <v>26</v>
      </c>
      <c r="P1679" s="4">
        <v>44963.59230324074</v>
      </c>
    </row>
    <row r="1680" hidden="1">
      <c r="A1680" s="1" t="s">
        <v>21</v>
      </c>
      <c r="B1680" s="3" t="str">
        <f>HYPERLINK("https://hawk-eye.atlassian.net/browse/HWKREPORT-1852?atlOrigin=eyJpIjoiYzgwYTQ0ZjEyNzQzNGJhN2JmNjEyZTM0NmRhZWZhNjIiLCJwIjoic2hlZXRzLWppcmEifQ","HWKREPORT-1852")</f>
        <v>HWKREPORT-1852</v>
      </c>
      <c r="C1680" s="1" t="s">
        <v>2927</v>
      </c>
      <c r="D1680" s="1" t="s">
        <v>34</v>
      </c>
      <c r="E1680" s="1" t="s">
        <v>35</v>
      </c>
      <c r="F1680" s="4">
        <v>44964.465416666666</v>
      </c>
      <c r="G1680" s="3" t="str">
        <f>HYPERLINK("https://hawk-eye.atlassian.net/browse/GT-881?atlOrigin=eyJpIjoiYzgwYTQ0ZjEyNzQzNGJhN2JmNjEyZTM0NmRhZWZhNjIiLCJwIjoic2hlZXRzLWppcmEifQ","GT-881")</f>
        <v>GT-881</v>
      </c>
      <c r="H1680" s="1" t="s">
        <v>1058</v>
      </c>
      <c r="I1680" s="1" t="s">
        <v>1085</v>
      </c>
      <c r="J1680" s="1" t="s">
        <v>26</v>
      </c>
      <c r="K1680" s="1" t="s">
        <v>1148</v>
      </c>
      <c r="L1680" s="1" t="s">
        <v>26</v>
      </c>
      <c r="M1680" s="1" t="s">
        <v>27</v>
      </c>
      <c r="N1680" s="1" t="s">
        <v>26</v>
      </c>
      <c r="O1680" s="1" t="s">
        <v>26</v>
      </c>
      <c r="P1680" s="4">
        <v>45084.667858796296</v>
      </c>
    </row>
    <row r="1681" hidden="1">
      <c r="A1681" s="1" t="s">
        <v>1055</v>
      </c>
      <c r="B1681" s="3" t="str">
        <f>HYPERLINK("https://hawk-eye.atlassian.net/browse/HWKREPORT-1853?atlOrigin=eyJpIjoiYzgwYTQ0ZjEyNzQzNGJhN2JmNjEyZTM0NmRhZWZhNjIiLCJwIjoic2hlZXRzLWppcmEifQ","HWKREPORT-1853")</f>
        <v>HWKREPORT-1853</v>
      </c>
      <c r="C1681" s="1" t="s">
        <v>2928</v>
      </c>
      <c r="D1681" s="1" t="s">
        <v>48</v>
      </c>
      <c r="E1681" s="1" t="s">
        <v>1207</v>
      </c>
      <c r="F1681" s="4">
        <v>44964.604363425926</v>
      </c>
      <c r="G1681" s="3" t="str">
        <f>HYPERLINK("https://hawk-eye.atlassian.net/browse/GT-890?atlOrigin=eyJpIjoiYzgwYTQ0ZjEyNzQzNGJhN2JmNjEyZTM0NmRhZWZhNjIiLCJwIjoic2hlZXRzLWppcmEifQ","GT-890")</f>
        <v>GT-890</v>
      </c>
      <c r="H1681" s="1" t="s">
        <v>1058</v>
      </c>
      <c r="I1681" s="1" t="s">
        <v>1085</v>
      </c>
      <c r="J1681" s="1" t="s">
        <v>26</v>
      </c>
      <c r="K1681" s="1" t="s">
        <v>1148</v>
      </c>
      <c r="L1681" s="1" t="s">
        <v>26</v>
      </c>
      <c r="M1681" s="1" t="s">
        <v>27</v>
      </c>
      <c r="N1681" s="1" t="s">
        <v>26</v>
      </c>
      <c r="O1681" s="1" t="s">
        <v>26</v>
      </c>
      <c r="P1681" s="4">
        <v>45035.68680555555</v>
      </c>
    </row>
    <row r="1682" hidden="1">
      <c r="A1682" s="1" t="s">
        <v>21</v>
      </c>
      <c r="B1682" s="3" t="str">
        <f>HYPERLINK("https://hawk-eye.atlassian.net/browse/HWKREPORT-1854?atlOrigin=eyJpIjoiYzgwYTQ0ZjEyNzQzNGJhN2JmNjEyZTM0NmRhZWZhNjIiLCJwIjoic2hlZXRzLWppcmEifQ","HWKREPORT-1854")</f>
        <v>HWKREPORT-1854</v>
      </c>
      <c r="C1682" s="1" t="s">
        <v>2929</v>
      </c>
      <c r="D1682" s="1" t="s">
        <v>48</v>
      </c>
      <c r="E1682" s="1" t="s">
        <v>1057</v>
      </c>
      <c r="F1682" s="4">
        <v>44964.619479166664</v>
      </c>
      <c r="G1682" s="3" t="str">
        <f>HYPERLINK("https://hawk-eye.atlassian.net/browse/RTT-5882?atlOrigin=eyJpIjoiYzgwYTQ0ZjEyNzQzNGJhN2JmNjEyZTM0NmRhZWZhNjIiLCJwIjoic2hlZXRzLWppcmEifQ","RTT-5882")</f>
        <v>RTT-5882</v>
      </c>
      <c r="H1682" s="1" t="s">
        <v>1058</v>
      </c>
      <c r="I1682" s="1" t="s">
        <v>1085</v>
      </c>
      <c r="J1682" s="1" t="s">
        <v>26</v>
      </c>
      <c r="K1682" s="1" t="s">
        <v>1072</v>
      </c>
      <c r="L1682" s="1" t="s">
        <v>26</v>
      </c>
      <c r="M1682" s="1" t="s">
        <v>27</v>
      </c>
      <c r="N1682" s="1" t="s">
        <v>26</v>
      </c>
      <c r="O1682" s="1" t="s">
        <v>26</v>
      </c>
      <c r="P1682" s="4">
        <v>44964.61949074074</v>
      </c>
    </row>
    <row r="1683">
      <c r="A1683" s="1" t="s">
        <v>21</v>
      </c>
      <c r="B1683" s="3" t="str">
        <f>HYPERLINK("https://hawk-eye.atlassian.net/browse/HWKREPORT-1855?atlOrigin=eyJpIjoiYzgwYTQ0ZjEyNzQzNGJhN2JmNjEyZTM0NmRhZWZhNjIiLCJwIjoic2hlZXRzLWppcmEifQ","HWKREPORT-1855")</f>
        <v>HWKREPORT-1855</v>
      </c>
      <c r="C1683" s="1" t="s">
        <v>2930</v>
      </c>
      <c r="D1683" s="1" t="s">
        <v>34</v>
      </c>
      <c r="E1683" s="1" t="s">
        <v>35</v>
      </c>
      <c r="F1683" s="4">
        <v>44964.69118055556</v>
      </c>
      <c r="G1683" s="3" t="str">
        <f>HYPERLINK("https://hawk-eye.atlassian.net/browse/RTT-5883?atlOrigin=eyJpIjoiYzgwYTQ0ZjEyNzQzNGJhN2JmNjEyZTM0NmRhZWZhNjIiLCJwIjoic2hlZXRzLWppcmEifQ","RTT-5883")</f>
        <v>RTT-5883</v>
      </c>
      <c r="H1683" s="1" t="s">
        <v>1058</v>
      </c>
      <c r="I1683" s="1" t="s">
        <v>28</v>
      </c>
      <c r="J1683" s="1" t="s">
        <v>26</v>
      </c>
      <c r="K1683" s="1" t="s">
        <v>1072</v>
      </c>
      <c r="L1683" s="1" t="s">
        <v>26</v>
      </c>
      <c r="M1683" s="1" t="s">
        <v>27</v>
      </c>
      <c r="N1683" s="1" t="s">
        <v>26</v>
      </c>
      <c r="O1683" s="1" t="s">
        <v>26</v>
      </c>
      <c r="P1683" s="4">
        <v>45027.4684375</v>
      </c>
    </row>
    <row r="1684" hidden="1">
      <c r="A1684" s="1" t="s">
        <v>1055</v>
      </c>
      <c r="B1684" s="3" t="str">
        <f>HYPERLINK("https://hawk-eye.atlassian.net/browse/HWKREPORT-1856?atlOrigin=eyJpIjoiYzgwYTQ0ZjEyNzQzNGJhN2JmNjEyZTM0NmRhZWZhNjIiLCJwIjoic2hlZXRzLWppcmEifQ","HWKREPORT-1856")</f>
        <v>HWKREPORT-1856</v>
      </c>
      <c r="C1684" s="1" t="s">
        <v>2931</v>
      </c>
      <c r="D1684" s="1" t="s">
        <v>48</v>
      </c>
      <c r="E1684" s="1" t="s">
        <v>1057</v>
      </c>
      <c r="F1684" s="4">
        <v>44964.9294212963</v>
      </c>
      <c r="G1684" s="3" t="str">
        <f>HYPERLINK("https://hawk-eye.atlassian.net/issues/?atlOrigin=eyJpIjoiYzgwYTQ0ZjEyNzQzNGJhN2JmNjEyZTM0NmRhZWZhNjIiLCJwIjoic2hlZXRzLWppcmEifQ&amp;jql=key+in+%28BDS-436%2CBDS-434%29","BDS-436;BDS-434")</f>
        <v>BDS-436;BDS-434</v>
      </c>
      <c r="H1684" s="1" t="s">
        <v>1058</v>
      </c>
      <c r="I1684" s="1" t="s">
        <v>1071</v>
      </c>
      <c r="J1684" s="1" t="s">
        <v>26</v>
      </c>
      <c r="K1684" s="1" t="s">
        <v>1762</v>
      </c>
      <c r="L1684" s="1" t="s">
        <v>26</v>
      </c>
      <c r="M1684" s="1" t="s">
        <v>27</v>
      </c>
      <c r="N1684" s="1" t="s">
        <v>26</v>
      </c>
      <c r="O1684" s="1" t="s">
        <v>26</v>
      </c>
      <c r="P1684" s="4">
        <v>44964.9294212963</v>
      </c>
    </row>
    <row r="1685" hidden="1">
      <c r="A1685" s="1" t="s">
        <v>21</v>
      </c>
      <c r="B1685" s="3" t="str">
        <f>HYPERLINK("https://hawk-eye.atlassian.net/browse/HWKREPORT-1857?atlOrigin=eyJpIjoiYzgwYTQ0ZjEyNzQzNGJhN2JmNjEyZTM0NmRhZWZhNjIiLCJwIjoic2hlZXRzLWppcmEifQ","HWKREPORT-1857")</f>
        <v>HWKREPORT-1857</v>
      </c>
      <c r="C1685" s="1" t="s">
        <v>2932</v>
      </c>
      <c r="D1685" s="1" t="s">
        <v>23</v>
      </c>
      <c r="E1685" s="1" t="s">
        <v>35</v>
      </c>
      <c r="F1685" s="4">
        <v>44965.81322916667</v>
      </c>
      <c r="G1685" s="3" t="str">
        <f>HYPERLINK("https://hawk-eye.atlassian.net/browse/RTT-5897?atlOrigin=eyJpIjoiYzgwYTQ0ZjEyNzQzNGJhN2JmNjEyZTM0NmRhZWZhNjIiLCJwIjoic2hlZXRzLWppcmEifQ","RTT-5897")</f>
        <v>RTT-5897</v>
      </c>
      <c r="H1685" s="1" t="s">
        <v>1058</v>
      </c>
      <c r="I1685" s="1" t="s">
        <v>1071</v>
      </c>
      <c r="J1685" s="1" t="s">
        <v>26</v>
      </c>
      <c r="K1685" s="1" t="s">
        <v>1072</v>
      </c>
      <c r="L1685" s="1" t="s">
        <v>26</v>
      </c>
      <c r="M1685" s="1" t="s">
        <v>27</v>
      </c>
      <c r="N1685" s="1" t="s">
        <v>26</v>
      </c>
      <c r="O1685" s="1" t="s">
        <v>26</v>
      </c>
      <c r="P1685" s="4">
        <v>45058.61305555556</v>
      </c>
    </row>
    <row r="1686" hidden="1">
      <c r="A1686" s="1" t="s">
        <v>21</v>
      </c>
      <c r="B1686" s="3" t="str">
        <f>HYPERLINK("https://hawk-eye.atlassian.net/browse/HWKREPORT-1858?atlOrigin=eyJpIjoiYzgwYTQ0ZjEyNzQzNGJhN2JmNjEyZTM0NmRhZWZhNjIiLCJwIjoic2hlZXRzLWppcmEifQ","HWKREPORT-1858")</f>
        <v>HWKREPORT-1858</v>
      </c>
      <c r="C1686" s="1" t="s">
        <v>2933</v>
      </c>
      <c r="D1686" s="1" t="s">
        <v>23</v>
      </c>
      <c r="E1686" s="1" t="s">
        <v>1057</v>
      </c>
      <c r="F1686" s="4">
        <v>44965.879282407404</v>
      </c>
      <c r="G1686" s="3" t="str">
        <f>HYPERLINK("https://hawk-eye.atlassian.net/browse/?atlOrigin=eyJpIjoiYzgwYTQ0ZjEyNzQzNGJhN2JmNjEyZTM0NmRhZWZhNjIiLCJwIjoic2hlZXRzLWppcmEifQ","")</f>
        <v/>
      </c>
      <c r="H1686" s="1" t="s">
        <v>1058</v>
      </c>
      <c r="I1686" s="1" t="s">
        <v>1071</v>
      </c>
      <c r="J1686" s="1" t="s">
        <v>26</v>
      </c>
      <c r="K1686" s="1" t="s">
        <v>1762</v>
      </c>
      <c r="L1686" s="1" t="s">
        <v>26</v>
      </c>
      <c r="M1686" s="1" t="s">
        <v>27</v>
      </c>
      <c r="N1686" s="1" t="s">
        <v>26</v>
      </c>
      <c r="O1686" s="1" t="s">
        <v>26</v>
      </c>
      <c r="P1686" s="4">
        <v>44965.87929398148</v>
      </c>
    </row>
    <row r="1687" hidden="1">
      <c r="A1687" s="1" t="s">
        <v>21</v>
      </c>
      <c r="B1687" s="3" t="str">
        <f>HYPERLINK("https://hawk-eye.atlassian.net/browse/HWKREPORT-1859?atlOrigin=eyJpIjoiYzgwYTQ0ZjEyNzQzNGJhN2JmNjEyZTM0NmRhZWZhNjIiLCJwIjoic2hlZXRzLWppcmEifQ","HWKREPORT-1859")</f>
        <v>HWKREPORT-1859</v>
      </c>
      <c r="C1687" s="1" t="s">
        <v>2934</v>
      </c>
      <c r="D1687" s="1" t="s">
        <v>23</v>
      </c>
      <c r="E1687" s="1" t="s">
        <v>1207</v>
      </c>
      <c r="F1687" s="4">
        <v>44965.909224537034</v>
      </c>
      <c r="G1687" s="3" t="str">
        <f>HYPERLINK("https://hawk-eye.atlassian.net/browse/RTT-5895?atlOrigin=eyJpIjoiYzgwYTQ0ZjEyNzQzNGJhN2JmNjEyZTM0NmRhZWZhNjIiLCJwIjoic2hlZXRzLWppcmEifQ","RTT-5895")</f>
        <v>RTT-5895</v>
      </c>
      <c r="H1687" s="1" t="s">
        <v>1058</v>
      </c>
      <c r="I1687" s="1" t="s">
        <v>1071</v>
      </c>
      <c r="J1687" s="1" t="s">
        <v>26</v>
      </c>
      <c r="K1687" s="1" t="s">
        <v>1312</v>
      </c>
      <c r="L1687" s="1" t="s">
        <v>26</v>
      </c>
      <c r="M1687" s="1" t="s">
        <v>27</v>
      </c>
      <c r="N1687" s="1" t="s">
        <v>26</v>
      </c>
      <c r="O1687" s="1" t="s">
        <v>26</v>
      </c>
      <c r="P1687" s="4">
        <v>44998.39203703704</v>
      </c>
    </row>
    <row r="1688" hidden="1">
      <c r="A1688" s="1" t="s">
        <v>21</v>
      </c>
      <c r="B1688" s="3" t="str">
        <f>HYPERLINK("https://hawk-eye.atlassian.net/browse/HWKREPORT-1860?atlOrigin=eyJpIjoiYzgwYTQ0ZjEyNzQzNGJhN2JmNjEyZTM0NmRhZWZhNjIiLCJwIjoic2hlZXRzLWppcmEifQ","HWKREPORT-1860")</f>
        <v>HWKREPORT-1860</v>
      </c>
      <c r="C1688" s="1" t="s">
        <v>2935</v>
      </c>
      <c r="D1688" s="1" t="s">
        <v>23</v>
      </c>
      <c r="E1688" s="1" t="s">
        <v>35</v>
      </c>
      <c r="F1688" s="4">
        <v>44965.945752314816</v>
      </c>
      <c r="G1688" s="3" t="str">
        <f>HYPERLINK("https://hawk-eye.atlassian.net/browse/RTT-5896?atlOrigin=eyJpIjoiYzgwYTQ0ZjEyNzQzNGJhN2JmNjEyZTM0NmRhZWZhNjIiLCJwIjoic2hlZXRzLWppcmEifQ","RTT-5896")</f>
        <v>RTT-5896</v>
      </c>
      <c r="H1688" s="1" t="s">
        <v>1058</v>
      </c>
      <c r="I1688" s="1" t="s">
        <v>1071</v>
      </c>
      <c r="J1688" s="1" t="s">
        <v>26</v>
      </c>
      <c r="K1688" s="1" t="s">
        <v>1099</v>
      </c>
      <c r="L1688" s="1" t="s">
        <v>26</v>
      </c>
      <c r="M1688" s="1" t="s">
        <v>27</v>
      </c>
      <c r="N1688" s="1" t="s">
        <v>26</v>
      </c>
      <c r="O1688" s="1" t="s">
        <v>26</v>
      </c>
      <c r="P1688" s="4">
        <v>44979.704560185186</v>
      </c>
    </row>
    <row r="1689" hidden="1">
      <c r="A1689" s="1" t="s">
        <v>21</v>
      </c>
      <c r="B1689" s="3" t="str">
        <f>HYPERLINK("https://hawk-eye.atlassian.net/browse/HWKREPORT-1861?atlOrigin=eyJpIjoiYzgwYTQ0ZjEyNzQzNGJhN2JmNjEyZTM0NmRhZWZhNjIiLCJwIjoic2hlZXRzLWppcmEifQ","HWKREPORT-1861")</f>
        <v>HWKREPORT-1861</v>
      </c>
      <c r="C1689" s="1" t="s">
        <v>2936</v>
      </c>
      <c r="D1689" s="1" t="s">
        <v>34</v>
      </c>
      <c r="E1689" s="1" t="s">
        <v>35</v>
      </c>
      <c r="F1689" s="4">
        <v>44966.63354166667</v>
      </c>
      <c r="G1689" s="3" t="str">
        <f>HYPERLINK("https://hawk-eye.atlassian.net/browse/GFXPAKS-434?atlOrigin=eyJpIjoiYzgwYTQ0ZjEyNzQzNGJhN2JmNjEyZTM0NmRhZWZhNjIiLCJwIjoic2hlZXRzLWppcmEifQ","GFXPAKS-434")</f>
        <v>GFXPAKS-434</v>
      </c>
      <c r="H1689" s="1" t="s">
        <v>1058</v>
      </c>
      <c r="I1689" s="1" t="s">
        <v>1126</v>
      </c>
      <c r="J1689" s="1" t="s">
        <v>26</v>
      </c>
      <c r="K1689" s="1" t="s">
        <v>2937</v>
      </c>
      <c r="L1689" s="1" t="s">
        <v>26</v>
      </c>
      <c r="M1689" s="1" t="s">
        <v>27</v>
      </c>
      <c r="N1689" s="1" t="s">
        <v>26</v>
      </c>
      <c r="O1689" s="1" t="s">
        <v>26</v>
      </c>
      <c r="P1689" s="4">
        <v>45211.66658564815</v>
      </c>
    </row>
    <row r="1690" hidden="1">
      <c r="A1690" s="1" t="s">
        <v>21</v>
      </c>
      <c r="B1690" s="3" t="str">
        <f>HYPERLINK("https://hawk-eye.atlassian.net/browse/HWKREPORT-1862?atlOrigin=eyJpIjoiYzgwYTQ0ZjEyNzQzNGJhN2JmNjEyZTM0NmRhZWZhNjIiLCJwIjoic2hlZXRzLWppcmEifQ","HWKREPORT-1862")</f>
        <v>HWKREPORT-1862</v>
      </c>
      <c r="C1690" s="1" t="s">
        <v>2938</v>
      </c>
      <c r="D1690" s="1" t="s">
        <v>23</v>
      </c>
      <c r="E1690" s="1" t="s">
        <v>35</v>
      </c>
      <c r="F1690" s="4">
        <v>44970.59190972222</v>
      </c>
      <c r="G1690" s="3" t="str">
        <f>HYPERLINK("https://hawk-eye.atlassian.net/browse/GFXPAKS-438?atlOrigin=eyJpIjoiYzgwYTQ0ZjEyNzQzNGJhN2JmNjEyZTM0NmRhZWZhNjIiLCJwIjoic2hlZXRzLWppcmEifQ","GFXPAKS-438")</f>
        <v>GFXPAKS-438</v>
      </c>
      <c r="H1690" s="1" t="s">
        <v>1058</v>
      </c>
      <c r="I1690" s="1" t="s">
        <v>1126</v>
      </c>
      <c r="J1690" s="1" t="s">
        <v>26</v>
      </c>
      <c r="K1690" s="1" t="s">
        <v>2937</v>
      </c>
      <c r="L1690" s="1" t="s">
        <v>26</v>
      </c>
      <c r="M1690" s="1" t="s">
        <v>27</v>
      </c>
      <c r="N1690" s="1" t="s">
        <v>26</v>
      </c>
      <c r="O1690" s="1" t="s">
        <v>26</v>
      </c>
      <c r="P1690" s="4">
        <v>44970.67400462963</v>
      </c>
    </row>
    <row r="1691" hidden="1">
      <c r="A1691" s="1" t="s">
        <v>1055</v>
      </c>
      <c r="B1691" s="3" t="str">
        <f>HYPERLINK("https://hawk-eye.atlassian.net/browse/HWKREPORT-1863?atlOrigin=eyJpIjoiYzgwYTQ0ZjEyNzQzNGJhN2JmNjEyZTM0NmRhZWZhNjIiLCJwIjoic2hlZXRzLWppcmEifQ","HWKREPORT-1863")</f>
        <v>HWKREPORT-1863</v>
      </c>
      <c r="C1691" s="1" t="s">
        <v>2939</v>
      </c>
      <c r="D1691" s="1" t="s">
        <v>48</v>
      </c>
      <c r="E1691" s="1" t="s">
        <v>1057</v>
      </c>
      <c r="F1691" s="4">
        <v>44970.612546296295</v>
      </c>
      <c r="G1691" s="3" t="str">
        <f>HYPERLINK("https://hawk-eye.atlassian.net/browse/?atlOrigin=eyJpIjoiYzgwYTQ0ZjEyNzQzNGJhN2JmNjEyZTM0NmRhZWZhNjIiLCJwIjoic2hlZXRzLWppcmEifQ","")</f>
        <v/>
      </c>
      <c r="H1691" s="1" t="s">
        <v>1058</v>
      </c>
      <c r="I1691" s="1" t="s">
        <v>1082</v>
      </c>
      <c r="J1691" s="1" t="s">
        <v>26</v>
      </c>
      <c r="K1691" s="1" t="s">
        <v>1148</v>
      </c>
      <c r="L1691" s="1" t="s">
        <v>26</v>
      </c>
      <c r="M1691" s="1" t="s">
        <v>27</v>
      </c>
      <c r="N1691" s="1" t="s">
        <v>26</v>
      </c>
      <c r="O1691" s="1" t="s">
        <v>26</v>
      </c>
      <c r="P1691" s="4">
        <v>44970.612546296295</v>
      </c>
    </row>
    <row r="1692" hidden="1">
      <c r="A1692" s="1" t="s">
        <v>21</v>
      </c>
      <c r="B1692" s="3" t="str">
        <f>HYPERLINK("https://hawk-eye.atlassian.net/browse/HWKREPORT-1864?atlOrigin=eyJpIjoiYzgwYTQ0ZjEyNzQzNGJhN2JmNjEyZTM0NmRhZWZhNjIiLCJwIjoic2hlZXRzLWppcmEifQ","HWKREPORT-1864")</f>
        <v>HWKREPORT-1864</v>
      </c>
      <c r="C1692" s="1" t="s">
        <v>2940</v>
      </c>
      <c r="D1692" s="1" t="s">
        <v>40</v>
      </c>
      <c r="E1692" s="1" t="s">
        <v>35</v>
      </c>
      <c r="F1692" s="4">
        <v>44970.63379629629</v>
      </c>
      <c r="G1692" s="3" t="str">
        <f>HYPERLINK("https://hawk-eye.atlassian.net/browse/GT-884?atlOrigin=eyJpIjoiYzgwYTQ0ZjEyNzQzNGJhN2JmNjEyZTM0NmRhZWZhNjIiLCJwIjoic2hlZXRzLWppcmEifQ","GT-884")</f>
        <v>GT-884</v>
      </c>
      <c r="H1692" s="1" t="s">
        <v>1058</v>
      </c>
      <c r="I1692" s="1" t="s">
        <v>1082</v>
      </c>
      <c r="J1692" s="1" t="s">
        <v>26</v>
      </c>
      <c r="K1692" s="1" t="s">
        <v>1148</v>
      </c>
      <c r="L1692" s="1" t="s">
        <v>26</v>
      </c>
      <c r="M1692" s="1" t="s">
        <v>27</v>
      </c>
      <c r="N1692" s="1" t="s">
        <v>26</v>
      </c>
      <c r="O1692" s="1" t="s">
        <v>26</v>
      </c>
      <c r="P1692" s="4">
        <v>44988.39083333333</v>
      </c>
    </row>
    <row r="1693" hidden="1">
      <c r="A1693" s="1" t="s">
        <v>1055</v>
      </c>
      <c r="B1693" s="3" t="str">
        <f>HYPERLINK("https://hawk-eye.atlassian.net/browse/HWKREPORT-1865?atlOrigin=eyJpIjoiYzgwYTQ0ZjEyNzQzNGJhN2JmNjEyZTM0NmRhZWZhNjIiLCJwIjoic2hlZXRzLWppcmEifQ","HWKREPORT-1865")</f>
        <v>HWKREPORT-1865</v>
      </c>
      <c r="C1693" s="1" t="s">
        <v>2941</v>
      </c>
      <c r="D1693" s="1" t="s">
        <v>48</v>
      </c>
      <c r="E1693" s="1" t="s">
        <v>35</v>
      </c>
      <c r="F1693" s="4">
        <v>44970.749074074076</v>
      </c>
      <c r="G1693" s="3" t="str">
        <f>HYPERLINK("https://hawk-eye.atlassian.net/browse/RTT-5911?atlOrigin=eyJpIjoiYzgwYTQ0ZjEyNzQzNGJhN2JmNjEyZTM0NmRhZWZhNjIiLCJwIjoic2hlZXRzLWppcmEifQ","RTT-5911")</f>
        <v>RTT-5911</v>
      </c>
      <c r="H1693" s="1" t="s">
        <v>1058</v>
      </c>
      <c r="I1693" s="1" t="s">
        <v>28</v>
      </c>
      <c r="J1693" s="1" t="s">
        <v>26</v>
      </c>
      <c r="K1693" s="1" t="s">
        <v>1072</v>
      </c>
      <c r="L1693" s="1" t="s">
        <v>26</v>
      </c>
      <c r="M1693" s="1" t="s">
        <v>27</v>
      </c>
      <c r="N1693" s="1" t="s">
        <v>26</v>
      </c>
      <c r="O1693" s="1" t="s">
        <v>26</v>
      </c>
      <c r="P1693" s="4">
        <v>45524.73076388889</v>
      </c>
    </row>
    <row r="1694" hidden="1">
      <c r="A1694" s="1" t="s">
        <v>21</v>
      </c>
      <c r="B1694" s="3" t="str">
        <f>HYPERLINK("https://hawk-eye.atlassian.net/browse/HWKREPORT-1866?atlOrigin=eyJpIjoiYzgwYTQ0ZjEyNzQzNGJhN2JmNjEyZTM0NmRhZWZhNjIiLCJwIjoic2hlZXRzLWppcmEifQ","HWKREPORT-1866")</f>
        <v>HWKREPORT-1866</v>
      </c>
      <c r="C1694" s="1" t="s">
        <v>2942</v>
      </c>
      <c r="D1694" s="1" t="s">
        <v>34</v>
      </c>
      <c r="E1694" s="1" t="s">
        <v>35</v>
      </c>
      <c r="F1694" s="4">
        <v>44971.425358796296</v>
      </c>
      <c r="G1694" s="3" t="str">
        <f>HYPERLINK("https://hawk-eye.atlassian.net/issues/?atlOrigin=eyJpIjoiYzgwYTQ0ZjEyNzQzNGJhN2JmNjEyZTM0NmRhZWZhNjIiLCJwIjoic2hlZXRzLWppcmEifQ&amp;jql=key+in+%28GT-885%2CGT-836%29","GT-885;GT-836")</f>
        <v>GT-885;GT-836</v>
      </c>
      <c r="H1694" s="1" t="s">
        <v>1058</v>
      </c>
      <c r="I1694" s="1" t="s">
        <v>1082</v>
      </c>
      <c r="J1694" s="1" t="s">
        <v>26</v>
      </c>
      <c r="K1694" s="1" t="s">
        <v>1105</v>
      </c>
      <c r="L1694" s="1" t="s">
        <v>26</v>
      </c>
      <c r="M1694" s="1" t="s">
        <v>27</v>
      </c>
      <c r="N1694" s="1" t="s">
        <v>26</v>
      </c>
      <c r="O1694" s="1" t="s">
        <v>26</v>
      </c>
      <c r="P1694" s="4">
        <v>44981.508206018516</v>
      </c>
    </row>
    <row r="1695" hidden="1">
      <c r="A1695" s="1" t="s">
        <v>1055</v>
      </c>
      <c r="B1695" s="3" t="str">
        <f>HYPERLINK("https://hawk-eye.atlassian.net/browse/HWKREPORT-1867?atlOrigin=eyJpIjoiYzgwYTQ0ZjEyNzQzNGJhN2JmNjEyZTM0NmRhZWZhNjIiLCJwIjoic2hlZXRzLWppcmEifQ","HWKREPORT-1867")</f>
        <v>HWKREPORT-1867</v>
      </c>
      <c r="C1695" s="1" t="s">
        <v>2943</v>
      </c>
      <c r="D1695" s="1" t="s">
        <v>48</v>
      </c>
      <c r="E1695" s="1" t="s">
        <v>35</v>
      </c>
      <c r="F1695" s="4">
        <v>44971.48657407407</v>
      </c>
      <c r="G1695" s="3" t="str">
        <f>HYPERLINK("https://hawk-eye.atlassian.net/browse/GT-640?atlOrigin=eyJpIjoiYzgwYTQ0ZjEyNzQzNGJhN2JmNjEyZTM0NmRhZWZhNjIiLCJwIjoic2hlZXRzLWppcmEifQ","GT-640")</f>
        <v>GT-640</v>
      </c>
      <c r="H1695" s="1" t="s">
        <v>1058</v>
      </c>
      <c r="I1695" s="1" t="s">
        <v>1082</v>
      </c>
      <c r="J1695" s="1" t="s">
        <v>26</v>
      </c>
      <c r="K1695" s="1" t="s">
        <v>1148</v>
      </c>
      <c r="L1695" s="1" t="s">
        <v>26</v>
      </c>
      <c r="M1695" s="1" t="s">
        <v>27</v>
      </c>
      <c r="N1695" s="1" t="s">
        <v>26</v>
      </c>
      <c r="O1695" s="1" t="s">
        <v>26</v>
      </c>
      <c r="P1695" s="4">
        <v>45169.50572916667</v>
      </c>
    </row>
    <row r="1696" hidden="1">
      <c r="A1696" s="1" t="s">
        <v>1055</v>
      </c>
      <c r="B1696" s="3" t="str">
        <f>HYPERLINK("https://hawk-eye.atlassian.net/browse/HWKREPORT-1868?atlOrigin=eyJpIjoiYzgwYTQ0ZjEyNzQzNGJhN2JmNjEyZTM0NmRhZWZhNjIiLCJwIjoic2hlZXRzLWppcmEifQ","HWKREPORT-1868")</f>
        <v>HWKREPORT-1868</v>
      </c>
      <c r="C1696" s="1" t="s">
        <v>2944</v>
      </c>
      <c r="D1696" s="1" t="s">
        <v>48</v>
      </c>
      <c r="E1696" s="1" t="s">
        <v>1207</v>
      </c>
      <c r="F1696" s="4">
        <v>44971.588958333334</v>
      </c>
      <c r="G1696" s="3" t="str">
        <f>HYPERLINK("https://hawk-eye.atlassian.net/browse/RTT-5917?atlOrigin=eyJpIjoiYzgwYTQ0ZjEyNzQzNGJhN2JmNjEyZTM0NmRhZWZhNjIiLCJwIjoic2hlZXRzLWppcmEifQ","RTT-5917")</f>
        <v>RTT-5917</v>
      </c>
      <c r="H1696" s="1" t="s">
        <v>1058</v>
      </c>
      <c r="I1696" s="1" t="s">
        <v>1085</v>
      </c>
      <c r="J1696" s="1" t="s">
        <v>26</v>
      </c>
      <c r="K1696" s="1" t="s">
        <v>1545</v>
      </c>
      <c r="L1696" s="1" t="s">
        <v>26</v>
      </c>
      <c r="M1696" s="1" t="s">
        <v>27</v>
      </c>
      <c r="N1696" s="1" t="s">
        <v>26</v>
      </c>
      <c r="O1696" s="1" t="s">
        <v>26</v>
      </c>
      <c r="P1696" s="4">
        <v>45002.62533564815</v>
      </c>
    </row>
    <row r="1697" hidden="1">
      <c r="A1697" s="1" t="s">
        <v>1055</v>
      </c>
      <c r="B1697" s="3" t="str">
        <f>HYPERLINK("https://hawk-eye.atlassian.net/browse/HWKREPORT-1869?atlOrigin=eyJpIjoiYzgwYTQ0ZjEyNzQzNGJhN2JmNjEyZTM0NmRhZWZhNjIiLCJwIjoic2hlZXRzLWppcmEifQ","HWKREPORT-1869")</f>
        <v>HWKREPORT-1869</v>
      </c>
      <c r="C1697" s="1" t="s">
        <v>2945</v>
      </c>
      <c r="D1697" s="1" t="s">
        <v>48</v>
      </c>
      <c r="E1697" s="1" t="s">
        <v>1207</v>
      </c>
      <c r="F1697" s="4">
        <v>44971.632268518515</v>
      </c>
      <c r="G1697" s="3" t="str">
        <f>HYPERLINK("https://hawk-eye.atlassian.net/browse/RTT-5916?atlOrigin=eyJpIjoiYzgwYTQ0ZjEyNzQzNGJhN2JmNjEyZTM0NmRhZWZhNjIiLCJwIjoic2hlZXRzLWppcmEifQ","RTT-5916")</f>
        <v>RTT-5916</v>
      </c>
      <c r="H1697" s="1" t="s">
        <v>1058</v>
      </c>
      <c r="I1697" s="1" t="s">
        <v>1085</v>
      </c>
      <c r="J1697" s="1" t="s">
        <v>26</v>
      </c>
      <c r="K1697" s="1" t="s">
        <v>1545</v>
      </c>
      <c r="L1697" s="1" t="s">
        <v>26</v>
      </c>
      <c r="M1697" s="1" t="s">
        <v>27</v>
      </c>
      <c r="N1697" s="1" t="s">
        <v>26</v>
      </c>
      <c r="O1697" s="1" t="s">
        <v>26</v>
      </c>
      <c r="P1697" s="4">
        <v>45092.63655092593</v>
      </c>
    </row>
    <row r="1698" hidden="1">
      <c r="A1698" s="1" t="s">
        <v>1055</v>
      </c>
      <c r="B1698" s="3" t="str">
        <f>HYPERLINK("https://hawk-eye.atlassian.net/browse/HWKREPORT-1870?atlOrigin=eyJpIjoiYzgwYTQ0ZjEyNzQzNGJhN2JmNjEyZTM0NmRhZWZhNjIiLCJwIjoic2hlZXRzLWppcmEifQ","HWKREPORT-1870")</f>
        <v>HWKREPORT-1870</v>
      </c>
      <c r="C1698" s="1" t="s">
        <v>2946</v>
      </c>
      <c r="D1698" s="1" t="s">
        <v>48</v>
      </c>
      <c r="E1698" s="1" t="s">
        <v>35</v>
      </c>
      <c r="F1698" s="4">
        <v>44972.63076388889</v>
      </c>
      <c r="G1698" s="3" t="str">
        <f>HYPERLINK("https://hawk-eye.atlassian.net/browse/AL-690?atlOrigin=eyJpIjoiYzgwYTQ0ZjEyNzQzNGJhN2JmNjEyZTM0NmRhZWZhNjIiLCJwIjoic2hlZXRzLWppcmEifQ","AL-690")</f>
        <v>AL-690</v>
      </c>
      <c r="H1698" s="1" t="s">
        <v>1058</v>
      </c>
      <c r="I1698" s="1" t="s">
        <v>1071</v>
      </c>
      <c r="J1698" s="1" t="s">
        <v>26</v>
      </c>
      <c r="K1698" s="1" t="s">
        <v>1143</v>
      </c>
      <c r="L1698" s="1" t="s">
        <v>26</v>
      </c>
      <c r="M1698" s="1" t="s">
        <v>27</v>
      </c>
      <c r="N1698" s="1" t="s">
        <v>26</v>
      </c>
      <c r="O1698" s="1" t="s">
        <v>26</v>
      </c>
      <c r="P1698" s="4">
        <v>44979.625289351854</v>
      </c>
    </row>
    <row r="1699" hidden="1">
      <c r="A1699" s="1" t="s">
        <v>1055</v>
      </c>
      <c r="B1699" s="3" t="str">
        <f>HYPERLINK("https://hawk-eye.atlassian.net/browse/HWKREPORT-1871?atlOrigin=eyJpIjoiYzgwYTQ0ZjEyNzQzNGJhN2JmNjEyZTM0NmRhZWZhNjIiLCJwIjoic2hlZXRzLWppcmEifQ","HWKREPORT-1871")</f>
        <v>HWKREPORT-1871</v>
      </c>
      <c r="C1699" s="1" t="s">
        <v>2947</v>
      </c>
      <c r="D1699" s="1" t="s">
        <v>48</v>
      </c>
      <c r="E1699" s="1" t="s">
        <v>1207</v>
      </c>
      <c r="F1699" s="4">
        <v>44972.670636574076</v>
      </c>
      <c r="G1699" s="3" t="str">
        <f>HYPERLINK("https://hawk-eye.atlassian.net/browse/AL-689?atlOrigin=eyJpIjoiYzgwYTQ0ZjEyNzQzNGJhN2JmNjEyZTM0NmRhZWZhNjIiLCJwIjoic2hlZXRzLWppcmEifQ","AL-689")</f>
        <v>AL-689</v>
      </c>
      <c r="H1699" s="1" t="s">
        <v>1058</v>
      </c>
      <c r="I1699" s="1" t="s">
        <v>1071</v>
      </c>
      <c r="J1699" s="1" t="s">
        <v>26</v>
      </c>
      <c r="K1699" s="1" t="s">
        <v>1276</v>
      </c>
      <c r="L1699" s="1" t="s">
        <v>26</v>
      </c>
      <c r="M1699" s="1" t="s">
        <v>27</v>
      </c>
      <c r="N1699" s="1" t="s">
        <v>26</v>
      </c>
      <c r="O1699" s="1" t="s">
        <v>26</v>
      </c>
      <c r="P1699" s="4">
        <v>44978.67256944445</v>
      </c>
    </row>
    <row r="1700" hidden="1">
      <c r="A1700" s="1" t="s">
        <v>1055</v>
      </c>
      <c r="B1700" s="3" t="str">
        <f>HYPERLINK("https://hawk-eye.atlassian.net/browse/HWKREPORT-1872?atlOrigin=eyJpIjoiYzgwYTQ0ZjEyNzQzNGJhN2JmNjEyZTM0NmRhZWZhNjIiLCJwIjoic2hlZXRzLWppcmEifQ","HWKREPORT-1872")</f>
        <v>HWKREPORT-1872</v>
      </c>
      <c r="C1700" s="1" t="s">
        <v>2948</v>
      </c>
      <c r="D1700" s="1" t="s">
        <v>48</v>
      </c>
      <c r="E1700" s="1" t="s">
        <v>1207</v>
      </c>
      <c r="F1700" s="4">
        <v>44972.67099537037</v>
      </c>
      <c r="G1700" s="3" t="str">
        <f>HYPERLINK("https://hawk-eye.atlassian.net/browse/AL-688?atlOrigin=eyJpIjoiYzgwYTQ0ZjEyNzQzNGJhN2JmNjEyZTM0NmRhZWZhNjIiLCJwIjoic2hlZXRzLWppcmEifQ","AL-688")</f>
        <v>AL-688</v>
      </c>
      <c r="H1700" s="1" t="s">
        <v>1058</v>
      </c>
      <c r="I1700" s="1" t="s">
        <v>1071</v>
      </c>
      <c r="J1700" s="1" t="s">
        <v>26</v>
      </c>
      <c r="K1700" s="1" t="s">
        <v>1276</v>
      </c>
      <c r="L1700" s="1" t="s">
        <v>26</v>
      </c>
      <c r="M1700" s="1" t="s">
        <v>27</v>
      </c>
      <c r="N1700" s="1" t="s">
        <v>26</v>
      </c>
      <c r="O1700" s="1" t="s">
        <v>26</v>
      </c>
      <c r="P1700" s="4">
        <v>44978.672581018516</v>
      </c>
    </row>
    <row r="1701" hidden="1">
      <c r="A1701" s="1" t="s">
        <v>21</v>
      </c>
      <c r="B1701" s="3" t="str">
        <f>HYPERLINK("https://hawk-eye.atlassian.net/browse/HWKREPORT-1873?atlOrigin=eyJpIjoiYzgwYTQ0ZjEyNzQzNGJhN2JmNjEyZTM0NmRhZWZhNjIiLCJwIjoic2hlZXRzLWppcmEifQ","HWKREPORT-1873")</f>
        <v>HWKREPORT-1873</v>
      </c>
      <c r="C1701" s="1" t="s">
        <v>2949</v>
      </c>
      <c r="D1701" s="1" t="s">
        <v>83</v>
      </c>
      <c r="E1701" s="1" t="s">
        <v>35</v>
      </c>
      <c r="F1701" s="4">
        <v>44974.40195601852</v>
      </c>
      <c r="G1701" s="3" t="str">
        <f>HYPERLINK("https://hawk-eye.atlassian.net/browse/?atlOrigin=eyJpIjoiYzgwYTQ0ZjEyNzQzNGJhN2JmNjEyZTM0NmRhZWZhNjIiLCJwIjoic2hlZXRzLWppcmEifQ","")</f>
        <v/>
      </c>
      <c r="H1701" s="1" t="s">
        <v>1058</v>
      </c>
      <c r="I1701" s="1" t="s">
        <v>1126</v>
      </c>
      <c r="J1701" s="1" t="s">
        <v>26</v>
      </c>
      <c r="K1701" s="1" t="s">
        <v>1211</v>
      </c>
      <c r="L1701" s="1" t="s">
        <v>26</v>
      </c>
      <c r="M1701" s="1" t="s">
        <v>27</v>
      </c>
      <c r="N1701" s="1" t="s">
        <v>26</v>
      </c>
      <c r="O1701" s="1" t="s">
        <v>26</v>
      </c>
      <c r="P1701" s="4">
        <v>45019.74559027778</v>
      </c>
    </row>
    <row r="1702" hidden="1">
      <c r="A1702" s="1" t="s">
        <v>1055</v>
      </c>
      <c r="B1702" s="3" t="str">
        <f>HYPERLINK("https://hawk-eye.atlassian.net/browse/HWKREPORT-1669?atlOrigin=eyJpIjoiYzgwYTQ0ZjEyNzQzNGJhN2JmNjEyZTM0NmRhZWZhNjIiLCJwIjoic2hlZXRzLWppcmEifQ","HWKREPORT-1669")</f>
        <v>HWKREPORT-1669</v>
      </c>
      <c r="C1702" s="1" t="s">
        <v>2950</v>
      </c>
      <c r="D1702" s="1" t="s">
        <v>23</v>
      </c>
      <c r="E1702" s="1" t="s">
        <v>35</v>
      </c>
      <c r="F1702" s="4">
        <v>44874.75592592593</v>
      </c>
      <c r="G1702" s="3" t="str">
        <f>HYPERLINK("https://hawk-eye.atlassian.net/browse/RTT-5514?atlOrigin=eyJpIjoiYzgwYTQ0ZjEyNzQzNGJhN2JmNjEyZTM0NmRhZWZhNjIiLCJwIjoic2hlZXRzLWppcmEifQ","RTT-5514")</f>
        <v>RTT-5514</v>
      </c>
      <c r="H1702" s="1" t="s">
        <v>1058</v>
      </c>
      <c r="I1702" s="1" t="s">
        <v>28</v>
      </c>
      <c r="J1702" s="1" t="s">
        <v>26</v>
      </c>
      <c r="K1702" s="1" t="s">
        <v>1072</v>
      </c>
      <c r="L1702" s="1" t="s">
        <v>26</v>
      </c>
      <c r="M1702" s="1" t="s">
        <v>27</v>
      </c>
      <c r="N1702" s="1" t="s">
        <v>26</v>
      </c>
      <c r="O1702" s="1" t="s">
        <v>26</v>
      </c>
      <c r="P1702" s="4">
        <v>45524.73138888889</v>
      </c>
    </row>
    <row r="1703" hidden="1">
      <c r="A1703" s="1" t="s">
        <v>21</v>
      </c>
      <c r="B1703" s="3" t="str">
        <f>HYPERLINK("https://hawk-eye.atlassian.net/browse/HWKREPORT-1670?atlOrigin=eyJpIjoiYzgwYTQ0ZjEyNzQzNGJhN2JmNjEyZTM0NmRhZWZhNjIiLCJwIjoic2hlZXRzLWppcmEifQ","HWKREPORT-1670")</f>
        <v>HWKREPORT-1670</v>
      </c>
      <c r="C1703" s="1" t="s">
        <v>2951</v>
      </c>
      <c r="D1703" s="1" t="s">
        <v>23</v>
      </c>
      <c r="E1703" s="1" t="s">
        <v>35</v>
      </c>
      <c r="F1703" s="4">
        <v>44874.83777777778</v>
      </c>
      <c r="G1703" s="3" t="str">
        <f>HYPERLINK("https://hawk-eye.atlassian.net/issues/?atlOrigin=eyJpIjoiYzgwYTQ0ZjEyNzQzNGJhN2JmNjEyZTM0NmRhZWZhNjIiLCJwIjoic2hlZXRzLWppcmEifQ&amp;jql=key+in+%28SO-574%2CHWKREPORT-1683%29","SO-574;HWKREPORT-1683")</f>
        <v>SO-574;HWKREPORT-1683</v>
      </c>
      <c r="H1703" s="1" t="s">
        <v>1058</v>
      </c>
      <c r="I1703" s="1" t="s">
        <v>1071</v>
      </c>
      <c r="J1703" s="1" t="s">
        <v>26</v>
      </c>
      <c r="K1703" s="1" t="s">
        <v>2952</v>
      </c>
      <c r="L1703" s="1" t="s">
        <v>26</v>
      </c>
      <c r="M1703" s="1" t="s">
        <v>27</v>
      </c>
      <c r="N1703" s="1" t="s">
        <v>26</v>
      </c>
      <c r="O1703" s="1" t="s">
        <v>26</v>
      </c>
      <c r="P1703" s="4">
        <v>44893.7121412037</v>
      </c>
    </row>
    <row r="1704" hidden="1">
      <c r="A1704" s="1" t="s">
        <v>21</v>
      </c>
      <c r="B1704" s="3" t="str">
        <f>HYPERLINK("https://hawk-eye.atlassian.net/browse/HWKREPORT-1671?atlOrigin=eyJpIjoiYzgwYTQ0ZjEyNzQzNGJhN2JmNjEyZTM0NmRhZWZhNjIiLCJwIjoic2hlZXRzLWppcmEifQ","HWKREPORT-1671")</f>
        <v>HWKREPORT-1671</v>
      </c>
      <c r="C1704" s="1" t="s">
        <v>2953</v>
      </c>
      <c r="D1704" s="1" t="s">
        <v>40</v>
      </c>
      <c r="E1704" s="1" t="s">
        <v>1207</v>
      </c>
      <c r="F1704" s="4">
        <v>44874.98018518519</v>
      </c>
      <c r="G1704" s="3" t="str">
        <f>HYPERLINK("https://hawk-eye.atlassian.net/browse/RTT-5512?atlOrigin=eyJpIjoiYzgwYTQ0ZjEyNzQzNGJhN2JmNjEyZTM0NmRhZWZhNjIiLCJwIjoic2hlZXRzLWppcmEifQ","RTT-5512")</f>
        <v>RTT-5512</v>
      </c>
      <c r="H1704" s="1" t="s">
        <v>1058</v>
      </c>
      <c r="I1704" s="1" t="s">
        <v>2110</v>
      </c>
      <c r="J1704" s="1" t="s">
        <v>26</v>
      </c>
      <c r="K1704" s="1" t="s">
        <v>1312</v>
      </c>
      <c r="L1704" s="1" t="s">
        <v>26</v>
      </c>
      <c r="M1704" s="1" t="s">
        <v>27</v>
      </c>
      <c r="N1704" s="1" t="s">
        <v>26</v>
      </c>
      <c r="O1704" s="1" t="s">
        <v>26</v>
      </c>
      <c r="P1704" s="4">
        <v>44929.4184837963</v>
      </c>
    </row>
    <row r="1705" hidden="1">
      <c r="A1705" s="1" t="s">
        <v>21</v>
      </c>
      <c r="B1705" s="3" t="str">
        <f>HYPERLINK("https://hawk-eye.atlassian.net/browse/HWKREPORT-1672?atlOrigin=eyJpIjoiYzgwYTQ0ZjEyNzQzNGJhN2JmNjEyZTM0NmRhZWZhNjIiLCJwIjoic2hlZXRzLWppcmEifQ","HWKREPORT-1672")</f>
        <v>HWKREPORT-1672</v>
      </c>
      <c r="C1705" s="1" t="s">
        <v>2954</v>
      </c>
      <c r="D1705" s="1" t="s">
        <v>34</v>
      </c>
      <c r="E1705" s="1" t="s">
        <v>35</v>
      </c>
      <c r="F1705" s="4">
        <v>44874.9846875</v>
      </c>
      <c r="G1705" s="3" t="str">
        <f>HYPERLINK("https://hawk-eye.atlassian.net/browse/RTT-5513?atlOrigin=eyJpIjoiYzgwYTQ0ZjEyNzQzNGJhN2JmNjEyZTM0NmRhZWZhNjIiLCJwIjoic2hlZXRzLWppcmEifQ","RTT-5513")</f>
        <v>RTT-5513</v>
      </c>
      <c r="H1705" s="1" t="s">
        <v>1058</v>
      </c>
      <c r="I1705" s="1" t="s">
        <v>2110</v>
      </c>
      <c r="J1705" s="1" t="s">
        <v>26</v>
      </c>
      <c r="K1705" s="1" t="s">
        <v>1362</v>
      </c>
      <c r="L1705" s="1" t="s">
        <v>26</v>
      </c>
      <c r="M1705" s="1" t="s">
        <v>27</v>
      </c>
      <c r="N1705" s="1" t="s">
        <v>26</v>
      </c>
      <c r="O1705" s="1" t="s">
        <v>26</v>
      </c>
      <c r="P1705" s="4">
        <v>45027.39208333333</v>
      </c>
    </row>
    <row r="1706" hidden="1">
      <c r="A1706" s="1" t="s">
        <v>21</v>
      </c>
      <c r="B1706" s="3" t="str">
        <f>HYPERLINK("https://hawk-eye.atlassian.net/browse/HWKREPORT-1673?atlOrigin=eyJpIjoiYzgwYTQ0ZjEyNzQzNGJhN2JmNjEyZTM0NmRhZWZhNjIiLCJwIjoic2hlZXRzLWppcmEifQ","HWKREPORT-1673")</f>
        <v>HWKREPORT-1673</v>
      </c>
      <c r="C1706" s="1" t="s">
        <v>2955</v>
      </c>
      <c r="D1706" s="1" t="s">
        <v>83</v>
      </c>
      <c r="E1706" s="1" t="s">
        <v>35</v>
      </c>
      <c r="F1706" s="4">
        <v>44875.03859953704</v>
      </c>
      <c r="G1706" s="3" t="str">
        <f t="shared" ref="G1706:G1707" si="141">HYPERLINK("https://hawk-eye.atlassian.net/browse/?atlOrigin=eyJpIjoiYzgwYTQ0ZjEyNzQzNGJhN2JmNjEyZTM0NmRhZWZhNjIiLCJwIjoic2hlZXRzLWppcmEifQ","")</f>
        <v/>
      </c>
      <c r="H1706" s="1" t="s">
        <v>1058</v>
      </c>
      <c r="I1706" s="1" t="s">
        <v>2956</v>
      </c>
      <c r="J1706" s="1" t="s">
        <v>26</v>
      </c>
      <c r="K1706" s="1" t="s">
        <v>1247</v>
      </c>
      <c r="L1706" s="1" t="s">
        <v>26</v>
      </c>
      <c r="M1706" s="1" t="s">
        <v>27</v>
      </c>
      <c r="N1706" s="1" t="s">
        <v>26</v>
      </c>
      <c r="O1706" s="1" t="s">
        <v>26</v>
      </c>
      <c r="P1706" s="4">
        <v>45020.34989583334</v>
      </c>
    </row>
    <row r="1707" hidden="1">
      <c r="A1707" s="1" t="s">
        <v>21</v>
      </c>
      <c r="B1707" s="3" t="str">
        <f>HYPERLINK("https://hawk-eye.atlassian.net/browse/HWKREPORT-1674?atlOrigin=eyJpIjoiYzgwYTQ0ZjEyNzQzNGJhN2JmNjEyZTM0NmRhZWZhNjIiLCJwIjoic2hlZXRzLWppcmEifQ","HWKREPORT-1674")</f>
        <v>HWKREPORT-1674</v>
      </c>
      <c r="C1707" s="1" t="s">
        <v>2957</v>
      </c>
      <c r="D1707" s="1" t="s">
        <v>83</v>
      </c>
      <c r="E1707" s="1" t="s">
        <v>1057</v>
      </c>
      <c r="F1707" s="4">
        <v>44875.61819444445</v>
      </c>
      <c r="G1707" s="3" t="str">
        <f t="shared" si="141"/>
        <v/>
      </c>
      <c r="H1707" s="1" t="s">
        <v>1058</v>
      </c>
      <c r="I1707" s="1" t="s">
        <v>1085</v>
      </c>
      <c r="J1707" s="1" t="s">
        <v>26</v>
      </c>
      <c r="K1707" s="1" t="s">
        <v>1116</v>
      </c>
      <c r="L1707" s="1" t="s">
        <v>26</v>
      </c>
      <c r="M1707" s="1" t="s">
        <v>27</v>
      </c>
      <c r="N1707" s="1" t="s">
        <v>26</v>
      </c>
      <c r="O1707" s="1" t="s">
        <v>26</v>
      </c>
      <c r="P1707" s="4">
        <v>44875.61820601852</v>
      </c>
    </row>
    <row r="1708" hidden="1">
      <c r="A1708" s="1" t="s">
        <v>21</v>
      </c>
      <c r="B1708" s="3" t="str">
        <f>HYPERLINK("https://hawk-eye.atlassian.net/browse/HWKREPORT-1675?atlOrigin=eyJpIjoiYzgwYTQ0ZjEyNzQzNGJhN2JmNjEyZTM0NmRhZWZhNjIiLCJwIjoic2hlZXRzLWppcmEifQ","HWKREPORT-1675")</f>
        <v>HWKREPORT-1675</v>
      </c>
      <c r="C1708" s="1" t="s">
        <v>2958</v>
      </c>
      <c r="D1708" s="1" t="s">
        <v>23</v>
      </c>
      <c r="E1708" s="1" t="s">
        <v>35</v>
      </c>
      <c r="F1708" s="4">
        <v>44875.84564814815</v>
      </c>
      <c r="G1708" s="3" t="str">
        <f>HYPERLINK("https://hawk-eye.atlassian.net/browse/RTT-5517?atlOrigin=eyJpIjoiYzgwYTQ0ZjEyNzQzNGJhN2JmNjEyZTM0NmRhZWZhNjIiLCJwIjoic2hlZXRzLWppcmEifQ","RTT-5517")</f>
        <v>RTT-5517</v>
      </c>
      <c r="H1708" s="1" t="s">
        <v>1058</v>
      </c>
      <c r="I1708" s="1" t="s">
        <v>1071</v>
      </c>
      <c r="J1708" s="1" t="s">
        <v>26</v>
      </c>
      <c r="K1708" s="1" t="s">
        <v>2197</v>
      </c>
      <c r="L1708" s="1" t="s">
        <v>26</v>
      </c>
      <c r="M1708" s="1" t="s">
        <v>27</v>
      </c>
      <c r="N1708" s="1" t="s">
        <v>26</v>
      </c>
      <c r="O1708" s="1" t="s">
        <v>26</v>
      </c>
      <c r="P1708" s="4">
        <v>45678.59386574074</v>
      </c>
    </row>
    <row r="1709" hidden="1">
      <c r="A1709" s="1" t="s">
        <v>21</v>
      </c>
      <c r="B1709" s="3" t="str">
        <f>HYPERLINK("https://hawk-eye.atlassian.net/browse/HWKREPORT-1676?atlOrigin=eyJpIjoiYzgwYTQ0ZjEyNzQzNGJhN2JmNjEyZTM0NmRhZWZhNjIiLCJwIjoic2hlZXRzLWppcmEifQ","HWKREPORT-1676")</f>
        <v>HWKREPORT-1676</v>
      </c>
      <c r="C1709" s="1" t="s">
        <v>2959</v>
      </c>
      <c r="D1709" s="1" t="s">
        <v>34</v>
      </c>
      <c r="E1709" s="1" t="s">
        <v>35</v>
      </c>
      <c r="F1709" s="4">
        <v>44876.656539351854</v>
      </c>
      <c r="G1709" s="3" t="str">
        <f>HYPERLINK("https://hawk-eye.atlassian.net/browse/AL-560?atlOrigin=eyJpIjoiYzgwYTQ0ZjEyNzQzNGJhN2JmNjEyZTM0NmRhZWZhNjIiLCJwIjoic2hlZXRzLWppcmEifQ","AL-560")</f>
        <v>AL-560</v>
      </c>
      <c r="H1709" s="1" t="s">
        <v>1058</v>
      </c>
      <c r="I1709" s="1" t="s">
        <v>1085</v>
      </c>
      <c r="J1709" s="1" t="s">
        <v>26</v>
      </c>
      <c r="K1709" s="1" t="s">
        <v>1219</v>
      </c>
      <c r="L1709" s="1" t="s">
        <v>26</v>
      </c>
      <c r="M1709" s="1" t="s">
        <v>27</v>
      </c>
      <c r="N1709" s="1" t="s">
        <v>26</v>
      </c>
      <c r="O1709" s="1" t="s">
        <v>26</v>
      </c>
      <c r="P1709" s="4">
        <v>44879.55403935185</v>
      </c>
    </row>
    <row r="1710" hidden="1">
      <c r="A1710" s="1" t="s">
        <v>21</v>
      </c>
      <c r="B1710" s="3" t="str">
        <f>HYPERLINK("https://hawk-eye.atlassian.net/browse/HWKREPORT-1677?atlOrigin=eyJpIjoiYzgwYTQ0ZjEyNzQzNGJhN2JmNjEyZTM0NmRhZWZhNjIiLCJwIjoic2hlZXRzLWppcmEifQ","HWKREPORT-1677")</f>
        <v>HWKREPORT-1677</v>
      </c>
      <c r="C1710" s="1" t="s">
        <v>2960</v>
      </c>
      <c r="D1710" s="1" t="s">
        <v>23</v>
      </c>
      <c r="E1710" s="1" t="s">
        <v>1207</v>
      </c>
      <c r="F1710" s="4">
        <v>44876.66165509259</v>
      </c>
      <c r="G1710" s="3" t="str">
        <f>HYPERLINK("https://hawk-eye.atlassian.net/browse/AL-561?atlOrigin=eyJpIjoiYzgwYTQ0ZjEyNzQzNGJhN2JmNjEyZTM0NmRhZWZhNjIiLCJwIjoic2hlZXRzLWppcmEifQ","AL-561")</f>
        <v>AL-561</v>
      </c>
      <c r="H1710" s="1" t="s">
        <v>1058</v>
      </c>
      <c r="I1710" s="1" t="s">
        <v>1085</v>
      </c>
      <c r="J1710" s="1" t="s">
        <v>26</v>
      </c>
      <c r="K1710" s="1" t="s">
        <v>1219</v>
      </c>
      <c r="L1710" s="1" t="s">
        <v>26</v>
      </c>
      <c r="M1710" s="1" t="s">
        <v>27</v>
      </c>
      <c r="N1710" s="1" t="s">
        <v>26</v>
      </c>
      <c r="O1710" s="1" t="s">
        <v>26</v>
      </c>
      <c r="P1710" s="4">
        <v>44929.4184837963</v>
      </c>
    </row>
    <row r="1711" hidden="1">
      <c r="A1711" s="1" t="s">
        <v>1055</v>
      </c>
      <c r="B1711" s="3" t="str">
        <f>HYPERLINK("https://hawk-eye.atlassian.net/browse/HWKREPORT-1678?atlOrigin=eyJpIjoiYzgwYTQ0ZjEyNzQzNGJhN2JmNjEyZTM0NmRhZWZhNjIiLCJwIjoic2hlZXRzLWppcmEifQ","HWKREPORT-1678")</f>
        <v>HWKREPORT-1678</v>
      </c>
      <c r="C1711" s="1" t="s">
        <v>2961</v>
      </c>
      <c r="D1711" s="1" t="s">
        <v>23</v>
      </c>
      <c r="E1711" s="1" t="s">
        <v>35</v>
      </c>
      <c r="F1711" s="4">
        <v>44876.6869212963</v>
      </c>
      <c r="G1711" s="3" t="str">
        <f>HYPERLINK("https://hawk-eye.atlassian.net/browse/RTT-5527?atlOrigin=eyJpIjoiYzgwYTQ0ZjEyNzQzNGJhN2JmNjEyZTM0NmRhZWZhNjIiLCJwIjoic2hlZXRzLWppcmEifQ","RTT-5527")</f>
        <v>RTT-5527</v>
      </c>
      <c r="H1711" s="1" t="s">
        <v>1058</v>
      </c>
      <c r="I1711" s="1" t="s">
        <v>1082</v>
      </c>
      <c r="J1711" s="1" t="s">
        <v>26</v>
      </c>
      <c r="K1711" s="1" t="s">
        <v>1173</v>
      </c>
      <c r="L1711" s="1" t="s">
        <v>26</v>
      </c>
      <c r="M1711" s="1" t="s">
        <v>27</v>
      </c>
      <c r="N1711" s="1" t="s">
        <v>26</v>
      </c>
      <c r="O1711" s="1" t="s">
        <v>26</v>
      </c>
      <c r="P1711" s="4">
        <v>44904.792708333334</v>
      </c>
    </row>
    <row r="1712" hidden="1">
      <c r="A1712" s="1" t="s">
        <v>1055</v>
      </c>
      <c r="B1712" s="3" t="str">
        <f>HYPERLINK("https://hawk-eye.atlassian.net/browse/HWKREPORT-1679?atlOrigin=eyJpIjoiYzgwYTQ0ZjEyNzQzNGJhN2JmNjEyZTM0NmRhZWZhNjIiLCJwIjoic2hlZXRzLWppcmEifQ","HWKREPORT-1679")</f>
        <v>HWKREPORT-1679</v>
      </c>
      <c r="C1712" s="1" t="s">
        <v>2962</v>
      </c>
      <c r="D1712" s="1" t="s">
        <v>83</v>
      </c>
      <c r="E1712" s="1" t="s">
        <v>35</v>
      </c>
      <c r="F1712" s="4">
        <v>44879.828310185185</v>
      </c>
      <c r="G1712" s="3" t="str">
        <f>HYPERLINK("https://hawk-eye.atlassian.net/browse/SO-570?atlOrigin=eyJpIjoiYzgwYTQ0ZjEyNzQzNGJhN2JmNjEyZTM0NmRhZWZhNjIiLCJwIjoic2hlZXRzLWppcmEifQ","SO-570")</f>
        <v>SO-570</v>
      </c>
      <c r="H1712" s="1" t="s">
        <v>1058</v>
      </c>
      <c r="I1712" s="1" t="s">
        <v>1085</v>
      </c>
      <c r="J1712" s="1" t="s">
        <v>26</v>
      </c>
      <c r="K1712" s="1" t="s">
        <v>2128</v>
      </c>
      <c r="L1712" s="1" t="s">
        <v>26</v>
      </c>
      <c r="M1712" s="1" t="s">
        <v>27</v>
      </c>
      <c r="N1712" s="1" t="s">
        <v>26</v>
      </c>
      <c r="O1712" s="1" t="s">
        <v>26</v>
      </c>
      <c r="P1712" s="4">
        <v>44966.63082175926</v>
      </c>
    </row>
    <row r="1713" hidden="1">
      <c r="A1713" s="1" t="s">
        <v>21</v>
      </c>
      <c r="B1713" s="3" t="str">
        <f>HYPERLINK("https://hawk-eye.atlassian.net/browse/HWKREPORT-1680?atlOrigin=eyJpIjoiYzgwYTQ0ZjEyNzQzNGJhN2JmNjEyZTM0NmRhZWZhNjIiLCJwIjoic2hlZXRzLWppcmEifQ","HWKREPORT-1680")</f>
        <v>HWKREPORT-1680</v>
      </c>
      <c r="C1713" s="1" t="s">
        <v>2963</v>
      </c>
      <c r="D1713" s="1" t="s">
        <v>23</v>
      </c>
      <c r="E1713" s="1" t="s">
        <v>1057</v>
      </c>
      <c r="F1713" s="4">
        <v>44879.92287037037</v>
      </c>
      <c r="G1713" s="3" t="str">
        <f>HYPERLINK("https://hawk-eye.atlassian.net/browse/RTT-5904?atlOrigin=eyJpIjoiYzgwYTQ0ZjEyNzQzNGJhN2JmNjEyZTM0NmRhZWZhNjIiLCJwIjoic2hlZXRzLWppcmEifQ","RTT-5904")</f>
        <v>RTT-5904</v>
      </c>
      <c r="H1713" s="1" t="s">
        <v>1058</v>
      </c>
      <c r="I1713" s="1" t="s">
        <v>1071</v>
      </c>
      <c r="J1713" s="1" t="s">
        <v>26</v>
      </c>
      <c r="K1713" s="1" t="s">
        <v>1072</v>
      </c>
      <c r="L1713" s="1" t="s">
        <v>26</v>
      </c>
      <c r="M1713" s="1" t="s">
        <v>27</v>
      </c>
      <c r="N1713" s="1" t="s">
        <v>26</v>
      </c>
      <c r="O1713" s="1" t="s">
        <v>26</v>
      </c>
      <c r="P1713" s="4">
        <v>44879.92288194445</v>
      </c>
    </row>
    <row r="1714" hidden="1">
      <c r="A1714" s="1" t="s">
        <v>1055</v>
      </c>
      <c r="B1714" s="3" t="str">
        <f>HYPERLINK("https://hawk-eye.atlassian.net/browse/HWKREPORT-1681?atlOrigin=eyJpIjoiYzgwYTQ0ZjEyNzQzNGJhN2JmNjEyZTM0NmRhZWZhNjIiLCJwIjoic2hlZXRzLWppcmEifQ","HWKREPORT-1681")</f>
        <v>HWKREPORT-1681</v>
      </c>
      <c r="C1714" s="1" t="s">
        <v>2964</v>
      </c>
      <c r="D1714" s="1" t="s">
        <v>23</v>
      </c>
      <c r="E1714" s="1" t="s">
        <v>35</v>
      </c>
      <c r="F1714" s="4">
        <v>44879.92965277778</v>
      </c>
      <c r="G1714" s="3" t="str">
        <f>HYPERLINK("https://hawk-eye.atlassian.net/browse/RTT-5950?atlOrigin=eyJpIjoiYzgwYTQ0ZjEyNzQzNGJhN2JmNjEyZTM0NmRhZWZhNjIiLCJwIjoic2hlZXRzLWppcmEifQ","RTT-5950")</f>
        <v>RTT-5950</v>
      </c>
      <c r="H1714" s="1" t="s">
        <v>1058</v>
      </c>
      <c r="I1714" s="1" t="s">
        <v>1071</v>
      </c>
      <c r="J1714" s="1" t="s">
        <v>26</v>
      </c>
      <c r="K1714" s="1" t="s">
        <v>1072</v>
      </c>
      <c r="L1714" s="1" t="s">
        <v>26</v>
      </c>
      <c r="M1714" s="1" t="s">
        <v>27</v>
      </c>
      <c r="N1714" s="1" t="s">
        <v>26</v>
      </c>
      <c r="O1714" s="1" t="s">
        <v>26</v>
      </c>
      <c r="P1714" s="4">
        <v>45120.74951388889</v>
      </c>
    </row>
    <row r="1715" hidden="1">
      <c r="A1715" s="1" t="s">
        <v>21</v>
      </c>
      <c r="B1715" s="3" t="str">
        <f>HYPERLINK("https://hawk-eye.atlassian.net/browse/HWKREPORT-1682?atlOrigin=eyJpIjoiYzgwYTQ0ZjEyNzQzNGJhN2JmNjEyZTM0NmRhZWZhNjIiLCJwIjoic2hlZXRzLWppcmEifQ","HWKREPORT-1682")</f>
        <v>HWKREPORT-1682</v>
      </c>
      <c r="C1715" s="1" t="s">
        <v>2965</v>
      </c>
      <c r="D1715" s="1" t="s">
        <v>34</v>
      </c>
      <c r="E1715" s="1" t="s">
        <v>1207</v>
      </c>
      <c r="F1715" s="4">
        <v>44880.77626157407</v>
      </c>
      <c r="G1715" s="3" t="str">
        <f>HYPERLINK("https://hawk-eye.atlassian.net/browse/RTT-5521?atlOrigin=eyJpIjoiYzgwYTQ0ZjEyNzQzNGJhN2JmNjEyZTM0NmRhZWZhNjIiLCJwIjoic2hlZXRzLWppcmEifQ","RTT-5521")</f>
        <v>RTT-5521</v>
      </c>
      <c r="H1715" s="1" t="s">
        <v>1058</v>
      </c>
      <c r="I1715" s="1" t="s">
        <v>1126</v>
      </c>
      <c r="J1715" s="1" t="s">
        <v>26</v>
      </c>
      <c r="K1715" s="1" t="s">
        <v>1312</v>
      </c>
      <c r="L1715" s="1" t="s">
        <v>26</v>
      </c>
      <c r="M1715" s="1" t="s">
        <v>27</v>
      </c>
      <c r="N1715" s="1" t="s">
        <v>26</v>
      </c>
      <c r="O1715" s="1" t="s">
        <v>26</v>
      </c>
      <c r="P1715" s="4">
        <v>44929.4184837963</v>
      </c>
    </row>
    <row r="1716" hidden="1">
      <c r="A1716" s="1" t="s">
        <v>21</v>
      </c>
      <c r="B1716" s="3" t="str">
        <f>HYPERLINK("https://hawk-eye.atlassian.net/browse/HWKREPORT-1683?atlOrigin=eyJpIjoiYzgwYTQ0ZjEyNzQzNGJhN2JmNjEyZTM0NmRhZWZhNjIiLCJwIjoic2hlZXRzLWppcmEifQ","HWKREPORT-1683")</f>
        <v>HWKREPORT-1683</v>
      </c>
      <c r="C1716" s="1" t="s">
        <v>2951</v>
      </c>
      <c r="D1716" s="1" t="s">
        <v>23</v>
      </c>
      <c r="E1716" s="1" t="s">
        <v>35</v>
      </c>
      <c r="F1716" s="4">
        <v>44881.50466435185</v>
      </c>
      <c r="G1716" s="3" t="str">
        <f>HYPERLINK("https://hawk-eye.atlassian.net/browse/HWKREPORT-1670?atlOrigin=eyJpIjoiYzgwYTQ0ZjEyNzQzNGJhN2JmNjEyZTM0NmRhZWZhNjIiLCJwIjoic2hlZXRzLWppcmEifQ","HWKREPORT-1670")</f>
        <v>HWKREPORT-1670</v>
      </c>
      <c r="H1716" s="1" t="s">
        <v>1058</v>
      </c>
      <c r="I1716" s="1" t="s">
        <v>1071</v>
      </c>
      <c r="J1716" s="1" t="s">
        <v>26</v>
      </c>
      <c r="K1716" s="1" t="s">
        <v>2952</v>
      </c>
      <c r="L1716" s="1" t="s">
        <v>26</v>
      </c>
      <c r="M1716" s="1" t="s">
        <v>27</v>
      </c>
      <c r="N1716" s="1" t="s">
        <v>26</v>
      </c>
      <c r="O1716" s="1" t="s">
        <v>26</v>
      </c>
      <c r="P1716" s="4">
        <v>44881.5059837963</v>
      </c>
    </row>
    <row r="1717" hidden="1">
      <c r="A1717" s="1" t="s">
        <v>21</v>
      </c>
      <c r="B1717" s="3" t="str">
        <f>HYPERLINK("https://hawk-eye.atlassian.net/browse/HWKREPORT-1684?atlOrigin=eyJpIjoiYzgwYTQ0ZjEyNzQzNGJhN2JmNjEyZTM0NmRhZWZhNjIiLCJwIjoic2hlZXRzLWppcmEifQ","HWKREPORT-1684")</f>
        <v>HWKREPORT-1684</v>
      </c>
      <c r="C1717" s="1" t="s">
        <v>2966</v>
      </c>
      <c r="D1717" s="1" t="s">
        <v>23</v>
      </c>
      <c r="E1717" s="1" t="s">
        <v>1207</v>
      </c>
      <c r="F1717" s="4">
        <v>44881.77179398148</v>
      </c>
      <c r="G1717" s="3" t="str">
        <f>HYPERLINK("https://hawk-eye.atlassian.net/browse/RTT-5525?atlOrigin=eyJpIjoiYzgwYTQ0ZjEyNzQzNGJhN2JmNjEyZTM0NmRhZWZhNjIiLCJwIjoic2hlZXRzLWppcmEifQ","RTT-5525")</f>
        <v>RTT-5525</v>
      </c>
      <c r="H1717" s="1" t="s">
        <v>1058</v>
      </c>
      <c r="I1717" s="1" t="s">
        <v>1071</v>
      </c>
      <c r="J1717" s="1" t="s">
        <v>26</v>
      </c>
      <c r="K1717" s="1" t="s">
        <v>1099</v>
      </c>
      <c r="L1717" s="1" t="s">
        <v>26</v>
      </c>
      <c r="M1717" s="1" t="s">
        <v>27</v>
      </c>
      <c r="N1717" s="1" t="s">
        <v>26</v>
      </c>
      <c r="O1717" s="1" t="s">
        <v>26</v>
      </c>
      <c r="P1717" s="4">
        <v>44929.4184837963</v>
      </c>
    </row>
    <row r="1718" hidden="1">
      <c r="A1718" s="1" t="s">
        <v>21</v>
      </c>
      <c r="B1718" s="3" t="str">
        <f>HYPERLINK("https://hawk-eye.atlassian.net/browse/HWKREPORT-1685?atlOrigin=eyJpIjoiYzgwYTQ0ZjEyNzQzNGJhN2JmNjEyZTM0NmRhZWZhNjIiLCJwIjoic2hlZXRzLWppcmEifQ","HWKREPORT-1685")</f>
        <v>HWKREPORT-1685</v>
      </c>
      <c r="C1718" s="1" t="s">
        <v>2967</v>
      </c>
      <c r="D1718" s="1" t="s">
        <v>23</v>
      </c>
      <c r="E1718" s="1" t="s">
        <v>1207</v>
      </c>
      <c r="F1718" s="4">
        <v>44881.814571759256</v>
      </c>
      <c r="G1718" s="3" t="str">
        <f>HYPERLINK("https://hawk-eye.atlassian.net/browse/RTT-5526?atlOrigin=eyJpIjoiYzgwYTQ0ZjEyNzQzNGJhN2JmNjEyZTM0NmRhZWZhNjIiLCJwIjoic2hlZXRzLWppcmEifQ","RTT-5526")</f>
        <v>RTT-5526</v>
      </c>
      <c r="H1718" s="1" t="s">
        <v>1058</v>
      </c>
      <c r="I1718" s="1" t="s">
        <v>1071</v>
      </c>
      <c r="J1718" s="1" t="s">
        <v>26</v>
      </c>
      <c r="K1718" s="1" t="s">
        <v>1099</v>
      </c>
      <c r="L1718" s="1" t="s">
        <v>26</v>
      </c>
      <c r="M1718" s="1" t="s">
        <v>27</v>
      </c>
      <c r="N1718" s="1" t="s">
        <v>26</v>
      </c>
      <c r="O1718" s="1" t="s">
        <v>26</v>
      </c>
      <c r="P1718" s="4">
        <v>44929.4184837963</v>
      </c>
    </row>
    <row r="1719" hidden="1">
      <c r="A1719" s="1" t="s">
        <v>1055</v>
      </c>
      <c r="B1719" s="3" t="str">
        <f>HYPERLINK("https://hawk-eye.atlassian.net/browse/HWKREPORT-1686?atlOrigin=eyJpIjoiYzgwYTQ0ZjEyNzQzNGJhN2JmNjEyZTM0NmRhZWZhNjIiLCJwIjoic2hlZXRzLWppcmEifQ","HWKREPORT-1686")</f>
        <v>HWKREPORT-1686</v>
      </c>
      <c r="C1719" s="1" t="s">
        <v>2968</v>
      </c>
      <c r="D1719" s="1" t="s">
        <v>48</v>
      </c>
      <c r="E1719" s="1" t="s">
        <v>1057</v>
      </c>
      <c r="F1719" s="4">
        <v>44882.68881944445</v>
      </c>
      <c r="G1719" s="3" t="str">
        <f>HYPERLINK("https://hawk-eye.atlassian.net/browse/?atlOrigin=eyJpIjoiYzgwYTQ0ZjEyNzQzNGJhN2JmNjEyZTM0NmRhZWZhNjIiLCJwIjoic2hlZXRzLWppcmEifQ","")</f>
        <v/>
      </c>
      <c r="H1719" s="1" t="s">
        <v>1058</v>
      </c>
      <c r="I1719" s="1" t="s">
        <v>1071</v>
      </c>
      <c r="J1719" s="1" t="s">
        <v>26</v>
      </c>
      <c r="K1719" s="1" t="s">
        <v>1276</v>
      </c>
      <c r="L1719" s="1" t="s">
        <v>26</v>
      </c>
      <c r="M1719" s="1" t="s">
        <v>27</v>
      </c>
      <c r="N1719" s="1" t="s">
        <v>26</v>
      </c>
      <c r="O1719" s="1" t="s">
        <v>26</v>
      </c>
      <c r="P1719" s="4">
        <v>44882.68883101852</v>
      </c>
    </row>
    <row r="1720" hidden="1">
      <c r="A1720" s="1" t="s">
        <v>21</v>
      </c>
      <c r="B1720" s="3" t="str">
        <f>HYPERLINK("https://hawk-eye.atlassian.net/browse/HWKREPORT-1687?atlOrigin=eyJpIjoiYzgwYTQ0ZjEyNzQzNGJhN2JmNjEyZTM0NmRhZWZhNjIiLCJwIjoic2hlZXRzLWppcmEifQ","HWKREPORT-1687")</f>
        <v>HWKREPORT-1687</v>
      </c>
      <c r="C1720" s="1" t="s">
        <v>2969</v>
      </c>
      <c r="D1720" s="1" t="s">
        <v>34</v>
      </c>
      <c r="E1720" s="1" t="s">
        <v>35</v>
      </c>
      <c r="F1720" s="4">
        <v>44882.7337962963</v>
      </c>
      <c r="G1720" s="3" t="str">
        <f>HYPERLINK("https://hawk-eye.atlassian.net/browse/SO-631?atlOrigin=eyJpIjoiYzgwYTQ0ZjEyNzQzNGJhN2JmNjEyZTM0NmRhZWZhNjIiLCJwIjoic2hlZXRzLWppcmEifQ","SO-631")</f>
        <v>SO-631</v>
      </c>
      <c r="H1720" s="1" t="s">
        <v>1058</v>
      </c>
      <c r="I1720" s="1" t="s">
        <v>1071</v>
      </c>
      <c r="J1720" s="1" t="s">
        <v>26</v>
      </c>
      <c r="K1720" s="1" t="s">
        <v>1134</v>
      </c>
      <c r="L1720" s="1" t="s">
        <v>26</v>
      </c>
      <c r="M1720" s="1" t="s">
        <v>27</v>
      </c>
      <c r="N1720" s="1" t="s">
        <v>26</v>
      </c>
      <c r="O1720" s="1" t="s">
        <v>26</v>
      </c>
      <c r="P1720" s="4">
        <v>44953.61837962963</v>
      </c>
    </row>
    <row r="1721" hidden="1">
      <c r="A1721" s="1" t="s">
        <v>1055</v>
      </c>
      <c r="B1721" s="3" t="str">
        <f>HYPERLINK("https://hawk-eye.atlassian.net/browse/HWKREPORT-1688?atlOrigin=eyJpIjoiYzgwYTQ0ZjEyNzQzNGJhN2JmNjEyZTM0NmRhZWZhNjIiLCJwIjoic2hlZXRzLWppcmEifQ","HWKREPORT-1688")</f>
        <v>HWKREPORT-1688</v>
      </c>
      <c r="C1721" s="1" t="s">
        <v>2970</v>
      </c>
      <c r="D1721" s="1" t="s">
        <v>48</v>
      </c>
      <c r="E1721" s="1" t="s">
        <v>35</v>
      </c>
      <c r="F1721" s="4">
        <v>44882.78534722222</v>
      </c>
      <c r="G1721" s="3" t="str">
        <f>HYPERLINK("https://hawk-eye.atlassian.net/browse/RTT-5532?atlOrigin=eyJpIjoiYzgwYTQ0ZjEyNzQzNGJhN2JmNjEyZTM0NmRhZWZhNjIiLCJwIjoic2hlZXRzLWppcmEifQ","RTT-5532")</f>
        <v>RTT-5532</v>
      </c>
      <c r="H1721" s="1" t="s">
        <v>1058</v>
      </c>
      <c r="I1721" s="1" t="s">
        <v>1071</v>
      </c>
      <c r="J1721" s="1" t="s">
        <v>26</v>
      </c>
      <c r="K1721" s="1" t="s">
        <v>1099</v>
      </c>
      <c r="L1721" s="1" t="s">
        <v>26</v>
      </c>
      <c r="M1721" s="1" t="s">
        <v>27</v>
      </c>
      <c r="N1721" s="1" t="s">
        <v>26</v>
      </c>
      <c r="O1721" s="1" t="s">
        <v>26</v>
      </c>
      <c r="P1721" s="4">
        <v>44958.417766203704</v>
      </c>
    </row>
    <row r="1722" hidden="1">
      <c r="A1722" s="1" t="s">
        <v>1055</v>
      </c>
      <c r="B1722" s="3" t="str">
        <f>HYPERLINK("https://hawk-eye.atlassian.net/browse/HWKREPORT-1689?atlOrigin=eyJpIjoiYzgwYTQ0ZjEyNzQzNGJhN2JmNjEyZTM0NmRhZWZhNjIiLCJwIjoic2hlZXRzLWppcmEifQ","HWKREPORT-1689")</f>
        <v>HWKREPORT-1689</v>
      </c>
      <c r="C1722" s="1" t="s">
        <v>2971</v>
      </c>
      <c r="D1722" s="1" t="s">
        <v>48</v>
      </c>
      <c r="E1722" s="1" t="s">
        <v>35</v>
      </c>
      <c r="F1722" s="4">
        <v>44882.83803240741</v>
      </c>
      <c r="G1722" s="3" t="str">
        <f>HYPERLINK("https://hawk-eye.atlassian.net/browse/RTT-5533?atlOrigin=eyJpIjoiYzgwYTQ0ZjEyNzQzNGJhN2JmNjEyZTM0NmRhZWZhNjIiLCJwIjoic2hlZXRzLWppcmEifQ","RTT-5533")</f>
        <v>RTT-5533</v>
      </c>
      <c r="H1722" s="1" t="s">
        <v>1058</v>
      </c>
      <c r="I1722" s="1" t="s">
        <v>28</v>
      </c>
      <c r="J1722" s="1" t="s">
        <v>26</v>
      </c>
      <c r="K1722" s="1" t="s">
        <v>1072</v>
      </c>
      <c r="L1722" s="1" t="s">
        <v>26</v>
      </c>
      <c r="M1722" s="1" t="s">
        <v>27</v>
      </c>
      <c r="N1722" s="1" t="s">
        <v>26</v>
      </c>
      <c r="O1722" s="1" t="s">
        <v>26</v>
      </c>
      <c r="P1722" s="4">
        <v>44994.739699074074</v>
      </c>
    </row>
    <row r="1723" hidden="1">
      <c r="A1723" s="1" t="s">
        <v>21</v>
      </c>
      <c r="B1723" s="3" t="str">
        <f>HYPERLINK("https://hawk-eye.atlassian.net/browse/HWKREPORT-1690?atlOrigin=eyJpIjoiYzgwYTQ0ZjEyNzQzNGJhN2JmNjEyZTM0NmRhZWZhNjIiLCJwIjoic2hlZXRzLWppcmEifQ","HWKREPORT-1690")</f>
        <v>HWKREPORT-1690</v>
      </c>
      <c r="C1723" s="1" t="s">
        <v>2972</v>
      </c>
      <c r="D1723" s="1" t="s">
        <v>23</v>
      </c>
      <c r="E1723" s="1" t="s">
        <v>35</v>
      </c>
      <c r="F1723" s="4">
        <v>44882.908541666664</v>
      </c>
      <c r="G1723" s="3" t="str">
        <f>HYPERLINK("https://hawk-eye.atlassian.net/browse/RTT-5534?atlOrigin=eyJpIjoiYzgwYTQ0ZjEyNzQzNGJhN2JmNjEyZTM0NmRhZWZhNjIiLCJwIjoic2hlZXRzLWppcmEifQ","RTT-5534")</f>
        <v>RTT-5534</v>
      </c>
      <c r="H1723" s="1" t="s">
        <v>1058</v>
      </c>
      <c r="I1723" s="1" t="s">
        <v>2973</v>
      </c>
      <c r="J1723" s="1" t="s">
        <v>26</v>
      </c>
      <c r="K1723" s="1" t="s">
        <v>1312</v>
      </c>
      <c r="L1723" s="1" t="s">
        <v>26</v>
      </c>
      <c r="M1723" s="1" t="s">
        <v>27</v>
      </c>
      <c r="N1723" s="1" t="s">
        <v>26</v>
      </c>
      <c r="O1723" s="1" t="s">
        <v>26</v>
      </c>
      <c r="P1723" s="4">
        <v>44941.782858796294</v>
      </c>
    </row>
    <row r="1724" hidden="1">
      <c r="A1724" s="1" t="s">
        <v>21</v>
      </c>
      <c r="B1724" s="3" t="str">
        <f>HYPERLINK("https://hawk-eye.atlassian.net/browse/HWKREPORT-1691?atlOrigin=eyJpIjoiYzgwYTQ0ZjEyNzQzNGJhN2JmNjEyZTM0NmRhZWZhNjIiLCJwIjoic2hlZXRzLWppcmEifQ","HWKREPORT-1691")</f>
        <v>HWKREPORT-1691</v>
      </c>
      <c r="C1724" s="1" t="s">
        <v>2974</v>
      </c>
      <c r="D1724" s="1" t="s">
        <v>34</v>
      </c>
      <c r="E1724" s="1" t="s">
        <v>1207</v>
      </c>
      <c r="F1724" s="4">
        <v>44883.41113425926</v>
      </c>
      <c r="G1724" s="3" t="str">
        <f>HYPERLINK("https://hawk-eye.atlassian.net/browse/RTT-5536?atlOrigin=eyJpIjoiYzgwYTQ0ZjEyNzQzNGJhN2JmNjEyZTM0NmRhZWZhNjIiLCJwIjoic2hlZXRzLWppcmEifQ","RTT-5536")</f>
        <v>RTT-5536</v>
      </c>
      <c r="H1724" s="1" t="s">
        <v>1058</v>
      </c>
      <c r="I1724" s="1" t="s">
        <v>1126</v>
      </c>
      <c r="J1724" s="1" t="s">
        <v>26</v>
      </c>
      <c r="K1724" s="1" t="s">
        <v>1312</v>
      </c>
      <c r="L1724" s="1" t="s">
        <v>26</v>
      </c>
      <c r="M1724" s="1" t="s">
        <v>27</v>
      </c>
      <c r="N1724" s="1" t="s">
        <v>26</v>
      </c>
      <c r="O1724" s="1" t="s">
        <v>26</v>
      </c>
      <c r="P1724" s="4">
        <v>44929.4184837963</v>
      </c>
    </row>
    <row r="1725" hidden="1">
      <c r="A1725" s="1" t="s">
        <v>1055</v>
      </c>
      <c r="B1725" s="3" t="str">
        <f>HYPERLINK("https://hawk-eye.atlassian.net/browse/HWKREPORT-1692?atlOrigin=eyJpIjoiYzgwYTQ0ZjEyNzQzNGJhN2JmNjEyZTM0NmRhZWZhNjIiLCJwIjoic2hlZXRzLWppcmEifQ","HWKREPORT-1692")</f>
        <v>HWKREPORT-1692</v>
      </c>
      <c r="C1725" s="1" t="s">
        <v>2975</v>
      </c>
      <c r="D1725" s="1" t="s">
        <v>48</v>
      </c>
      <c r="E1725" s="1" t="s">
        <v>35</v>
      </c>
      <c r="F1725" s="4">
        <v>44887.60333333333</v>
      </c>
      <c r="G1725" s="3" t="str">
        <f>HYPERLINK("https://hawk-eye.atlassian.net/browse/RTT-5550?atlOrigin=eyJpIjoiYzgwYTQ0ZjEyNzQzNGJhN2JmNjEyZTM0NmRhZWZhNjIiLCJwIjoic2hlZXRzLWppcmEifQ","RTT-5550")</f>
        <v>RTT-5550</v>
      </c>
      <c r="H1725" s="1" t="s">
        <v>1058</v>
      </c>
      <c r="I1725" s="1" t="s">
        <v>28</v>
      </c>
      <c r="J1725" s="1" t="s">
        <v>26</v>
      </c>
      <c r="K1725" s="1" t="s">
        <v>1099</v>
      </c>
      <c r="L1725" s="1" t="s">
        <v>26</v>
      </c>
      <c r="M1725" s="1" t="s">
        <v>27</v>
      </c>
      <c r="N1725" s="1" t="s">
        <v>26</v>
      </c>
      <c r="O1725" s="1" t="s">
        <v>26</v>
      </c>
      <c r="P1725" s="4">
        <v>45524.73131944444</v>
      </c>
    </row>
    <row r="1726">
      <c r="A1726" s="1" t="s">
        <v>21</v>
      </c>
      <c r="B1726" s="3" t="str">
        <f>HYPERLINK("https://hawk-eye.atlassian.net/browse/HWKREPORT-1693?atlOrigin=eyJpIjoiYzgwYTQ0ZjEyNzQzNGJhN2JmNjEyZTM0NmRhZWZhNjIiLCJwIjoic2hlZXRzLWppcmEifQ","HWKREPORT-1693")</f>
        <v>HWKREPORT-1693</v>
      </c>
      <c r="C1726" s="1" t="s">
        <v>2976</v>
      </c>
      <c r="D1726" s="1" t="s">
        <v>83</v>
      </c>
      <c r="E1726" s="1" t="s">
        <v>35</v>
      </c>
      <c r="F1726" s="4">
        <v>44887.64739583333</v>
      </c>
      <c r="G1726" s="3" t="str">
        <f>HYPERLINK("https://hawk-eye.atlassian.net/browse/RTT-5553?atlOrigin=eyJpIjoiYzgwYTQ0ZjEyNzQzNGJhN2JmNjEyZTM0NmRhZWZhNjIiLCJwIjoic2hlZXRzLWppcmEifQ","RTT-5553")</f>
        <v>RTT-5553</v>
      </c>
      <c r="H1726" s="1" t="s">
        <v>1058</v>
      </c>
      <c r="I1726" s="1" t="s">
        <v>28</v>
      </c>
      <c r="J1726" s="1" t="s">
        <v>26</v>
      </c>
      <c r="K1726" s="1" t="s">
        <v>1072</v>
      </c>
      <c r="L1726" s="1" t="s">
        <v>26</v>
      </c>
      <c r="M1726" s="1" t="s">
        <v>27</v>
      </c>
      <c r="N1726" s="1" t="s">
        <v>26</v>
      </c>
      <c r="O1726" s="1" t="s">
        <v>26</v>
      </c>
      <c r="P1726" s="4">
        <v>45524.731261574074</v>
      </c>
    </row>
    <row r="1727" hidden="1">
      <c r="A1727" s="1" t="s">
        <v>1055</v>
      </c>
      <c r="B1727" s="3" t="str">
        <f>HYPERLINK("https://hawk-eye.atlassian.net/browse/HWKREPORT-1694?atlOrigin=eyJpIjoiYzgwYTQ0ZjEyNzQzNGJhN2JmNjEyZTM0NmRhZWZhNjIiLCJwIjoic2hlZXRzLWppcmEifQ","HWKREPORT-1694")</f>
        <v>HWKREPORT-1694</v>
      </c>
      <c r="C1727" s="1" t="s">
        <v>2977</v>
      </c>
      <c r="D1727" s="1" t="s">
        <v>48</v>
      </c>
      <c r="E1727" s="1" t="s">
        <v>35</v>
      </c>
      <c r="F1727" s="4">
        <v>44887.67217592592</v>
      </c>
      <c r="G1727" s="3" t="str">
        <f>HYPERLINK("https://hawk-eye.atlassian.net/browse/RTT-5552?atlOrigin=eyJpIjoiYzgwYTQ0ZjEyNzQzNGJhN2JmNjEyZTM0NmRhZWZhNjIiLCJwIjoic2hlZXRzLWppcmEifQ","RTT-5552")</f>
        <v>RTT-5552</v>
      </c>
      <c r="H1727" s="1" t="s">
        <v>1058</v>
      </c>
      <c r="I1727" s="1" t="s">
        <v>28</v>
      </c>
      <c r="J1727" s="1" t="s">
        <v>26</v>
      </c>
      <c r="K1727" s="1" t="s">
        <v>1072</v>
      </c>
      <c r="L1727" s="1" t="s">
        <v>26</v>
      </c>
      <c r="M1727" s="1" t="s">
        <v>27</v>
      </c>
      <c r="N1727" s="1" t="s">
        <v>26</v>
      </c>
      <c r="O1727" s="1" t="s">
        <v>26</v>
      </c>
      <c r="P1727" s="4">
        <v>44963.51938657407</v>
      </c>
    </row>
    <row r="1728" hidden="1">
      <c r="A1728" s="1" t="s">
        <v>21</v>
      </c>
      <c r="B1728" s="3" t="str">
        <f>HYPERLINK("https://hawk-eye.atlassian.net/browse/HWKREPORT-1695?atlOrigin=eyJpIjoiYzgwYTQ0ZjEyNzQzNGJhN2JmNjEyZTM0NmRhZWZhNjIiLCJwIjoic2hlZXRzLWppcmEifQ","HWKREPORT-1695")</f>
        <v>HWKREPORT-1695</v>
      </c>
      <c r="C1728" s="1" t="s">
        <v>2978</v>
      </c>
      <c r="D1728" s="1" t="s">
        <v>34</v>
      </c>
      <c r="E1728" s="1" t="s">
        <v>35</v>
      </c>
      <c r="F1728" s="4">
        <v>44887.74071759259</v>
      </c>
      <c r="G1728" s="3" t="str">
        <f>HYPERLINK("https://hawk-eye.atlassian.net/browse/RTT-5551?atlOrigin=eyJpIjoiYzgwYTQ0ZjEyNzQzNGJhN2JmNjEyZTM0NmRhZWZhNjIiLCJwIjoic2hlZXRzLWppcmEifQ","RTT-5551")</f>
        <v>RTT-5551</v>
      </c>
      <c r="H1728" s="1" t="s">
        <v>1058</v>
      </c>
      <c r="I1728" s="1" t="s">
        <v>1071</v>
      </c>
      <c r="J1728" s="1" t="s">
        <v>26</v>
      </c>
      <c r="K1728" s="1" t="s">
        <v>1072</v>
      </c>
      <c r="L1728" s="1" t="s">
        <v>26</v>
      </c>
      <c r="M1728" s="1" t="s">
        <v>27</v>
      </c>
      <c r="N1728" s="1" t="s">
        <v>26</v>
      </c>
      <c r="O1728" s="1" t="s">
        <v>26</v>
      </c>
      <c r="P1728" s="4">
        <v>44966.439351851855</v>
      </c>
    </row>
    <row r="1729" hidden="1">
      <c r="A1729" s="1" t="s">
        <v>21</v>
      </c>
      <c r="B1729" s="3" t="str">
        <f>HYPERLINK("https://hawk-eye.atlassian.net/browse/HWKREPORT-1696?atlOrigin=eyJpIjoiYzgwYTQ0ZjEyNzQzNGJhN2JmNjEyZTM0NmRhZWZhNjIiLCJwIjoic2hlZXRzLWppcmEifQ","HWKREPORT-1696")</f>
        <v>HWKREPORT-1696</v>
      </c>
      <c r="C1729" s="1" t="s">
        <v>2979</v>
      </c>
      <c r="D1729" s="1" t="s">
        <v>23</v>
      </c>
      <c r="E1729" s="1" t="s">
        <v>35</v>
      </c>
      <c r="F1729" s="4">
        <v>44888.02284722222</v>
      </c>
      <c r="G1729" s="3" t="str">
        <f>HYPERLINK("https://hawk-eye.atlassian.net/browse/?atlOrigin=eyJpIjoiYzgwYTQ0ZjEyNzQzNGJhN2JmNjEyZTM0NmRhZWZhNjIiLCJwIjoic2hlZXRzLWppcmEifQ","")</f>
        <v/>
      </c>
      <c r="H1729" s="1" t="s">
        <v>1058</v>
      </c>
      <c r="I1729" s="1" t="s">
        <v>1085</v>
      </c>
      <c r="J1729" s="1" t="s">
        <v>26</v>
      </c>
      <c r="K1729" s="1" t="s">
        <v>1348</v>
      </c>
      <c r="L1729" s="1" t="s">
        <v>26</v>
      </c>
      <c r="M1729" s="1" t="s">
        <v>27</v>
      </c>
      <c r="N1729" s="1" t="s">
        <v>26</v>
      </c>
      <c r="O1729" s="1" t="s">
        <v>26</v>
      </c>
      <c r="P1729" s="4">
        <v>44907.400347222225</v>
      </c>
    </row>
    <row r="1730" hidden="1">
      <c r="A1730" s="1" t="s">
        <v>21</v>
      </c>
      <c r="B1730" s="3" t="str">
        <f>HYPERLINK("https://hawk-eye.atlassian.net/browse/HWKREPORT-1697?atlOrigin=eyJpIjoiYzgwYTQ0ZjEyNzQzNGJhN2JmNjEyZTM0NmRhZWZhNjIiLCJwIjoic2hlZXRzLWppcmEifQ","HWKREPORT-1697")</f>
        <v>HWKREPORT-1697</v>
      </c>
      <c r="C1730" s="1" t="s">
        <v>2980</v>
      </c>
      <c r="D1730" s="1" t="s">
        <v>83</v>
      </c>
      <c r="E1730" s="1" t="s">
        <v>1057</v>
      </c>
      <c r="F1730" s="4">
        <v>44890.43597222222</v>
      </c>
      <c r="G1730" s="3" t="str">
        <f>HYPERLINK("https://hawk-eye.atlassian.net/browse/TDP-1535?atlOrigin=eyJpIjoiYzgwYTQ0ZjEyNzQzNGJhN2JmNjEyZTM0NmRhZWZhNjIiLCJwIjoic2hlZXRzLWppcmEifQ","TDP-1535")</f>
        <v>TDP-1535</v>
      </c>
      <c r="H1730" s="1" t="s">
        <v>1058</v>
      </c>
      <c r="I1730" s="1" t="s">
        <v>1126</v>
      </c>
      <c r="J1730" s="1" t="s">
        <v>26</v>
      </c>
      <c r="K1730" s="1" t="s">
        <v>1211</v>
      </c>
      <c r="L1730" s="1" t="s">
        <v>26</v>
      </c>
      <c r="M1730" s="1" t="s">
        <v>27</v>
      </c>
      <c r="N1730" s="1" t="s">
        <v>26</v>
      </c>
      <c r="O1730" s="1" t="s">
        <v>26</v>
      </c>
      <c r="P1730" s="4">
        <v>44890.4359837963</v>
      </c>
    </row>
    <row r="1731" hidden="1">
      <c r="A1731" s="1" t="s">
        <v>1055</v>
      </c>
      <c r="B1731" s="3" t="str">
        <f>HYPERLINK("https://hawk-eye.atlassian.net/browse/HWKREPORT-1698?atlOrigin=eyJpIjoiYzgwYTQ0ZjEyNzQzNGJhN2JmNjEyZTM0NmRhZWZhNjIiLCJwIjoic2hlZXRzLWppcmEifQ","HWKREPORT-1698")</f>
        <v>HWKREPORT-1698</v>
      </c>
      <c r="C1731" s="1" t="s">
        <v>2981</v>
      </c>
      <c r="D1731" s="1" t="s">
        <v>48</v>
      </c>
      <c r="E1731" s="1" t="s">
        <v>35</v>
      </c>
      <c r="F1731" s="4">
        <v>44893.63346064815</v>
      </c>
      <c r="G1731" s="3" t="str">
        <f>HYPERLINK("https://hawk-eye.atlassian.net/browse/RTT-5581?atlOrigin=eyJpIjoiYzgwYTQ0ZjEyNzQzNGJhN2JmNjEyZTM0NmRhZWZhNjIiLCJwIjoic2hlZXRzLWppcmEifQ","RTT-5581")</f>
        <v>RTT-5581</v>
      </c>
      <c r="H1731" s="1" t="s">
        <v>1058</v>
      </c>
      <c r="I1731" s="1" t="s">
        <v>28</v>
      </c>
      <c r="J1731" s="1" t="s">
        <v>26</v>
      </c>
      <c r="K1731" s="1" t="s">
        <v>1072</v>
      </c>
      <c r="L1731" s="1" t="s">
        <v>26</v>
      </c>
      <c r="M1731" s="1" t="s">
        <v>27</v>
      </c>
      <c r="N1731" s="1" t="s">
        <v>26</v>
      </c>
      <c r="O1731" s="1" t="s">
        <v>26</v>
      </c>
      <c r="P1731" s="4">
        <v>44963.40002314815</v>
      </c>
    </row>
    <row r="1732" hidden="1">
      <c r="A1732" s="1" t="s">
        <v>1055</v>
      </c>
      <c r="B1732" s="3" t="str">
        <f>HYPERLINK("https://hawk-eye.atlassian.net/browse/HWKREPORT-1699?atlOrigin=eyJpIjoiYzgwYTQ0ZjEyNzQzNGJhN2JmNjEyZTM0NmRhZWZhNjIiLCJwIjoic2hlZXRzLWppcmEifQ","HWKREPORT-1699")</f>
        <v>HWKREPORT-1699</v>
      </c>
      <c r="C1732" s="1" t="s">
        <v>2982</v>
      </c>
      <c r="D1732" s="1" t="s">
        <v>48</v>
      </c>
      <c r="E1732" s="1" t="s">
        <v>1057</v>
      </c>
      <c r="F1732" s="4">
        <v>44893.79040509259</v>
      </c>
      <c r="G1732" s="3" t="str">
        <f>HYPERLINK("https://hawk-eye.atlassian.net/browse/?atlOrigin=eyJpIjoiYzgwYTQ0ZjEyNzQzNGJhN2JmNjEyZTM0NmRhZWZhNjIiLCJwIjoic2hlZXRzLWppcmEifQ","")</f>
        <v/>
      </c>
      <c r="H1732" s="1" t="s">
        <v>1058</v>
      </c>
      <c r="I1732" s="1" t="s">
        <v>1071</v>
      </c>
      <c r="J1732" s="1" t="s">
        <v>26</v>
      </c>
      <c r="K1732" s="1" t="s">
        <v>1762</v>
      </c>
      <c r="L1732" s="1" t="s">
        <v>26</v>
      </c>
      <c r="M1732" s="1" t="s">
        <v>27</v>
      </c>
      <c r="N1732" s="1" t="s">
        <v>26</v>
      </c>
      <c r="O1732" s="1" t="s">
        <v>26</v>
      </c>
      <c r="P1732" s="4">
        <v>44893.79040509259</v>
      </c>
    </row>
    <row r="1733" hidden="1">
      <c r="A1733" s="1" t="s">
        <v>1055</v>
      </c>
      <c r="B1733" s="3" t="str">
        <f>HYPERLINK("https://hawk-eye.atlassian.net/browse/HWKREPORT-1700?atlOrigin=eyJpIjoiYzgwYTQ0ZjEyNzQzNGJhN2JmNjEyZTM0NmRhZWZhNjIiLCJwIjoic2hlZXRzLWppcmEifQ","HWKREPORT-1700")</f>
        <v>HWKREPORT-1700</v>
      </c>
      <c r="C1733" s="1" t="s">
        <v>2983</v>
      </c>
      <c r="D1733" s="1" t="s">
        <v>48</v>
      </c>
      <c r="E1733" s="1" t="s">
        <v>1207</v>
      </c>
      <c r="F1733" s="4">
        <v>44893.869166666664</v>
      </c>
      <c r="G1733" s="3" t="str">
        <f>HYPERLINK("https://hawk-eye.atlassian.net/browse/RTT-5584?atlOrigin=eyJpIjoiYzgwYTQ0ZjEyNzQzNGJhN2JmNjEyZTM0NmRhZWZhNjIiLCJwIjoic2hlZXRzLWppcmEifQ","RTT-5584")</f>
        <v>RTT-5584</v>
      </c>
      <c r="H1733" s="1" t="s">
        <v>1058</v>
      </c>
      <c r="I1733" s="1" t="s">
        <v>1071</v>
      </c>
      <c r="J1733" s="1" t="s">
        <v>26</v>
      </c>
      <c r="K1733" s="1" t="s">
        <v>1099</v>
      </c>
      <c r="L1733" s="1" t="s">
        <v>26</v>
      </c>
      <c r="M1733" s="1" t="s">
        <v>27</v>
      </c>
      <c r="N1733" s="1" t="s">
        <v>26</v>
      </c>
      <c r="O1733" s="1" t="s">
        <v>26</v>
      </c>
      <c r="P1733" s="4">
        <v>44929.4184837963</v>
      </c>
    </row>
    <row r="1734" hidden="1">
      <c r="A1734" s="1" t="s">
        <v>21</v>
      </c>
      <c r="B1734" s="3" t="str">
        <f>HYPERLINK("https://hawk-eye.atlassian.net/browse/HWKREPORT-1701?atlOrigin=eyJpIjoiYzgwYTQ0ZjEyNzQzNGJhN2JmNjEyZTM0NmRhZWZhNjIiLCJwIjoic2hlZXRzLWppcmEifQ","HWKREPORT-1701")</f>
        <v>HWKREPORT-1701</v>
      </c>
      <c r="C1734" s="1" t="s">
        <v>2984</v>
      </c>
      <c r="D1734" s="1" t="s">
        <v>23</v>
      </c>
      <c r="E1734" s="1" t="s">
        <v>35</v>
      </c>
      <c r="F1734" s="4">
        <v>44894.58519675926</v>
      </c>
      <c r="G1734" s="3" t="str">
        <f>HYPERLINK("https://hawk-eye.atlassian.net/browse/SO-629?atlOrigin=eyJpIjoiYzgwYTQ0ZjEyNzQzNGJhN2JmNjEyZTM0NmRhZWZhNjIiLCJwIjoic2hlZXRzLWppcmEifQ","SO-629")</f>
        <v>SO-629</v>
      </c>
      <c r="H1734" s="1" t="s">
        <v>1058</v>
      </c>
      <c r="I1734" s="1" t="s">
        <v>1151</v>
      </c>
      <c r="J1734" s="1" t="s">
        <v>26</v>
      </c>
      <c r="K1734" s="1" t="s">
        <v>1116</v>
      </c>
      <c r="L1734" s="1" t="s">
        <v>26</v>
      </c>
      <c r="M1734" s="1" t="s">
        <v>27</v>
      </c>
      <c r="N1734" s="1" t="s">
        <v>26</v>
      </c>
      <c r="O1734" s="1" t="s">
        <v>26</v>
      </c>
      <c r="P1734" s="4">
        <v>44959.7033912037</v>
      </c>
    </row>
    <row r="1735" hidden="1">
      <c r="A1735" s="1" t="s">
        <v>1055</v>
      </c>
      <c r="B1735" s="3" t="str">
        <f>HYPERLINK("https://hawk-eye.atlassian.net/browse/HWKREPORT-1702?atlOrigin=eyJpIjoiYzgwYTQ0ZjEyNzQzNGJhN2JmNjEyZTM0NmRhZWZhNjIiLCJwIjoic2hlZXRzLWppcmEifQ","HWKREPORT-1702")</f>
        <v>HWKREPORT-1702</v>
      </c>
      <c r="C1735" s="1" t="s">
        <v>2985</v>
      </c>
      <c r="D1735" s="1" t="s">
        <v>48</v>
      </c>
      <c r="E1735" s="1" t="s">
        <v>1207</v>
      </c>
      <c r="F1735" s="4">
        <v>44894.59520833333</v>
      </c>
      <c r="G1735" s="3" t="str">
        <f>HYPERLINK("https://hawk-eye.atlassian.net/browse/RTT-5586?atlOrigin=eyJpIjoiYzgwYTQ0ZjEyNzQzNGJhN2JmNjEyZTM0NmRhZWZhNjIiLCJwIjoic2hlZXRzLWppcmEifQ","RTT-5586")</f>
        <v>RTT-5586</v>
      </c>
      <c r="H1735" s="1" t="s">
        <v>1058</v>
      </c>
      <c r="I1735" s="1" t="s">
        <v>1151</v>
      </c>
      <c r="J1735" s="1" t="s">
        <v>26</v>
      </c>
      <c r="K1735" s="1" t="s">
        <v>1072</v>
      </c>
      <c r="L1735" s="1" t="s">
        <v>26</v>
      </c>
      <c r="M1735" s="1" t="s">
        <v>27</v>
      </c>
      <c r="N1735" s="1" t="s">
        <v>26</v>
      </c>
      <c r="O1735" s="1" t="s">
        <v>26</v>
      </c>
      <c r="P1735" s="4">
        <v>44929.4184837963</v>
      </c>
    </row>
    <row r="1736" hidden="1">
      <c r="A1736" s="1" t="s">
        <v>1055</v>
      </c>
      <c r="B1736" s="3" t="str">
        <f>HYPERLINK("https://hawk-eye.atlassian.net/browse/HWKREPORT-1704?atlOrigin=eyJpIjoiYzgwYTQ0ZjEyNzQzNGJhN2JmNjEyZTM0NmRhZWZhNjIiLCJwIjoic2hlZXRzLWppcmEifQ","HWKREPORT-1704")</f>
        <v>HWKREPORT-1704</v>
      </c>
      <c r="C1736" s="1" t="s">
        <v>2986</v>
      </c>
      <c r="D1736" s="1" t="s">
        <v>48</v>
      </c>
      <c r="E1736" s="1" t="s">
        <v>1057</v>
      </c>
      <c r="F1736" s="4">
        <v>44895.448900462965</v>
      </c>
      <c r="G1736" s="3" t="str">
        <f>HYPERLINK("https://hawk-eye.atlassian.net/browse/?atlOrigin=eyJpIjoiYzgwYTQ0ZjEyNzQzNGJhN2JmNjEyZTM0NmRhZWZhNjIiLCJwIjoic2hlZXRzLWppcmEifQ","")</f>
        <v/>
      </c>
      <c r="H1736" s="1" t="s">
        <v>1058</v>
      </c>
      <c r="I1736" s="1" t="s">
        <v>1126</v>
      </c>
      <c r="J1736" s="1" t="s">
        <v>26</v>
      </c>
      <c r="K1736" s="1" t="s">
        <v>2987</v>
      </c>
      <c r="L1736" s="1" t="s">
        <v>26</v>
      </c>
      <c r="M1736" s="1" t="s">
        <v>27</v>
      </c>
      <c r="N1736" s="1" t="s">
        <v>26</v>
      </c>
      <c r="O1736" s="1" t="s">
        <v>26</v>
      </c>
      <c r="P1736" s="4">
        <v>44895.448912037034</v>
      </c>
    </row>
    <row r="1737" hidden="1">
      <c r="A1737" s="1" t="s">
        <v>1055</v>
      </c>
      <c r="B1737" s="3" t="str">
        <f>HYPERLINK("https://hawk-eye.atlassian.net/browse/HWKREPORT-1706?atlOrigin=eyJpIjoiYzgwYTQ0ZjEyNzQzNGJhN2JmNjEyZTM0NmRhZWZhNjIiLCJwIjoic2hlZXRzLWppcmEifQ","HWKREPORT-1706")</f>
        <v>HWKREPORT-1706</v>
      </c>
      <c r="C1737" s="1" t="s">
        <v>2988</v>
      </c>
      <c r="D1737" s="1" t="s">
        <v>48</v>
      </c>
      <c r="E1737" s="1" t="s">
        <v>35</v>
      </c>
      <c r="F1737" s="4">
        <v>44895.63891203704</v>
      </c>
      <c r="G1737" s="3" t="str">
        <f>HYPERLINK("https://hawk-eye.atlassian.net/browse/RTT-5595?atlOrigin=eyJpIjoiYzgwYTQ0ZjEyNzQzNGJhN2JmNjEyZTM0NmRhZWZhNjIiLCJwIjoic2hlZXRzLWppcmEifQ","RTT-5595")</f>
        <v>RTT-5595</v>
      </c>
      <c r="H1737" s="1" t="s">
        <v>1058</v>
      </c>
      <c r="I1737" s="1" t="s">
        <v>28</v>
      </c>
      <c r="J1737" s="1" t="s">
        <v>26</v>
      </c>
      <c r="K1737" s="1" t="s">
        <v>1072</v>
      </c>
      <c r="L1737" s="1" t="s">
        <v>26</v>
      </c>
      <c r="M1737" s="1" t="s">
        <v>27</v>
      </c>
      <c r="N1737" s="1" t="s">
        <v>26</v>
      </c>
      <c r="O1737" s="1" t="s">
        <v>26</v>
      </c>
      <c r="P1737" s="4">
        <v>45524.73118055556</v>
      </c>
    </row>
    <row r="1738" hidden="1">
      <c r="A1738" s="1" t="s">
        <v>1055</v>
      </c>
      <c r="B1738" s="3" t="str">
        <f>HYPERLINK("https://hawk-eye.atlassian.net/browse/HWKREPORT-1707?atlOrigin=eyJpIjoiYzgwYTQ0ZjEyNzQzNGJhN2JmNjEyZTM0NmRhZWZhNjIiLCJwIjoic2hlZXRzLWppcmEifQ","HWKREPORT-1707")</f>
        <v>HWKREPORT-1707</v>
      </c>
      <c r="C1738" s="1" t="s">
        <v>2989</v>
      </c>
      <c r="D1738" s="1" t="s">
        <v>48</v>
      </c>
      <c r="E1738" s="1" t="s">
        <v>35</v>
      </c>
      <c r="F1738" s="4">
        <v>44895.64334490741</v>
      </c>
      <c r="G1738" s="3" t="str">
        <f>HYPERLINK("https://hawk-eye.atlassian.net/browse/RTT-5596?atlOrigin=eyJpIjoiYzgwYTQ0ZjEyNzQzNGJhN2JmNjEyZTM0NmRhZWZhNjIiLCJwIjoic2hlZXRzLWppcmEifQ","RTT-5596")</f>
        <v>RTT-5596</v>
      </c>
      <c r="H1738" s="1" t="s">
        <v>1058</v>
      </c>
      <c r="I1738" s="1" t="s">
        <v>28</v>
      </c>
      <c r="J1738" s="1" t="s">
        <v>26</v>
      </c>
      <c r="K1738" s="1" t="s">
        <v>1072</v>
      </c>
      <c r="L1738" s="1" t="s">
        <v>26</v>
      </c>
      <c r="M1738" s="1" t="s">
        <v>27</v>
      </c>
      <c r="N1738" s="1" t="s">
        <v>26</v>
      </c>
      <c r="O1738" s="1" t="s">
        <v>26</v>
      </c>
      <c r="P1738" s="4">
        <v>45020.702152777776</v>
      </c>
    </row>
    <row r="1739" hidden="1">
      <c r="A1739" s="1" t="s">
        <v>21</v>
      </c>
      <c r="B1739" s="3" t="str">
        <f>HYPERLINK("https://hawk-eye.atlassian.net/browse/HWKREPORT-1708?atlOrigin=eyJpIjoiYzgwYTQ0ZjEyNzQzNGJhN2JmNjEyZTM0NmRhZWZhNjIiLCJwIjoic2hlZXRzLWppcmEifQ","HWKREPORT-1708")</f>
        <v>HWKREPORT-1708</v>
      </c>
      <c r="C1739" s="1" t="s">
        <v>2990</v>
      </c>
      <c r="D1739" s="1" t="s">
        <v>40</v>
      </c>
      <c r="E1739" s="1" t="s">
        <v>1074</v>
      </c>
      <c r="F1739" s="4">
        <v>44896.460335648146</v>
      </c>
      <c r="G1739" s="3" t="str">
        <f>HYPERLINK("https://hawk-eye.atlassian.net/browse/TGM-40?atlOrigin=eyJpIjoiYzgwYTQ0ZjEyNzQzNGJhN2JmNjEyZTM0NmRhZWZhNjIiLCJwIjoic2hlZXRzLWppcmEifQ","TGM-40")</f>
        <v>TGM-40</v>
      </c>
      <c r="H1739" s="1" t="s">
        <v>1058</v>
      </c>
      <c r="I1739" s="1" t="s">
        <v>1126</v>
      </c>
      <c r="J1739" s="1" t="s">
        <v>26</v>
      </c>
      <c r="K1739" s="1" t="s">
        <v>2420</v>
      </c>
      <c r="L1739" s="1" t="s">
        <v>26</v>
      </c>
      <c r="M1739" s="1" t="s">
        <v>27</v>
      </c>
      <c r="N1739" s="1" t="s">
        <v>26</v>
      </c>
      <c r="O1739" s="1" t="s">
        <v>26</v>
      </c>
      <c r="P1739" s="4">
        <v>45265.3737962963</v>
      </c>
    </row>
    <row r="1740" hidden="1">
      <c r="A1740" s="1" t="s">
        <v>1055</v>
      </c>
      <c r="B1740" s="3" t="str">
        <f>HYPERLINK("https://hawk-eye.atlassian.net/browse/HWKREPORT-1710?atlOrigin=eyJpIjoiYzgwYTQ0ZjEyNzQzNGJhN2JmNjEyZTM0NmRhZWZhNjIiLCJwIjoic2hlZXRzLWppcmEifQ","HWKREPORT-1710")</f>
        <v>HWKREPORT-1710</v>
      </c>
      <c r="C1740" s="1" t="s">
        <v>2991</v>
      </c>
      <c r="D1740" s="1" t="s">
        <v>48</v>
      </c>
      <c r="E1740" s="1" t="s">
        <v>35</v>
      </c>
      <c r="F1740" s="4">
        <v>44898.599907407406</v>
      </c>
      <c r="G1740" s="3" t="str">
        <f>HYPERLINK("https://hawk-eye.atlassian.net/browse/RTT-5637?atlOrigin=eyJpIjoiYzgwYTQ0ZjEyNzQzNGJhN2JmNjEyZTM0NmRhZWZhNjIiLCJwIjoic2hlZXRzLWppcmEifQ","RTT-5637")</f>
        <v>RTT-5637</v>
      </c>
      <c r="H1740" s="1" t="s">
        <v>1058</v>
      </c>
      <c r="I1740" s="1" t="s">
        <v>1126</v>
      </c>
      <c r="J1740" s="1" t="s">
        <v>26</v>
      </c>
      <c r="K1740" s="1" t="s">
        <v>1072</v>
      </c>
      <c r="L1740" s="1" t="s">
        <v>26</v>
      </c>
      <c r="M1740" s="1" t="s">
        <v>27</v>
      </c>
      <c r="N1740" s="1" t="s">
        <v>26</v>
      </c>
      <c r="O1740" s="1" t="s">
        <v>26</v>
      </c>
      <c r="P1740" s="4">
        <v>45013.50510416667</v>
      </c>
    </row>
    <row r="1741" hidden="1">
      <c r="A1741" s="1" t="s">
        <v>21</v>
      </c>
      <c r="B1741" s="3" t="str">
        <f>HYPERLINK("https://hawk-eye.atlassian.net/browse/HWKREPORT-1711?atlOrigin=eyJpIjoiYzgwYTQ0ZjEyNzQzNGJhN2JmNjEyZTM0NmRhZWZhNjIiLCJwIjoic2hlZXRzLWppcmEifQ","HWKREPORT-1711")</f>
        <v>HWKREPORT-1711</v>
      </c>
      <c r="C1741" s="1" t="s">
        <v>2992</v>
      </c>
      <c r="D1741" s="1" t="s">
        <v>83</v>
      </c>
      <c r="E1741" s="1" t="s">
        <v>35</v>
      </c>
      <c r="F1741" s="4">
        <v>44900.419270833336</v>
      </c>
      <c r="G1741" s="3" t="str">
        <f>HYPERLINK("https://hawk-eye.atlassian.net/browse/RTT-5638?atlOrigin=eyJpIjoiYzgwYTQ0ZjEyNzQzNGJhN2JmNjEyZTM0NmRhZWZhNjIiLCJwIjoic2hlZXRzLWppcmEifQ","RTT-5638")</f>
        <v>RTT-5638</v>
      </c>
      <c r="H1741" s="1" t="s">
        <v>1058</v>
      </c>
      <c r="I1741" s="1" t="s">
        <v>1085</v>
      </c>
      <c r="J1741" s="1" t="s">
        <v>26</v>
      </c>
      <c r="K1741" s="1" t="s">
        <v>1072</v>
      </c>
      <c r="L1741" s="1" t="s">
        <v>26</v>
      </c>
      <c r="M1741" s="1" t="s">
        <v>27</v>
      </c>
      <c r="N1741" s="1" t="s">
        <v>26</v>
      </c>
      <c r="O1741" s="1" t="s">
        <v>26</v>
      </c>
      <c r="P1741" s="4">
        <v>44945.494525462964</v>
      </c>
    </row>
    <row r="1742" hidden="1">
      <c r="A1742" s="1" t="s">
        <v>1055</v>
      </c>
      <c r="B1742" s="3" t="str">
        <f>HYPERLINK("https://hawk-eye.atlassian.net/browse/HWKREPORT-1712?atlOrigin=eyJpIjoiYzgwYTQ0ZjEyNzQzNGJhN2JmNjEyZTM0NmRhZWZhNjIiLCJwIjoic2hlZXRzLWppcmEifQ","HWKREPORT-1712")</f>
        <v>HWKREPORT-1712</v>
      </c>
      <c r="C1742" s="1" t="s">
        <v>2993</v>
      </c>
      <c r="D1742" s="1" t="s">
        <v>48</v>
      </c>
      <c r="E1742" s="1" t="s">
        <v>35</v>
      </c>
      <c r="F1742" s="4">
        <v>44900.733773148146</v>
      </c>
      <c r="G1742" s="3" t="str">
        <f>HYPERLINK("https://hawk-eye.atlassian.net/browse/RTT-5639?atlOrigin=eyJpIjoiYzgwYTQ0ZjEyNzQzNGJhN2JmNjEyZTM0NmRhZWZhNjIiLCJwIjoic2hlZXRzLWppcmEifQ","RTT-5639")</f>
        <v>RTT-5639</v>
      </c>
      <c r="H1742" s="1" t="s">
        <v>1058</v>
      </c>
      <c r="I1742" s="1" t="s">
        <v>1151</v>
      </c>
      <c r="J1742" s="1" t="s">
        <v>26</v>
      </c>
      <c r="K1742" s="1" t="s">
        <v>1072</v>
      </c>
      <c r="L1742" s="1" t="s">
        <v>26</v>
      </c>
      <c r="M1742" s="1" t="s">
        <v>27</v>
      </c>
      <c r="N1742" s="1" t="s">
        <v>26</v>
      </c>
      <c r="O1742" s="1" t="s">
        <v>26</v>
      </c>
      <c r="P1742" s="4">
        <v>45027.39119212963</v>
      </c>
    </row>
    <row r="1743">
      <c r="A1743" s="1" t="s">
        <v>21</v>
      </c>
      <c r="B1743" s="3" t="str">
        <f>HYPERLINK("https://hawk-eye.atlassian.net/browse/HWKREPORT-1713?atlOrigin=eyJpIjoiYzgwYTQ0ZjEyNzQzNGJhN2JmNjEyZTM0NmRhZWZhNjIiLCJwIjoic2hlZXRzLWppcmEifQ","HWKREPORT-1713")</f>
        <v>HWKREPORT-1713</v>
      </c>
      <c r="C1743" s="1" t="s">
        <v>2994</v>
      </c>
      <c r="D1743" s="1" t="s">
        <v>23</v>
      </c>
      <c r="E1743" s="1" t="s">
        <v>35</v>
      </c>
      <c r="F1743" s="4">
        <v>44900.7665162037</v>
      </c>
      <c r="G1743" s="3" t="str">
        <f>HYPERLINK("https://hawk-eye.atlassian.net/browse/RTT-5620?atlOrigin=eyJpIjoiYzgwYTQ0ZjEyNzQzNGJhN2JmNjEyZTM0NmRhZWZhNjIiLCJwIjoic2hlZXRzLWppcmEifQ","RTT-5620")</f>
        <v>RTT-5620</v>
      </c>
      <c r="H1743" s="1" t="s">
        <v>1058</v>
      </c>
      <c r="I1743" s="1" t="s">
        <v>28</v>
      </c>
      <c r="J1743" s="1" t="s">
        <v>26</v>
      </c>
      <c r="K1743" s="1" t="s">
        <v>1309</v>
      </c>
      <c r="L1743" s="1" t="s">
        <v>26</v>
      </c>
      <c r="M1743" s="1" t="s">
        <v>27</v>
      </c>
      <c r="N1743" s="1" t="s">
        <v>26</v>
      </c>
      <c r="O1743" s="1" t="s">
        <v>26</v>
      </c>
      <c r="P1743" s="4">
        <v>45524.73111111111</v>
      </c>
    </row>
    <row r="1744" hidden="1">
      <c r="A1744" s="1" t="s">
        <v>1055</v>
      </c>
      <c r="B1744" s="3" t="str">
        <f>HYPERLINK("https://hawk-eye.atlassian.net/browse/HWKREPORT-1714?atlOrigin=eyJpIjoiYzgwYTQ0ZjEyNzQzNGJhN2JmNjEyZTM0NmRhZWZhNjIiLCJwIjoic2hlZXRzLWppcmEifQ","HWKREPORT-1714")</f>
        <v>HWKREPORT-1714</v>
      </c>
      <c r="C1744" s="1" t="s">
        <v>2995</v>
      </c>
      <c r="D1744" s="1" t="s">
        <v>48</v>
      </c>
      <c r="E1744" s="1" t="s">
        <v>35</v>
      </c>
      <c r="F1744" s="4">
        <v>44900.91202546296</v>
      </c>
      <c r="G1744" s="3" t="str">
        <f>HYPERLINK("https://hawk-eye.atlassian.net/browse/RTT-5621?atlOrigin=eyJpIjoiYzgwYTQ0ZjEyNzQzNGJhN2JmNjEyZTM0NmRhZWZhNjIiLCJwIjoic2hlZXRzLWppcmEifQ","RTT-5621")</f>
        <v>RTT-5621</v>
      </c>
      <c r="H1744" s="1" t="s">
        <v>1058</v>
      </c>
      <c r="I1744" s="1" t="s">
        <v>1059</v>
      </c>
      <c r="J1744" s="1" t="s">
        <v>26</v>
      </c>
      <c r="K1744" s="1" t="s">
        <v>1309</v>
      </c>
      <c r="L1744" s="1" t="s">
        <v>26</v>
      </c>
      <c r="M1744" s="1" t="s">
        <v>27</v>
      </c>
      <c r="N1744" s="1" t="s">
        <v>26</v>
      </c>
      <c r="O1744" s="1" t="s">
        <v>26</v>
      </c>
      <c r="P1744" s="4">
        <v>45596.705416666664</v>
      </c>
    </row>
    <row r="1745" hidden="1">
      <c r="A1745" s="1" t="s">
        <v>1055</v>
      </c>
      <c r="B1745" s="3" t="str">
        <f>HYPERLINK("https://hawk-eye.atlassian.net/browse/HWKREPORT-1715?atlOrigin=eyJpIjoiYzgwYTQ0ZjEyNzQzNGJhN2JmNjEyZTM0NmRhZWZhNjIiLCJwIjoic2hlZXRzLWppcmEifQ","HWKREPORT-1715")</f>
        <v>HWKREPORT-1715</v>
      </c>
      <c r="C1745" s="1" t="s">
        <v>2996</v>
      </c>
      <c r="D1745" s="1" t="s">
        <v>48</v>
      </c>
      <c r="E1745" s="1" t="s">
        <v>35</v>
      </c>
      <c r="F1745" s="4">
        <v>44900.91667824074</v>
      </c>
      <c r="G1745" s="3" t="str">
        <f>HYPERLINK("https://hawk-eye.atlassian.net/browse/RTT-5640?atlOrigin=eyJpIjoiYzgwYTQ0ZjEyNzQzNGJhN2JmNjEyZTM0NmRhZWZhNjIiLCJwIjoic2hlZXRzLWppcmEifQ","RTT-5640")</f>
        <v>RTT-5640</v>
      </c>
      <c r="H1745" s="1" t="s">
        <v>1058</v>
      </c>
      <c r="I1745" s="1" t="s">
        <v>1059</v>
      </c>
      <c r="J1745" s="1" t="s">
        <v>26</v>
      </c>
      <c r="K1745" s="1" t="s">
        <v>1072</v>
      </c>
      <c r="L1745" s="1" t="s">
        <v>26</v>
      </c>
      <c r="M1745" s="1" t="s">
        <v>27</v>
      </c>
      <c r="N1745" s="1" t="s">
        <v>26</v>
      </c>
      <c r="O1745" s="1" t="s">
        <v>26</v>
      </c>
      <c r="P1745" s="4">
        <v>44956.423483796294</v>
      </c>
    </row>
    <row r="1746" hidden="1">
      <c r="A1746" s="1" t="s">
        <v>21</v>
      </c>
      <c r="B1746" s="3" t="str">
        <f>HYPERLINK("https://hawk-eye.atlassian.net/browse/HWKREPORT-1716?atlOrigin=eyJpIjoiYzgwYTQ0ZjEyNzQzNGJhN2JmNjEyZTM0NmRhZWZhNjIiLCJwIjoic2hlZXRzLWppcmEifQ","HWKREPORT-1716")</f>
        <v>HWKREPORT-1716</v>
      </c>
      <c r="C1746" s="1" t="s">
        <v>2997</v>
      </c>
      <c r="D1746" s="1" t="s">
        <v>48</v>
      </c>
      <c r="E1746" s="1" t="s">
        <v>35</v>
      </c>
      <c r="F1746" s="4">
        <v>44900.91972222222</v>
      </c>
      <c r="G1746" s="3" t="str">
        <f>HYPERLINK("https://hawk-eye.atlassian.net/browse/RTT-5613?atlOrigin=eyJpIjoiYzgwYTQ0ZjEyNzQzNGJhN2JmNjEyZTM0NmRhZWZhNjIiLCJwIjoic2hlZXRzLWppcmEifQ","RTT-5613")</f>
        <v>RTT-5613</v>
      </c>
      <c r="H1746" s="1" t="s">
        <v>1058</v>
      </c>
      <c r="I1746" s="1" t="s">
        <v>1059</v>
      </c>
      <c r="J1746" s="1" t="s">
        <v>26</v>
      </c>
      <c r="K1746" s="1" t="s">
        <v>1072</v>
      </c>
      <c r="L1746" s="1" t="s">
        <v>26</v>
      </c>
      <c r="M1746" s="1" t="s">
        <v>27</v>
      </c>
      <c r="N1746" s="1" t="s">
        <v>26</v>
      </c>
      <c r="O1746" s="1" t="s">
        <v>26</v>
      </c>
      <c r="P1746" s="4">
        <v>44957.71737268518</v>
      </c>
    </row>
    <row r="1747" hidden="1">
      <c r="A1747" s="1" t="s">
        <v>1055</v>
      </c>
      <c r="B1747" s="3" t="str">
        <f>HYPERLINK("https://hawk-eye.atlassian.net/browse/HWKREPORT-1717?atlOrigin=eyJpIjoiYzgwYTQ0ZjEyNzQzNGJhN2JmNjEyZTM0NmRhZWZhNjIiLCJwIjoic2hlZXRzLWppcmEifQ","HWKREPORT-1717")</f>
        <v>HWKREPORT-1717</v>
      </c>
      <c r="C1747" s="1" t="s">
        <v>2998</v>
      </c>
      <c r="D1747" s="1" t="s">
        <v>48</v>
      </c>
      <c r="E1747" s="1" t="s">
        <v>35</v>
      </c>
      <c r="F1747" s="4">
        <v>44900.92921296296</v>
      </c>
      <c r="G1747" s="3" t="str">
        <f>HYPERLINK("https://hawk-eye.atlassian.net/browse/?atlOrigin=eyJpIjoiYzgwYTQ0ZjEyNzQzNGJhN2JmNjEyZTM0NmRhZWZhNjIiLCJwIjoic2hlZXRzLWppcmEifQ","")</f>
        <v/>
      </c>
      <c r="H1747" s="1" t="s">
        <v>1058</v>
      </c>
      <c r="I1747" s="1" t="s">
        <v>1059</v>
      </c>
      <c r="J1747" s="1" t="s">
        <v>26</v>
      </c>
      <c r="K1747" s="1" t="s">
        <v>1072</v>
      </c>
      <c r="L1747" s="1" t="s">
        <v>26</v>
      </c>
      <c r="M1747" s="1" t="s">
        <v>27</v>
      </c>
      <c r="N1747" s="1" t="s">
        <v>26</v>
      </c>
      <c r="O1747" s="1" t="s">
        <v>26</v>
      </c>
      <c r="P1747" s="4">
        <v>45596.706712962965</v>
      </c>
    </row>
    <row r="1748" hidden="1">
      <c r="A1748" s="1" t="s">
        <v>21</v>
      </c>
      <c r="B1748" s="3" t="str">
        <f>HYPERLINK("https://hawk-eye.atlassian.net/browse/HWKREPORT-1718?atlOrigin=eyJpIjoiYzgwYTQ0ZjEyNzQzNGJhN2JmNjEyZTM0NmRhZWZhNjIiLCJwIjoic2hlZXRzLWppcmEifQ","HWKREPORT-1718")</f>
        <v>HWKREPORT-1718</v>
      </c>
      <c r="C1748" s="1" t="s">
        <v>2999</v>
      </c>
      <c r="D1748" s="1" t="s">
        <v>23</v>
      </c>
      <c r="E1748" s="1" t="s">
        <v>35</v>
      </c>
      <c r="F1748" s="4">
        <v>44901.62657407407</v>
      </c>
      <c r="G1748" s="3" t="str">
        <f>HYPERLINK("https://hawk-eye.atlassian.net/browse/RTT-5622?atlOrigin=eyJpIjoiYzgwYTQ0ZjEyNzQzNGJhN2JmNjEyZTM0NmRhZWZhNjIiLCJwIjoic2hlZXRzLWppcmEifQ","RTT-5622")</f>
        <v>RTT-5622</v>
      </c>
      <c r="H1748" s="1" t="s">
        <v>1058</v>
      </c>
      <c r="I1748" s="1" t="s">
        <v>1059</v>
      </c>
      <c r="J1748" s="1" t="s">
        <v>26</v>
      </c>
      <c r="K1748" s="1" t="s">
        <v>1309</v>
      </c>
      <c r="L1748" s="1" t="s">
        <v>26</v>
      </c>
      <c r="M1748" s="1" t="s">
        <v>27</v>
      </c>
      <c r="N1748" s="1" t="s">
        <v>26</v>
      </c>
      <c r="O1748" s="1" t="s">
        <v>26</v>
      </c>
      <c r="P1748" s="4">
        <v>45596.70523148148</v>
      </c>
    </row>
    <row r="1749" hidden="1">
      <c r="A1749" s="1" t="s">
        <v>21</v>
      </c>
      <c r="B1749" s="3" t="str">
        <f>HYPERLINK("https://hawk-eye.atlassian.net/browse/HWKREPORT-1719?atlOrigin=eyJpIjoiYzgwYTQ0ZjEyNzQzNGJhN2JmNjEyZTM0NmRhZWZhNjIiLCJwIjoic2hlZXRzLWppcmEifQ","HWKREPORT-1719")</f>
        <v>HWKREPORT-1719</v>
      </c>
      <c r="C1749" s="1" t="s">
        <v>3000</v>
      </c>
      <c r="D1749" s="1" t="s">
        <v>23</v>
      </c>
      <c r="E1749" s="1" t="s">
        <v>35</v>
      </c>
      <c r="F1749" s="4">
        <v>44901.89163194445</v>
      </c>
      <c r="G1749" s="3" t="str">
        <f>HYPERLINK("https://hawk-eye.atlassian.net/browse/BR-435?atlOrigin=eyJpIjoiYzgwYTQ0ZjEyNzQzNGJhN2JmNjEyZTM0NmRhZWZhNjIiLCJwIjoic2hlZXRzLWppcmEifQ","BR-435")</f>
        <v>BR-435</v>
      </c>
      <c r="H1749" s="1" t="s">
        <v>1058</v>
      </c>
      <c r="I1749" s="1" t="s">
        <v>1676</v>
      </c>
      <c r="J1749" s="1" t="s">
        <v>26</v>
      </c>
      <c r="K1749" s="1" t="s">
        <v>1116</v>
      </c>
      <c r="L1749" s="1" t="s">
        <v>26</v>
      </c>
      <c r="M1749" s="1" t="s">
        <v>27</v>
      </c>
      <c r="N1749" s="1" t="s">
        <v>26</v>
      </c>
      <c r="O1749" s="1" t="s">
        <v>26</v>
      </c>
      <c r="P1749" s="4">
        <v>44931.50425925926</v>
      </c>
    </row>
    <row r="1750" hidden="1">
      <c r="A1750" s="1" t="s">
        <v>21</v>
      </c>
      <c r="B1750" s="3" t="str">
        <f>HYPERLINK("https://hawk-eye.atlassian.net/browse/HWKREPORT-1720?atlOrigin=eyJpIjoiYzgwYTQ0ZjEyNzQzNGJhN2JmNjEyZTM0NmRhZWZhNjIiLCJwIjoic2hlZXRzLWppcmEifQ","HWKREPORT-1720")</f>
        <v>HWKREPORT-1720</v>
      </c>
      <c r="C1750" s="1" t="s">
        <v>3001</v>
      </c>
      <c r="D1750" s="1" t="s">
        <v>48</v>
      </c>
      <c r="E1750" s="1" t="s">
        <v>35</v>
      </c>
      <c r="F1750" s="4">
        <v>44902.76793981482</v>
      </c>
      <c r="G1750" s="3" t="str">
        <f>HYPERLINK("https://hawk-eye.atlassian.net/browse/TDP-1737?atlOrigin=eyJpIjoiYzgwYTQ0ZjEyNzQzNGJhN2JmNjEyZTM0NmRhZWZhNjIiLCJwIjoic2hlZXRzLWppcmEifQ","TDP-1737")</f>
        <v>TDP-1737</v>
      </c>
      <c r="H1750" s="1" t="s">
        <v>1058</v>
      </c>
      <c r="I1750" s="1" t="s">
        <v>1126</v>
      </c>
      <c r="J1750" s="1" t="s">
        <v>26</v>
      </c>
      <c r="K1750" s="1" t="s">
        <v>1211</v>
      </c>
      <c r="L1750" s="1" t="s">
        <v>26</v>
      </c>
      <c r="M1750" s="1" t="s">
        <v>27</v>
      </c>
      <c r="N1750" s="1" t="s">
        <v>26</v>
      </c>
      <c r="O1750" s="1" t="s">
        <v>26</v>
      </c>
      <c r="P1750" s="4">
        <v>45252.40707175926</v>
      </c>
    </row>
    <row r="1751" hidden="1">
      <c r="A1751" s="1" t="s">
        <v>1055</v>
      </c>
      <c r="B1751" s="3" t="str">
        <f>HYPERLINK("https://hawk-eye.atlassian.net/browse/HWKREPORT-1721?atlOrigin=eyJpIjoiYzgwYTQ0ZjEyNzQzNGJhN2JmNjEyZTM0NmRhZWZhNjIiLCJwIjoic2hlZXRzLWppcmEifQ","HWKREPORT-1721")</f>
        <v>HWKREPORT-1721</v>
      </c>
      <c r="C1751" s="1" t="s">
        <v>3002</v>
      </c>
      <c r="D1751" s="1" t="s">
        <v>48</v>
      </c>
      <c r="E1751" s="1" t="s">
        <v>35</v>
      </c>
      <c r="F1751" s="4">
        <v>44904.618263888886</v>
      </c>
      <c r="G1751" s="3" t="str">
        <f>HYPERLINK("https://hawk-eye.atlassian.net/browse/RTT-5614?atlOrigin=eyJpIjoiYzgwYTQ0ZjEyNzQzNGJhN2JmNjEyZTM0NmRhZWZhNjIiLCJwIjoic2hlZXRzLWppcmEifQ","RTT-5614")</f>
        <v>RTT-5614</v>
      </c>
      <c r="H1751" s="1" t="s">
        <v>1058</v>
      </c>
      <c r="I1751" s="1" t="s">
        <v>1071</v>
      </c>
      <c r="J1751" s="1" t="s">
        <v>26</v>
      </c>
      <c r="K1751" s="1" t="s">
        <v>1072</v>
      </c>
      <c r="L1751" s="1" t="s">
        <v>26</v>
      </c>
      <c r="M1751" s="1" t="s">
        <v>27</v>
      </c>
      <c r="N1751" s="1" t="s">
        <v>26</v>
      </c>
      <c r="O1751" s="1" t="s">
        <v>26</v>
      </c>
      <c r="P1751" s="4">
        <v>44957.710486111115</v>
      </c>
    </row>
    <row r="1752" hidden="1">
      <c r="A1752" s="1" t="s">
        <v>1055</v>
      </c>
      <c r="B1752" s="3" t="str">
        <f>HYPERLINK("https://hawk-eye.atlassian.net/browse/HWKREPORT-1722?atlOrigin=eyJpIjoiYzgwYTQ0ZjEyNzQzNGJhN2JmNjEyZTM0NmRhZWZhNjIiLCJwIjoic2hlZXRzLWppcmEifQ","HWKREPORT-1722")</f>
        <v>HWKREPORT-1722</v>
      </c>
      <c r="C1752" s="1" t="s">
        <v>3003</v>
      </c>
      <c r="D1752" s="1" t="s">
        <v>48</v>
      </c>
      <c r="E1752" s="1" t="s">
        <v>35</v>
      </c>
      <c r="F1752" s="4">
        <v>44904.62709490741</v>
      </c>
      <c r="G1752" s="3" t="str">
        <f>HYPERLINK("https://hawk-eye.atlassian.net/browse/RTT-5652?atlOrigin=eyJpIjoiYzgwYTQ0ZjEyNzQzNGJhN2JmNjEyZTM0NmRhZWZhNjIiLCJwIjoic2hlZXRzLWppcmEifQ","RTT-5652")</f>
        <v>RTT-5652</v>
      </c>
      <c r="H1752" s="1" t="s">
        <v>1058</v>
      </c>
      <c r="I1752" s="1" t="s">
        <v>1071</v>
      </c>
      <c r="J1752" s="1" t="s">
        <v>26</v>
      </c>
      <c r="K1752" s="1" t="s">
        <v>1072</v>
      </c>
      <c r="L1752" s="1" t="s">
        <v>26</v>
      </c>
      <c r="M1752" s="1" t="s">
        <v>27</v>
      </c>
      <c r="N1752" s="1" t="s">
        <v>26</v>
      </c>
      <c r="O1752" s="1" t="s">
        <v>26</v>
      </c>
      <c r="P1752" s="4">
        <v>44960.6625462963</v>
      </c>
    </row>
    <row r="1753" hidden="1">
      <c r="A1753" s="1" t="s">
        <v>1055</v>
      </c>
      <c r="B1753" s="3" t="str">
        <f>HYPERLINK("https://hawk-eye.atlassian.net/browse/HWKREPORT-1723?atlOrigin=eyJpIjoiYzgwYTQ0ZjEyNzQzNGJhN2JmNjEyZTM0NmRhZWZhNjIiLCJwIjoic2hlZXRzLWppcmEifQ","HWKREPORT-1723")</f>
        <v>HWKREPORT-1723</v>
      </c>
      <c r="C1753" s="1" t="s">
        <v>3004</v>
      </c>
      <c r="D1753" s="1" t="s">
        <v>48</v>
      </c>
      <c r="E1753" s="1" t="s">
        <v>35</v>
      </c>
      <c r="F1753" s="4">
        <v>44904.62866898148</v>
      </c>
      <c r="G1753" s="3" t="str">
        <f>HYPERLINK("https://hawk-eye.atlassian.net/browse/RTT-5650?atlOrigin=eyJpIjoiYzgwYTQ0ZjEyNzQzNGJhN2JmNjEyZTM0NmRhZWZhNjIiLCJwIjoic2hlZXRzLWppcmEifQ","RTT-5650")</f>
        <v>RTT-5650</v>
      </c>
      <c r="H1753" s="1" t="s">
        <v>1058</v>
      </c>
      <c r="I1753" s="1" t="s">
        <v>1071</v>
      </c>
      <c r="J1753" s="1" t="s">
        <v>26</v>
      </c>
      <c r="K1753" s="1" t="s">
        <v>1072</v>
      </c>
      <c r="L1753" s="1" t="s">
        <v>26</v>
      </c>
      <c r="M1753" s="1" t="s">
        <v>27</v>
      </c>
      <c r="N1753" s="1" t="s">
        <v>26</v>
      </c>
      <c r="O1753" s="1" t="s">
        <v>26</v>
      </c>
      <c r="P1753" s="4">
        <v>44946.63783564815</v>
      </c>
    </row>
    <row r="1754" hidden="1">
      <c r="A1754" s="1" t="s">
        <v>21</v>
      </c>
      <c r="B1754" s="3" t="str">
        <f>HYPERLINK("https://hawk-eye.atlassian.net/browse/HWKREPORT-1724?atlOrigin=eyJpIjoiYzgwYTQ0ZjEyNzQzNGJhN2JmNjEyZTM0NmRhZWZhNjIiLCJwIjoic2hlZXRzLWppcmEifQ","HWKREPORT-1724")</f>
        <v>HWKREPORT-1724</v>
      </c>
      <c r="C1754" s="1" t="s">
        <v>3005</v>
      </c>
      <c r="D1754" s="1" t="s">
        <v>23</v>
      </c>
      <c r="E1754" s="1" t="s">
        <v>1057</v>
      </c>
      <c r="F1754" s="4">
        <v>44905.72935185185</v>
      </c>
      <c r="G1754" s="3" t="str">
        <f>HYPERLINK("https://hawk-eye.atlassian.net/browse/RTT-5649?atlOrigin=eyJpIjoiYzgwYTQ0ZjEyNzQzNGJhN2JmNjEyZTM0NmRhZWZhNjIiLCJwIjoic2hlZXRzLWppcmEifQ","RTT-5649")</f>
        <v>RTT-5649</v>
      </c>
      <c r="H1754" s="1" t="s">
        <v>1058</v>
      </c>
      <c r="I1754" s="1" t="s">
        <v>1085</v>
      </c>
      <c r="J1754" s="1" t="s">
        <v>26</v>
      </c>
      <c r="K1754" s="1" t="s">
        <v>1072</v>
      </c>
      <c r="L1754" s="1" t="s">
        <v>26</v>
      </c>
      <c r="M1754" s="1" t="s">
        <v>27</v>
      </c>
      <c r="N1754" s="1" t="s">
        <v>26</v>
      </c>
      <c r="O1754" s="1" t="s">
        <v>26</v>
      </c>
      <c r="P1754" s="4">
        <v>45028.401342592595</v>
      </c>
    </row>
    <row r="1755" hidden="1">
      <c r="A1755" s="1" t="s">
        <v>21</v>
      </c>
      <c r="B1755" s="3" t="str">
        <f>HYPERLINK("https://hawk-eye.atlassian.net/browse/HWKREPORT-1725?atlOrigin=eyJpIjoiYzgwYTQ0ZjEyNzQzNGJhN2JmNjEyZTM0NmRhZWZhNjIiLCJwIjoic2hlZXRzLWppcmEifQ","HWKREPORT-1725")</f>
        <v>HWKREPORT-1725</v>
      </c>
      <c r="C1755" s="1" t="s">
        <v>3006</v>
      </c>
      <c r="D1755" s="1" t="s">
        <v>23</v>
      </c>
      <c r="E1755" s="1" t="s">
        <v>1057</v>
      </c>
      <c r="F1755" s="4">
        <v>44905.784837962965</v>
      </c>
      <c r="G1755" s="3" t="str">
        <f>HYPERLINK("https://hawk-eye.atlassian.net/browse/RTT-5648?atlOrigin=eyJpIjoiYzgwYTQ0ZjEyNzQzNGJhN2JmNjEyZTM0NmRhZWZhNjIiLCJwIjoic2hlZXRzLWppcmEifQ","RTT-5648")</f>
        <v>RTT-5648</v>
      </c>
      <c r="H1755" s="1" t="s">
        <v>1058</v>
      </c>
      <c r="I1755" s="1" t="s">
        <v>1085</v>
      </c>
      <c r="J1755" s="1" t="s">
        <v>26</v>
      </c>
      <c r="K1755" s="1" t="s">
        <v>1072</v>
      </c>
      <c r="L1755" s="1" t="s">
        <v>26</v>
      </c>
      <c r="M1755" s="1" t="s">
        <v>27</v>
      </c>
      <c r="N1755" s="1" t="s">
        <v>26</v>
      </c>
      <c r="O1755" s="1" t="s">
        <v>26</v>
      </c>
      <c r="P1755" s="4">
        <v>45028.47115740741</v>
      </c>
    </row>
    <row r="1756" hidden="1">
      <c r="A1756" s="1" t="s">
        <v>1055</v>
      </c>
      <c r="B1756" s="3" t="str">
        <f>HYPERLINK("https://hawk-eye.atlassian.net/browse/HWKREPORT-1727?atlOrigin=eyJpIjoiYzgwYTQ0ZjEyNzQzNGJhN2JmNjEyZTM0NmRhZWZhNjIiLCJwIjoic2hlZXRzLWppcmEifQ","HWKREPORT-1727")</f>
        <v>HWKREPORT-1727</v>
      </c>
      <c r="C1756" s="1" t="s">
        <v>3007</v>
      </c>
      <c r="D1756" s="1" t="s">
        <v>48</v>
      </c>
      <c r="E1756" s="1" t="s">
        <v>35</v>
      </c>
      <c r="F1756" s="4">
        <v>44907.745</v>
      </c>
      <c r="G1756" s="3" t="str">
        <f>HYPERLINK("https://hawk-eye.atlassian.net/browse/RTT-5671?atlOrigin=eyJpIjoiYzgwYTQ0ZjEyNzQzNGJhN2JmNjEyZTM0NmRhZWZhNjIiLCJwIjoic2hlZXRzLWppcmEifQ","RTT-5671")</f>
        <v>RTT-5671</v>
      </c>
      <c r="H1756" s="1" t="s">
        <v>1058</v>
      </c>
      <c r="I1756" s="1" t="s">
        <v>28</v>
      </c>
      <c r="J1756" s="1" t="s">
        <v>26</v>
      </c>
      <c r="K1756" s="1" t="s">
        <v>1072</v>
      </c>
      <c r="L1756" s="1" t="s">
        <v>26</v>
      </c>
      <c r="M1756" s="1" t="s">
        <v>27</v>
      </c>
      <c r="N1756" s="1" t="s">
        <v>26</v>
      </c>
      <c r="O1756" s="1" t="s">
        <v>26</v>
      </c>
      <c r="P1756" s="4">
        <v>45216.386458333334</v>
      </c>
    </row>
    <row r="1757" hidden="1">
      <c r="A1757" s="1" t="s">
        <v>21</v>
      </c>
      <c r="B1757" s="3" t="str">
        <f>HYPERLINK("https://hawk-eye.atlassian.net/browse/HWKREPORT-1728?atlOrigin=eyJpIjoiYzgwYTQ0ZjEyNzQzNGJhN2JmNjEyZTM0NmRhZWZhNjIiLCJwIjoic2hlZXRzLWppcmEifQ","HWKREPORT-1728")</f>
        <v>HWKREPORT-1728</v>
      </c>
      <c r="C1757" s="1" t="s">
        <v>3008</v>
      </c>
      <c r="D1757" s="1" t="s">
        <v>23</v>
      </c>
      <c r="E1757" s="1" t="s">
        <v>35</v>
      </c>
      <c r="F1757" s="4">
        <v>44908.45576388889</v>
      </c>
      <c r="G1757" s="3" t="str">
        <f t="shared" ref="G1757:G1758" si="142">HYPERLINK("https://hawk-eye.atlassian.net/browse/?atlOrigin=eyJpIjoiYzgwYTQ0ZjEyNzQzNGJhN2JmNjEyZTM0NmRhZWZhNjIiLCJwIjoic2hlZXRzLWppcmEifQ","")</f>
        <v/>
      </c>
      <c r="H1757" s="1" t="s">
        <v>1058</v>
      </c>
      <c r="I1757" s="1" t="s">
        <v>1502</v>
      </c>
      <c r="J1757" s="1" t="s">
        <v>26</v>
      </c>
      <c r="K1757" s="1" t="s">
        <v>1545</v>
      </c>
      <c r="L1757" s="1" t="s">
        <v>26</v>
      </c>
      <c r="M1757" s="1" t="s">
        <v>27</v>
      </c>
      <c r="N1757" s="1" t="s">
        <v>26</v>
      </c>
      <c r="O1757" s="1" t="s">
        <v>26</v>
      </c>
      <c r="P1757" s="4">
        <v>45216.386770833335</v>
      </c>
    </row>
    <row r="1758" hidden="1">
      <c r="A1758" s="1" t="s">
        <v>21</v>
      </c>
      <c r="B1758" s="3" t="str">
        <f>HYPERLINK("https://hawk-eye.atlassian.net/browse/HWKREPORT-1729?atlOrigin=eyJpIjoiYzgwYTQ0ZjEyNzQzNGJhN2JmNjEyZTM0NmRhZWZhNjIiLCJwIjoic2hlZXRzLWppcmEifQ","HWKREPORT-1729")</f>
        <v>HWKREPORT-1729</v>
      </c>
      <c r="C1758" s="1" t="s">
        <v>3009</v>
      </c>
      <c r="D1758" s="1" t="s">
        <v>23</v>
      </c>
      <c r="E1758" s="1" t="s">
        <v>1057</v>
      </c>
      <c r="F1758" s="4">
        <v>44908.46021990741</v>
      </c>
      <c r="G1758" s="3" t="str">
        <f t="shared" si="142"/>
        <v/>
      </c>
      <c r="H1758" s="1" t="s">
        <v>1058</v>
      </c>
      <c r="I1758" s="1" t="s">
        <v>1502</v>
      </c>
      <c r="J1758" s="1" t="s">
        <v>26</v>
      </c>
      <c r="K1758" s="1" t="s">
        <v>1545</v>
      </c>
      <c r="L1758" s="1" t="s">
        <v>26</v>
      </c>
      <c r="M1758" s="1" t="s">
        <v>27</v>
      </c>
      <c r="N1758" s="1" t="s">
        <v>26</v>
      </c>
      <c r="O1758" s="1" t="s">
        <v>26</v>
      </c>
      <c r="P1758" s="4">
        <v>44908.46021990741</v>
      </c>
    </row>
    <row r="1759">
      <c r="A1759" s="1" t="s">
        <v>21</v>
      </c>
      <c r="B1759" s="3" t="str">
        <f>HYPERLINK("https://hawk-eye.atlassian.net/browse/HWKREPORT-1730?atlOrigin=eyJpIjoiYzgwYTQ0ZjEyNzQzNGJhN2JmNjEyZTM0NmRhZWZhNjIiLCJwIjoic2hlZXRzLWppcmEifQ","HWKREPORT-1730")</f>
        <v>HWKREPORT-1730</v>
      </c>
      <c r="C1759" s="1" t="s">
        <v>3010</v>
      </c>
      <c r="D1759" s="1" t="s">
        <v>23</v>
      </c>
      <c r="E1759" s="1" t="s">
        <v>35</v>
      </c>
      <c r="F1759" s="4">
        <v>44908.92868055555</v>
      </c>
      <c r="G1759" s="3" t="str">
        <f>HYPERLINK("https://hawk-eye.atlassian.net/browse/RTT-5657?atlOrigin=eyJpIjoiYzgwYTQ0ZjEyNzQzNGJhN2JmNjEyZTM0NmRhZWZhNjIiLCJwIjoic2hlZXRzLWppcmEifQ","RTT-5657")</f>
        <v>RTT-5657</v>
      </c>
      <c r="H1759" s="1" t="s">
        <v>1058</v>
      </c>
      <c r="I1759" s="1" t="s">
        <v>28</v>
      </c>
      <c r="J1759" s="1" t="s">
        <v>26</v>
      </c>
      <c r="K1759" s="1" t="s">
        <v>1072</v>
      </c>
      <c r="L1759" s="1" t="s">
        <v>26</v>
      </c>
      <c r="M1759" s="1" t="s">
        <v>27</v>
      </c>
      <c r="N1759" s="1" t="s">
        <v>26</v>
      </c>
      <c r="O1759" s="1" t="s">
        <v>26</v>
      </c>
      <c r="P1759" s="4">
        <v>44942.413090277776</v>
      </c>
    </row>
    <row r="1760" hidden="1">
      <c r="A1760" s="1" t="s">
        <v>21</v>
      </c>
      <c r="B1760" s="3" t="str">
        <f>HYPERLINK("https://hawk-eye.atlassian.net/browse/HWKREPORT-1731?atlOrigin=eyJpIjoiYzgwYTQ0ZjEyNzQzNGJhN2JmNjEyZTM0NmRhZWZhNjIiLCJwIjoic2hlZXRzLWppcmEifQ","HWKREPORT-1731")</f>
        <v>HWKREPORT-1731</v>
      </c>
      <c r="C1760" s="1" t="s">
        <v>3011</v>
      </c>
      <c r="D1760" s="1" t="s">
        <v>23</v>
      </c>
      <c r="E1760" s="1" t="s">
        <v>1057</v>
      </c>
      <c r="F1760" s="4">
        <v>44909.43278935185</v>
      </c>
      <c r="G1760" s="3" t="str">
        <f t="shared" ref="G1760:G1762" si="143">HYPERLINK("https://hawk-eye.atlassian.net/browse/?atlOrigin=eyJpIjoiYzgwYTQ0ZjEyNzQzNGJhN2JmNjEyZTM0NmRhZWZhNjIiLCJwIjoic2hlZXRzLWppcmEifQ","")</f>
        <v/>
      </c>
      <c r="H1760" s="1" t="s">
        <v>1058</v>
      </c>
      <c r="I1760" s="1" t="s">
        <v>1377</v>
      </c>
      <c r="J1760" s="1" t="s">
        <v>26</v>
      </c>
      <c r="K1760" s="1" t="s">
        <v>1545</v>
      </c>
      <c r="L1760" s="1" t="s">
        <v>26</v>
      </c>
      <c r="M1760" s="1" t="s">
        <v>27</v>
      </c>
      <c r="N1760" s="1" t="s">
        <v>26</v>
      </c>
      <c r="O1760" s="1" t="s">
        <v>26</v>
      </c>
      <c r="P1760" s="4">
        <v>44909.43278935185</v>
      </c>
    </row>
    <row r="1761" hidden="1">
      <c r="A1761" s="1" t="s">
        <v>21</v>
      </c>
      <c r="B1761" s="3" t="str">
        <f>HYPERLINK("https://hawk-eye.atlassian.net/browse/HWKREPORT-1732?atlOrigin=eyJpIjoiYzgwYTQ0ZjEyNzQzNGJhN2JmNjEyZTM0NmRhZWZhNjIiLCJwIjoic2hlZXRzLWppcmEifQ","HWKREPORT-1732")</f>
        <v>HWKREPORT-1732</v>
      </c>
      <c r="C1761" s="1" t="s">
        <v>3012</v>
      </c>
      <c r="D1761" s="1" t="s">
        <v>23</v>
      </c>
      <c r="E1761" s="1" t="s">
        <v>1057</v>
      </c>
      <c r="F1761" s="4">
        <v>44909.43724537037</v>
      </c>
      <c r="G1761" s="3" t="str">
        <f t="shared" si="143"/>
        <v/>
      </c>
      <c r="H1761" s="1" t="s">
        <v>1058</v>
      </c>
      <c r="I1761" s="1" t="s">
        <v>1377</v>
      </c>
      <c r="J1761" s="1" t="s">
        <v>26</v>
      </c>
      <c r="K1761" s="1" t="s">
        <v>1545</v>
      </c>
      <c r="L1761" s="1" t="s">
        <v>26</v>
      </c>
      <c r="M1761" s="1" t="s">
        <v>27</v>
      </c>
      <c r="N1761" s="1" t="s">
        <v>26</v>
      </c>
      <c r="O1761" s="1" t="s">
        <v>26</v>
      </c>
      <c r="P1761" s="4">
        <v>44909.437256944446</v>
      </c>
    </row>
    <row r="1762" hidden="1">
      <c r="A1762" s="1" t="s">
        <v>21</v>
      </c>
      <c r="B1762" s="3" t="str">
        <f>HYPERLINK("https://hawk-eye.atlassian.net/browse/HWKREPORT-1733?atlOrigin=eyJpIjoiYzgwYTQ0ZjEyNzQzNGJhN2JmNjEyZTM0NmRhZWZhNjIiLCJwIjoic2hlZXRzLWppcmEifQ","HWKREPORT-1733")</f>
        <v>HWKREPORT-1733</v>
      </c>
      <c r="C1762" s="1" t="s">
        <v>3013</v>
      </c>
      <c r="D1762" s="1" t="s">
        <v>23</v>
      </c>
      <c r="E1762" s="1" t="s">
        <v>1057</v>
      </c>
      <c r="F1762" s="4">
        <v>44909.468726851854</v>
      </c>
      <c r="G1762" s="3" t="str">
        <f t="shared" si="143"/>
        <v/>
      </c>
      <c r="H1762" s="1" t="s">
        <v>1058</v>
      </c>
      <c r="I1762" s="1" t="s">
        <v>1377</v>
      </c>
      <c r="J1762" s="1" t="s">
        <v>26</v>
      </c>
      <c r="K1762" s="1" t="s">
        <v>1545</v>
      </c>
      <c r="L1762" s="1" t="s">
        <v>26</v>
      </c>
      <c r="M1762" s="1" t="s">
        <v>27</v>
      </c>
      <c r="N1762" s="1" t="s">
        <v>26</v>
      </c>
      <c r="O1762" s="1" t="s">
        <v>26</v>
      </c>
      <c r="P1762" s="4">
        <v>44909.46873842592</v>
      </c>
    </row>
    <row r="1763" hidden="1">
      <c r="A1763" s="1" t="s">
        <v>1055</v>
      </c>
      <c r="B1763" s="3" t="str">
        <f>HYPERLINK("https://hawk-eye.atlassian.net/browse/HWKREPORT-1734?atlOrigin=eyJpIjoiYzgwYTQ0ZjEyNzQzNGJhN2JmNjEyZTM0NmRhZWZhNjIiLCJwIjoic2hlZXRzLWppcmEifQ","HWKREPORT-1734")</f>
        <v>HWKREPORT-1734</v>
      </c>
      <c r="C1763" s="1" t="s">
        <v>3014</v>
      </c>
      <c r="D1763" s="1" t="s">
        <v>48</v>
      </c>
      <c r="E1763" s="1" t="s">
        <v>1207</v>
      </c>
      <c r="F1763" s="4">
        <v>44909.59479166667</v>
      </c>
      <c r="G1763" s="3" t="str">
        <f>HYPERLINK("https://hawk-eye.atlassian.net/browse/RTT-5669?atlOrigin=eyJpIjoiYzgwYTQ0ZjEyNzQzNGJhN2JmNjEyZTM0NmRhZWZhNjIiLCJwIjoic2hlZXRzLWppcmEifQ","RTT-5669")</f>
        <v>RTT-5669</v>
      </c>
      <c r="H1763" s="1" t="s">
        <v>1058</v>
      </c>
      <c r="I1763" s="1" t="s">
        <v>1071</v>
      </c>
      <c r="J1763" s="1" t="s">
        <v>26</v>
      </c>
      <c r="K1763" s="1" t="s">
        <v>1072</v>
      </c>
      <c r="L1763" s="1" t="s">
        <v>26</v>
      </c>
      <c r="M1763" s="1" t="s">
        <v>27</v>
      </c>
      <c r="N1763" s="1" t="s">
        <v>26</v>
      </c>
      <c r="O1763" s="1" t="s">
        <v>26</v>
      </c>
      <c r="P1763" s="4">
        <v>45033.71363425926</v>
      </c>
    </row>
    <row r="1764" hidden="1">
      <c r="A1764" s="1" t="s">
        <v>1055</v>
      </c>
      <c r="B1764" s="3" t="str">
        <f>HYPERLINK("https://hawk-eye.atlassian.net/browse/HWKREPORT-1735?atlOrigin=eyJpIjoiYzgwYTQ0ZjEyNzQzNGJhN2JmNjEyZTM0NmRhZWZhNjIiLCJwIjoic2hlZXRzLWppcmEifQ","HWKREPORT-1735")</f>
        <v>HWKREPORT-1735</v>
      </c>
      <c r="C1764" s="1" t="s">
        <v>3015</v>
      </c>
      <c r="D1764" s="1" t="s">
        <v>48</v>
      </c>
      <c r="E1764" s="1" t="s">
        <v>35</v>
      </c>
      <c r="F1764" s="4">
        <v>44909.60949074074</v>
      </c>
      <c r="G1764" s="3" t="str">
        <f>HYPERLINK("https://hawk-eye.atlassian.net/browse/RTT-5667?atlOrigin=eyJpIjoiYzgwYTQ0ZjEyNzQzNGJhN2JmNjEyZTM0NmRhZWZhNjIiLCJwIjoic2hlZXRzLWppcmEifQ","RTT-5667")</f>
        <v>RTT-5667</v>
      </c>
      <c r="H1764" s="1" t="s">
        <v>1058</v>
      </c>
      <c r="I1764" s="1" t="s">
        <v>1071</v>
      </c>
      <c r="J1764" s="1" t="s">
        <v>26</v>
      </c>
      <c r="K1764" s="1" t="s">
        <v>1072</v>
      </c>
      <c r="L1764" s="1" t="s">
        <v>26</v>
      </c>
      <c r="M1764" s="1" t="s">
        <v>27</v>
      </c>
      <c r="N1764" s="1" t="s">
        <v>26</v>
      </c>
      <c r="O1764" s="1" t="s">
        <v>26</v>
      </c>
      <c r="P1764" s="4">
        <v>44960.66238425926</v>
      </c>
    </row>
    <row r="1765" hidden="1">
      <c r="A1765" s="1" t="s">
        <v>1055</v>
      </c>
      <c r="B1765" s="3" t="str">
        <f>HYPERLINK("https://hawk-eye.atlassian.net/browse/HWKREPORT-1736?atlOrigin=eyJpIjoiYzgwYTQ0ZjEyNzQzNGJhN2JmNjEyZTM0NmRhZWZhNjIiLCJwIjoic2hlZXRzLWppcmEifQ","HWKREPORT-1736")</f>
        <v>HWKREPORT-1736</v>
      </c>
      <c r="C1765" s="1" t="s">
        <v>3016</v>
      </c>
      <c r="D1765" s="1" t="s">
        <v>48</v>
      </c>
      <c r="E1765" s="1" t="s">
        <v>35</v>
      </c>
      <c r="F1765" s="4">
        <v>44909.61319444444</v>
      </c>
      <c r="G1765" s="3" t="str">
        <f>HYPERLINK("https://hawk-eye.atlassian.net/browse/?atlOrigin=eyJpIjoiYzgwYTQ0ZjEyNzQzNGJhN2JmNjEyZTM0NmRhZWZhNjIiLCJwIjoic2hlZXRzLWppcmEifQ","")</f>
        <v/>
      </c>
      <c r="H1765" s="1" t="s">
        <v>1058</v>
      </c>
      <c r="I1765" s="1" t="s">
        <v>1071</v>
      </c>
      <c r="J1765" s="1" t="s">
        <v>26</v>
      </c>
      <c r="K1765" s="1" t="s">
        <v>1072</v>
      </c>
      <c r="L1765" s="1" t="s">
        <v>26</v>
      </c>
      <c r="M1765" s="1" t="s">
        <v>27</v>
      </c>
      <c r="N1765" s="1" t="s">
        <v>26</v>
      </c>
      <c r="O1765" s="1" t="s">
        <v>26</v>
      </c>
      <c r="P1765" s="4">
        <v>44957.71021990741</v>
      </c>
    </row>
    <row r="1766" hidden="1">
      <c r="A1766" s="1" t="s">
        <v>1055</v>
      </c>
      <c r="B1766" s="3" t="str">
        <f>HYPERLINK("https://hawk-eye.atlassian.net/browse/HWKREPORT-1737?atlOrigin=eyJpIjoiYzgwYTQ0ZjEyNzQzNGJhN2JmNjEyZTM0NmRhZWZhNjIiLCJwIjoic2hlZXRzLWppcmEifQ","HWKREPORT-1737")</f>
        <v>HWKREPORT-1737</v>
      </c>
      <c r="C1766" s="1" t="s">
        <v>3017</v>
      </c>
      <c r="D1766" s="1" t="s">
        <v>48</v>
      </c>
      <c r="E1766" s="1" t="s">
        <v>35</v>
      </c>
      <c r="F1766" s="4">
        <v>44909.61599537037</v>
      </c>
      <c r="G1766" s="3" t="str">
        <f>HYPERLINK("https://hawk-eye.atlassian.net/browse/RTT-5668?atlOrigin=eyJpIjoiYzgwYTQ0ZjEyNzQzNGJhN2JmNjEyZTM0NmRhZWZhNjIiLCJwIjoic2hlZXRzLWppcmEifQ","RTT-5668")</f>
        <v>RTT-5668</v>
      </c>
      <c r="H1766" s="1" t="s">
        <v>1058</v>
      </c>
      <c r="I1766" s="1" t="s">
        <v>1071</v>
      </c>
      <c r="J1766" s="1" t="s">
        <v>26</v>
      </c>
      <c r="K1766" s="1" t="s">
        <v>1093</v>
      </c>
      <c r="L1766" s="1" t="s">
        <v>26</v>
      </c>
      <c r="M1766" s="1" t="s">
        <v>27</v>
      </c>
      <c r="N1766" s="1" t="s">
        <v>26</v>
      </c>
      <c r="O1766" s="1" t="s">
        <v>26</v>
      </c>
      <c r="P1766" s="4">
        <v>44960.662141203706</v>
      </c>
    </row>
    <row r="1767" hidden="1">
      <c r="A1767" s="1" t="s">
        <v>1055</v>
      </c>
      <c r="B1767" s="3" t="str">
        <f>HYPERLINK("https://hawk-eye.atlassian.net/browse/HWKREPORT-1738?atlOrigin=eyJpIjoiYzgwYTQ0ZjEyNzQzNGJhN2JmNjEyZTM0NmRhZWZhNjIiLCJwIjoic2hlZXRzLWppcmEifQ","HWKREPORT-1738")</f>
        <v>HWKREPORT-1738</v>
      </c>
      <c r="C1767" s="1" t="s">
        <v>3018</v>
      </c>
      <c r="D1767" s="1" t="s">
        <v>48</v>
      </c>
      <c r="E1767" s="1" t="s">
        <v>1207</v>
      </c>
      <c r="F1767" s="4">
        <v>44909.683645833335</v>
      </c>
      <c r="G1767" s="3" t="str">
        <f>HYPERLINK("https://hawk-eye.atlassian.net/browse/RTT-5678?atlOrigin=eyJpIjoiYzgwYTQ0ZjEyNzQzNGJhN2JmNjEyZTM0NmRhZWZhNjIiLCJwIjoic2hlZXRzLWppcmEifQ","RTT-5678")</f>
        <v>RTT-5678</v>
      </c>
      <c r="H1767" s="1" t="s">
        <v>1058</v>
      </c>
      <c r="I1767" s="1" t="s">
        <v>1071</v>
      </c>
      <c r="J1767" s="1" t="s">
        <v>26</v>
      </c>
      <c r="K1767" s="1" t="s">
        <v>1093</v>
      </c>
      <c r="L1767" s="1" t="s">
        <v>26</v>
      </c>
      <c r="M1767" s="1" t="s">
        <v>27</v>
      </c>
      <c r="N1767" s="1" t="s">
        <v>26</v>
      </c>
      <c r="O1767" s="1" t="s">
        <v>26</v>
      </c>
      <c r="P1767" s="4">
        <v>45000.6983912037</v>
      </c>
    </row>
    <row r="1768" hidden="1">
      <c r="A1768" s="1" t="s">
        <v>1055</v>
      </c>
      <c r="B1768" s="3" t="str">
        <f>HYPERLINK("https://hawk-eye.atlassian.net/browse/HWKREPORT-1739?atlOrigin=eyJpIjoiYzgwYTQ0ZjEyNzQzNGJhN2JmNjEyZTM0NmRhZWZhNjIiLCJwIjoic2hlZXRzLWppcmEifQ","HWKREPORT-1739")</f>
        <v>HWKREPORT-1739</v>
      </c>
      <c r="C1768" s="1" t="s">
        <v>3019</v>
      </c>
      <c r="D1768" s="1" t="s">
        <v>48</v>
      </c>
      <c r="E1768" s="1" t="s">
        <v>35</v>
      </c>
      <c r="F1768" s="4">
        <v>44909.70381944445</v>
      </c>
      <c r="G1768" s="3" t="str">
        <f>HYPERLINK("https://hawk-eye.atlassian.net/browse/RTT-5655?atlOrigin=eyJpIjoiYzgwYTQ0ZjEyNzQzNGJhN2JmNjEyZTM0NmRhZWZhNjIiLCJwIjoic2hlZXRzLWppcmEifQ","RTT-5655")</f>
        <v>RTT-5655</v>
      </c>
      <c r="H1768" s="1" t="s">
        <v>1058</v>
      </c>
      <c r="I1768" s="1" t="s">
        <v>28</v>
      </c>
      <c r="J1768" s="1" t="s">
        <v>26</v>
      </c>
      <c r="K1768" s="1" t="s">
        <v>1072</v>
      </c>
      <c r="L1768" s="1" t="s">
        <v>26</v>
      </c>
      <c r="M1768" s="1" t="s">
        <v>27</v>
      </c>
      <c r="N1768" s="1" t="s">
        <v>26</v>
      </c>
      <c r="O1768" s="1" t="s">
        <v>26</v>
      </c>
      <c r="P1768" s="4">
        <v>44957.71034722222</v>
      </c>
    </row>
    <row r="1769" hidden="1">
      <c r="A1769" s="1" t="s">
        <v>21</v>
      </c>
      <c r="B1769" s="3" t="str">
        <f>HYPERLINK("https://hawk-eye.atlassian.net/browse/HWKREPORT-1740?atlOrigin=eyJpIjoiYzgwYTQ0ZjEyNzQzNGJhN2JmNjEyZTM0NmRhZWZhNjIiLCJwIjoic2hlZXRzLWppcmEifQ","HWKREPORT-1740")</f>
        <v>HWKREPORT-1740</v>
      </c>
      <c r="C1769" s="1" t="s">
        <v>3020</v>
      </c>
      <c r="D1769" s="1" t="s">
        <v>34</v>
      </c>
      <c r="E1769" s="1" t="s">
        <v>35</v>
      </c>
      <c r="F1769" s="4">
        <v>44909.76032407407</v>
      </c>
      <c r="G1769" s="3" t="str">
        <f>HYPERLINK("https://hawk-eye.atlassian.net/browse/RTT-5672?atlOrigin=eyJpIjoiYzgwYTQ0ZjEyNzQzNGJhN2JmNjEyZTM0NmRhZWZhNjIiLCJwIjoic2hlZXRzLWppcmEifQ","RTT-5672")</f>
        <v>RTT-5672</v>
      </c>
      <c r="H1769" s="1" t="s">
        <v>1058</v>
      </c>
      <c r="I1769" s="1" t="s">
        <v>1085</v>
      </c>
      <c r="J1769" s="1" t="s">
        <v>26</v>
      </c>
      <c r="K1769" s="1" t="s">
        <v>1072</v>
      </c>
      <c r="L1769" s="1" t="s">
        <v>26</v>
      </c>
      <c r="M1769" s="1" t="s">
        <v>27</v>
      </c>
      <c r="N1769" s="1" t="s">
        <v>26</v>
      </c>
      <c r="O1769" s="1" t="s">
        <v>26</v>
      </c>
      <c r="P1769" s="4">
        <v>44991.69386574074</v>
      </c>
    </row>
    <row r="1770" hidden="1">
      <c r="A1770" s="1" t="s">
        <v>21</v>
      </c>
      <c r="B1770" s="3" t="str">
        <f>HYPERLINK("https://hawk-eye.atlassian.net/browse/HWKREPORT-1741?atlOrigin=eyJpIjoiYzgwYTQ0ZjEyNzQzNGJhN2JmNjEyZTM0NmRhZWZhNjIiLCJwIjoic2hlZXRzLWppcmEifQ","HWKREPORT-1741")</f>
        <v>HWKREPORT-1741</v>
      </c>
      <c r="C1770" s="1" t="s">
        <v>3021</v>
      </c>
      <c r="D1770" s="1" t="s">
        <v>23</v>
      </c>
      <c r="E1770" s="1" t="s">
        <v>35</v>
      </c>
      <c r="F1770" s="4">
        <v>44909.76199074074</v>
      </c>
      <c r="G1770" s="3" t="str">
        <f>HYPERLINK("https://hawk-eye.atlassian.net/browse/?atlOrigin=eyJpIjoiYzgwYTQ0ZjEyNzQzNGJhN2JmNjEyZTM0NmRhZWZhNjIiLCJwIjoic2hlZXRzLWppcmEifQ","")</f>
        <v/>
      </c>
      <c r="H1770" s="1" t="s">
        <v>1058</v>
      </c>
      <c r="I1770" s="1" t="s">
        <v>1085</v>
      </c>
      <c r="J1770" s="1" t="s">
        <v>26</v>
      </c>
      <c r="K1770" s="1" t="s">
        <v>1072</v>
      </c>
      <c r="L1770" s="1" t="s">
        <v>26</v>
      </c>
      <c r="M1770" s="1" t="s">
        <v>27</v>
      </c>
      <c r="N1770" s="1" t="s">
        <v>26</v>
      </c>
      <c r="O1770" s="1" t="s">
        <v>26</v>
      </c>
      <c r="P1770" s="4">
        <v>44910.37383101852</v>
      </c>
    </row>
    <row r="1771" hidden="1">
      <c r="A1771" s="1" t="s">
        <v>21</v>
      </c>
      <c r="B1771" s="3" t="str">
        <f>HYPERLINK("https://hawk-eye.atlassian.net/browse/HWKREPORT-1742?atlOrigin=eyJpIjoiYzgwYTQ0ZjEyNzQzNGJhN2JmNjEyZTM0NmRhZWZhNjIiLCJwIjoic2hlZXRzLWppcmEifQ","HWKREPORT-1742")</f>
        <v>HWKREPORT-1742</v>
      </c>
      <c r="C1771" s="1" t="s">
        <v>3022</v>
      </c>
      <c r="D1771" s="1" t="s">
        <v>23</v>
      </c>
      <c r="E1771" s="1" t="s">
        <v>35</v>
      </c>
      <c r="F1771" s="4">
        <v>44909.860555555555</v>
      </c>
      <c r="G1771" s="3" t="str">
        <f>HYPERLINK("https://hawk-eye.atlassian.net/browse/RTT-5673?atlOrigin=eyJpIjoiYzgwYTQ0ZjEyNzQzNGJhN2JmNjEyZTM0NmRhZWZhNjIiLCJwIjoic2hlZXRzLWppcmEifQ","RTT-5673")</f>
        <v>RTT-5673</v>
      </c>
      <c r="H1771" s="1" t="s">
        <v>1058</v>
      </c>
      <c r="I1771" s="1" t="s">
        <v>1085</v>
      </c>
      <c r="J1771" s="1" t="s">
        <v>26</v>
      </c>
      <c r="K1771" s="1" t="s">
        <v>1072</v>
      </c>
      <c r="L1771" s="1" t="s">
        <v>26</v>
      </c>
      <c r="M1771" s="1" t="s">
        <v>27</v>
      </c>
      <c r="N1771" s="1" t="s">
        <v>26</v>
      </c>
      <c r="O1771" s="1" t="s">
        <v>26</v>
      </c>
      <c r="P1771" s="4">
        <v>45216.38724537037</v>
      </c>
    </row>
    <row r="1772" hidden="1">
      <c r="A1772" s="1" t="s">
        <v>21</v>
      </c>
      <c r="B1772" s="3" t="str">
        <f>HYPERLINK("https://hawk-eye.atlassian.net/browse/HWKREPORT-1743?atlOrigin=eyJpIjoiYzgwYTQ0ZjEyNzQzNGJhN2JmNjEyZTM0NmRhZWZhNjIiLCJwIjoic2hlZXRzLWppcmEifQ","HWKREPORT-1743")</f>
        <v>HWKREPORT-1743</v>
      </c>
      <c r="C1772" s="1" t="s">
        <v>3023</v>
      </c>
      <c r="D1772" s="1" t="s">
        <v>23</v>
      </c>
      <c r="E1772" s="1" t="s">
        <v>1057</v>
      </c>
      <c r="F1772" s="4">
        <v>44909.86158564815</v>
      </c>
      <c r="G1772" s="3" t="str">
        <f>HYPERLINK("https://hawk-eye.atlassian.net/browse/RTT-5674?atlOrigin=eyJpIjoiYzgwYTQ0ZjEyNzQzNGJhN2JmNjEyZTM0NmRhZWZhNjIiLCJwIjoic2hlZXRzLWppcmEifQ","RTT-5674")</f>
        <v>RTT-5674</v>
      </c>
      <c r="H1772" s="1" t="s">
        <v>1058</v>
      </c>
      <c r="I1772" s="1" t="s">
        <v>1085</v>
      </c>
      <c r="J1772" s="1" t="s">
        <v>26</v>
      </c>
      <c r="K1772" s="1" t="s">
        <v>1072</v>
      </c>
      <c r="L1772" s="1" t="s">
        <v>26</v>
      </c>
      <c r="M1772" s="1" t="s">
        <v>27</v>
      </c>
      <c r="N1772" s="1" t="s">
        <v>26</v>
      </c>
      <c r="O1772" s="1" t="s">
        <v>26</v>
      </c>
      <c r="P1772" s="4">
        <v>44909.861597222225</v>
      </c>
    </row>
    <row r="1773" hidden="1">
      <c r="A1773" s="1" t="s">
        <v>21</v>
      </c>
      <c r="B1773" s="3" t="str">
        <f>HYPERLINK("https://hawk-eye.atlassian.net/browse/HWKREPORT-1744?atlOrigin=eyJpIjoiYzgwYTQ0ZjEyNzQzNGJhN2JmNjEyZTM0NmRhZWZhNjIiLCJwIjoic2hlZXRzLWppcmEifQ","HWKREPORT-1744")</f>
        <v>HWKREPORT-1744</v>
      </c>
      <c r="C1773" s="1" t="s">
        <v>3024</v>
      </c>
      <c r="D1773" s="1" t="s">
        <v>23</v>
      </c>
      <c r="E1773" s="1" t="s">
        <v>35</v>
      </c>
      <c r="F1773" s="4">
        <v>44909.862129629626</v>
      </c>
      <c r="G1773" s="3" t="str">
        <f>HYPERLINK("https://hawk-eye.atlassian.net/browse/RTT-5666?atlOrigin=eyJpIjoiYzgwYTQ0ZjEyNzQzNGJhN2JmNjEyZTM0NmRhZWZhNjIiLCJwIjoic2hlZXRzLWppcmEifQ","RTT-5666")</f>
        <v>RTT-5666</v>
      </c>
      <c r="H1773" s="1" t="s">
        <v>1058</v>
      </c>
      <c r="I1773" s="1" t="s">
        <v>1085</v>
      </c>
      <c r="J1773" s="1" t="s">
        <v>26</v>
      </c>
      <c r="K1773" s="1" t="s">
        <v>1072</v>
      </c>
      <c r="L1773" s="1" t="s">
        <v>26</v>
      </c>
      <c r="M1773" s="1" t="s">
        <v>27</v>
      </c>
      <c r="N1773" s="1" t="s">
        <v>26</v>
      </c>
      <c r="O1773" s="1" t="s">
        <v>26</v>
      </c>
      <c r="P1773" s="4">
        <v>44971.47938657407</v>
      </c>
    </row>
    <row r="1774" hidden="1">
      <c r="A1774" s="1" t="s">
        <v>21</v>
      </c>
      <c r="B1774" s="3" t="str">
        <f>HYPERLINK("https://hawk-eye.atlassian.net/browse/HWKREPORT-1745?atlOrigin=eyJpIjoiYzgwYTQ0ZjEyNzQzNGJhN2JmNjEyZTM0NmRhZWZhNjIiLCJwIjoic2hlZXRzLWppcmEifQ","HWKREPORT-1745")</f>
        <v>HWKREPORT-1745</v>
      </c>
      <c r="C1774" s="1" t="s">
        <v>3025</v>
      </c>
      <c r="D1774" s="1" t="s">
        <v>40</v>
      </c>
      <c r="E1774" s="1" t="s">
        <v>35</v>
      </c>
      <c r="F1774" s="4">
        <v>44910.394837962966</v>
      </c>
      <c r="G1774" s="3" t="str">
        <f>HYPERLINK("https://hawk-eye.atlassian.net/browse/AL-634?atlOrigin=eyJpIjoiYzgwYTQ0ZjEyNzQzNGJhN2JmNjEyZTM0NmRhZWZhNjIiLCJwIjoic2hlZXRzLWppcmEifQ","AL-634")</f>
        <v>AL-634</v>
      </c>
      <c r="H1774" s="1" t="s">
        <v>1058</v>
      </c>
      <c r="I1774" s="1" t="s">
        <v>1085</v>
      </c>
      <c r="J1774" s="1" t="s">
        <v>26</v>
      </c>
      <c r="K1774" s="1" t="s">
        <v>1717</v>
      </c>
      <c r="L1774" s="1" t="s">
        <v>26</v>
      </c>
      <c r="M1774" s="1" t="s">
        <v>27</v>
      </c>
      <c r="N1774" s="1" t="s">
        <v>26</v>
      </c>
      <c r="O1774" s="1" t="s">
        <v>26</v>
      </c>
      <c r="P1774" s="4">
        <v>44960.68832175926</v>
      </c>
    </row>
    <row r="1775" hidden="1">
      <c r="A1775" s="1" t="s">
        <v>21</v>
      </c>
      <c r="B1775" s="3" t="str">
        <f>HYPERLINK("https://hawk-eye.atlassian.net/browse/HWKREPORT-1746?atlOrigin=eyJpIjoiYzgwYTQ0ZjEyNzQzNGJhN2JmNjEyZTM0NmRhZWZhNjIiLCJwIjoic2hlZXRzLWppcmEifQ","HWKREPORT-1746")</f>
        <v>HWKREPORT-1746</v>
      </c>
      <c r="C1775" s="1" t="s">
        <v>3026</v>
      </c>
      <c r="D1775" s="1" t="s">
        <v>34</v>
      </c>
      <c r="E1775" s="1" t="s">
        <v>35</v>
      </c>
      <c r="F1775" s="4">
        <v>44910.66342592592</v>
      </c>
      <c r="G1775" s="3" t="str">
        <f>HYPERLINK("https://hawk-eye.atlassian.net/browse/RTT-5665?atlOrigin=eyJpIjoiYzgwYTQ0ZjEyNzQzNGJhN2JmNjEyZTM0NmRhZWZhNjIiLCJwIjoic2hlZXRzLWppcmEifQ","RTT-5665")</f>
        <v>RTT-5665</v>
      </c>
      <c r="H1775" s="1" t="s">
        <v>1058</v>
      </c>
      <c r="I1775" s="1" t="s">
        <v>1082</v>
      </c>
      <c r="J1775" s="1" t="s">
        <v>26</v>
      </c>
      <c r="K1775" s="1" t="s">
        <v>1247</v>
      </c>
      <c r="L1775" s="1" t="s">
        <v>26</v>
      </c>
      <c r="M1775" s="1" t="s">
        <v>27</v>
      </c>
      <c r="N1775" s="1" t="s">
        <v>26</v>
      </c>
      <c r="O1775" s="1" t="s">
        <v>26</v>
      </c>
      <c r="P1775" s="4">
        <v>44956.421747685185</v>
      </c>
    </row>
    <row r="1776" hidden="1">
      <c r="A1776" s="1" t="s">
        <v>1055</v>
      </c>
      <c r="B1776" s="3" t="str">
        <f>HYPERLINK("https://hawk-eye.atlassian.net/browse/HWKREPORT-1747?atlOrigin=eyJpIjoiYzgwYTQ0ZjEyNzQzNGJhN2JmNjEyZTM0NmRhZWZhNjIiLCJwIjoic2hlZXRzLWppcmEifQ","HWKREPORT-1747")</f>
        <v>HWKREPORT-1747</v>
      </c>
      <c r="C1776" s="1" t="s">
        <v>3027</v>
      </c>
      <c r="D1776" s="1" t="s">
        <v>48</v>
      </c>
      <c r="E1776" s="1" t="s">
        <v>35</v>
      </c>
      <c r="F1776" s="4">
        <v>44910.68273148148</v>
      </c>
      <c r="G1776" s="3" t="str">
        <f>HYPERLINK("https://hawk-eye.atlassian.net/browse/RTT-5663?atlOrigin=eyJpIjoiYzgwYTQ0ZjEyNzQzNGJhN2JmNjEyZTM0NmRhZWZhNjIiLCJwIjoic2hlZXRzLWppcmEifQ","RTT-5663")</f>
        <v>RTT-5663</v>
      </c>
      <c r="H1776" s="1" t="s">
        <v>1058</v>
      </c>
      <c r="I1776" s="1" t="s">
        <v>28</v>
      </c>
      <c r="J1776" s="1" t="s">
        <v>26</v>
      </c>
      <c r="K1776" s="1" t="s">
        <v>1072</v>
      </c>
      <c r="L1776" s="1" t="s">
        <v>26</v>
      </c>
      <c r="M1776" s="1" t="s">
        <v>27</v>
      </c>
      <c r="N1776" s="1" t="s">
        <v>26</v>
      </c>
      <c r="O1776" s="1" t="s">
        <v>26</v>
      </c>
      <c r="P1776" s="4">
        <v>45216.38700231481</v>
      </c>
    </row>
    <row r="1777" hidden="1">
      <c r="A1777" s="1" t="s">
        <v>21</v>
      </c>
      <c r="B1777" s="3" t="str">
        <f>HYPERLINK("https://hawk-eye.atlassian.net/browse/HWKREPORT-1748?atlOrigin=eyJpIjoiYzgwYTQ0ZjEyNzQzNGJhN2JmNjEyZTM0NmRhZWZhNjIiLCJwIjoic2hlZXRzLWppcmEifQ","HWKREPORT-1748")</f>
        <v>HWKREPORT-1748</v>
      </c>
      <c r="C1777" s="1" t="s">
        <v>3028</v>
      </c>
      <c r="D1777" s="1" t="s">
        <v>34</v>
      </c>
      <c r="E1777" s="1" t="s">
        <v>35</v>
      </c>
      <c r="F1777" s="4">
        <v>44910.696493055555</v>
      </c>
      <c r="G1777" s="3" t="str">
        <f>HYPERLINK("https://hawk-eye.atlassian.net/browse/RTT-5664?atlOrigin=eyJpIjoiYzgwYTQ0ZjEyNzQzNGJhN2JmNjEyZTM0NmRhZWZhNjIiLCJwIjoic2hlZXRzLWppcmEifQ","RTT-5664")</f>
        <v>RTT-5664</v>
      </c>
      <c r="H1777" s="1" t="s">
        <v>1058</v>
      </c>
      <c r="I1777" s="1" t="s">
        <v>1082</v>
      </c>
      <c r="J1777" s="1" t="s">
        <v>26</v>
      </c>
      <c r="K1777" s="1" t="s">
        <v>1247</v>
      </c>
      <c r="L1777" s="1" t="s">
        <v>26</v>
      </c>
      <c r="M1777" s="1" t="s">
        <v>27</v>
      </c>
      <c r="N1777" s="1" t="s">
        <v>26</v>
      </c>
      <c r="O1777" s="1" t="s">
        <v>26</v>
      </c>
      <c r="P1777" s="4">
        <v>44956.42167824074</v>
      </c>
    </row>
    <row r="1778" hidden="1">
      <c r="A1778" s="1" t="s">
        <v>1055</v>
      </c>
      <c r="B1778" s="3" t="str">
        <f>HYPERLINK("https://hawk-eye.atlassian.net/browse/HWKREPORT-1749?atlOrigin=eyJpIjoiYzgwYTQ0ZjEyNzQzNGJhN2JmNjEyZTM0NmRhZWZhNjIiLCJwIjoic2hlZXRzLWppcmEifQ","HWKREPORT-1749")</f>
        <v>HWKREPORT-1749</v>
      </c>
      <c r="C1778" s="1" t="s">
        <v>3029</v>
      </c>
      <c r="D1778" s="1" t="s">
        <v>48</v>
      </c>
      <c r="E1778" s="1" t="s">
        <v>35</v>
      </c>
      <c r="F1778" s="4">
        <v>44910.69662037037</v>
      </c>
      <c r="G1778" s="3" t="str">
        <f>HYPERLINK("https://hawk-eye.atlassian.net/browse/RTT-5679?atlOrigin=eyJpIjoiYzgwYTQ0ZjEyNzQzNGJhN2JmNjEyZTM0NmRhZWZhNjIiLCJwIjoic2hlZXRzLWppcmEifQ","RTT-5679")</f>
        <v>RTT-5679</v>
      </c>
      <c r="H1778" s="1" t="s">
        <v>1058</v>
      </c>
      <c r="I1778" s="1" t="s">
        <v>1071</v>
      </c>
      <c r="J1778" s="1" t="s">
        <v>26</v>
      </c>
      <c r="K1778" s="1" t="s">
        <v>1072</v>
      </c>
      <c r="L1778" s="1" t="s">
        <v>26</v>
      </c>
      <c r="M1778" s="1" t="s">
        <v>27</v>
      </c>
      <c r="N1778" s="1" t="s">
        <v>26</v>
      </c>
      <c r="O1778" s="1" t="s">
        <v>26</v>
      </c>
      <c r="P1778" s="4">
        <v>44986.70265046296</v>
      </c>
    </row>
    <row r="1779" hidden="1">
      <c r="A1779" s="1" t="s">
        <v>1055</v>
      </c>
      <c r="B1779" s="3" t="str">
        <f>HYPERLINK("https://hawk-eye.atlassian.net/browse/HWKREPORT-1750?atlOrigin=eyJpIjoiYzgwYTQ0ZjEyNzQzNGJhN2JmNjEyZTM0NmRhZWZhNjIiLCJwIjoic2hlZXRzLWppcmEifQ","HWKREPORT-1750")</f>
        <v>HWKREPORT-1750</v>
      </c>
      <c r="C1779" s="1" t="s">
        <v>3030</v>
      </c>
      <c r="D1779" s="1" t="s">
        <v>48</v>
      </c>
      <c r="E1779" s="1" t="s">
        <v>35</v>
      </c>
      <c r="F1779" s="4">
        <v>44910.752384259256</v>
      </c>
      <c r="G1779" s="3" t="str">
        <f>HYPERLINK("https://hawk-eye.atlassian.net/browse/RTT-5670?atlOrigin=eyJpIjoiYzgwYTQ0ZjEyNzQzNGJhN2JmNjEyZTM0NmRhZWZhNjIiLCJwIjoic2hlZXRzLWppcmEifQ","RTT-5670")</f>
        <v>RTT-5670</v>
      </c>
      <c r="H1779" s="1" t="s">
        <v>1058</v>
      </c>
      <c r="I1779" s="1" t="s">
        <v>1071</v>
      </c>
      <c r="J1779" s="1" t="s">
        <v>26</v>
      </c>
      <c r="K1779" s="1" t="s">
        <v>1093</v>
      </c>
      <c r="L1779" s="1" t="s">
        <v>26</v>
      </c>
      <c r="M1779" s="1" t="s">
        <v>27</v>
      </c>
      <c r="N1779" s="1" t="s">
        <v>26</v>
      </c>
      <c r="O1779" s="1" t="s">
        <v>26</v>
      </c>
      <c r="P1779" s="4">
        <v>44958.60349537037</v>
      </c>
    </row>
    <row r="1780" hidden="1">
      <c r="A1780" s="1" t="s">
        <v>1055</v>
      </c>
      <c r="B1780" s="3" t="str">
        <f>HYPERLINK("https://hawk-eye.atlassian.net/browse/HWKREPORT-1751?atlOrigin=eyJpIjoiYzgwYTQ0ZjEyNzQzNGJhN2JmNjEyZTM0NmRhZWZhNjIiLCJwIjoic2hlZXRzLWppcmEifQ","HWKREPORT-1751")</f>
        <v>HWKREPORT-1751</v>
      </c>
      <c r="C1780" s="1" t="s">
        <v>3031</v>
      </c>
      <c r="D1780" s="1" t="s">
        <v>48</v>
      </c>
      <c r="E1780" s="1" t="s">
        <v>35</v>
      </c>
      <c r="F1780" s="4">
        <v>44914.719664351855</v>
      </c>
      <c r="G1780" s="3" t="str">
        <f>HYPERLINK("https://hawk-eye.atlassian.net/browse/RTT-5682?atlOrigin=eyJpIjoiYzgwYTQ0ZjEyNzQzNGJhN2JmNjEyZTM0NmRhZWZhNjIiLCJwIjoic2hlZXRzLWppcmEifQ","RTT-5682")</f>
        <v>RTT-5682</v>
      </c>
      <c r="H1780" s="1" t="s">
        <v>1058</v>
      </c>
      <c r="I1780" s="1" t="s">
        <v>28</v>
      </c>
      <c r="J1780" s="1" t="s">
        <v>26</v>
      </c>
      <c r="K1780" s="1" t="s">
        <v>1072</v>
      </c>
      <c r="L1780" s="1" t="s">
        <v>26</v>
      </c>
      <c r="M1780" s="1" t="s">
        <v>27</v>
      </c>
      <c r="N1780" s="1" t="s">
        <v>26</v>
      </c>
      <c r="O1780" s="1" t="s">
        <v>26</v>
      </c>
      <c r="P1780" s="4">
        <v>45524.73105324074</v>
      </c>
    </row>
    <row r="1781" hidden="1">
      <c r="A1781" s="1" t="s">
        <v>1055</v>
      </c>
      <c r="B1781" s="3" t="str">
        <f>HYPERLINK("https://hawk-eye.atlassian.net/browse/HWKREPORT-1752?atlOrigin=eyJpIjoiYzgwYTQ0ZjEyNzQzNGJhN2JmNjEyZTM0NmRhZWZhNjIiLCJwIjoic2hlZXRzLWppcmEifQ","HWKREPORT-1752")</f>
        <v>HWKREPORT-1752</v>
      </c>
      <c r="C1781" s="1" t="s">
        <v>3032</v>
      </c>
      <c r="D1781" s="1" t="s">
        <v>48</v>
      </c>
      <c r="E1781" s="1" t="s">
        <v>35</v>
      </c>
      <c r="F1781" s="4">
        <v>44914.72133101852</v>
      </c>
      <c r="G1781" s="3" t="str">
        <f>HYPERLINK("https://hawk-eye.atlassian.net/browse/RTT-5684?atlOrigin=eyJpIjoiYzgwYTQ0ZjEyNzQzNGJhN2JmNjEyZTM0NmRhZWZhNjIiLCJwIjoic2hlZXRzLWppcmEifQ","RTT-5684")</f>
        <v>RTT-5684</v>
      </c>
      <c r="H1781" s="1" t="s">
        <v>1058</v>
      </c>
      <c r="I1781" s="1" t="s">
        <v>28</v>
      </c>
      <c r="J1781" s="1" t="s">
        <v>26</v>
      </c>
      <c r="K1781" s="1" t="s">
        <v>1072</v>
      </c>
      <c r="L1781" s="1" t="s">
        <v>26</v>
      </c>
      <c r="M1781" s="1" t="s">
        <v>27</v>
      </c>
      <c r="N1781" s="1" t="s">
        <v>26</v>
      </c>
      <c r="O1781" s="1" t="s">
        <v>26</v>
      </c>
      <c r="P1781" s="4">
        <v>44963.39356481482</v>
      </c>
    </row>
    <row r="1782" hidden="1">
      <c r="A1782" s="1" t="s">
        <v>1055</v>
      </c>
      <c r="B1782" s="3" t="str">
        <f>HYPERLINK("https://hawk-eye.atlassian.net/browse/HWKREPORT-1753?atlOrigin=eyJpIjoiYzgwYTQ0ZjEyNzQzNGJhN2JmNjEyZTM0NmRhZWZhNjIiLCJwIjoic2hlZXRzLWppcmEifQ","HWKREPORT-1753")</f>
        <v>HWKREPORT-1753</v>
      </c>
      <c r="C1782" s="1" t="s">
        <v>3033</v>
      </c>
      <c r="D1782" s="1" t="s">
        <v>48</v>
      </c>
      <c r="E1782" s="1" t="s">
        <v>35</v>
      </c>
      <c r="F1782" s="4">
        <v>44914.7234837963</v>
      </c>
      <c r="G1782" s="3" t="str">
        <f>HYPERLINK("https://hawk-eye.atlassian.net/browse/RTT-5685?atlOrigin=eyJpIjoiYzgwYTQ0ZjEyNzQzNGJhN2JmNjEyZTM0NmRhZWZhNjIiLCJwIjoic2hlZXRzLWppcmEifQ","RTT-5685")</f>
        <v>RTT-5685</v>
      </c>
      <c r="H1782" s="1" t="s">
        <v>1058</v>
      </c>
      <c r="I1782" s="1" t="s">
        <v>28</v>
      </c>
      <c r="J1782" s="1" t="s">
        <v>26</v>
      </c>
      <c r="K1782" s="1" t="s">
        <v>1072</v>
      </c>
      <c r="L1782" s="1" t="s">
        <v>26</v>
      </c>
      <c r="M1782" s="1" t="s">
        <v>27</v>
      </c>
      <c r="N1782" s="1" t="s">
        <v>26</v>
      </c>
      <c r="O1782" s="1" t="s">
        <v>26</v>
      </c>
      <c r="P1782" s="4">
        <v>44939.39068287037</v>
      </c>
    </row>
    <row r="1783" hidden="1">
      <c r="A1783" s="1" t="s">
        <v>1055</v>
      </c>
      <c r="B1783" s="3" t="str">
        <f>HYPERLINK("https://hawk-eye.atlassian.net/browse/HWKREPORT-1754?atlOrigin=eyJpIjoiYzgwYTQ0ZjEyNzQzNGJhN2JmNjEyZTM0NmRhZWZhNjIiLCJwIjoic2hlZXRzLWppcmEifQ","HWKREPORT-1754")</f>
        <v>HWKREPORT-1754</v>
      </c>
      <c r="C1783" s="1" t="s">
        <v>3034</v>
      </c>
      <c r="D1783" s="1" t="s">
        <v>48</v>
      </c>
      <c r="E1783" s="1" t="s">
        <v>35</v>
      </c>
      <c r="F1783" s="4">
        <v>44914.776724537034</v>
      </c>
      <c r="G1783" s="3" t="str">
        <f>HYPERLINK("https://hawk-eye.atlassian.net/browse/AL-661?atlOrigin=eyJpIjoiYzgwYTQ0ZjEyNzQzNGJhN2JmNjEyZTM0NmRhZWZhNjIiLCJwIjoic2hlZXRzLWppcmEifQ","AL-661")</f>
        <v>AL-661</v>
      </c>
      <c r="H1783" s="1" t="s">
        <v>1058</v>
      </c>
      <c r="I1783" s="1" t="s">
        <v>1071</v>
      </c>
      <c r="J1783" s="1" t="s">
        <v>26</v>
      </c>
      <c r="K1783" s="1" t="s">
        <v>1072</v>
      </c>
      <c r="L1783" s="1" t="s">
        <v>26</v>
      </c>
      <c r="M1783" s="1" t="s">
        <v>27</v>
      </c>
      <c r="N1783" s="1" t="s">
        <v>26</v>
      </c>
      <c r="O1783" s="1" t="s">
        <v>26</v>
      </c>
      <c r="P1783" s="4">
        <v>45090.70008101852</v>
      </c>
    </row>
    <row r="1784" hidden="1">
      <c r="A1784" s="1" t="s">
        <v>1055</v>
      </c>
      <c r="B1784" s="3" t="str">
        <f>HYPERLINK("https://hawk-eye.atlassian.net/browse/HWKREPORT-1755?atlOrigin=eyJpIjoiYzgwYTQ0ZjEyNzQzNGJhN2JmNjEyZTM0NmRhZWZhNjIiLCJwIjoic2hlZXRzLWppcmEifQ","HWKREPORT-1755")</f>
        <v>HWKREPORT-1755</v>
      </c>
      <c r="C1784" s="1" t="s">
        <v>3035</v>
      </c>
      <c r="D1784" s="1" t="s">
        <v>48</v>
      </c>
      <c r="E1784" s="1" t="s">
        <v>35</v>
      </c>
      <c r="F1784" s="4">
        <v>44916.53162037037</v>
      </c>
      <c r="G1784" s="3" t="str">
        <f>HYPERLINK("https://hawk-eye.atlassian.net/browse/?atlOrigin=eyJpIjoiYzgwYTQ0ZjEyNzQzNGJhN2JmNjEyZTM0NmRhZWZhNjIiLCJwIjoic2hlZXRzLWppcmEifQ","")</f>
        <v/>
      </c>
      <c r="H1784" s="1" t="s">
        <v>1058</v>
      </c>
      <c r="I1784" s="1" t="s">
        <v>1082</v>
      </c>
      <c r="J1784" s="1" t="s">
        <v>26</v>
      </c>
      <c r="K1784" s="1" t="s">
        <v>26</v>
      </c>
      <c r="L1784" s="1" t="s">
        <v>26</v>
      </c>
      <c r="M1784" s="1" t="s">
        <v>27</v>
      </c>
      <c r="N1784" s="1" t="s">
        <v>26</v>
      </c>
      <c r="O1784" s="1" t="s">
        <v>26</v>
      </c>
      <c r="P1784" s="4">
        <v>44979.40636574074</v>
      </c>
    </row>
    <row r="1785" hidden="1">
      <c r="A1785" s="1" t="s">
        <v>1055</v>
      </c>
      <c r="B1785" s="3" t="str">
        <f>HYPERLINK("https://hawk-eye.atlassian.net/browse/HWKREPORT-1756?atlOrigin=eyJpIjoiYzgwYTQ0ZjEyNzQzNGJhN2JmNjEyZTM0NmRhZWZhNjIiLCJwIjoic2hlZXRzLWppcmEifQ","HWKREPORT-1756")</f>
        <v>HWKREPORT-1756</v>
      </c>
      <c r="C1785" s="1" t="s">
        <v>3036</v>
      </c>
      <c r="D1785" s="1" t="s">
        <v>48</v>
      </c>
      <c r="E1785" s="1" t="s">
        <v>35</v>
      </c>
      <c r="F1785" s="4">
        <v>44916.72149305556</v>
      </c>
      <c r="G1785" s="3" t="str">
        <f>HYPERLINK("https://hawk-eye.atlassian.net/browse/RTT-5690?atlOrigin=eyJpIjoiYzgwYTQ0ZjEyNzQzNGJhN2JmNjEyZTM0NmRhZWZhNjIiLCJwIjoic2hlZXRzLWppcmEifQ","RTT-5690")</f>
        <v>RTT-5690</v>
      </c>
      <c r="H1785" s="1" t="s">
        <v>1058</v>
      </c>
      <c r="I1785" s="1" t="s">
        <v>1151</v>
      </c>
      <c r="J1785" s="1" t="s">
        <v>26</v>
      </c>
      <c r="K1785" s="1" t="s">
        <v>1072</v>
      </c>
      <c r="L1785" s="1" t="s">
        <v>26</v>
      </c>
      <c r="M1785" s="1" t="s">
        <v>27</v>
      </c>
      <c r="N1785" s="1" t="s">
        <v>26</v>
      </c>
      <c r="O1785" s="1" t="s">
        <v>26</v>
      </c>
      <c r="P1785" s="4">
        <v>45027.39142361111</v>
      </c>
    </row>
    <row r="1786" hidden="1">
      <c r="A1786" s="1" t="s">
        <v>21</v>
      </c>
      <c r="B1786" s="3" t="str">
        <f>HYPERLINK("https://hawk-eye.atlassian.net/browse/HWKREPORT-1757?atlOrigin=eyJpIjoiYzgwYTQ0ZjEyNzQzNGJhN2JmNjEyZTM0NmRhZWZhNjIiLCJwIjoic2hlZXRzLWppcmEifQ","HWKREPORT-1757")</f>
        <v>HWKREPORT-1757</v>
      </c>
      <c r="C1786" s="1" t="s">
        <v>3037</v>
      </c>
      <c r="D1786" s="1" t="s">
        <v>34</v>
      </c>
      <c r="E1786" s="1" t="s">
        <v>35</v>
      </c>
      <c r="F1786" s="4">
        <v>44917.49314814815</v>
      </c>
      <c r="G1786" s="3" t="str">
        <f>HYPERLINK("https://hawk-eye.atlassian.net/browse/RTT-5691?atlOrigin=eyJpIjoiYzgwYTQ0ZjEyNzQzNGJhN2JmNjEyZTM0NmRhZWZhNjIiLCJwIjoic2hlZXRzLWppcmEifQ","RTT-5691")</f>
        <v>RTT-5691</v>
      </c>
      <c r="H1786" s="1" t="s">
        <v>1058</v>
      </c>
      <c r="I1786" s="1" t="s">
        <v>1082</v>
      </c>
      <c r="J1786" s="1" t="s">
        <v>26</v>
      </c>
      <c r="K1786" s="1" t="s">
        <v>1247</v>
      </c>
      <c r="L1786" s="1" t="s">
        <v>26</v>
      </c>
      <c r="M1786" s="1" t="s">
        <v>27</v>
      </c>
      <c r="N1786" s="1" t="s">
        <v>26</v>
      </c>
      <c r="O1786" s="1" t="s">
        <v>26</v>
      </c>
      <c r="P1786" s="4">
        <v>44935.42707175926</v>
      </c>
    </row>
    <row r="1787" hidden="1">
      <c r="A1787" s="1" t="s">
        <v>21</v>
      </c>
      <c r="B1787" s="3" t="str">
        <f>HYPERLINK("https://hawk-eye.atlassian.net/browse/HWKREPORT-1758?atlOrigin=eyJpIjoiYzgwYTQ0ZjEyNzQzNGJhN2JmNjEyZTM0NmRhZWZhNjIiLCJwIjoic2hlZXRzLWppcmEifQ","HWKREPORT-1758")</f>
        <v>HWKREPORT-1758</v>
      </c>
      <c r="C1787" s="1" t="s">
        <v>3038</v>
      </c>
      <c r="D1787" s="1" t="s">
        <v>34</v>
      </c>
      <c r="E1787" s="1" t="s">
        <v>35</v>
      </c>
      <c r="F1787" s="4">
        <v>44917.49958333333</v>
      </c>
      <c r="G1787" s="3" t="str">
        <f>HYPERLINK("https://hawk-eye.atlassian.net/browse/RTT-5692?atlOrigin=eyJpIjoiYzgwYTQ0ZjEyNzQzNGJhN2JmNjEyZTM0NmRhZWZhNjIiLCJwIjoic2hlZXRzLWppcmEifQ","RTT-5692")</f>
        <v>RTT-5692</v>
      </c>
      <c r="H1787" s="1" t="s">
        <v>1058</v>
      </c>
      <c r="I1787" s="1" t="s">
        <v>1082</v>
      </c>
      <c r="J1787" s="1" t="s">
        <v>26</v>
      </c>
      <c r="K1787" s="1" t="s">
        <v>1173</v>
      </c>
      <c r="L1787" s="1" t="s">
        <v>26</v>
      </c>
      <c r="M1787" s="1" t="s">
        <v>27</v>
      </c>
      <c r="N1787" s="1" t="s">
        <v>26</v>
      </c>
      <c r="O1787" s="1" t="s">
        <v>26</v>
      </c>
      <c r="P1787" s="4">
        <v>44929.46465277778</v>
      </c>
    </row>
    <row r="1788">
      <c r="A1788" s="1" t="s">
        <v>21</v>
      </c>
      <c r="B1788" s="3" t="str">
        <f>HYPERLINK("https://hawk-eye.atlassian.net/browse/HWKREPORT-1759?atlOrigin=eyJpIjoiYzgwYTQ0ZjEyNzQzNGJhN2JmNjEyZTM0NmRhZWZhNjIiLCJwIjoic2hlZXRzLWppcmEifQ","HWKREPORT-1759")</f>
        <v>HWKREPORT-1759</v>
      </c>
      <c r="C1788" s="1" t="s">
        <v>3039</v>
      </c>
      <c r="D1788" s="1" t="s">
        <v>34</v>
      </c>
      <c r="E1788" s="1" t="s">
        <v>35</v>
      </c>
      <c r="F1788" s="4">
        <v>44917.697847222225</v>
      </c>
      <c r="G1788" s="3" t="str">
        <f>HYPERLINK("https://hawk-eye.atlassian.net/browse/RTT-5693?atlOrigin=eyJpIjoiYzgwYTQ0ZjEyNzQzNGJhN2JmNjEyZTM0NmRhZWZhNjIiLCJwIjoic2hlZXRzLWppcmEifQ","RTT-5693")</f>
        <v>RTT-5693</v>
      </c>
      <c r="H1788" s="1" t="s">
        <v>1058</v>
      </c>
      <c r="I1788" s="1" t="s">
        <v>28</v>
      </c>
      <c r="J1788" s="1" t="s">
        <v>26</v>
      </c>
      <c r="K1788" s="1" t="s">
        <v>1072</v>
      </c>
      <c r="L1788" s="1" t="s">
        <v>26</v>
      </c>
      <c r="M1788" s="1" t="s">
        <v>27</v>
      </c>
      <c r="N1788" s="1" t="s">
        <v>26</v>
      </c>
      <c r="O1788" s="1" t="s">
        <v>26</v>
      </c>
      <c r="P1788" s="4">
        <v>45125.48337962963</v>
      </c>
    </row>
    <row r="1789" hidden="1">
      <c r="A1789" s="1" t="s">
        <v>1055</v>
      </c>
      <c r="B1789" s="3" t="str">
        <f>HYPERLINK("https://hawk-eye.atlassian.net/browse/HWKREPORT-1760?atlOrigin=eyJpIjoiYzgwYTQ0ZjEyNzQzNGJhN2JmNjEyZTM0NmRhZWZhNjIiLCJwIjoic2hlZXRzLWppcmEifQ","HWKREPORT-1760")</f>
        <v>HWKREPORT-1760</v>
      </c>
      <c r="C1789" s="1" t="s">
        <v>3040</v>
      </c>
      <c r="D1789" s="1" t="s">
        <v>48</v>
      </c>
      <c r="E1789" s="1" t="s">
        <v>35</v>
      </c>
      <c r="F1789" s="4">
        <v>44917.720405092594</v>
      </c>
      <c r="G1789" s="3" t="str">
        <f>HYPERLINK("https://hawk-eye.atlassian.net/browse/AL-639?atlOrigin=eyJpIjoiYzgwYTQ0ZjEyNzQzNGJhN2JmNjEyZTM0NmRhZWZhNjIiLCJwIjoic2hlZXRzLWppcmEifQ","AL-639")</f>
        <v>AL-639</v>
      </c>
      <c r="H1789" s="1" t="s">
        <v>1058</v>
      </c>
      <c r="I1789" s="1" t="s">
        <v>28</v>
      </c>
      <c r="J1789" s="1" t="s">
        <v>26</v>
      </c>
      <c r="K1789" s="1" t="s">
        <v>1717</v>
      </c>
      <c r="L1789" s="1" t="s">
        <v>26</v>
      </c>
      <c r="M1789" s="1" t="s">
        <v>27</v>
      </c>
      <c r="N1789" s="1" t="s">
        <v>26</v>
      </c>
      <c r="O1789" s="1" t="s">
        <v>26</v>
      </c>
      <c r="P1789" s="4">
        <v>45085.654652777775</v>
      </c>
    </row>
    <row r="1790" hidden="1">
      <c r="A1790" s="1" t="s">
        <v>21</v>
      </c>
      <c r="B1790" s="3" t="str">
        <f>HYPERLINK("https://hawk-eye.atlassian.net/browse/HWKREPORT-1761?atlOrigin=eyJpIjoiYzgwYTQ0ZjEyNzQzNGJhN2JmNjEyZTM0NmRhZWZhNjIiLCJwIjoic2hlZXRzLWppcmEifQ","HWKREPORT-1761")</f>
        <v>HWKREPORT-1761</v>
      </c>
      <c r="C1790" s="1" t="s">
        <v>3041</v>
      </c>
      <c r="D1790" s="1" t="s">
        <v>23</v>
      </c>
      <c r="E1790" s="1" t="s">
        <v>35</v>
      </c>
      <c r="F1790" s="4">
        <v>44928.87878472222</v>
      </c>
      <c r="G1790" s="3" t="str">
        <f>HYPERLINK("https://hawk-eye.atlassian.net/browse/RTT-5696?atlOrigin=eyJpIjoiYzgwYTQ0ZjEyNzQzNGJhN2JmNjEyZTM0NmRhZWZhNjIiLCJwIjoic2hlZXRzLWppcmEifQ","RTT-5696")</f>
        <v>RTT-5696</v>
      </c>
      <c r="H1790" s="1" t="s">
        <v>1058</v>
      </c>
      <c r="I1790" s="1" t="s">
        <v>1071</v>
      </c>
      <c r="J1790" s="1" t="s">
        <v>26</v>
      </c>
      <c r="K1790" s="1" t="s">
        <v>1309</v>
      </c>
      <c r="L1790" s="1" t="s">
        <v>26</v>
      </c>
      <c r="M1790" s="1" t="s">
        <v>27</v>
      </c>
      <c r="N1790" s="1" t="s">
        <v>26</v>
      </c>
      <c r="O1790" s="1" t="s">
        <v>26</v>
      </c>
      <c r="P1790" s="4">
        <v>44966.69594907408</v>
      </c>
    </row>
    <row r="1791" hidden="1">
      <c r="A1791" s="1" t="s">
        <v>21</v>
      </c>
      <c r="B1791" s="3" t="str">
        <f>HYPERLINK("https://hawk-eye.atlassian.net/browse/HWKREPORT-1762?atlOrigin=eyJpIjoiYzgwYTQ0ZjEyNzQzNGJhN2JmNjEyZTM0NmRhZWZhNjIiLCJwIjoic2hlZXRzLWppcmEifQ","HWKREPORT-1762")</f>
        <v>HWKREPORT-1762</v>
      </c>
      <c r="C1791" s="1" t="s">
        <v>3042</v>
      </c>
      <c r="D1791" s="1" t="s">
        <v>34</v>
      </c>
      <c r="E1791" s="1" t="s">
        <v>1057</v>
      </c>
      <c r="F1791" s="4">
        <v>44929.17616898148</v>
      </c>
      <c r="G1791" s="3" t="str">
        <f>HYPERLINK("https://hawk-eye.atlassian.net/browse/?atlOrigin=eyJpIjoiYzgwYTQ0ZjEyNzQzNGJhN2JmNjEyZTM0NmRhZWZhNjIiLCJwIjoic2hlZXRzLWppcmEifQ","")</f>
        <v/>
      </c>
      <c r="H1791" s="1" t="s">
        <v>1058</v>
      </c>
      <c r="I1791" s="1" t="s">
        <v>1071</v>
      </c>
      <c r="J1791" s="1" t="s">
        <v>26</v>
      </c>
      <c r="K1791" s="1" t="s">
        <v>1130</v>
      </c>
      <c r="L1791" s="1" t="s">
        <v>26</v>
      </c>
      <c r="M1791" s="1" t="s">
        <v>27</v>
      </c>
      <c r="N1791" s="1" t="s">
        <v>26</v>
      </c>
      <c r="O1791" s="1" t="s">
        <v>26</v>
      </c>
      <c r="P1791" s="4">
        <v>44929.17616898148</v>
      </c>
    </row>
    <row r="1792" hidden="1">
      <c r="A1792" s="1" t="s">
        <v>21</v>
      </c>
      <c r="B1792" s="3" t="str">
        <f>HYPERLINK("https://hawk-eye.atlassian.net/browse/HWKREPORT-1763?atlOrigin=eyJpIjoiYzgwYTQ0ZjEyNzQzNGJhN2JmNjEyZTM0NmRhZWZhNjIiLCJwIjoic2hlZXRzLWppcmEifQ","HWKREPORT-1763")</f>
        <v>HWKREPORT-1763</v>
      </c>
      <c r="C1792" s="1" t="s">
        <v>3043</v>
      </c>
      <c r="D1792" s="1" t="s">
        <v>34</v>
      </c>
      <c r="E1792" s="1" t="s">
        <v>35</v>
      </c>
      <c r="F1792" s="4">
        <v>44931.65792824074</v>
      </c>
      <c r="G1792" s="3" t="str">
        <f>HYPERLINK("https://hawk-eye.atlassian.net/browse/AL-647?atlOrigin=eyJpIjoiYzgwYTQ0ZjEyNzQzNGJhN2JmNjEyZTM0NmRhZWZhNjIiLCJwIjoic2hlZXRzLWppcmEifQ","AL-647")</f>
        <v>AL-647</v>
      </c>
      <c r="H1792" s="1" t="s">
        <v>1058</v>
      </c>
      <c r="I1792" s="1" t="s">
        <v>1071</v>
      </c>
      <c r="J1792" s="1" t="s">
        <v>26</v>
      </c>
      <c r="K1792" s="1" t="s">
        <v>1276</v>
      </c>
      <c r="L1792" s="1" t="s">
        <v>26</v>
      </c>
      <c r="M1792" s="1" t="s">
        <v>27</v>
      </c>
      <c r="N1792" s="1" t="s">
        <v>26</v>
      </c>
      <c r="O1792" s="1" t="s">
        <v>26</v>
      </c>
      <c r="P1792" s="4">
        <v>44992.58710648148</v>
      </c>
    </row>
    <row r="1793" hidden="1">
      <c r="A1793" s="1" t="s">
        <v>21</v>
      </c>
      <c r="B1793" s="3" t="str">
        <f>HYPERLINK("https://hawk-eye.atlassian.net/browse/HWKREPORT-1764?atlOrigin=eyJpIjoiYzgwYTQ0ZjEyNzQzNGJhN2JmNjEyZTM0NmRhZWZhNjIiLCJwIjoic2hlZXRzLWppcmEifQ","HWKREPORT-1764")</f>
        <v>HWKREPORT-1764</v>
      </c>
      <c r="C1793" s="1" t="s">
        <v>3044</v>
      </c>
      <c r="D1793" s="1" t="s">
        <v>23</v>
      </c>
      <c r="E1793" s="1" t="s">
        <v>35</v>
      </c>
      <c r="F1793" s="4">
        <v>44931.82412037037</v>
      </c>
      <c r="G1793" s="3" t="str">
        <f>HYPERLINK("https://hawk-eye.atlassian.net/browse/RTT-5704?atlOrigin=eyJpIjoiYzgwYTQ0ZjEyNzQzNGJhN2JmNjEyZTM0NmRhZWZhNjIiLCJwIjoic2hlZXRzLWppcmEifQ","RTT-5704")</f>
        <v>RTT-5704</v>
      </c>
      <c r="H1793" s="1" t="s">
        <v>1058</v>
      </c>
      <c r="I1793" s="1" t="s">
        <v>1071</v>
      </c>
      <c r="J1793" s="1" t="s">
        <v>26</v>
      </c>
      <c r="K1793" s="1" t="s">
        <v>1312</v>
      </c>
      <c r="L1793" s="1" t="s">
        <v>26</v>
      </c>
      <c r="M1793" s="1" t="s">
        <v>27</v>
      </c>
      <c r="N1793" s="1" t="s">
        <v>26</v>
      </c>
      <c r="O1793" s="1" t="s">
        <v>26</v>
      </c>
      <c r="P1793" s="4">
        <v>45709.646689814814</v>
      </c>
    </row>
    <row r="1794" hidden="1">
      <c r="A1794" s="1" t="s">
        <v>21</v>
      </c>
      <c r="B1794" s="3" t="str">
        <f>HYPERLINK("https://hawk-eye.atlassian.net/browse/HWKREPORT-1765?atlOrigin=eyJpIjoiYzgwYTQ0ZjEyNzQzNGJhN2JmNjEyZTM0NmRhZWZhNjIiLCJwIjoic2hlZXRzLWppcmEifQ","HWKREPORT-1765")</f>
        <v>HWKREPORT-1765</v>
      </c>
      <c r="C1794" s="1" t="s">
        <v>3045</v>
      </c>
      <c r="D1794" s="1" t="s">
        <v>23</v>
      </c>
      <c r="E1794" s="1" t="s">
        <v>35</v>
      </c>
      <c r="F1794" s="4">
        <v>44931.90010416666</v>
      </c>
      <c r="G1794" s="3" t="str">
        <f>HYPERLINK("https://hawk-eye.atlassian.net/browse/RTT-5701?atlOrigin=eyJpIjoiYzgwYTQ0ZjEyNzQzNGJhN2JmNjEyZTM0NmRhZWZhNjIiLCJwIjoic2hlZXRzLWppcmEifQ","RTT-5701")</f>
        <v>RTT-5701</v>
      </c>
      <c r="H1794" s="1" t="s">
        <v>1058</v>
      </c>
      <c r="I1794" s="1" t="s">
        <v>1059</v>
      </c>
      <c r="J1794" s="1" t="s">
        <v>26</v>
      </c>
      <c r="K1794" s="1" t="s">
        <v>1072</v>
      </c>
      <c r="L1794" s="1" t="s">
        <v>26</v>
      </c>
      <c r="M1794" s="1" t="s">
        <v>27</v>
      </c>
      <c r="N1794" s="1" t="s">
        <v>26</v>
      </c>
      <c r="O1794" s="1" t="s">
        <v>26</v>
      </c>
      <c r="P1794" s="4">
        <v>45391.38247685185</v>
      </c>
    </row>
    <row r="1795" hidden="1">
      <c r="A1795" s="1" t="s">
        <v>21</v>
      </c>
      <c r="B1795" s="3" t="str">
        <f>HYPERLINK("https://hawk-eye.atlassian.net/browse/HWKREPORT-1766?atlOrigin=eyJpIjoiYzgwYTQ0ZjEyNzQzNGJhN2JmNjEyZTM0NmRhZWZhNjIiLCJwIjoic2hlZXRzLWppcmEifQ","HWKREPORT-1766")</f>
        <v>HWKREPORT-1766</v>
      </c>
      <c r="C1795" s="1" t="s">
        <v>3046</v>
      </c>
      <c r="D1795" s="1" t="s">
        <v>83</v>
      </c>
      <c r="E1795" s="1" t="s">
        <v>35</v>
      </c>
      <c r="F1795" s="4">
        <v>44932.41695601852</v>
      </c>
      <c r="G1795" s="3" t="str">
        <f>HYPERLINK("https://hawk-eye.atlassian.net/browse/CORE-198?atlOrigin=eyJpIjoiYzgwYTQ0ZjEyNzQzNGJhN2JmNjEyZTM0NmRhZWZhNjIiLCJwIjoic2hlZXRzLWppcmEifQ","CORE-198")</f>
        <v>CORE-198</v>
      </c>
      <c r="H1795" s="1" t="s">
        <v>1058</v>
      </c>
      <c r="I1795" s="1" t="s">
        <v>1085</v>
      </c>
      <c r="J1795" s="1" t="s">
        <v>26</v>
      </c>
      <c r="K1795" s="1" t="s">
        <v>1134</v>
      </c>
      <c r="L1795" s="1" t="s">
        <v>26</v>
      </c>
      <c r="M1795" s="1" t="s">
        <v>27</v>
      </c>
      <c r="N1795" s="1" t="s">
        <v>26</v>
      </c>
      <c r="O1795" s="1" t="s">
        <v>26</v>
      </c>
      <c r="P1795" s="4">
        <v>44950.481886574074</v>
      </c>
    </row>
    <row r="1796" hidden="1">
      <c r="A1796" s="1" t="s">
        <v>21</v>
      </c>
      <c r="B1796" s="3" t="str">
        <f>HYPERLINK("https://hawk-eye.atlassian.net/browse/HWKREPORT-1767?atlOrigin=eyJpIjoiYzgwYTQ0ZjEyNzQzNGJhN2JmNjEyZTM0NmRhZWZhNjIiLCJwIjoic2hlZXRzLWppcmEifQ","HWKREPORT-1767")</f>
        <v>HWKREPORT-1767</v>
      </c>
      <c r="C1796" s="1" t="s">
        <v>3047</v>
      </c>
      <c r="D1796" s="1" t="s">
        <v>23</v>
      </c>
      <c r="E1796" s="1" t="s">
        <v>35</v>
      </c>
      <c r="F1796" s="4">
        <v>44935.51163194444</v>
      </c>
      <c r="G1796" s="3" t="str">
        <f>HYPERLINK("https://hawk-eye.atlassian.net/browse/?atlOrigin=eyJpIjoiYzgwYTQ0ZjEyNzQzNGJhN2JmNjEyZTM0NmRhZWZhNjIiLCJwIjoic2hlZXRzLWppcmEifQ","")</f>
        <v/>
      </c>
      <c r="H1796" s="1" t="s">
        <v>1058</v>
      </c>
      <c r="I1796" s="1" t="s">
        <v>1085</v>
      </c>
      <c r="J1796" s="1" t="s">
        <v>26</v>
      </c>
      <c r="K1796" s="1" t="s">
        <v>1157</v>
      </c>
      <c r="L1796" s="1" t="s">
        <v>26</v>
      </c>
      <c r="M1796" s="1" t="s">
        <v>27</v>
      </c>
      <c r="N1796" s="1" t="s">
        <v>26</v>
      </c>
      <c r="O1796" s="1" t="s">
        <v>26</v>
      </c>
      <c r="P1796" s="4">
        <v>45770.481527777774</v>
      </c>
    </row>
    <row r="1797" hidden="1">
      <c r="A1797" s="1" t="s">
        <v>21</v>
      </c>
      <c r="B1797" s="3" t="str">
        <f>HYPERLINK("https://hawk-eye.atlassian.net/browse/HWKREPORT-1768?atlOrigin=eyJpIjoiYzgwYTQ0ZjEyNzQzNGJhN2JmNjEyZTM0NmRhZWZhNjIiLCJwIjoic2hlZXRzLWppcmEifQ","HWKREPORT-1768")</f>
        <v>HWKREPORT-1768</v>
      </c>
      <c r="C1797" s="1" t="s">
        <v>3048</v>
      </c>
      <c r="D1797" s="1" t="s">
        <v>23</v>
      </c>
      <c r="E1797" s="1" t="s">
        <v>35</v>
      </c>
      <c r="F1797" s="4">
        <v>44935.75059027778</v>
      </c>
      <c r="G1797" s="3" t="str">
        <f>HYPERLINK("https://hawk-eye.atlassian.net/issues/?atlOrigin=eyJpIjoiYzgwYTQ0ZjEyNzQzNGJhN2JmNjEyZTM0NmRhZWZhNjIiLCJwIjoic2hlZXRzLWppcmEifQ&amp;jql=key+in+%28HWKREPORT-1773%2CHWKREPORT-1807%29","HWKREPORT-1773;HWKREPORT-1807")</f>
        <v>HWKREPORT-1773;HWKREPORT-1807</v>
      </c>
      <c r="H1797" s="1" t="s">
        <v>1058</v>
      </c>
      <c r="I1797" s="1" t="s">
        <v>1085</v>
      </c>
      <c r="J1797" s="1" t="s">
        <v>26</v>
      </c>
      <c r="K1797" s="1" t="s">
        <v>1157</v>
      </c>
      <c r="L1797" s="1" t="s">
        <v>26</v>
      </c>
      <c r="M1797" s="1" t="s">
        <v>27</v>
      </c>
      <c r="N1797" s="1" t="s">
        <v>26</v>
      </c>
      <c r="O1797" s="1" t="s">
        <v>26</v>
      </c>
      <c r="P1797" s="4">
        <v>45770.481527777774</v>
      </c>
    </row>
    <row r="1798" hidden="1">
      <c r="A1798" s="1" t="s">
        <v>21</v>
      </c>
      <c r="B1798" s="3" t="str">
        <f>HYPERLINK("https://hawk-eye.atlassian.net/browse/HWKREPORT-1769?atlOrigin=eyJpIjoiYzgwYTQ0ZjEyNzQzNGJhN2JmNjEyZTM0NmRhZWZhNjIiLCJwIjoic2hlZXRzLWppcmEifQ","HWKREPORT-1769")</f>
        <v>HWKREPORT-1769</v>
      </c>
      <c r="C1798" s="1" t="s">
        <v>3049</v>
      </c>
      <c r="D1798" s="1" t="s">
        <v>34</v>
      </c>
      <c r="E1798" s="1" t="s">
        <v>35</v>
      </c>
      <c r="F1798" s="4">
        <v>44936.487349537034</v>
      </c>
      <c r="G1798" s="3" t="str">
        <f>HYPERLINK("https://hawk-eye.atlassian.net/browse/?atlOrigin=eyJpIjoiYzgwYTQ0ZjEyNzQzNGJhN2JmNjEyZTM0NmRhZWZhNjIiLCJwIjoic2hlZXRzLWppcmEifQ","")</f>
        <v/>
      </c>
      <c r="H1798" s="1" t="s">
        <v>1058</v>
      </c>
      <c r="I1798" s="1" t="s">
        <v>3050</v>
      </c>
      <c r="J1798" s="1" t="s">
        <v>26</v>
      </c>
      <c r="K1798" s="1" t="s">
        <v>1372</v>
      </c>
      <c r="L1798" s="1" t="s">
        <v>26</v>
      </c>
      <c r="M1798" s="1" t="s">
        <v>27</v>
      </c>
      <c r="N1798" s="1" t="s">
        <v>26</v>
      </c>
      <c r="O1798" s="1" t="s">
        <v>26</v>
      </c>
      <c r="P1798" s="4">
        <v>45216.38795138889</v>
      </c>
    </row>
    <row r="1799" hidden="1">
      <c r="A1799" s="1" t="s">
        <v>1055</v>
      </c>
      <c r="B1799" s="3" t="str">
        <f>HYPERLINK("https://hawk-eye.atlassian.net/browse/HWKREPORT-1771?atlOrigin=eyJpIjoiYzgwYTQ0ZjEyNzQzNGJhN2JmNjEyZTM0NmRhZWZhNjIiLCJwIjoic2hlZXRzLWppcmEifQ","HWKREPORT-1771")</f>
        <v>HWKREPORT-1771</v>
      </c>
      <c r="C1799" s="1" t="s">
        <v>3051</v>
      </c>
      <c r="D1799" s="1" t="s">
        <v>48</v>
      </c>
      <c r="E1799" s="1" t="s">
        <v>35</v>
      </c>
      <c r="F1799" s="4">
        <v>44936.65278935185</v>
      </c>
      <c r="G1799" s="3" t="str">
        <f>HYPERLINK("https://hawk-eye.atlassian.net/browse/RTT-5731?atlOrigin=eyJpIjoiYzgwYTQ0ZjEyNzQzNGJhN2JmNjEyZTM0NmRhZWZhNjIiLCJwIjoic2hlZXRzLWppcmEifQ","RTT-5731")</f>
        <v>RTT-5731</v>
      </c>
      <c r="H1799" s="1" t="s">
        <v>1058</v>
      </c>
      <c r="I1799" s="1" t="s">
        <v>28</v>
      </c>
      <c r="J1799" s="1" t="s">
        <v>26</v>
      </c>
      <c r="K1799" s="1" t="s">
        <v>1072</v>
      </c>
      <c r="L1799" s="1" t="s">
        <v>26</v>
      </c>
      <c r="M1799" s="1" t="s">
        <v>27</v>
      </c>
      <c r="N1799" s="1" t="s">
        <v>26</v>
      </c>
      <c r="O1799" s="1" t="s">
        <v>26</v>
      </c>
      <c r="P1799" s="4">
        <v>44988.496724537035</v>
      </c>
    </row>
    <row r="1800" hidden="1">
      <c r="A1800" s="1" t="s">
        <v>1055</v>
      </c>
      <c r="B1800" s="3" t="str">
        <f>HYPERLINK("https://hawk-eye.atlassian.net/browse/HWKREPORT-1772?atlOrigin=eyJpIjoiYzgwYTQ0ZjEyNzQzNGJhN2JmNjEyZTM0NmRhZWZhNjIiLCJwIjoic2hlZXRzLWppcmEifQ","HWKREPORT-1772")</f>
        <v>HWKREPORT-1772</v>
      </c>
      <c r="C1800" s="1" t="s">
        <v>3052</v>
      </c>
      <c r="D1800" s="1" t="s">
        <v>48</v>
      </c>
      <c r="E1800" s="1" t="s">
        <v>35</v>
      </c>
      <c r="F1800" s="4">
        <v>44936.72325231481</v>
      </c>
      <c r="G1800" s="3" t="str">
        <f>HYPERLINK("https://hawk-eye.atlassian.net/browse/RTT-5759?atlOrigin=eyJpIjoiYzgwYTQ0ZjEyNzQzNGJhN2JmNjEyZTM0NmRhZWZhNjIiLCJwIjoic2hlZXRzLWppcmEifQ","RTT-5759")</f>
        <v>RTT-5759</v>
      </c>
      <c r="H1800" s="1" t="s">
        <v>1058</v>
      </c>
      <c r="I1800" s="1" t="s">
        <v>28</v>
      </c>
      <c r="J1800" s="1" t="s">
        <v>26</v>
      </c>
      <c r="K1800" s="1" t="s">
        <v>1072</v>
      </c>
      <c r="L1800" s="1" t="s">
        <v>26</v>
      </c>
      <c r="M1800" s="1" t="s">
        <v>27</v>
      </c>
      <c r="N1800" s="1" t="s">
        <v>26</v>
      </c>
      <c r="O1800" s="1" t="s">
        <v>26</v>
      </c>
      <c r="P1800" s="4">
        <v>44994.74013888889</v>
      </c>
    </row>
    <row r="1801" hidden="1">
      <c r="A1801" s="1" t="s">
        <v>21</v>
      </c>
      <c r="B1801" s="3" t="str">
        <f>HYPERLINK("https://hawk-eye.atlassian.net/browse/HWKREPORT-1773?atlOrigin=eyJpIjoiYzgwYTQ0ZjEyNzQzNGJhN2JmNjEyZTM0NmRhZWZhNjIiLCJwIjoic2hlZXRzLWppcmEifQ","HWKREPORT-1773")</f>
        <v>HWKREPORT-1773</v>
      </c>
      <c r="C1801" s="1" t="s">
        <v>3053</v>
      </c>
      <c r="D1801" s="1" t="s">
        <v>23</v>
      </c>
      <c r="E1801" s="1" t="s">
        <v>35</v>
      </c>
      <c r="F1801" s="4">
        <v>44936.72429398148</v>
      </c>
      <c r="G1801" s="3" t="str">
        <f>HYPERLINK("https://hawk-eye.atlassian.net/issues/?atlOrigin=eyJpIjoiYzgwYTQ0ZjEyNzQzNGJhN2JmNjEyZTM0NmRhZWZhNjIiLCJwIjoic2hlZXRzLWppcmEifQ&amp;jql=key+in+%28HWKREPORT-1768%2CHWKREPORT-1774%2CHWKREPORT-1776%2CHWKREPORT-1777%29","HWKREPORT-1768;HWKREPORT-1774;HWKREPORT-1776;HWKREPORT-1777")</f>
        <v>HWKREPORT-1768;HWKREPORT-1774;HWKREPORT-1776;HWKREPORT-1777</v>
      </c>
      <c r="H1801" s="1" t="s">
        <v>1058</v>
      </c>
      <c r="I1801" s="1" t="s">
        <v>1085</v>
      </c>
      <c r="J1801" s="1" t="s">
        <v>26</v>
      </c>
      <c r="K1801" s="1" t="s">
        <v>1157</v>
      </c>
      <c r="L1801" s="1" t="s">
        <v>26</v>
      </c>
      <c r="M1801" s="1" t="s">
        <v>27</v>
      </c>
      <c r="N1801" s="1" t="s">
        <v>26</v>
      </c>
      <c r="O1801" s="1" t="s">
        <v>26</v>
      </c>
      <c r="P1801" s="4">
        <v>45770.48155092593</v>
      </c>
    </row>
    <row r="1802" hidden="1">
      <c r="A1802" s="1" t="s">
        <v>21</v>
      </c>
      <c r="B1802" s="3" t="str">
        <f>HYPERLINK("https://hawk-eye.atlassian.net/browse/HWKREPORT-1567?atlOrigin=eyJpIjoiYzgwYTQ0ZjEyNzQzNGJhN2JmNjEyZTM0NmRhZWZhNjIiLCJwIjoic2hlZXRzLWppcmEifQ","HWKREPORT-1567")</f>
        <v>HWKREPORT-1567</v>
      </c>
      <c r="C1802" s="1" t="s">
        <v>3054</v>
      </c>
      <c r="D1802" s="1" t="s">
        <v>34</v>
      </c>
      <c r="E1802" s="1" t="s">
        <v>1057</v>
      </c>
      <c r="F1802" s="4">
        <v>44837.64534722222</v>
      </c>
      <c r="G1802" s="3" t="str">
        <f>HYPERLINK("https://hawk-eye.atlassian.net/browse/GT-638?atlOrigin=eyJpIjoiYzgwYTQ0ZjEyNzQzNGJhN2JmNjEyZTM0NmRhZWZhNjIiLCJwIjoic2hlZXRzLWppcmEifQ","GT-638")</f>
        <v>GT-638</v>
      </c>
      <c r="H1802" s="1" t="s">
        <v>1058</v>
      </c>
      <c r="I1802" s="1" t="s">
        <v>1085</v>
      </c>
      <c r="J1802" s="1" t="s">
        <v>26</v>
      </c>
      <c r="K1802" s="1" t="s">
        <v>1114</v>
      </c>
      <c r="L1802" s="1" t="s">
        <v>26</v>
      </c>
      <c r="M1802" s="1" t="s">
        <v>27</v>
      </c>
      <c r="N1802" s="1" t="s">
        <v>26</v>
      </c>
      <c r="O1802" s="1" t="s">
        <v>26</v>
      </c>
      <c r="P1802" s="4">
        <v>44837.64534722222</v>
      </c>
    </row>
    <row r="1803" hidden="1">
      <c r="A1803" s="1" t="s">
        <v>21</v>
      </c>
      <c r="B1803" s="3" t="str">
        <f>HYPERLINK("https://hawk-eye.atlassian.net/browse/HWKREPORT-1568?atlOrigin=eyJpIjoiYzgwYTQ0ZjEyNzQzNGJhN2JmNjEyZTM0NmRhZWZhNjIiLCJwIjoic2hlZXRzLWppcmEifQ","HWKREPORT-1568")</f>
        <v>HWKREPORT-1568</v>
      </c>
      <c r="C1803" s="1" t="s">
        <v>3055</v>
      </c>
      <c r="D1803" s="1" t="s">
        <v>23</v>
      </c>
      <c r="E1803" s="1" t="s">
        <v>35</v>
      </c>
      <c r="F1803" s="4">
        <v>44837.647881944446</v>
      </c>
      <c r="G1803" s="3" t="str">
        <f>HYPERLINK("https://hawk-eye.atlassian.net/browse/GT-639?atlOrigin=eyJpIjoiYzgwYTQ0ZjEyNzQzNGJhN2JmNjEyZTM0NmRhZWZhNjIiLCJwIjoic2hlZXRzLWppcmEifQ","GT-639")</f>
        <v>GT-639</v>
      </c>
      <c r="H1803" s="1" t="s">
        <v>1058</v>
      </c>
      <c r="I1803" s="1" t="s">
        <v>1085</v>
      </c>
      <c r="J1803" s="1" t="s">
        <v>26</v>
      </c>
      <c r="K1803" s="1" t="s">
        <v>1114</v>
      </c>
      <c r="L1803" s="1" t="s">
        <v>26</v>
      </c>
      <c r="M1803" s="1" t="s">
        <v>27</v>
      </c>
      <c r="N1803" s="1" t="s">
        <v>26</v>
      </c>
      <c r="O1803" s="1" t="s">
        <v>26</v>
      </c>
      <c r="P1803" s="4">
        <v>45337.733125</v>
      </c>
    </row>
    <row r="1804" hidden="1">
      <c r="A1804" s="1" t="s">
        <v>1055</v>
      </c>
      <c r="B1804" s="3" t="str">
        <f>HYPERLINK("https://hawk-eye.atlassian.net/browse/HWKREPORT-1569?atlOrigin=eyJpIjoiYzgwYTQ0ZjEyNzQzNGJhN2JmNjEyZTM0NmRhZWZhNjIiLCJwIjoic2hlZXRzLWppcmEifQ","HWKREPORT-1569")</f>
        <v>HWKREPORT-1569</v>
      </c>
      <c r="C1804" s="1" t="s">
        <v>3056</v>
      </c>
      <c r="D1804" s="1" t="s">
        <v>23</v>
      </c>
      <c r="E1804" s="1" t="s">
        <v>35</v>
      </c>
      <c r="F1804" s="4">
        <v>44837.64878472222</v>
      </c>
      <c r="G1804" s="3" t="str">
        <f>HYPERLINK("https://hawk-eye.atlassian.net/browse/GT-640?atlOrigin=eyJpIjoiYzgwYTQ0ZjEyNzQzNGJhN2JmNjEyZTM0NmRhZWZhNjIiLCJwIjoic2hlZXRzLWppcmEifQ","GT-640")</f>
        <v>GT-640</v>
      </c>
      <c r="H1804" s="1" t="s">
        <v>1058</v>
      </c>
      <c r="I1804" s="1" t="s">
        <v>1085</v>
      </c>
      <c r="J1804" s="1" t="s">
        <v>26</v>
      </c>
      <c r="K1804" s="1" t="s">
        <v>1114</v>
      </c>
      <c r="L1804" s="1" t="s">
        <v>26</v>
      </c>
      <c r="M1804" s="1" t="s">
        <v>27</v>
      </c>
      <c r="N1804" s="1" t="s">
        <v>26</v>
      </c>
      <c r="O1804" s="1" t="s">
        <v>26</v>
      </c>
      <c r="P1804" s="4">
        <v>45169.50572916667</v>
      </c>
    </row>
    <row r="1805" hidden="1">
      <c r="A1805" s="1" t="s">
        <v>21</v>
      </c>
      <c r="B1805" s="3" t="str">
        <f>HYPERLINK("https://hawk-eye.atlassian.net/browse/HWKREPORT-1570?atlOrigin=eyJpIjoiYzgwYTQ0ZjEyNzQzNGJhN2JmNjEyZTM0NmRhZWZhNjIiLCJwIjoic2hlZXRzLWppcmEifQ","HWKREPORT-1570")</f>
        <v>HWKREPORT-1570</v>
      </c>
      <c r="C1805" s="1" t="s">
        <v>3057</v>
      </c>
      <c r="D1805" s="1" t="s">
        <v>34</v>
      </c>
      <c r="E1805" s="1" t="s">
        <v>35</v>
      </c>
      <c r="F1805" s="4">
        <v>44837.673055555555</v>
      </c>
      <c r="G1805" s="3" t="str">
        <f>HYPERLINK("https://hawk-eye.atlassian.net/browse/GFXPAKS-388?atlOrigin=eyJpIjoiYzgwYTQ0ZjEyNzQzNGJhN2JmNjEyZTM0NmRhZWZhNjIiLCJwIjoic2hlZXRzLWppcmEifQ","GFXPAKS-388")</f>
        <v>GFXPAKS-388</v>
      </c>
      <c r="H1805" s="1" t="s">
        <v>1058</v>
      </c>
      <c r="I1805" s="1" t="s">
        <v>1126</v>
      </c>
      <c r="J1805" s="1" t="s">
        <v>26</v>
      </c>
      <c r="K1805" s="1" t="s">
        <v>3058</v>
      </c>
      <c r="L1805" s="1" t="s">
        <v>26</v>
      </c>
      <c r="M1805" s="1" t="s">
        <v>27</v>
      </c>
      <c r="N1805" s="1" t="s">
        <v>26</v>
      </c>
      <c r="O1805" s="1" t="s">
        <v>26</v>
      </c>
      <c r="P1805" s="4">
        <v>44862.5931712963</v>
      </c>
    </row>
    <row r="1806" hidden="1">
      <c r="A1806" s="1" t="s">
        <v>1055</v>
      </c>
      <c r="B1806" s="3" t="str">
        <f>HYPERLINK("https://hawk-eye.atlassian.net/browse/HWKREPORT-1571?atlOrigin=eyJpIjoiYzgwYTQ0ZjEyNzQzNGJhN2JmNjEyZTM0NmRhZWZhNjIiLCJwIjoic2hlZXRzLWppcmEifQ","HWKREPORT-1571")</f>
        <v>HWKREPORT-1571</v>
      </c>
      <c r="C1806" s="1" t="s">
        <v>3059</v>
      </c>
      <c r="D1806" s="1" t="s">
        <v>23</v>
      </c>
      <c r="E1806" s="1" t="s">
        <v>1207</v>
      </c>
      <c r="F1806" s="4">
        <v>44837.80207175926</v>
      </c>
      <c r="G1806" s="3" t="str">
        <f>HYPERLINK("https://hawk-eye.atlassian.net/browse/RTT-5377?atlOrigin=eyJpIjoiYzgwYTQ0ZjEyNzQzNGJhN2JmNjEyZTM0NmRhZWZhNjIiLCJwIjoic2hlZXRzLWppcmEifQ","RTT-5377")</f>
        <v>RTT-5377</v>
      </c>
      <c r="H1806" s="1" t="s">
        <v>1058</v>
      </c>
      <c r="I1806" s="1" t="s">
        <v>1151</v>
      </c>
      <c r="J1806" s="1" t="s">
        <v>26</v>
      </c>
      <c r="K1806" s="1" t="s">
        <v>1072</v>
      </c>
      <c r="L1806" s="1" t="s">
        <v>26</v>
      </c>
      <c r="M1806" s="1" t="s">
        <v>27</v>
      </c>
      <c r="N1806" s="1" t="s">
        <v>26</v>
      </c>
      <c r="O1806" s="1" t="s">
        <v>26</v>
      </c>
      <c r="P1806" s="4">
        <v>44929.4184837963</v>
      </c>
    </row>
    <row r="1807" hidden="1">
      <c r="A1807" s="1" t="s">
        <v>21</v>
      </c>
      <c r="B1807" s="3" t="str">
        <f>HYPERLINK("https://hawk-eye.atlassian.net/browse/HWKREPORT-1572?atlOrigin=eyJpIjoiYzgwYTQ0ZjEyNzQzNGJhN2JmNjEyZTM0NmRhZWZhNjIiLCJwIjoic2hlZXRzLWppcmEifQ","HWKREPORT-1572")</f>
        <v>HWKREPORT-1572</v>
      </c>
      <c r="C1807" s="1" t="s">
        <v>3060</v>
      </c>
      <c r="D1807" s="1" t="s">
        <v>23</v>
      </c>
      <c r="E1807" s="1" t="s">
        <v>1207</v>
      </c>
      <c r="F1807" s="4">
        <v>44837.80704861111</v>
      </c>
      <c r="G1807" s="3" t="str">
        <f>HYPERLINK("https://hawk-eye.atlassian.net/browse/RTT-5367?atlOrigin=eyJpIjoiYzgwYTQ0ZjEyNzQzNGJhN2JmNjEyZTM0NmRhZWZhNjIiLCJwIjoic2hlZXRzLWppcmEifQ","RTT-5367")</f>
        <v>RTT-5367</v>
      </c>
      <c r="H1807" s="1" t="s">
        <v>1058</v>
      </c>
      <c r="I1807" s="1" t="s">
        <v>1085</v>
      </c>
      <c r="J1807" s="1" t="s">
        <v>26</v>
      </c>
      <c r="K1807" s="1" t="s">
        <v>1072</v>
      </c>
      <c r="L1807" s="1" t="s">
        <v>26</v>
      </c>
      <c r="M1807" s="1" t="s">
        <v>27</v>
      </c>
      <c r="N1807" s="1" t="s">
        <v>26</v>
      </c>
      <c r="O1807" s="1" t="s">
        <v>26</v>
      </c>
      <c r="P1807" s="4">
        <v>44929.4184837963</v>
      </c>
    </row>
    <row r="1808" hidden="1">
      <c r="A1808" s="1" t="s">
        <v>1055</v>
      </c>
      <c r="B1808" s="3" t="str">
        <f>HYPERLINK("https://hawk-eye.atlassian.net/browse/HWKREPORT-1573?atlOrigin=eyJpIjoiYzgwYTQ0ZjEyNzQzNGJhN2JmNjEyZTM0NmRhZWZhNjIiLCJwIjoic2hlZXRzLWppcmEifQ","HWKREPORT-1573")</f>
        <v>HWKREPORT-1573</v>
      </c>
      <c r="C1808" s="1" t="s">
        <v>3061</v>
      </c>
      <c r="D1808" s="1" t="s">
        <v>23</v>
      </c>
      <c r="E1808" s="1" t="s">
        <v>1207</v>
      </c>
      <c r="F1808" s="4">
        <v>44838.829664351855</v>
      </c>
      <c r="G1808" s="3" t="str">
        <f>HYPERLINK("https://hawk-eye.atlassian.net/browse/RTT-5378?atlOrigin=eyJpIjoiYzgwYTQ0ZjEyNzQzNGJhN2JmNjEyZTM0NmRhZWZhNjIiLCJwIjoic2hlZXRzLWppcmEifQ","RTT-5378")</f>
        <v>RTT-5378</v>
      </c>
      <c r="H1808" s="1" t="s">
        <v>1058</v>
      </c>
      <c r="I1808" s="1" t="s">
        <v>1151</v>
      </c>
      <c r="J1808" s="1" t="s">
        <v>26</v>
      </c>
      <c r="K1808" s="1" t="s">
        <v>1072</v>
      </c>
      <c r="L1808" s="1" t="s">
        <v>26</v>
      </c>
      <c r="M1808" s="1" t="s">
        <v>27</v>
      </c>
      <c r="N1808" s="1" t="s">
        <v>26</v>
      </c>
      <c r="O1808" s="1" t="s">
        <v>26</v>
      </c>
      <c r="P1808" s="4">
        <v>44929.4184837963</v>
      </c>
    </row>
    <row r="1809" hidden="1">
      <c r="A1809" s="1" t="s">
        <v>1055</v>
      </c>
      <c r="B1809" s="3" t="str">
        <f>HYPERLINK("https://hawk-eye.atlassian.net/browse/HWKREPORT-1574?atlOrigin=eyJpIjoiYzgwYTQ0ZjEyNzQzNGJhN2JmNjEyZTM0NmRhZWZhNjIiLCJwIjoic2hlZXRzLWppcmEifQ","HWKREPORT-1574")</f>
        <v>HWKREPORT-1574</v>
      </c>
      <c r="C1809" s="1" t="s">
        <v>3062</v>
      </c>
      <c r="D1809" s="1" t="s">
        <v>23</v>
      </c>
      <c r="E1809" s="1" t="s">
        <v>1057</v>
      </c>
      <c r="F1809" s="4">
        <v>44839.62614583333</v>
      </c>
      <c r="G1809" s="3" t="str">
        <f>HYPERLINK("https://hawk-eye.atlassian.net/browse/RTT-5379?atlOrigin=eyJpIjoiYzgwYTQ0ZjEyNzQzNGJhN2JmNjEyZTM0NmRhZWZhNjIiLCJwIjoic2hlZXRzLWppcmEifQ","RTT-5379")</f>
        <v>RTT-5379</v>
      </c>
      <c r="H1809" s="1" t="s">
        <v>1058</v>
      </c>
      <c r="I1809" s="1" t="s">
        <v>1126</v>
      </c>
      <c r="J1809" s="1" t="s">
        <v>26</v>
      </c>
      <c r="K1809" s="1" t="s">
        <v>1072</v>
      </c>
      <c r="L1809" s="1" t="s">
        <v>26</v>
      </c>
      <c r="M1809" s="1" t="s">
        <v>27</v>
      </c>
      <c r="N1809" s="1" t="s">
        <v>26</v>
      </c>
      <c r="O1809" s="1" t="s">
        <v>26</v>
      </c>
      <c r="P1809" s="4">
        <v>44839.62615740741</v>
      </c>
    </row>
    <row r="1810" hidden="1">
      <c r="A1810" s="1" t="s">
        <v>1055</v>
      </c>
      <c r="B1810" s="3" t="str">
        <f>HYPERLINK("https://hawk-eye.atlassian.net/browse/HWKREPORT-1575?atlOrigin=eyJpIjoiYzgwYTQ0ZjEyNzQzNGJhN2JmNjEyZTM0NmRhZWZhNjIiLCJwIjoic2hlZXRzLWppcmEifQ","HWKREPORT-1575")</f>
        <v>HWKREPORT-1575</v>
      </c>
      <c r="C1810" s="1" t="s">
        <v>3063</v>
      </c>
      <c r="D1810" s="1" t="s">
        <v>23</v>
      </c>
      <c r="E1810" s="1" t="s">
        <v>1207</v>
      </c>
      <c r="F1810" s="4">
        <v>44839.637766203705</v>
      </c>
      <c r="G1810" s="3" t="str">
        <f>HYPERLINK("https://hawk-eye.atlassian.net/browse/RTT-5843?atlOrigin=eyJpIjoiYzgwYTQ0ZjEyNzQzNGJhN2JmNjEyZTM0NmRhZWZhNjIiLCJwIjoic2hlZXRzLWppcmEifQ","RTT-5843")</f>
        <v>RTT-5843</v>
      </c>
      <c r="H1810" s="1" t="s">
        <v>1058</v>
      </c>
      <c r="I1810" s="1" t="s">
        <v>1126</v>
      </c>
      <c r="J1810" s="1" t="s">
        <v>26</v>
      </c>
      <c r="K1810" s="1" t="s">
        <v>26</v>
      </c>
      <c r="L1810" s="1" t="s">
        <v>26</v>
      </c>
      <c r="M1810" s="1" t="s">
        <v>27</v>
      </c>
      <c r="N1810" s="1" t="s">
        <v>26</v>
      </c>
      <c r="O1810" s="1" t="s">
        <v>26</v>
      </c>
      <c r="P1810" s="4">
        <v>45016.73241898148</v>
      </c>
    </row>
    <row r="1811" hidden="1">
      <c r="A1811" s="1" t="s">
        <v>21</v>
      </c>
      <c r="B1811" s="3" t="str">
        <f>HYPERLINK("https://hawk-eye.atlassian.net/browse/HWKREPORT-1576?atlOrigin=eyJpIjoiYzgwYTQ0ZjEyNzQzNGJhN2JmNjEyZTM0NmRhZWZhNjIiLCJwIjoic2hlZXRzLWppcmEifQ","HWKREPORT-1576")</f>
        <v>HWKREPORT-1576</v>
      </c>
      <c r="C1811" s="1" t="s">
        <v>3064</v>
      </c>
      <c r="D1811" s="1" t="s">
        <v>34</v>
      </c>
      <c r="E1811" s="1" t="s">
        <v>35</v>
      </c>
      <c r="F1811" s="4">
        <v>44840.498090277775</v>
      </c>
      <c r="G1811" s="3" t="str">
        <f>HYPERLINK("https://hawk-eye.atlassian.net/browse/TGM-43?atlOrigin=eyJpIjoiYzgwYTQ0ZjEyNzQzNGJhN2JmNjEyZTM0NmRhZWZhNjIiLCJwIjoic2hlZXRzLWppcmEifQ","TGM-43")</f>
        <v>TGM-43</v>
      </c>
      <c r="H1811" s="1" t="s">
        <v>1058</v>
      </c>
      <c r="I1811" s="1" t="s">
        <v>1126</v>
      </c>
      <c r="J1811" s="1" t="s">
        <v>26</v>
      </c>
      <c r="K1811" s="1" t="s">
        <v>2420</v>
      </c>
      <c r="L1811" s="1" t="s">
        <v>26</v>
      </c>
      <c r="M1811" s="1" t="s">
        <v>27</v>
      </c>
      <c r="N1811" s="1" t="s">
        <v>26</v>
      </c>
      <c r="O1811" s="1" t="s">
        <v>26</v>
      </c>
      <c r="P1811" s="4">
        <v>45391.475590277776</v>
      </c>
    </row>
    <row r="1812" hidden="1">
      <c r="A1812" s="1" t="s">
        <v>1055</v>
      </c>
      <c r="B1812" s="3" t="str">
        <f>HYPERLINK("https://hawk-eye.atlassian.net/browse/HWKREPORT-1577?atlOrigin=eyJpIjoiYzgwYTQ0ZjEyNzQzNGJhN2JmNjEyZTM0NmRhZWZhNjIiLCJwIjoic2hlZXRzLWppcmEifQ","HWKREPORT-1577")</f>
        <v>HWKREPORT-1577</v>
      </c>
      <c r="C1812" s="1" t="s">
        <v>3065</v>
      </c>
      <c r="D1812" s="1" t="s">
        <v>23</v>
      </c>
      <c r="E1812" s="1" t="s">
        <v>1057</v>
      </c>
      <c r="F1812" s="4">
        <v>44840.513969907406</v>
      </c>
      <c r="G1812" s="3" t="str">
        <f t="shared" ref="G1812:G1816" si="144">HYPERLINK("https://hawk-eye.atlassian.net/browse/?atlOrigin=eyJpIjoiYzgwYTQ0ZjEyNzQzNGJhN2JmNjEyZTM0NmRhZWZhNjIiLCJwIjoic2hlZXRzLWppcmEifQ","")</f>
        <v/>
      </c>
      <c r="H1812" s="1" t="s">
        <v>1058</v>
      </c>
      <c r="I1812" s="1" t="s">
        <v>1126</v>
      </c>
      <c r="J1812" s="1" t="s">
        <v>26</v>
      </c>
      <c r="K1812" s="1" t="s">
        <v>1876</v>
      </c>
      <c r="L1812" s="1" t="s">
        <v>26</v>
      </c>
      <c r="M1812" s="1" t="s">
        <v>27</v>
      </c>
      <c r="N1812" s="1" t="s">
        <v>26</v>
      </c>
      <c r="O1812" s="1" t="s">
        <v>26</v>
      </c>
      <c r="P1812" s="4">
        <v>44840.51398148148</v>
      </c>
    </row>
    <row r="1813" hidden="1">
      <c r="A1813" s="1" t="s">
        <v>1055</v>
      </c>
      <c r="B1813" s="3" t="str">
        <f>HYPERLINK("https://hawk-eye.atlassian.net/browse/HWKREPORT-1578?atlOrigin=eyJpIjoiYzgwYTQ0ZjEyNzQzNGJhN2JmNjEyZTM0NmRhZWZhNjIiLCJwIjoic2hlZXRzLWppcmEifQ","HWKREPORT-1578")</f>
        <v>HWKREPORT-1578</v>
      </c>
      <c r="C1813" s="1" t="s">
        <v>3066</v>
      </c>
      <c r="D1813" s="1" t="s">
        <v>23</v>
      </c>
      <c r="E1813" s="1" t="s">
        <v>1057</v>
      </c>
      <c r="F1813" s="4">
        <v>44844.41943287037</v>
      </c>
      <c r="G1813" s="3" t="str">
        <f t="shared" si="144"/>
        <v/>
      </c>
      <c r="H1813" s="1" t="s">
        <v>1058</v>
      </c>
      <c r="I1813" s="1" t="s">
        <v>1126</v>
      </c>
      <c r="J1813" s="1" t="s">
        <v>26</v>
      </c>
      <c r="K1813" s="1" t="s">
        <v>2299</v>
      </c>
      <c r="L1813" s="1" t="s">
        <v>26</v>
      </c>
      <c r="M1813" s="1" t="s">
        <v>27</v>
      </c>
      <c r="N1813" s="1" t="s">
        <v>26</v>
      </c>
      <c r="O1813" s="1" t="s">
        <v>26</v>
      </c>
      <c r="P1813" s="4">
        <v>44844.419444444444</v>
      </c>
    </row>
    <row r="1814" hidden="1">
      <c r="A1814" s="1" t="s">
        <v>21</v>
      </c>
      <c r="B1814" s="3" t="str">
        <f>HYPERLINK("https://hawk-eye.atlassian.net/browse/HWKREPORT-1579?atlOrigin=eyJpIjoiYzgwYTQ0ZjEyNzQzNGJhN2JmNjEyZTM0NmRhZWZhNjIiLCJwIjoic2hlZXRzLWppcmEifQ","HWKREPORT-1579")</f>
        <v>HWKREPORT-1579</v>
      </c>
      <c r="C1814" s="1" t="s">
        <v>3067</v>
      </c>
      <c r="D1814" s="1" t="s">
        <v>23</v>
      </c>
      <c r="E1814" s="1" t="s">
        <v>35</v>
      </c>
      <c r="F1814" s="4">
        <v>44844.66085648148</v>
      </c>
      <c r="G1814" s="3" t="str">
        <f t="shared" si="144"/>
        <v/>
      </c>
      <c r="H1814" s="1" t="s">
        <v>1058</v>
      </c>
      <c r="I1814" s="1" t="s">
        <v>1502</v>
      </c>
      <c r="J1814" s="1" t="s">
        <v>26</v>
      </c>
      <c r="K1814" s="1" t="s">
        <v>1545</v>
      </c>
      <c r="L1814" s="1" t="s">
        <v>26</v>
      </c>
      <c r="M1814" s="1" t="s">
        <v>27</v>
      </c>
      <c r="N1814" s="1" t="s">
        <v>26</v>
      </c>
      <c r="O1814" s="1" t="s">
        <v>26</v>
      </c>
      <c r="P1814" s="4">
        <v>45216.3849537037</v>
      </c>
    </row>
    <row r="1815" hidden="1">
      <c r="A1815" s="1" t="s">
        <v>21</v>
      </c>
      <c r="B1815" s="3" t="str">
        <f>HYPERLINK("https://hawk-eye.atlassian.net/browse/HWKREPORT-1580?atlOrigin=eyJpIjoiYzgwYTQ0ZjEyNzQzNGJhN2JmNjEyZTM0NmRhZWZhNjIiLCJwIjoic2hlZXRzLWppcmEifQ","HWKREPORT-1580")</f>
        <v>HWKREPORT-1580</v>
      </c>
      <c r="C1815" s="1" t="s">
        <v>3068</v>
      </c>
      <c r="D1815" s="1" t="s">
        <v>23</v>
      </c>
      <c r="E1815" s="1" t="s">
        <v>35</v>
      </c>
      <c r="F1815" s="4">
        <v>44844.70650462963</v>
      </c>
      <c r="G1815" s="3" t="str">
        <f t="shared" si="144"/>
        <v/>
      </c>
      <c r="H1815" s="1" t="s">
        <v>1058</v>
      </c>
      <c r="I1815" s="1" t="s">
        <v>1377</v>
      </c>
      <c r="J1815" s="1" t="s">
        <v>26</v>
      </c>
      <c r="K1815" s="1" t="s">
        <v>1545</v>
      </c>
      <c r="L1815" s="1" t="s">
        <v>26</v>
      </c>
      <c r="M1815" s="1" t="s">
        <v>27</v>
      </c>
      <c r="N1815" s="1" t="s">
        <v>26</v>
      </c>
      <c r="O1815" s="1" t="s">
        <v>26</v>
      </c>
      <c r="P1815" s="4">
        <v>44963.575636574074</v>
      </c>
    </row>
    <row r="1816" hidden="1">
      <c r="A1816" s="1" t="s">
        <v>1055</v>
      </c>
      <c r="B1816" s="3" t="str">
        <f>HYPERLINK("https://hawk-eye.atlassian.net/browse/HWKREPORT-1581?atlOrigin=eyJpIjoiYzgwYTQ0ZjEyNzQzNGJhN2JmNjEyZTM0NmRhZWZhNjIiLCJwIjoic2hlZXRzLWppcmEifQ","HWKREPORT-1581")</f>
        <v>HWKREPORT-1581</v>
      </c>
      <c r="C1816" s="1" t="s">
        <v>3069</v>
      </c>
      <c r="D1816" s="1" t="s">
        <v>23</v>
      </c>
      <c r="E1816" s="1" t="s">
        <v>1057</v>
      </c>
      <c r="F1816" s="4">
        <v>44845.772523148145</v>
      </c>
      <c r="G1816" s="3" t="str">
        <f t="shared" si="144"/>
        <v/>
      </c>
      <c r="H1816" s="1" t="s">
        <v>1058</v>
      </c>
      <c r="I1816" s="1" t="s">
        <v>1071</v>
      </c>
      <c r="J1816" s="1" t="s">
        <v>26</v>
      </c>
      <c r="K1816" s="1" t="s">
        <v>1762</v>
      </c>
      <c r="L1816" s="1" t="s">
        <v>26</v>
      </c>
      <c r="M1816" s="1" t="s">
        <v>27</v>
      </c>
      <c r="N1816" s="1" t="s">
        <v>26</v>
      </c>
      <c r="O1816" s="1" t="s">
        <v>26</v>
      </c>
      <c r="P1816" s="4">
        <v>44845.77253472222</v>
      </c>
    </row>
    <row r="1817" hidden="1">
      <c r="A1817" s="1" t="s">
        <v>1055</v>
      </c>
      <c r="B1817" s="3" t="str">
        <f>HYPERLINK("https://hawk-eye.atlassian.net/browse/HWKREPORT-1582?atlOrigin=eyJpIjoiYzgwYTQ0ZjEyNzQzNGJhN2JmNjEyZTM0NmRhZWZhNjIiLCJwIjoic2hlZXRzLWppcmEifQ","HWKREPORT-1582")</f>
        <v>HWKREPORT-1582</v>
      </c>
      <c r="C1817" s="1" t="s">
        <v>3070</v>
      </c>
      <c r="D1817" s="1" t="s">
        <v>23</v>
      </c>
      <c r="E1817" s="1" t="s">
        <v>35</v>
      </c>
      <c r="F1817" s="4">
        <v>44846.23652777778</v>
      </c>
      <c r="G1817" s="3" t="str">
        <f>HYPERLINK("https://hawk-eye.atlassian.net/browse/RTT-5395?atlOrigin=eyJpIjoiYzgwYTQ0ZjEyNzQzNGJhN2JmNjEyZTM0NmRhZWZhNjIiLCJwIjoic2hlZXRzLWppcmEifQ","RTT-5395")</f>
        <v>RTT-5395</v>
      </c>
      <c r="H1817" s="1" t="s">
        <v>1058</v>
      </c>
      <c r="I1817" s="1" t="s">
        <v>1071</v>
      </c>
      <c r="J1817" s="1" t="s">
        <v>26</v>
      </c>
      <c r="K1817" s="1" t="s">
        <v>1072</v>
      </c>
      <c r="L1817" s="1" t="s">
        <v>26</v>
      </c>
      <c r="M1817" s="1" t="s">
        <v>27</v>
      </c>
      <c r="N1817" s="1" t="s">
        <v>26</v>
      </c>
      <c r="O1817" s="1" t="s">
        <v>26</v>
      </c>
      <c r="P1817" s="4">
        <v>45091.70953703704</v>
      </c>
    </row>
    <row r="1818" hidden="1">
      <c r="A1818" s="1" t="s">
        <v>21</v>
      </c>
      <c r="B1818" s="3" t="str">
        <f>HYPERLINK("https://hawk-eye.atlassian.net/browse/HWKREPORT-1583?atlOrigin=eyJpIjoiYzgwYTQ0ZjEyNzQzNGJhN2JmNjEyZTM0NmRhZWZhNjIiLCJwIjoic2hlZXRzLWppcmEifQ","HWKREPORT-1583")</f>
        <v>HWKREPORT-1583</v>
      </c>
      <c r="C1818" s="1" t="s">
        <v>3071</v>
      </c>
      <c r="D1818" s="1" t="s">
        <v>34</v>
      </c>
      <c r="E1818" s="1" t="s">
        <v>1207</v>
      </c>
      <c r="F1818" s="4">
        <v>44846.48615740741</v>
      </c>
      <c r="G1818" s="3" t="str">
        <f>HYPERLINK("https://hawk-eye.atlassian.net/browse/RTT-5416?atlOrigin=eyJpIjoiYzgwYTQ0ZjEyNzQzNGJhN2JmNjEyZTM0NmRhZWZhNjIiLCJwIjoic2hlZXRzLWppcmEifQ","RTT-5416")</f>
        <v>RTT-5416</v>
      </c>
      <c r="H1818" s="1" t="s">
        <v>1058</v>
      </c>
      <c r="I1818" s="1" t="s">
        <v>1126</v>
      </c>
      <c r="J1818" s="1" t="s">
        <v>26</v>
      </c>
      <c r="K1818" s="1" t="s">
        <v>1072</v>
      </c>
      <c r="L1818" s="1" t="s">
        <v>26</v>
      </c>
      <c r="M1818" s="1" t="s">
        <v>27</v>
      </c>
      <c r="N1818" s="1" t="s">
        <v>26</v>
      </c>
      <c r="O1818" s="1" t="s">
        <v>26</v>
      </c>
      <c r="P1818" s="4">
        <v>44929.4184837963</v>
      </c>
    </row>
    <row r="1819" hidden="1">
      <c r="A1819" s="1" t="s">
        <v>1055</v>
      </c>
      <c r="B1819" s="3" t="str">
        <f>HYPERLINK("https://hawk-eye.atlassian.net/browse/HWKREPORT-1584?atlOrigin=eyJpIjoiYzgwYTQ0ZjEyNzQzNGJhN2JmNjEyZTM0NmRhZWZhNjIiLCJwIjoic2hlZXRzLWppcmEifQ","HWKREPORT-1584")</f>
        <v>HWKREPORT-1584</v>
      </c>
      <c r="C1819" s="1" t="s">
        <v>3072</v>
      </c>
      <c r="D1819" s="1" t="s">
        <v>23</v>
      </c>
      <c r="E1819" s="1" t="s">
        <v>35</v>
      </c>
      <c r="F1819" s="4">
        <v>44846.65636574074</v>
      </c>
      <c r="G1819" s="3" t="str">
        <f>HYPERLINK("https://hawk-eye.atlassian.net/browse/AL-507?atlOrigin=eyJpIjoiYzgwYTQ0ZjEyNzQzNGJhN2JmNjEyZTM0NmRhZWZhNjIiLCJwIjoic2hlZXRzLWppcmEifQ","AL-507")</f>
        <v>AL-507</v>
      </c>
      <c r="H1819" s="1" t="s">
        <v>1058</v>
      </c>
      <c r="I1819" s="1" t="s">
        <v>1071</v>
      </c>
      <c r="J1819" s="1" t="s">
        <v>26</v>
      </c>
      <c r="K1819" s="1" t="s">
        <v>3073</v>
      </c>
      <c r="L1819" s="1" t="s">
        <v>26</v>
      </c>
      <c r="M1819" s="1" t="s">
        <v>27</v>
      </c>
      <c r="N1819" s="1" t="s">
        <v>26</v>
      </c>
      <c r="O1819" s="1" t="s">
        <v>26</v>
      </c>
      <c r="P1819" s="4">
        <v>45567.40572916667</v>
      </c>
    </row>
    <row r="1820" hidden="1">
      <c r="A1820" s="1" t="s">
        <v>21</v>
      </c>
      <c r="B1820" s="3" t="str">
        <f>HYPERLINK("https://hawk-eye.atlassian.net/browse/HWKREPORT-1585?atlOrigin=eyJpIjoiYzgwYTQ0ZjEyNzQzNGJhN2JmNjEyZTM0NmRhZWZhNjIiLCJwIjoic2hlZXRzLWppcmEifQ","HWKREPORT-1585")</f>
        <v>HWKREPORT-1585</v>
      </c>
      <c r="C1820" s="1" t="s">
        <v>3074</v>
      </c>
      <c r="D1820" s="1" t="s">
        <v>23</v>
      </c>
      <c r="E1820" s="1" t="s">
        <v>35</v>
      </c>
      <c r="F1820" s="4">
        <v>44846.81716435185</v>
      </c>
      <c r="G1820" s="3" t="str">
        <f>HYPERLINK("https://hawk-eye.atlassian.net/browse/RTT-5415?atlOrigin=eyJpIjoiYzgwYTQ0ZjEyNzQzNGJhN2JmNjEyZTM0NmRhZWZhNjIiLCJwIjoic2hlZXRzLWppcmEifQ","RTT-5415")</f>
        <v>RTT-5415</v>
      </c>
      <c r="H1820" s="1" t="s">
        <v>1058</v>
      </c>
      <c r="I1820" s="1" t="s">
        <v>1059</v>
      </c>
      <c r="J1820" s="1" t="s">
        <v>26</v>
      </c>
      <c r="K1820" s="1" t="s">
        <v>1072</v>
      </c>
      <c r="L1820" s="1" t="s">
        <v>26</v>
      </c>
      <c r="M1820" s="1" t="s">
        <v>27</v>
      </c>
      <c r="N1820" s="1" t="s">
        <v>26</v>
      </c>
      <c r="O1820" s="1" t="s">
        <v>26</v>
      </c>
      <c r="P1820" s="4">
        <v>45596.705625</v>
      </c>
    </row>
    <row r="1821" hidden="1">
      <c r="A1821" s="1" t="s">
        <v>21</v>
      </c>
      <c r="B1821" s="3" t="str">
        <f>HYPERLINK("https://hawk-eye.atlassian.net/browse/HWKREPORT-1586?atlOrigin=eyJpIjoiYzgwYTQ0ZjEyNzQzNGJhN2JmNjEyZTM0NmRhZWZhNjIiLCJwIjoic2hlZXRzLWppcmEifQ","HWKREPORT-1586")</f>
        <v>HWKREPORT-1586</v>
      </c>
      <c r="C1821" s="1" t="s">
        <v>3075</v>
      </c>
      <c r="D1821" s="1" t="s">
        <v>40</v>
      </c>
      <c r="E1821" s="1" t="s">
        <v>1057</v>
      </c>
      <c r="F1821" s="4">
        <v>44847.49586805556</v>
      </c>
      <c r="G1821" s="3" t="str">
        <f>HYPERLINK("https://hawk-eye.atlassian.net/browse/GT-723?atlOrigin=eyJpIjoiYzgwYTQ0ZjEyNzQzNGJhN2JmNjEyZTM0NmRhZWZhNjIiLCJwIjoic2hlZXRzLWppcmEifQ","GT-723")</f>
        <v>GT-723</v>
      </c>
      <c r="H1821" s="1" t="s">
        <v>1058</v>
      </c>
      <c r="I1821" s="1" t="s">
        <v>1082</v>
      </c>
      <c r="J1821" s="1" t="s">
        <v>26</v>
      </c>
      <c r="K1821" s="1" t="s">
        <v>1744</v>
      </c>
      <c r="L1821" s="1" t="s">
        <v>26</v>
      </c>
      <c r="M1821" s="1" t="s">
        <v>27</v>
      </c>
      <c r="N1821" s="1" t="s">
        <v>26</v>
      </c>
      <c r="O1821" s="1" t="s">
        <v>26</v>
      </c>
      <c r="P1821" s="4">
        <v>44847.49586805556</v>
      </c>
    </row>
    <row r="1822" hidden="1">
      <c r="A1822" s="1" t="s">
        <v>1055</v>
      </c>
      <c r="B1822" s="3" t="str">
        <f>HYPERLINK("https://hawk-eye.atlassian.net/browse/HWKREPORT-1587?atlOrigin=eyJpIjoiYzgwYTQ0ZjEyNzQzNGJhN2JmNjEyZTM0NmRhZWZhNjIiLCJwIjoic2hlZXRzLWppcmEifQ","HWKREPORT-1587")</f>
        <v>HWKREPORT-1587</v>
      </c>
      <c r="C1822" s="1" t="s">
        <v>3076</v>
      </c>
      <c r="D1822" s="1" t="s">
        <v>23</v>
      </c>
      <c r="E1822" s="1" t="s">
        <v>1207</v>
      </c>
      <c r="F1822" s="4">
        <v>44847.670127314814</v>
      </c>
      <c r="G1822" s="3" t="str">
        <f>HYPERLINK("https://hawk-eye.atlassian.net/browse/RTT-5427?atlOrigin=eyJpIjoiYzgwYTQ0ZjEyNzQzNGJhN2JmNjEyZTM0NmRhZWZhNjIiLCJwIjoic2hlZXRzLWppcmEifQ","RTT-5427")</f>
        <v>RTT-5427</v>
      </c>
      <c r="H1822" s="1" t="s">
        <v>1058</v>
      </c>
      <c r="I1822" s="1" t="s">
        <v>1126</v>
      </c>
      <c r="J1822" s="1" t="s">
        <v>26</v>
      </c>
      <c r="K1822" s="1" t="s">
        <v>1072</v>
      </c>
      <c r="L1822" s="1" t="s">
        <v>26</v>
      </c>
      <c r="M1822" s="1" t="s">
        <v>27</v>
      </c>
      <c r="N1822" s="1" t="s">
        <v>26</v>
      </c>
      <c r="O1822" s="1" t="s">
        <v>26</v>
      </c>
      <c r="P1822" s="4">
        <v>44986.50335648148</v>
      </c>
    </row>
    <row r="1823" hidden="1">
      <c r="A1823" s="1" t="s">
        <v>1055</v>
      </c>
      <c r="B1823" s="3" t="str">
        <f>HYPERLINK("https://hawk-eye.atlassian.net/browse/HWKREPORT-1588?atlOrigin=eyJpIjoiYzgwYTQ0ZjEyNzQzNGJhN2JmNjEyZTM0NmRhZWZhNjIiLCJwIjoic2hlZXRzLWppcmEifQ","HWKREPORT-1588")</f>
        <v>HWKREPORT-1588</v>
      </c>
      <c r="C1823" s="1" t="s">
        <v>3077</v>
      </c>
      <c r="D1823" s="1" t="s">
        <v>23</v>
      </c>
      <c r="E1823" s="1" t="s">
        <v>35</v>
      </c>
      <c r="F1823" s="4">
        <v>44847.695243055554</v>
      </c>
      <c r="G1823" s="3" t="str">
        <f>HYPERLINK("https://hawk-eye.atlassian.net/browse/RTT-5428?atlOrigin=eyJpIjoiYzgwYTQ0ZjEyNzQzNGJhN2JmNjEyZTM0NmRhZWZhNjIiLCJwIjoic2hlZXRzLWppcmEifQ","RTT-5428")</f>
        <v>RTT-5428</v>
      </c>
      <c r="H1823" s="1" t="s">
        <v>1058</v>
      </c>
      <c r="I1823" s="1" t="s">
        <v>1126</v>
      </c>
      <c r="J1823" s="1" t="s">
        <v>26</v>
      </c>
      <c r="K1823" s="1" t="s">
        <v>1072</v>
      </c>
      <c r="L1823" s="1" t="s">
        <v>26</v>
      </c>
      <c r="M1823" s="1" t="s">
        <v>27</v>
      </c>
      <c r="N1823" s="1" t="s">
        <v>26</v>
      </c>
      <c r="O1823" s="1" t="s">
        <v>26</v>
      </c>
      <c r="P1823" s="4">
        <v>44977.408854166664</v>
      </c>
    </row>
    <row r="1824" hidden="1">
      <c r="A1824" s="1" t="s">
        <v>1055</v>
      </c>
      <c r="B1824" s="3" t="str">
        <f>HYPERLINK("https://hawk-eye.atlassian.net/browse/HWKREPORT-1589?atlOrigin=eyJpIjoiYzgwYTQ0ZjEyNzQzNGJhN2JmNjEyZTM0NmRhZWZhNjIiLCJwIjoic2hlZXRzLWppcmEifQ","HWKREPORT-1589")</f>
        <v>HWKREPORT-1589</v>
      </c>
      <c r="C1824" s="1" t="s">
        <v>3078</v>
      </c>
      <c r="D1824" s="1" t="s">
        <v>23</v>
      </c>
      <c r="E1824" s="1" t="s">
        <v>1057</v>
      </c>
      <c r="F1824" s="4">
        <v>44847.75400462963</v>
      </c>
      <c r="G1824" s="3" t="str">
        <f>HYPERLINK("https://hawk-eye.atlassian.net/browse/RTT-5426?atlOrigin=eyJpIjoiYzgwYTQ0ZjEyNzQzNGJhN2JmNjEyZTM0NmRhZWZhNjIiLCJwIjoic2hlZXRzLWppcmEifQ","RTT-5426")</f>
        <v>RTT-5426</v>
      </c>
      <c r="H1824" s="1" t="s">
        <v>1058</v>
      </c>
      <c r="I1824" s="1" t="s">
        <v>1071</v>
      </c>
      <c r="J1824" s="1" t="s">
        <v>26</v>
      </c>
      <c r="K1824" s="1" t="s">
        <v>1072</v>
      </c>
      <c r="L1824" s="1" t="s">
        <v>26</v>
      </c>
      <c r="M1824" s="1" t="s">
        <v>27</v>
      </c>
      <c r="N1824" s="1" t="s">
        <v>26</v>
      </c>
      <c r="O1824" s="1" t="s">
        <v>26</v>
      </c>
      <c r="P1824" s="4">
        <v>44847.75400462963</v>
      </c>
    </row>
    <row r="1825" hidden="1">
      <c r="A1825" s="1" t="s">
        <v>1055</v>
      </c>
      <c r="B1825" s="3" t="str">
        <f>HYPERLINK("https://hawk-eye.atlassian.net/browse/HWKREPORT-1590?atlOrigin=eyJpIjoiYzgwYTQ0ZjEyNzQzNGJhN2JmNjEyZTM0NmRhZWZhNjIiLCJwIjoic2hlZXRzLWppcmEifQ","HWKREPORT-1590")</f>
        <v>HWKREPORT-1590</v>
      </c>
      <c r="C1825" s="1" t="s">
        <v>3079</v>
      </c>
      <c r="D1825" s="1" t="s">
        <v>23</v>
      </c>
      <c r="E1825" s="1" t="s">
        <v>1057</v>
      </c>
      <c r="F1825" s="4">
        <v>44847.755891203706</v>
      </c>
      <c r="G1825" s="3" t="str">
        <f>HYPERLINK("https://hawk-eye.atlassian.net/browse/RTT-5425?atlOrigin=eyJpIjoiYzgwYTQ0ZjEyNzQzNGJhN2JmNjEyZTM0NmRhZWZhNjIiLCJwIjoic2hlZXRzLWppcmEifQ","RTT-5425")</f>
        <v>RTT-5425</v>
      </c>
      <c r="H1825" s="1" t="s">
        <v>1058</v>
      </c>
      <c r="I1825" s="1" t="s">
        <v>1071</v>
      </c>
      <c r="J1825" s="1" t="s">
        <v>26</v>
      </c>
      <c r="K1825" s="1" t="s">
        <v>1072</v>
      </c>
      <c r="L1825" s="1" t="s">
        <v>26</v>
      </c>
      <c r="M1825" s="1" t="s">
        <v>27</v>
      </c>
      <c r="N1825" s="1" t="s">
        <v>26</v>
      </c>
      <c r="O1825" s="1" t="s">
        <v>26</v>
      </c>
      <c r="P1825" s="4">
        <v>45216.38528935185</v>
      </c>
    </row>
    <row r="1826" hidden="1">
      <c r="A1826" s="1" t="s">
        <v>1055</v>
      </c>
      <c r="B1826" s="3" t="str">
        <f>HYPERLINK("https://hawk-eye.atlassian.net/browse/HWKREPORT-1591?atlOrigin=eyJpIjoiYzgwYTQ0ZjEyNzQzNGJhN2JmNjEyZTM0NmRhZWZhNjIiLCJwIjoic2hlZXRzLWppcmEifQ","HWKREPORT-1591")</f>
        <v>HWKREPORT-1591</v>
      </c>
      <c r="C1826" s="1" t="s">
        <v>3080</v>
      </c>
      <c r="D1826" s="1" t="s">
        <v>23</v>
      </c>
      <c r="E1826" s="1" t="s">
        <v>1057</v>
      </c>
      <c r="F1826" s="4">
        <v>44847.758414351854</v>
      </c>
      <c r="G1826" s="3" t="str">
        <f>HYPERLINK("https://hawk-eye.atlassian.net/browse/RTT-5424?atlOrigin=eyJpIjoiYzgwYTQ0ZjEyNzQzNGJhN2JmNjEyZTM0NmRhZWZhNjIiLCJwIjoic2hlZXRzLWppcmEifQ","RTT-5424")</f>
        <v>RTT-5424</v>
      </c>
      <c r="H1826" s="1" t="s">
        <v>1058</v>
      </c>
      <c r="I1826" s="1" t="s">
        <v>1071</v>
      </c>
      <c r="J1826" s="1" t="s">
        <v>26</v>
      </c>
      <c r="K1826" s="1" t="s">
        <v>1072</v>
      </c>
      <c r="L1826" s="1" t="s">
        <v>26</v>
      </c>
      <c r="M1826" s="1" t="s">
        <v>27</v>
      </c>
      <c r="N1826" s="1" t="s">
        <v>26</v>
      </c>
      <c r="O1826" s="1" t="s">
        <v>26</v>
      </c>
      <c r="P1826" s="4">
        <v>44847.758425925924</v>
      </c>
    </row>
    <row r="1827" hidden="1">
      <c r="A1827" s="1" t="s">
        <v>21</v>
      </c>
      <c r="B1827" s="3" t="str">
        <f>HYPERLINK("https://hawk-eye.atlassian.net/browse/HWKREPORT-1592?atlOrigin=eyJpIjoiYzgwYTQ0ZjEyNzQzNGJhN2JmNjEyZTM0NmRhZWZhNjIiLCJwIjoic2hlZXRzLWppcmEifQ","HWKREPORT-1592")</f>
        <v>HWKREPORT-1592</v>
      </c>
      <c r="C1827" s="1" t="s">
        <v>3081</v>
      </c>
      <c r="D1827" s="1" t="s">
        <v>23</v>
      </c>
      <c r="E1827" s="1" t="s">
        <v>1207</v>
      </c>
      <c r="F1827" s="4">
        <v>44848.260925925926</v>
      </c>
      <c r="G1827" s="3" t="str">
        <f>HYPERLINK("https://hawk-eye.atlassian.net/browse/RTT-5423?atlOrigin=eyJpIjoiYzgwYTQ0ZjEyNzQzNGJhN2JmNjEyZTM0NmRhZWZhNjIiLCJwIjoic2hlZXRzLWppcmEifQ","RTT-5423")</f>
        <v>RTT-5423</v>
      </c>
      <c r="H1827" s="1" t="s">
        <v>1058</v>
      </c>
      <c r="I1827" s="1" t="s">
        <v>1085</v>
      </c>
      <c r="J1827" s="1" t="s">
        <v>26</v>
      </c>
      <c r="K1827" s="1" t="s">
        <v>1072</v>
      </c>
      <c r="L1827" s="1" t="s">
        <v>26</v>
      </c>
      <c r="M1827" s="1" t="s">
        <v>27</v>
      </c>
      <c r="N1827" s="1" t="s">
        <v>26</v>
      </c>
      <c r="O1827" s="1" t="s">
        <v>26</v>
      </c>
      <c r="P1827" s="4">
        <v>45152.972905092596</v>
      </c>
    </row>
    <row r="1828" hidden="1">
      <c r="A1828" s="1" t="s">
        <v>21</v>
      </c>
      <c r="B1828" s="3" t="str">
        <f>HYPERLINK("https://hawk-eye.atlassian.net/browse/HWKREPORT-1593?atlOrigin=eyJpIjoiYzgwYTQ0ZjEyNzQzNGJhN2JmNjEyZTM0NmRhZWZhNjIiLCJwIjoic2hlZXRzLWppcmEifQ","HWKREPORT-1593")</f>
        <v>HWKREPORT-1593</v>
      </c>
      <c r="C1828" s="1" t="s">
        <v>3082</v>
      </c>
      <c r="D1828" s="1" t="s">
        <v>34</v>
      </c>
      <c r="E1828" s="1" t="s">
        <v>35</v>
      </c>
      <c r="F1828" s="4">
        <v>44849.09118055556</v>
      </c>
      <c r="G1828" s="3" t="str">
        <f>HYPERLINK("https://hawk-eye.atlassian.net/browse/CORE-185?atlOrigin=eyJpIjoiYzgwYTQ0ZjEyNzQzNGJhN2JmNjEyZTM0NmRhZWZhNjIiLCJwIjoic2hlZXRzLWppcmEifQ","CORE-185")</f>
        <v>CORE-185</v>
      </c>
      <c r="H1828" s="1" t="s">
        <v>1058</v>
      </c>
      <c r="I1828" s="1" t="s">
        <v>1059</v>
      </c>
      <c r="J1828" s="1" t="s">
        <v>26</v>
      </c>
      <c r="K1828" s="1" t="s">
        <v>1247</v>
      </c>
      <c r="L1828" s="1" t="s">
        <v>26</v>
      </c>
      <c r="M1828" s="1" t="s">
        <v>27</v>
      </c>
      <c r="N1828" s="1" t="s">
        <v>26</v>
      </c>
      <c r="O1828" s="1" t="s">
        <v>26</v>
      </c>
      <c r="P1828" s="4">
        <v>44991.4302662037</v>
      </c>
    </row>
    <row r="1829" hidden="1">
      <c r="A1829" s="1" t="s">
        <v>1055</v>
      </c>
      <c r="B1829" s="3" t="str">
        <f>HYPERLINK("https://hawk-eye.atlassian.net/browse/HWKREPORT-1594?atlOrigin=eyJpIjoiYzgwYTQ0ZjEyNzQzNGJhN2JmNjEyZTM0NmRhZWZhNjIiLCJwIjoic2hlZXRzLWppcmEifQ","HWKREPORT-1594")</f>
        <v>HWKREPORT-1594</v>
      </c>
      <c r="C1829" s="1" t="s">
        <v>3083</v>
      </c>
      <c r="D1829" s="1" t="s">
        <v>23</v>
      </c>
      <c r="E1829" s="1" t="s">
        <v>35</v>
      </c>
      <c r="F1829" s="4">
        <v>44851.343460648146</v>
      </c>
      <c r="G1829" s="3" t="str">
        <f>HYPERLINK("https://hawk-eye.atlassian.net/browse/RTT-5429?atlOrigin=eyJpIjoiYzgwYTQ0ZjEyNzQzNGJhN2JmNjEyZTM0NmRhZWZhNjIiLCJwIjoic2hlZXRzLWppcmEifQ","RTT-5429")</f>
        <v>RTT-5429</v>
      </c>
      <c r="H1829" s="1" t="s">
        <v>1058</v>
      </c>
      <c r="I1829" s="1" t="s">
        <v>1071</v>
      </c>
      <c r="J1829" s="1" t="s">
        <v>26</v>
      </c>
      <c r="K1829" s="1" t="s">
        <v>1093</v>
      </c>
      <c r="L1829" s="1" t="s">
        <v>26</v>
      </c>
      <c r="M1829" s="1" t="s">
        <v>27</v>
      </c>
      <c r="N1829" s="1" t="s">
        <v>26</v>
      </c>
      <c r="O1829" s="1" t="s">
        <v>26</v>
      </c>
      <c r="P1829" s="4">
        <v>44911.65642361111</v>
      </c>
    </row>
    <row r="1830" hidden="1">
      <c r="A1830" s="1" t="s">
        <v>21</v>
      </c>
      <c r="B1830" s="3" t="str">
        <f>HYPERLINK("https://hawk-eye.atlassian.net/browse/HWKREPORT-1595?atlOrigin=eyJpIjoiYzgwYTQ0ZjEyNzQzNGJhN2JmNjEyZTM0NmRhZWZhNjIiLCJwIjoic2hlZXRzLWppcmEifQ","HWKREPORT-1595")</f>
        <v>HWKREPORT-1595</v>
      </c>
      <c r="C1830" s="1" t="s">
        <v>3084</v>
      </c>
      <c r="D1830" s="1" t="s">
        <v>23</v>
      </c>
      <c r="E1830" s="1" t="s">
        <v>35</v>
      </c>
      <c r="F1830" s="4">
        <v>44851.599131944444</v>
      </c>
      <c r="G1830" s="3" t="str">
        <f>HYPERLINK("https://hawk-eye.atlassian.net/browse/RTT-5448?atlOrigin=eyJpIjoiYzgwYTQ0ZjEyNzQzNGJhN2JmNjEyZTM0NmRhZWZhNjIiLCJwIjoic2hlZXRzLWppcmEifQ","RTT-5448")</f>
        <v>RTT-5448</v>
      </c>
      <c r="H1830" s="1" t="s">
        <v>1058</v>
      </c>
      <c r="I1830" s="1" t="s">
        <v>1071</v>
      </c>
      <c r="J1830" s="1" t="s">
        <v>26</v>
      </c>
      <c r="K1830" s="1" t="s">
        <v>1072</v>
      </c>
      <c r="L1830" s="1" t="s">
        <v>26</v>
      </c>
      <c r="M1830" s="1" t="s">
        <v>27</v>
      </c>
      <c r="N1830" s="1" t="s">
        <v>26</v>
      </c>
      <c r="O1830" s="1" t="s">
        <v>26</v>
      </c>
      <c r="P1830" s="4">
        <v>44970.63769675926</v>
      </c>
    </row>
    <row r="1831" hidden="1">
      <c r="A1831" s="1" t="s">
        <v>1055</v>
      </c>
      <c r="B1831" s="3" t="str">
        <f>HYPERLINK("https://hawk-eye.atlassian.net/browse/HWKREPORT-1596?atlOrigin=eyJpIjoiYzgwYTQ0ZjEyNzQzNGJhN2JmNjEyZTM0NmRhZWZhNjIiLCJwIjoic2hlZXRzLWppcmEifQ","HWKREPORT-1596")</f>
        <v>HWKREPORT-1596</v>
      </c>
      <c r="C1831" s="1" t="s">
        <v>3085</v>
      </c>
      <c r="D1831" s="1" t="s">
        <v>23</v>
      </c>
      <c r="E1831" s="1" t="s">
        <v>1207</v>
      </c>
      <c r="F1831" s="4">
        <v>44851.606990740744</v>
      </c>
      <c r="G1831" s="3" t="str">
        <f>HYPERLINK("https://hawk-eye.atlassian.net/issues/?atlOrigin=eyJpIjoiYzgwYTQ0ZjEyNzQzNGJhN2JmNjEyZTM0NmRhZWZhNjIiLCJwIjoic2hlZXRzLWppcmEifQ&amp;jql=key+in+%28RTT-5447%2CRTT-5813%29","RTT-5447;RTT-5813")</f>
        <v>RTT-5447;RTT-5813</v>
      </c>
      <c r="H1831" s="1" t="s">
        <v>1058</v>
      </c>
      <c r="I1831" s="1" t="s">
        <v>1071</v>
      </c>
      <c r="J1831" s="1" t="s">
        <v>26</v>
      </c>
      <c r="K1831" s="1" t="s">
        <v>1072</v>
      </c>
      <c r="L1831" s="1" t="s">
        <v>26</v>
      </c>
      <c r="M1831" s="1" t="s">
        <v>27</v>
      </c>
      <c r="N1831" s="1" t="s">
        <v>26</v>
      </c>
      <c r="O1831" s="1" t="s">
        <v>26</v>
      </c>
      <c r="P1831" s="4">
        <v>45000.698483796295</v>
      </c>
    </row>
    <row r="1832" hidden="1">
      <c r="A1832" s="1" t="s">
        <v>1055</v>
      </c>
      <c r="B1832" s="3" t="str">
        <f>HYPERLINK("https://hawk-eye.atlassian.net/browse/HWKREPORT-1597?atlOrigin=eyJpIjoiYzgwYTQ0ZjEyNzQzNGJhN2JmNjEyZTM0NmRhZWZhNjIiLCJwIjoic2hlZXRzLWppcmEifQ","HWKREPORT-1597")</f>
        <v>HWKREPORT-1597</v>
      </c>
      <c r="C1832" s="1" t="s">
        <v>3086</v>
      </c>
      <c r="D1832" s="1" t="s">
        <v>23</v>
      </c>
      <c r="E1832" s="1" t="s">
        <v>35</v>
      </c>
      <c r="F1832" s="4">
        <v>44851.60886574074</v>
      </c>
      <c r="G1832" s="3" t="str">
        <f>HYPERLINK("https://hawk-eye.atlassian.net/browse/RTT-5597?atlOrigin=eyJpIjoiYzgwYTQ0ZjEyNzQzNGJhN2JmNjEyZTM0NmRhZWZhNjIiLCJwIjoic2hlZXRzLWppcmEifQ","RTT-5597")</f>
        <v>RTT-5597</v>
      </c>
      <c r="H1832" s="1" t="s">
        <v>1058</v>
      </c>
      <c r="I1832" s="1" t="s">
        <v>1071</v>
      </c>
      <c r="J1832" s="1" t="s">
        <v>26</v>
      </c>
      <c r="K1832" s="1" t="s">
        <v>1072</v>
      </c>
      <c r="L1832" s="1" t="s">
        <v>26</v>
      </c>
      <c r="M1832" s="1" t="s">
        <v>27</v>
      </c>
      <c r="N1832" s="1" t="s">
        <v>26</v>
      </c>
      <c r="O1832" s="1" t="s">
        <v>26</v>
      </c>
      <c r="P1832" s="4">
        <v>45308.52837962963</v>
      </c>
    </row>
    <row r="1833" hidden="1">
      <c r="A1833" s="1" t="s">
        <v>1055</v>
      </c>
      <c r="B1833" s="3" t="str">
        <f>HYPERLINK("https://hawk-eye.atlassian.net/browse/HWKREPORT-1598?atlOrigin=eyJpIjoiYzgwYTQ0ZjEyNzQzNGJhN2JmNjEyZTM0NmRhZWZhNjIiLCJwIjoic2hlZXRzLWppcmEifQ","HWKREPORT-1598")</f>
        <v>HWKREPORT-1598</v>
      </c>
      <c r="C1833" s="1" t="s">
        <v>3087</v>
      </c>
      <c r="D1833" s="1" t="s">
        <v>23</v>
      </c>
      <c r="E1833" s="1" t="s">
        <v>1057</v>
      </c>
      <c r="F1833" s="4">
        <v>44851.76806712963</v>
      </c>
      <c r="G1833" s="3" t="str">
        <f>HYPERLINK("https://hawk-eye.atlassian.net/browse/?atlOrigin=eyJpIjoiYzgwYTQ0ZjEyNzQzNGJhN2JmNjEyZTM0NmRhZWZhNjIiLCJwIjoic2hlZXRzLWppcmEifQ","")</f>
        <v/>
      </c>
      <c r="H1833" s="1" t="s">
        <v>1058</v>
      </c>
      <c r="I1833" s="1" t="s">
        <v>1071</v>
      </c>
      <c r="J1833" s="1" t="s">
        <v>26</v>
      </c>
      <c r="K1833" s="1" t="s">
        <v>1072</v>
      </c>
      <c r="L1833" s="1" t="s">
        <v>26</v>
      </c>
      <c r="M1833" s="1" t="s">
        <v>27</v>
      </c>
      <c r="N1833" s="1" t="s">
        <v>26</v>
      </c>
      <c r="O1833" s="1" t="s">
        <v>26</v>
      </c>
      <c r="P1833" s="4">
        <v>44851.7680787037</v>
      </c>
    </row>
    <row r="1834" hidden="1">
      <c r="A1834" s="1" t="s">
        <v>21</v>
      </c>
      <c r="B1834" s="3" t="str">
        <f>HYPERLINK("https://hawk-eye.atlassian.net/browse/HWKREPORT-1599?atlOrigin=eyJpIjoiYzgwYTQ0ZjEyNzQzNGJhN2JmNjEyZTM0NmRhZWZhNjIiLCJwIjoic2hlZXRzLWppcmEifQ","HWKREPORT-1599")</f>
        <v>HWKREPORT-1599</v>
      </c>
      <c r="C1834" s="1" t="s">
        <v>3088</v>
      </c>
      <c r="D1834" s="1" t="s">
        <v>23</v>
      </c>
      <c r="E1834" s="1" t="s">
        <v>1057</v>
      </c>
      <c r="F1834" s="4">
        <v>44852.633425925924</v>
      </c>
      <c r="G1834" s="3" t="str">
        <f>HYPERLINK("https://hawk-eye.atlassian.net/browse/RTT-6259?atlOrigin=eyJpIjoiYzgwYTQ0ZjEyNzQzNGJhN2JmNjEyZTM0NmRhZWZhNjIiLCJwIjoic2hlZXRzLWppcmEifQ","RTT-6259")</f>
        <v>RTT-6259</v>
      </c>
      <c r="H1834" s="1" t="s">
        <v>1058</v>
      </c>
      <c r="I1834" s="1" t="s">
        <v>1071</v>
      </c>
      <c r="J1834" s="1" t="s">
        <v>26</v>
      </c>
      <c r="K1834" s="1" t="s">
        <v>1397</v>
      </c>
      <c r="L1834" s="1" t="s">
        <v>26</v>
      </c>
      <c r="M1834" s="1" t="s">
        <v>27</v>
      </c>
      <c r="N1834" s="1" t="s">
        <v>26</v>
      </c>
      <c r="O1834" s="1" t="s">
        <v>26</v>
      </c>
      <c r="P1834" s="4">
        <v>45135.647997685184</v>
      </c>
    </row>
    <row r="1835" hidden="1">
      <c r="A1835" s="1" t="s">
        <v>21</v>
      </c>
      <c r="B1835" s="3" t="str">
        <f>HYPERLINK("https://hawk-eye.atlassian.net/browse/HWKREPORT-1600?atlOrigin=eyJpIjoiYzgwYTQ0ZjEyNzQzNGJhN2JmNjEyZTM0NmRhZWZhNjIiLCJwIjoic2hlZXRzLWppcmEifQ","HWKREPORT-1600")</f>
        <v>HWKREPORT-1600</v>
      </c>
      <c r="C1835" s="1" t="s">
        <v>3089</v>
      </c>
      <c r="D1835" s="1" t="s">
        <v>23</v>
      </c>
      <c r="E1835" s="1" t="s">
        <v>35</v>
      </c>
      <c r="F1835" s="4">
        <v>44853.435219907406</v>
      </c>
      <c r="G1835" s="3" t="str">
        <f>HYPERLINK("https://hawk-eye.atlassian.net/browse/CTK-117?atlOrigin=eyJpIjoiYzgwYTQ0ZjEyNzQzNGJhN2JmNjEyZTM0NmRhZWZhNjIiLCJwIjoic2hlZXRzLWppcmEifQ","CTK-117")</f>
        <v>CTK-117</v>
      </c>
      <c r="H1835" s="1" t="s">
        <v>1058</v>
      </c>
      <c r="I1835" s="1" t="s">
        <v>1082</v>
      </c>
      <c r="J1835" s="1" t="s">
        <v>26</v>
      </c>
      <c r="K1835" s="1" t="s">
        <v>1083</v>
      </c>
      <c r="L1835" s="1" t="s">
        <v>26</v>
      </c>
      <c r="M1835" s="1" t="s">
        <v>27</v>
      </c>
      <c r="N1835" s="1" t="s">
        <v>26</v>
      </c>
      <c r="O1835" s="1" t="s">
        <v>26</v>
      </c>
      <c r="P1835" s="4">
        <v>45252.40146990741</v>
      </c>
    </row>
    <row r="1836" hidden="1">
      <c r="A1836" s="1" t="s">
        <v>1055</v>
      </c>
      <c r="B1836" s="3" t="str">
        <f>HYPERLINK("https://hawk-eye.atlassian.net/browse/HWKREPORT-1601?atlOrigin=eyJpIjoiYzgwYTQ0ZjEyNzQzNGJhN2JmNjEyZTM0NmRhZWZhNjIiLCJwIjoic2hlZXRzLWppcmEifQ","HWKREPORT-1601")</f>
        <v>HWKREPORT-1601</v>
      </c>
      <c r="C1836" s="1" t="s">
        <v>3090</v>
      </c>
      <c r="D1836" s="1" t="s">
        <v>23</v>
      </c>
      <c r="E1836" s="1" t="s">
        <v>1057</v>
      </c>
      <c r="F1836" s="4">
        <v>44854.67252314815</v>
      </c>
      <c r="G1836" s="3" t="str">
        <f t="shared" ref="G1836:G1838" si="145">HYPERLINK("https://hawk-eye.atlassian.net/browse/?atlOrigin=eyJpIjoiYzgwYTQ0ZjEyNzQzNGJhN2JmNjEyZTM0NmRhZWZhNjIiLCJwIjoic2hlZXRzLWppcmEifQ","")</f>
        <v/>
      </c>
      <c r="H1836" s="1" t="s">
        <v>1058</v>
      </c>
      <c r="I1836" s="1" t="s">
        <v>1071</v>
      </c>
      <c r="J1836" s="1" t="s">
        <v>26</v>
      </c>
      <c r="K1836" s="1" t="s">
        <v>3091</v>
      </c>
      <c r="L1836" s="1" t="s">
        <v>26</v>
      </c>
      <c r="M1836" s="1" t="s">
        <v>27</v>
      </c>
      <c r="N1836" s="1" t="s">
        <v>26</v>
      </c>
      <c r="O1836" s="1" t="s">
        <v>26</v>
      </c>
      <c r="P1836" s="4">
        <v>44854.672534722224</v>
      </c>
    </row>
    <row r="1837" hidden="1">
      <c r="A1837" s="1" t="s">
        <v>1055</v>
      </c>
      <c r="B1837" s="3" t="str">
        <f>HYPERLINK("https://hawk-eye.atlassian.net/browse/HWKREPORT-1602?atlOrigin=eyJpIjoiYzgwYTQ0ZjEyNzQzNGJhN2JmNjEyZTM0NmRhZWZhNjIiLCJwIjoic2hlZXRzLWppcmEifQ","HWKREPORT-1602")</f>
        <v>HWKREPORT-1602</v>
      </c>
      <c r="C1837" s="1" t="s">
        <v>3092</v>
      </c>
      <c r="D1837" s="1" t="s">
        <v>23</v>
      </c>
      <c r="E1837" s="1" t="s">
        <v>1057</v>
      </c>
      <c r="F1837" s="4">
        <v>44854.68666666667</v>
      </c>
      <c r="G1837" s="3" t="str">
        <f t="shared" si="145"/>
        <v/>
      </c>
      <c r="H1837" s="1" t="s">
        <v>1058</v>
      </c>
      <c r="I1837" s="1" t="s">
        <v>1071</v>
      </c>
      <c r="J1837" s="1" t="s">
        <v>26</v>
      </c>
      <c r="K1837" s="1" t="s">
        <v>1312</v>
      </c>
      <c r="L1837" s="1" t="s">
        <v>26</v>
      </c>
      <c r="M1837" s="1" t="s">
        <v>27</v>
      </c>
      <c r="N1837" s="1" t="s">
        <v>26</v>
      </c>
      <c r="O1837" s="1" t="s">
        <v>26</v>
      </c>
      <c r="P1837" s="4">
        <v>44854.68667824074</v>
      </c>
    </row>
    <row r="1838" hidden="1">
      <c r="A1838" s="1" t="s">
        <v>1055</v>
      </c>
      <c r="B1838" s="3" t="str">
        <f>HYPERLINK("https://hawk-eye.atlassian.net/browse/HWKREPORT-1603?atlOrigin=eyJpIjoiYzgwYTQ0ZjEyNzQzNGJhN2JmNjEyZTM0NmRhZWZhNjIiLCJwIjoic2hlZXRzLWppcmEifQ","HWKREPORT-1603")</f>
        <v>HWKREPORT-1603</v>
      </c>
      <c r="C1838" s="1" t="s">
        <v>3093</v>
      </c>
      <c r="D1838" s="1" t="s">
        <v>23</v>
      </c>
      <c r="E1838" s="1" t="s">
        <v>1057</v>
      </c>
      <c r="F1838" s="4">
        <v>44854.69734953704</v>
      </c>
      <c r="G1838" s="3" t="str">
        <f t="shared" si="145"/>
        <v/>
      </c>
      <c r="H1838" s="1" t="s">
        <v>1058</v>
      </c>
      <c r="I1838" s="1" t="s">
        <v>1071</v>
      </c>
      <c r="J1838" s="1" t="s">
        <v>26</v>
      </c>
      <c r="K1838" s="1" t="s">
        <v>3094</v>
      </c>
      <c r="L1838" s="1" t="s">
        <v>26</v>
      </c>
      <c r="M1838" s="1" t="s">
        <v>27</v>
      </c>
      <c r="N1838" s="1" t="s">
        <v>26</v>
      </c>
      <c r="O1838" s="1" t="s">
        <v>26</v>
      </c>
      <c r="P1838" s="4">
        <v>44854.69736111111</v>
      </c>
    </row>
    <row r="1839" hidden="1">
      <c r="A1839" s="1" t="s">
        <v>1055</v>
      </c>
      <c r="B1839" s="3" t="str">
        <f>HYPERLINK("https://hawk-eye.atlassian.net/browse/HWKREPORT-1604?atlOrigin=eyJpIjoiYzgwYTQ0ZjEyNzQzNGJhN2JmNjEyZTM0NmRhZWZhNjIiLCJwIjoic2hlZXRzLWppcmEifQ","HWKREPORT-1604")</f>
        <v>HWKREPORT-1604</v>
      </c>
      <c r="C1839" s="1" t="s">
        <v>3095</v>
      </c>
      <c r="D1839" s="1" t="s">
        <v>23</v>
      </c>
      <c r="E1839" s="1" t="s">
        <v>1207</v>
      </c>
      <c r="F1839" s="4">
        <v>44855.73535879629</v>
      </c>
      <c r="G1839" s="3" t="str">
        <f>HYPERLINK("https://hawk-eye.atlassian.net/browse/RTT-5444?atlOrigin=eyJpIjoiYzgwYTQ0ZjEyNzQzNGJhN2JmNjEyZTM0NmRhZWZhNjIiLCJwIjoic2hlZXRzLWppcmEifQ","RTT-5444")</f>
        <v>RTT-5444</v>
      </c>
      <c r="H1839" s="1" t="s">
        <v>1058</v>
      </c>
      <c r="I1839" s="1" t="s">
        <v>1126</v>
      </c>
      <c r="J1839" s="1" t="s">
        <v>26</v>
      </c>
      <c r="K1839" s="1" t="s">
        <v>1127</v>
      </c>
      <c r="L1839" s="1" t="s">
        <v>26</v>
      </c>
      <c r="M1839" s="1" t="s">
        <v>27</v>
      </c>
      <c r="N1839" s="1" t="s">
        <v>26</v>
      </c>
      <c r="O1839" s="1" t="s">
        <v>26</v>
      </c>
      <c r="P1839" s="4">
        <v>44929.4184837963</v>
      </c>
    </row>
    <row r="1840" hidden="1">
      <c r="A1840" s="1" t="s">
        <v>1055</v>
      </c>
      <c r="B1840" s="3" t="str">
        <f>HYPERLINK("https://hawk-eye.atlassian.net/browse/HWKREPORT-1605?atlOrigin=eyJpIjoiYzgwYTQ0ZjEyNzQzNGJhN2JmNjEyZTM0NmRhZWZhNjIiLCJwIjoic2hlZXRzLWppcmEifQ","HWKREPORT-1605")</f>
        <v>HWKREPORT-1605</v>
      </c>
      <c r="C1840" s="1" t="s">
        <v>3096</v>
      </c>
      <c r="D1840" s="1" t="s">
        <v>23</v>
      </c>
      <c r="E1840" s="1" t="s">
        <v>1057</v>
      </c>
      <c r="F1840" s="4">
        <v>44858.47457175926</v>
      </c>
      <c r="G1840" s="3" t="str">
        <f t="shared" ref="G1840:G1841" si="146">HYPERLINK("https://hawk-eye.atlassian.net/browse/?atlOrigin=eyJpIjoiYzgwYTQ0ZjEyNzQzNGJhN2JmNjEyZTM0NmRhZWZhNjIiLCJwIjoic2hlZXRzLWppcmEifQ","")</f>
        <v/>
      </c>
      <c r="H1840" s="1" t="s">
        <v>1058</v>
      </c>
      <c r="I1840" s="1" t="s">
        <v>1085</v>
      </c>
      <c r="J1840" s="1" t="s">
        <v>26</v>
      </c>
      <c r="K1840" s="1" t="s">
        <v>1114</v>
      </c>
      <c r="L1840" s="1" t="s">
        <v>26</v>
      </c>
      <c r="M1840" s="1" t="s">
        <v>27</v>
      </c>
      <c r="N1840" s="1" t="s">
        <v>26</v>
      </c>
      <c r="O1840" s="1" t="s">
        <v>26</v>
      </c>
      <c r="P1840" s="4">
        <v>44858.474583333336</v>
      </c>
    </row>
    <row r="1841" hidden="1">
      <c r="A1841" s="1" t="s">
        <v>1055</v>
      </c>
      <c r="B1841" s="3" t="str">
        <f>HYPERLINK("https://hawk-eye.atlassian.net/browse/HWKREPORT-1606?atlOrigin=eyJpIjoiYzgwYTQ0ZjEyNzQzNGJhN2JmNjEyZTM0NmRhZWZhNjIiLCJwIjoic2hlZXRzLWppcmEifQ","HWKREPORT-1606")</f>
        <v>HWKREPORT-1606</v>
      </c>
      <c r="C1841" s="1" t="s">
        <v>3097</v>
      </c>
      <c r="D1841" s="1" t="s">
        <v>23</v>
      </c>
      <c r="E1841" s="1" t="s">
        <v>1057</v>
      </c>
      <c r="F1841" s="4">
        <v>44858.47641203704</v>
      </c>
      <c r="G1841" s="3" t="str">
        <f t="shared" si="146"/>
        <v/>
      </c>
      <c r="H1841" s="1" t="s">
        <v>1058</v>
      </c>
      <c r="I1841" s="1" t="s">
        <v>1085</v>
      </c>
      <c r="J1841" s="1" t="s">
        <v>26</v>
      </c>
      <c r="K1841" s="1" t="s">
        <v>1114</v>
      </c>
      <c r="L1841" s="1" t="s">
        <v>26</v>
      </c>
      <c r="M1841" s="1" t="s">
        <v>27</v>
      </c>
      <c r="N1841" s="1" t="s">
        <v>26</v>
      </c>
      <c r="O1841" s="1" t="s">
        <v>26</v>
      </c>
      <c r="P1841" s="4">
        <v>44858.47641203704</v>
      </c>
    </row>
    <row r="1842" hidden="1">
      <c r="A1842" s="1" t="s">
        <v>1055</v>
      </c>
      <c r="B1842" s="3" t="str">
        <f>HYPERLINK("https://hawk-eye.atlassian.net/browse/HWKREPORT-1607?atlOrigin=eyJpIjoiYzgwYTQ0ZjEyNzQzNGJhN2JmNjEyZTM0NmRhZWZhNjIiLCJwIjoic2hlZXRzLWppcmEifQ","HWKREPORT-1607")</f>
        <v>HWKREPORT-1607</v>
      </c>
      <c r="C1842" s="1" t="s">
        <v>3098</v>
      </c>
      <c r="D1842" s="1" t="s">
        <v>23</v>
      </c>
      <c r="E1842" s="1" t="s">
        <v>35</v>
      </c>
      <c r="F1842" s="4">
        <v>44858.47775462963</v>
      </c>
      <c r="G1842" s="3" t="str">
        <f>HYPERLINK("https://hawk-eye.atlassian.net/browse/GT-653?atlOrigin=eyJpIjoiYzgwYTQ0ZjEyNzQzNGJhN2JmNjEyZTM0NmRhZWZhNjIiLCJwIjoic2hlZXRzLWppcmEifQ","GT-653")</f>
        <v>GT-653</v>
      </c>
      <c r="H1842" s="1" t="s">
        <v>1058</v>
      </c>
      <c r="I1842" s="1" t="s">
        <v>1085</v>
      </c>
      <c r="J1842" s="1" t="s">
        <v>26</v>
      </c>
      <c r="K1842" s="1" t="s">
        <v>1114</v>
      </c>
      <c r="L1842" s="1" t="s">
        <v>26</v>
      </c>
      <c r="M1842" s="1" t="s">
        <v>27</v>
      </c>
      <c r="N1842" s="1" t="s">
        <v>26</v>
      </c>
      <c r="O1842" s="1" t="s">
        <v>26</v>
      </c>
      <c r="P1842" s="4">
        <v>44869.73758101852</v>
      </c>
    </row>
    <row r="1843" hidden="1">
      <c r="A1843" s="1" t="s">
        <v>1055</v>
      </c>
      <c r="B1843" s="3" t="str">
        <f>HYPERLINK("https://hawk-eye.atlassian.net/browse/HWKREPORT-1608?atlOrigin=eyJpIjoiYzgwYTQ0ZjEyNzQzNGJhN2JmNjEyZTM0NmRhZWZhNjIiLCJwIjoic2hlZXRzLWppcmEifQ","HWKREPORT-1608")</f>
        <v>HWKREPORT-1608</v>
      </c>
      <c r="C1843" s="1" t="s">
        <v>3099</v>
      </c>
      <c r="D1843" s="1" t="s">
        <v>23</v>
      </c>
      <c r="E1843" s="1" t="s">
        <v>35</v>
      </c>
      <c r="F1843" s="4">
        <v>44858.47965277778</v>
      </c>
      <c r="G1843" s="3" t="str">
        <f>HYPERLINK("https://hawk-eye.atlassian.net/browse/GT-509?atlOrigin=eyJpIjoiYzgwYTQ0ZjEyNzQzNGJhN2JmNjEyZTM0NmRhZWZhNjIiLCJwIjoic2hlZXRzLWppcmEifQ","GT-509")</f>
        <v>GT-509</v>
      </c>
      <c r="H1843" s="1" t="s">
        <v>1058</v>
      </c>
      <c r="I1843" s="1" t="s">
        <v>1085</v>
      </c>
      <c r="J1843" s="1" t="s">
        <v>26</v>
      </c>
      <c r="K1843" s="1" t="s">
        <v>1114</v>
      </c>
      <c r="L1843" s="1" t="s">
        <v>26</v>
      </c>
      <c r="M1843" s="1" t="s">
        <v>27</v>
      </c>
      <c r="N1843" s="1" t="s">
        <v>26</v>
      </c>
      <c r="O1843" s="1" t="s">
        <v>26</v>
      </c>
      <c r="P1843" s="4">
        <v>44869.742581018516</v>
      </c>
    </row>
    <row r="1844" hidden="1">
      <c r="A1844" s="1" t="s">
        <v>21</v>
      </c>
      <c r="B1844" s="3" t="str">
        <f>HYPERLINK("https://hawk-eye.atlassian.net/browse/HWKREPORT-1609?atlOrigin=eyJpIjoiYzgwYTQ0ZjEyNzQzNGJhN2JmNjEyZTM0NmRhZWZhNjIiLCJwIjoic2hlZXRzLWppcmEifQ","HWKREPORT-1609")</f>
        <v>HWKREPORT-1609</v>
      </c>
      <c r="C1844" s="1" t="s">
        <v>3100</v>
      </c>
      <c r="D1844" s="1" t="s">
        <v>23</v>
      </c>
      <c r="E1844" s="1" t="s">
        <v>35</v>
      </c>
      <c r="F1844" s="4">
        <v>44858.487442129626</v>
      </c>
      <c r="G1844" s="3" t="str">
        <f>HYPERLINK("https://hawk-eye.atlassian.net/browse/GT-664?atlOrigin=eyJpIjoiYzgwYTQ0ZjEyNzQzNGJhN2JmNjEyZTM0NmRhZWZhNjIiLCJwIjoic2hlZXRzLWppcmEifQ","GT-664")</f>
        <v>GT-664</v>
      </c>
      <c r="H1844" s="1" t="s">
        <v>1058</v>
      </c>
      <c r="I1844" s="1" t="s">
        <v>1085</v>
      </c>
      <c r="J1844" s="1" t="s">
        <v>26</v>
      </c>
      <c r="K1844" s="1" t="s">
        <v>1114</v>
      </c>
      <c r="L1844" s="1" t="s">
        <v>26</v>
      </c>
      <c r="M1844" s="1" t="s">
        <v>27</v>
      </c>
      <c r="N1844" s="1" t="s">
        <v>26</v>
      </c>
      <c r="O1844" s="1" t="s">
        <v>26</v>
      </c>
      <c r="P1844" s="4">
        <v>44901.58136574074</v>
      </c>
    </row>
    <row r="1845" hidden="1">
      <c r="A1845" s="1" t="s">
        <v>1055</v>
      </c>
      <c r="B1845" s="3" t="str">
        <f>HYPERLINK("https://hawk-eye.atlassian.net/browse/HWKREPORT-1610?atlOrigin=eyJpIjoiYzgwYTQ0ZjEyNzQzNGJhN2JmNjEyZTM0NmRhZWZhNjIiLCJwIjoic2hlZXRzLWppcmEifQ","HWKREPORT-1610")</f>
        <v>HWKREPORT-1610</v>
      </c>
      <c r="C1845" s="1" t="s">
        <v>3101</v>
      </c>
      <c r="D1845" s="1" t="s">
        <v>23</v>
      </c>
      <c r="E1845" s="1" t="s">
        <v>1057</v>
      </c>
      <c r="F1845" s="4">
        <v>44858.50146990741</v>
      </c>
      <c r="G1845" s="3" t="str">
        <f>HYPERLINK("https://hawk-eye.atlassian.net/browse/?atlOrigin=eyJpIjoiYzgwYTQ0ZjEyNzQzNGJhN2JmNjEyZTM0NmRhZWZhNjIiLCJwIjoic2hlZXRzLWppcmEifQ","")</f>
        <v/>
      </c>
      <c r="H1845" s="1" t="s">
        <v>1058</v>
      </c>
      <c r="I1845" s="1" t="s">
        <v>1085</v>
      </c>
      <c r="J1845" s="1" t="s">
        <v>26</v>
      </c>
      <c r="K1845" s="1" t="s">
        <v>1114</v>
      </c>
      <c r="L1845" s="1" t="s">
        <v>26</v>
      </c>
      <c r="M1845" s="1" t="s">
        <v>27</v>
      </c>
      <c r="N1845" s="1" t="s">
        <v>26</v>
      </c>
      <c r="O1845" s="1" t="s">
        <v>26</v>
      </c>
      <c r="P1845" s="4">
        <v>44858.50146990741</v>
      </c>
    </row>
    <row r="1846" hidden="1">
      <c r="A1846" s="1" t="s">
        <v>21</v>
      </c>
      <c r="B1846" s="3" t="str">
        <f>HYPERLINK("https://hawk-eye.atlassian.net/browse/HWKREPORT-1611?atlOrigin=eyJpIjoiYzgwYTQ0ZjEyNzQzNGJhN2JmNjEyZTM0NmRhZWZhNjIiLCJwIjoic2hlZXRzLWppcmEifQ","HWKREPORT-1611")</f>
        <v>HWKREPORT-1611</v>
      </c>
      <c r="C1846" s="1" t="s">
        <v>3102</v>
      </c>
      <c r="D1846" s="1" t="s">
        <v>40</v>
      </c>
      <c r="E1846" s="1" t="s">
        <v>35</v>
      </c>
      <c r="F1846" s="4">
        <v>44858.504016203704</v>
      </c>
      <c r="G1846" s="3" t="str">
        <f>HYPERLINK("https://hawk-eye.atlassian.net/browse/GT-663?atlOrigin=eyJpIjoiYzgwYTQ0ZjEyNzQzNGJhN2JmNjEyZTM0NmRhZWZhNjIiLCJwIjoic2hlZXRzLWppcmEifQ","GT-663")</f>
        <v>GT-663</v>
      </c>
      <c r="H1846" s="1" t="s">
        <v>1058</v>
      </c>
      <c r="I1846" s="1" t="s">
        <v>1085</v>
      </c>
      <c r="J1846" s="1" t="s">
        <v>26</v>
      </c>
      <c r="K1846" s="1" t="s">
        <v>1114</v>
      </c>
      <c r="L1846" s="1" t="s">
        <v>26</v>
      </c>
      <c r="M1846" s="1" t="s">
        <v>27</v>
      </c>
      <c r="N1846" s="1" t="s">
        <v>26</v>
      </c>
      <c r="O1846" s="1" t="s">
        <v>26</v>
      </c>
      <c r="P1846" s="4">
        <v>45337.68167824074</v>
      </c>
    </row>
    <row r="1847" hidden="1">
      <c r="A1847" s="1" t="s">
        <v>1055</v>
      </c>
      <c r="B1847" s="3" t="str">
        <f>HYPERLINK("https://hawk-eye.atlassian.net/browse/HWKREPORT-1612?atlOrigin=eyJpIjoiYzgwYTQ0ZjEyNzQzNGJhN2JmNjEyZTM0NmRhZWZhNjIiLCJwIjoic2hlZXRzLWppcmEifQ","HWKREPORT-1612")</f>
        <v>HWKREPORT-1612</v>
      </c>
      <c r="C1847" s="1" t="s">
        <v>3103</v>
      </c>
      <c r="D1847" s="1" t="s">
        <v>23</v>
      </c>
      <c r="E1847" s="1" t="s">
        <v>35</v>
      </c>
      <c r="F1847" s="4">
        <v>44858.50864583333</v>
      </c>
      <c r="G1847" s="3" t="str">
        <f>HYPERLINK("https://hawk-eye.atlassian.net/browse/GT-662?atlOrigin=eyJpIjoiYzgwYTQ0ZjEyNzQzNGJhN2JmNjEyZTM0NmRhZWZhNjIiLCJwIjoic2hlZXRzLWppcmEifQ","GT-662")</f>
        <v>GT-662</v>
      </c>
      <c r="H1847" s="1" t="s">
        <v>1058</v>
      </c>
      <c r="I1847" s="1" t="s">
        <v>1085</v>
      </c>
      <c r="J1847" s="1" t="s">
        <v>26</v>
      </c>
      <c r="K1847" s="1" t="s">
        <v>1114</v>
      </c>
      <c r="L1847" s="1" t="s">
        <v>26</v>
      </c>
      <c r="M1847" s="1" t="s">
        <v>27</v>
      </c>
      <c r="N1847" s="1" t="s">
        <v>26</v>
      </c>
      <c r="O1847" s="1" t="s">
        <v>26</v>
      </c>
      <c r="P1847" s="4">
        <v>44881.480162037034</v>
      </c>
    </row>
    <row r="1848" hidden="1">
      <c r="A1848" s="1" t="s">
        <v>21</v>
      </c>
      <c r="B1848" s="3" t="str">
        <f>HYPERLINK("https://hawk-eye.atlassian.net/browse/HWKREPORT-1613?atlOrigin=eyJpIjoiYzgwYTQ0ZjEyNzQzNGJhN2JmNjEyZTM0NmRhZWZhNjIiLCJwIjoic2hlZXRzLWppcmEifQ","HWKREPORT-1613")</f>
        <v>HWKREPORT-1613</v>
      </c>
      <c r="C1848" s="1" t="s">
        <v>3104</v>
      </c>
      <c r="D1848" s="1" t="s">
        <v>83</v>
      </c>
      <c r="E1848" s="1" t="s">
        <v>1057</v>
      </c>
      <c r="F1848" s="4">
        <v>44858.51359953704</v>
      </c>
      <c r="G1848" s="3" t="str">
        <f>HYPERLINK("https://hawk-eye.atlassian.net/browse/GT-690?atlOrigin=eyJpIjoiYzgwYTQ0ZjEyNzQzNGJhN2JmNjEyZTM0NmRhZWZhNjIiLCJwIjoic2hlZXRzLWppcmEifQ","GT-690")</f>
        <v>GT-690</v>
      </c>
      <c r="H1848" s="1" t="s">
        <v>1058</v>
      </c>
      <c r="I1848" s="1" t="s">
        <v>1085</v>
      </c>
      <c r="J1848" s="1" t="s">
        <v>26</v>
      </c>
      <c r="K1848" s="1" t="s">
        <v>1114</v>
      </c>
      <c r="L1848" s="1" t="s">
        <v>26</v>
      </c>
      <c r="M1848" s="1" t="s">
        <v>27</v>
      </c>
      <c r="N1848" s="1" t="s">
        <v>26</v>
      </c>
      <c r="O1848" s="1" t="s">
        <v>26</v>
      </c>
      <c r="P1848" s="4">
        <v>44858.51361111111</v>
      </c>
    </row>
    <row r="1849" hidden="1">
      <c r="A1849" s="1" t="s">
        <v>1055</v>
      </c>
      <c r="B1849" s="3" t="str">
        <f>HYPERLINK("https://hawk-eye.atlassian.net/browse/HWKREPORT-1614?atlOrigin=eyJpIjoiYzgwYTQ0ZjEyNzQzNGJhN2JmNjEyZTM0NmRhZWZhNjIiLCJwIjoic2hlZXRzLWppcmEifQ","HWKREPORT-1614")</f>
        <v>HWKREPORT-1614</v>
      </c>
      <c r="C1849" s="1" t="s">
        <v>3105</v>
      </c>
      <c r="D1849" s="1" t="s">
        <v>23</v>
      </c>
      <c r="E1849" s="1" t="s">
        <v>1057</v>
      </c>
      <c r="F1849" s="4">
        <v>44858.5180787037</v>
      </c>
      <c r="G1849" s="3" t="str">
        <f t="shared" ref="G1849:G1850" si="147">HYPERLINK("https://hawk-eye.atlassian.net/browse/?atlOrigin=eyJpIjoiYzgwYTQ0ZjEyNzQzNGJhN2JmNjEyZTM0NmRhZWZhNjIiLCJwIjoic2hlZXRzLWppcmEifQ","")</f>
        <v/>
      </c>
      <c r="H1849" s="1" t="s">
        <v>1058</v>
      </c>
      <c r="I1849" s="1" t="s">
        <v>1085</v>
      </c>
      <c r="J1849" s="1" t="s">
        <v>26</v>
      </c>
      <c r="K1849" s="1" t="s">
        <v>1114</v>
      </c>
      <c r="L1849" s="1" t="s">
        <v>26</v>
      </c>
      <c r="M1849" s="1" t="s">
        <v>27</v>
      </c>
      <c r="N1849" s="1" t="s">
        <v>26</v>
      </c>
      <c r="O1849" s="1" t="s">
        <v>26</v>
      </c>
      <c r="P1849" s="4">
        <v>44858.5180787037</v>
      </c>
    </row>
    <row r="1850" hidden="1">
      <c r="A1850" s="1" t="s">
        <v>1055</v>
      </c>
      <c r="B1850" s="3" t="str">
        <f>HYPERLINK("https://hawk-eye.atlassian.net/browse/HWKREPORT-1615?atlOrigin=eyJpIjoiYzgwYTQ0ZjEyNzQzNGJhN2JmNjEyZTM0NmRhZWZhNjIiLCJwIjoic2hlZXRzLWppcmEifQ","HWKREPORT-1615")</f>
        <v>HWKREPORT-1615</v>
      </c>
      <c r="C1850" s="1" t="s">
        <v>3106</v>
      </c>
      <c r="D1850" s="1" t="s">
        <v>23</v>
      </c>
      <c r="E1850" s="1" t="s">
        <v>1057</v>
      </c>
      <c r="F1850" s="4">
        <v>44858.518854166665</v>
      </c>
      <c r="G1850" s="3" t="str">
        <f t="shared" si="147"/>
        <v/>
      </c>
      <c r="H1850" s="1" t="s">
        <v>1058</v>
      </c>
      <c r="I1850" s="1" t="s">
        <v>1085</v>
      </c>
      <c r="J1850" s="1" t="s">
        <v>26</v>
      </c>
      <c r="K1850" s="1" t="s">
        <v>1114</v>
      </c>
      <c r="L1850" s="1" t="s">
        <v>26</v>
      </c>
      <c r="M1850" s="1" t="s">
        <v>27</v>
      </c>
      <c r="N1850" s="1" t="s">
        <v>26</v>
      </c>
      <c r="O1850" s="1" t="s">
        <v>26</v>
      </c>
      <c r="P1850" s="4">
        <v>44858.518854166665</v>
      </c>
    </row>
    <row r="1851" hidden="1">
      <c r="A1851" s="1" t="s">
        <v>21</v>
      </c>
      <c r="B1851" s="3" t="str">
        <f>HYPERLINK("https://hawk-eye.atlassian.net/browse/HWKREPORT-1616?atlOrigin=eyJpIjoiYzgwYTQ0ZjEyNzQzNGJhN2JmNjEyZTM0NmRhZWZhNjIiLCJwIjoic2hlZXRzLWppcmEifQ","HWKREPORT-1616")</f>
        <v>HWKREPORT-1616</v>
      </c>
      <c r="C1851" s="1" t="s">
        <v>3107</v>
      </c>
      <c r="D1851" s="1" t="s">
        <v>34</v>
      </c>
      <c r="E1851" s="1" t="s">
        <v>35</v>
      </c>
      <c r="F1851" s="4">
        <v>44858.57619212963</v>
      </c>
      <c r="G1851" s="3" t="str">
        <f>HYPERLINK("https://hawk-eye.atlassian.net/browse/RTT-5446?atlOrigin=eyJpIjoiYzgwYTQ0ZjEyNzQzNGJhN2JmNjEyZTM0NmRhZWZhNjIiLCJwIjoic2hlZXRzLWppcmEifQ","RTT-5446")</f>
        <v>RTT-5446</v>
      </c>
      <c r="H1851" s="1" t="s">
        <v>1058</v>
      </c>
      <c r="I1851" s="1" t="s">
        <v>1085</v>
      </c>
      <c r="J1851" s="1" t="s">
        <v>26</v>
      </c>
      <c r="K1851" s="1" t="s">
        <v>1072</v>
      </c>
      <c r="L1851" s="1" t="s">
        <v>26</v>
      </c>
      <c r="M1851" s="1" t="s">
        <v>27</v>
      </c>
      <c r="N1851" s="1" t="s">
        <v>26</v>
      </c>
      <c r="O1851" s="1" t="s">
        <v>26</v>
      </c>
      <c r="P1851" s="4">
        <v>44911.87599537037</v>
      </c>
    </row>
    <row r="1852" hidden="1">
      <c r="A1852" s="1" t="s">
        <v>21</v>
      </c>
      <c r="B1852" s="3" t="str">
        <f>HYPERLINK("https://hawk-eye.atlassian.net/browse/HWKREPORT-1617?atlOrigin=eyJpIjoiYzgwYTQ0ZjEyNzQzNGJhN2JmNjEyZTM0NmRhZWZhNjIiLCJwIjoic2hlZXRzLWppcmEifQ","HWKREPORT-1617")</f>
        <v>HWKREPORT-1617</v>
      </c>
      <c r="C1852" s="1" t="s">
        <v>3108</v>
      </c>
      <c r="D1852" s="1" t="s">
        <v>40</v>
      </c>
      <c r="E1852" s="1" t="s">
        <v>35</v>
      </c>
      <c r="F1852" s="4">
        <v>44858.60943287037</v>
      </c>
      <c r="G1852" s="3" t="str">
        <f>HYPERLINK("https://hawk-eye.atlassian.net/browse/RTT-5404?atlOrigin=eyJpIjoiYzgwYTQ0ZjEyNzQzNGJhN2JmNjEyZTM0NmRhZWZhNjIiLCJwIjoic2hlZXRzLWppcmEifQ","RTT-5404")</f>
        <v>RTT-5404</v>
      </c>
      <c r="H1852" s="1" t="s">
        <v>1058</v>
      </c>
      <c r="I1852" s="1" t="s">
        <v>1085</v>
      </c>
      <c r="J1852" s="1" t="s">
        <v>26</v>
      </c>
      <c r="K1852" s="1" t="s">
        <v>1072</v>
      </c>
      <c r="L1852" s="1" t="s">
        <v>26</v>
      </c>
      <c r="M1852" s="1" t="s">
        <v>27</v>
      </c>
      <c r="N1852" s="1" t="s">
        <v>26</v>
      </c>
      <c r="O1852" s="1" t="s">
        <v>26</v>
      </c>
      <c r="P1852" s="4">
        <v>44957.717939814815</v>
      </c>
    </row>
    <row r="1853" hidden="1">
      <c r="A1853" s="1" t="s">
        <v>21</v>
      </c>
      <c r="B1853" s="3" t="str">
        <f>HYPERLINK("https://hawk-eye.atlassian.net/browse/HWKREPORT-1618?atlOrigin=eyJpIjoiYzgwYTQ0ZjEyNzQzNGJhN2JmNjEyZTM0NmRhZWZhNjIiLCJwIjoic2hlZXRzLWppcmEifQ","HWKREPORT-1618")</f>
        <v>HWKREPORT-1618</v>
      </c>
      <c r="C1853" s="1" t="s">
        <v>3109</v>
      </c>
      <c r="D1853" s="1" t="s">
        <v>34</v>
      </c>
      <c r="E1853" s="1" t="s">
        <v>35</v>
      </c>
      <c r="F1853" s="4">
        <v>44858.61722222222</v>
      </c>
      <c r="G1853" s="3" t="str">
        <f>HYPERLINK("https://hawk-eye.atlassian.net/browse/RTT-5441?atlOrigin=eyJpIjoiYzgwYTQ0ZjEyNzQzNGJhN2JmNjEyZTM0NmRhZWZhNjIiLCJwIjoic2hlZXRzLWppcmEifQ","RTT-5441")</f>
        <v>RTT-5441</v>
      </c>
      <c r="H1853" s="1" t="s">
        <v>1058</v>
      </c>
      <c r="I1853" s="1" t="s">
        <v>1085</v>
      </c>
      <c r="J1853" s="1" t="s">
        <v>26</v>
      </c>
      <c r="K1853" s="1" t="s">
        <v>1072</v>
      </c>
      <c r="L1853" s="1" t="s">
        <v>26</v>
      </c>
      <c r="M1853" s="1" t="s">
        <v>27</v>
      </c>
      <c r="N1853" s="1" t="s">
        <v>26</v>
      </c>
      <c r="O1853" s="1" t="s">
        <v>26</v>
      </c>
      <c r="P1853" s="4">
        <v>44957.717881944445</v>
      </c>
    </row>
    <row r="1854" hidden="1">
      <c r="A1854" s="1" t="s">
        <v>21</v>
      </c>
      <c r="B1854" s="3" t="str">
        <f>HYPERLINK("https://hawk-eye.atlassian.net/browse/HWKREPORT-1619?atlOrigin=eyJpIjoiYzgwYTQ0ZjEyNzQzNGJhN2JmNjEyZTM0NmRhZWZhNjIiLCJwIjoic2hlZXRzLWppcmEifQ","HWKREPORT-1619")</f>
        <v>HWKREPORT-1619</v>
      </c>
      <c r="C1854" s="1" t="s">
        <v>3110</v>
      </c>
      <c r="D1854" s="1" t="s">
        <v>34</v>
      </c>
      <c r="E1854" s="1" t="s">
        <v>1207</v>
      </c>
      <c r="F1854" s="4">
        <v>44858.62540509259</v>
      </c>
      <c r="G1854" s="3" t="str">
        <f>HYPERLINK("https://hawk-eye.atlassian.net/browse/AL-521?atlOrigin=eyJpIjoiYzgwYTQ0ZjEyNzQzNGJhN2JmNjEyZTM0NmRhZWZhNjIiLCJwIjoic2hlZXRzLWppcmEifQ","AL-521")</f>
        <v>AL-521</v>
      </c>
      <c r="H1854" s="1" t="s">
        <v>1058</v>
      </c>
      <c r="I1854" s="1" t="s">
        <v>1085</v>
      </c>
      <c r="J1854" s="1" t="s">
        <v>26</v>
      </c>
      <c r="K1854" s="1" t="s">
        <v>3111</v>
      </c>
      <c r="L1854" s="1" t="s">
        <v>26</v>
      </c>
      <c r="M1854" s="1" t="s">
        <v>27</v>
      </c>
      <c r="N1854" s="1" t="s">
        <v>26</v>
      </c>
      <c r="O1854" s="1" t="s">
        <v>26</v>
      </c>
      <c r="P1854" s="4">
        <v>44929.4184837963</v>
      </c>
    </row>
    <row r="1855" hidden="1">
      <c r="A1855" s="1" t="s">
        <v>1055</v>
      </c>
      <c r="B1855" s="3" t="str">
        <f>HYPERLINK("https://hawk-eye.atlassian.net/browse/HWKREPORT-1620?atlOrigin=eyJpIjoiYzgwYTQ0ZjEyNzQzNGJhN2JmNjEyZTM0NmRhZWZhNjIiLCJwIjoic2hlZXRzLWppcmEifQ","HWKREPORT-1620")</f>
        <v>HWKREPORT-1620</v>
      </c>
      <c r="C1855" s="1" t="s">
        <v>3112</v>
      </c>
      <c r="D1855" s="1" t="s">
        <v>23</v>
      </c>
      <c r="E1855" s="1" t="s">
        <v>35</v>
      </c>
      <c r="F1855" s="4">
        <v>44858.62695601852</v>
      </c>
      <c r="G1855" s="3" t="str">
        <f>HYPERLINK("https://hawk-eye.atlassian.net/browse/?atlOrigin=eyJpIjoiYzgwYTQ0ZjEyNzQzNGJhN2JmNjEyZTM0NmRhZWZhNjIiLCJwIjoic2hlZXRzLWppcmEifQ","")</f>
        <v/>
      </c>
      <c r="H1855" s="1" t="s">
        <v>1058</v>
      </c>
      <c r="I1855" s="1" t="s">
        <v>1085</v>
      </c>
      <c r="J1855" s="1" t="s">
        <v>26</v>
      </c>
      <c r="K1855" s="1" t="s">
        <v>26</v>
      </c>
      <c r="L1855" s="1" t="s">
        <v>26</v>
      </c>
      <c r="M1855" s="1" t="s">
        <v>27</v>
      </c>
      <c r="N1855" s="1" t="s">
        <v>26</v>
      </c>
      <c r="O1855" s="1" t="s">
        <v>26</v>
      </c>
      <c r="P1855" s="4">
        <v>44957.712789351855</v>
      </c>
    </row>
    <row r="1856" hidden="1">
      <c r="A1856" s="1" t="s">
        <v>1055</v>
      </c>
      <c r="B1856" s="3" t="str">
        <f>HYPERLINK("https://hawk-eye.atlassian.net/browse/HWKREPORT-1621?atlOrigin=eyJpIjoiYzgwYTQ0ZjEyNzQzNGJhN2JmNjEyZTM0NmRhZWZhNjIiLCJwIjoic2hlZXRzLWppcmEifQ","HWKREPORT-1621")</f>
        <v>HWKREPORT-1621</v>
      </c>
      <c r="C1856" s="1" t="s">
        <v>3113</v>
      </c>
      <c r="D1856" s="1" t="s">
        <v>23</v>
      </c>
      <c r="E1856" s="1" t="s">
        <v>35</v>
      </c>
      <c r="F1856" s="4">
        <v>44859.90258101852</v>
      </c>
      <c r="G1856" s="3" t="str">
        <f>HYPERLINK("https://hawk-eye.atlassian.net/browse/RTT-5474?atlOrigin=eyJpIjoiYzgwYTQ0ZjEyNzQzNGJhN2JmNjEyZTM0NmRhZWZhNjIiLCJwIjoic2hlZXRzLWppcmEifQ","RTT-5474")</f>
        <v>RTT-5474</v>
      </c>
      <c r="H1856" s="1" t="s">
        <v>1058</v>
      </c>
      <c r="I1856" s="1" t="s">
        <v>1059</v>
      </c>
      <c r="J1856" s="1" t="s">
        <v>26</v>
      </c>
      <c r="K1856" s="1" t="s">
        <v>1072</v>
      </c>
      <c r="L1856" s="1" t="s">
        <v>26</v>
      </c>
      <c r="M1856" s="1" t="s">
        <v>27</v>
      </c>
      <c r="N1856" s="1" t="s">
        <v>26</v>
      </c>
      <c r="O1856" s="1" t="s">
        <v>26</v>
      </c>
      <c r="P1856" s="4">
        <v>44965.43680555555</v>
      </c>
    </row>
    <row r="1857" hidden="1">
      <c r="A1857" s="1" t="s">
        <v>21</v>
      </c>
      <c r="B1857" s="3" t="str">
        <f>HYPERLINK("https://hawk-eye.atlassian.net/browse/HWKREPORT-1622?atlOrigin=eyJpIjoiYzgwYTQ0ZjEyNzQzNGJhN2JmNjEyZTM0NmRhZWZhNjIiLCJwIjoic2hlZXRzLWppcmEifQ","HWKREPORT-1622")</f>
        <v>HWKREPORT-1622</v>
      </c>
      <c r="C1857" s="1" t="s">
        <v>3114</v>
      </c>
      <c r="D1857" s="1" t="s">
        <v>23</v>
      </c>
      <c r="E1857" s="1" t="s">
        <v>1207</v>
      </c>
      <c r="F1857" s="4">
        <v>44859.90803240741</v>
      </c>
      <c r="G1857" s="3" t="str">
        <f>HYPERLINK("https://hawk-eye.atlassian.net/browse/RTT-5460?atlOrigin=eyJpIjoiYzgwYTQ0ZjEyNzQzNGJhN2JmNjEyZTM0NmRhZWZhNjIiLCJwIjoic2hlZXRzLWppcmEifQ","RTT-5460")</f>
        <v>RTT-5460</v>
      </c>
      <c r="H1857" s="1" t="s">
        <v>1058</v>
      </c>
      <c r="I1857" s="1" t="s">
        <v>1071</v>
      </c>
      <c r="J1857" s="1" t="s">
        <v>26</v>
      </c>
      <c r="K1857" s="1" t="s">
        <v>1099</v>
      </c>
      <c r="L1857" s="1" t="s">
        <v>26</v>
      </c>
      <c r="M1857" s="1" t="s">
        <v>27</v>
      </c>
      <c r="N1857" s="1" t="s">
        <v>26</v>
      </c>
      <c r="O1857" s="1" t="s">
        <v>26</v>
      </c>
      <c r="P1857" s="4">
        <v>44929.4184837963</v>
      </c>
    </row>
    <row r="1858" hidden="1">
      <c r="A1858" s="1" t="s">
        <v>21</v>
      </c>
      <c r="B1858" s="3" t="str">
        <f>HYPERLINK("https://hawk-eye.atlassian.net/browse/HWKREPORT-1623?atlOrigin=eyJpIjoiYzgwYTQ0ZjEyNzQzNGJhN2JmNjEyZTM0NmRhZWZhNjIiLCJwIjoic2hlZXRzLWppcmEifQ","HWKREPORT-1623")</f>
        <v>HWKREPORT-1623</v>
      </c>
      <c r="C1858" s="1" t="s">
        <v>3115</v>
      </c>
      <c r="D1858" s="1" t="s">
        <v>23</v>
      </c>
      <c r="E1858" s="1" t="s">
        <v>1207</v>
      </c>
      <c r="F1858" s="4">
        <v>44859.91732638889</v>
      </c>
      <c r="G1858" s="3" t="str">
        <f>HYPERLINK("https://hawk-eye.atlassian.net/browse/RTT-5459?atlOrigin=eyJpIjoiYzgwYTQ0ZjEyNzQzNGJhN2JmNjEyZTM0NmRhZWZhNjIiLCJwIjoic2hlZXRzLWppcmEifQ","RTT-5459")</f>
        <v>RTT-5459</v>
      </c>
      <c r="H1858" s="1" t="s">
        <v>1058</v>
      </c>
      <c r="I1858" s="1" t="s">
        <v>1071</v>
      </c>
      <c r="J1858" s="1" t="s">
        <v>26</v>
      </c>
      <c r="K1858" s="1" t="s">
        <v>1099</v>
      </c>
      <c r="L1858" s="1" t="s">
        <v>26</v>
      </c>
      <c r="M1858" s="1" t="s">
        <v>27</v>
      </c>
      <c r="N1858" s="1" t="s">
        <v>26</v>
      </c>
      <c r="O1858" s="1" t="s">
        <v>26</v>
      </c>
      <c r="P1858" s="4">
        <v>44929.4184837963</v>
      </c>
    </row>
    <row r="1859" hidden="1">
      <c r="A1859" s="1" t="s">
        <v>21</v>
      </c>
      <c r="B1859" s="3" t="str">
        <f>HYPERLINK("https://hawk-eye.atlassian.net/browse/HWKREPORT-1624?atlOrigin=eyJpIjoiYzgwYTQ0ZjEyNzQzNGJhN2JmNjEyZTM0NmRhZWZhNjIiLCJwIjoic2hlZXRzLWppcmEifQ","HWKREPORT-1624")</f>
        <v>HWKREPORT-1624</v>
      </c>
      <c r="C1859" s="1" t="s">
        <v>3116</v>
      </c>
      <c r="D1859" s="1" t="s">
        <v>23</v>
      </c>
      <c r="E1859" s="1" t="s">
        <v>1207</v>
      </c>
      <c r="F1859" s="4">
        <v>44859.92013888889</v>
      </c>
      <c r="G1859" s="3" t="str">
        <f>HYPERLINK("https://hawk-eye.atlassian.net/browse/RTT-5458?atlOrigin=eyJpIjoiYzgwYTQ0ZjEyNzQzNGJhN2JmNjEyZTM0NmRhZWZhNjIiLCJwIjoic2hlZXRzLWppcmEifQ","RTT-5458")</f>
        <v>RTT-5458</v>
      </c>
      <c r="H1859" s="1" t="s">
        <v>1058</v>
      </c>
      <c r="I1859" s="1" t="s">
        <v>1071</v>
      </c>
      <c r="J1859" s="1" t="s">
        <v>26</v>
      </c>
      <c r="K1859" s="1" t="s">
        <v>1072</v>
      </c>
      <c r="L1859" s="1" t="s">
        <v>26</v>
      </c>
      <c r="M1859" s="1" t="s">
        <v>27</v>
      </c>
      <c r="N1859" s="1" t="s">
        <v>26</v>
      </c>
      <c r="O1859" s="1" t="s">
        <v>26</v>
      </c>
      <c r="P1859" s="4">
        <v>44929.4184837963</v>
      </c>
    </row>
    <row r="1860" hidden="1">
      <c r="A1860" s="1" t="s">
        <v>21</v>
      </c>
      <c r="B1860" s="3" t="str">
        <f>HYPERLINK("https://hawk-eye.atlassian.net/browse/HWKREPORT-1625?atlOrigin=eyJpIjoiYzgwYTQ0ZjEyNzQzNGJhN2JmNjEyZTM0NmRhZWZhNjIiLCJwIjoic2hlZXRzLWppcmEifQ","HWKREPORT-1625")</f>
        <v>HWKREPORT-1625</v>
      </c>
      <c r="C1860" s="6" t="s">
        <v>3117</v>
      </c>
      <c r="D1860" s="1" t="s">
        <v>23</v>
      </c>
      <c r="E1860" s="1" t="s">
        <v>35</v>
      </c>
      <c r="F1860" s="4">
        <v>44860.41111111111</v>
      </c>
      <c r="G1860" s="3" t="str">
        <f>HYPERLINK("https://hawk-eye.atlassian.net/browse/RTT-5475?atlOrigin=eyJpIjoiYzgwYTQ0ZjEyNzQzNGJhN2JmNjEyZTM0NmRhZWZhNjIiLCJwIjoic2hlZXRzLWppcmEifQ","RTT-5475")</f>
        <v>RTT-5475</v>
      </c>
      <c r="H1860" s="1" t="s">
        <v>1058</v>
      </c>
      <c r="I1860" s="1" t="s">
        <v>1126</v>
      </c>
      <c r="J1860" s="1" t="s">
        <v>26</v>
      </c>
      <c r="K1860" s="1" t="s">
        <v>1072</v>
      </c>
      <c r="L1860" s="1" t="s">
        <v>26</v>
      </c>
      <c r="M1860" s="1" t="s">
        <v>27</v>
      </c>
      <c r="N1860" s="1" t="s">
        <v>26</v>
      </c>
      <c r="O1860" s="1" t="s">
        <v>26</v>
      </c>
      <c r="P1860" s="4">
        <v>44874.59648148148</v>
      </c>
    </row>
    <row r="1861" hidden="1">
      <c r="A1861" s="1" t="s">
        <v>1055</v>
      </c>
      <c r="B1861" s="3" t="str">
        <f>HYPERLINK("https://hawk-eye.atlassian.net/browse/HWKREPORT-1626?atlOrigin=eyJpIjoiYzgwYTQ0ZjEyNzQzNGJhN2JmNjEyZTM0NmRhZWZhNjIiLCJwIjoic2hlZXRzLWppcmEifQ","HWKREPORT-1626")</f>
        <v>HWKREPORT-1626</v>
      </c>
      <c r="C1861" s="6" t="s">
        <v>3118</v>
      </c>
      <c r="D1861" s="1" t="s">
        <v>23</v>
      </c>
      <c r="E1861" s="1" t="s">
        <v>35</v>
      </c>
      <c r="F1861" s="4">
        <v>44861.475902777776</v>
      </c>
      <c r="G1861" s="3" t="str">
        <f>HYPERLINK("https://hawk-eye.atlassian.net/browse/RTT-5473?atlOrigin=eyJpIjoiYzgwYTQ0ZjEyNzQzNGJhN2JmNjEyZTM0NmRhZWZhNjIiLCJwIjoic2hlZXRzLWppcmEifQ","RTT-5473")</f>
        <v>RTT-5473</v>
      </c>
      <c r="H1861" s="1" t="s">
        <v>1058</v>
      </c>
      <c r="I1861" s="1" t="s">
        <v>1126</v>
      </c>
      <c r="J1861" s="1" t="s">
        <v>26</v>
      </c>
      <c r="K1861" s="1" t="s">
        <v>1312</v>
      </c>
      <c r="L1861" s="1" t="s">
        <v>26</v>
      </c>
      <c r="M1861" s="1" t="s">
        <v>27</v>
      </c>
      <c r="N1861" s="1" t="s">
        <v>26</v>
      </c>
      <c r="O1861" s="1" t="s">
        <v>26</v>
      </c>
      <c r="P1861" s="4">
        <v>44939.67773148148</v>
      </c>
    </row>
    <row r="1862" hidden="1">
      <c r="A1862" s="1" t="s">
        <v>21</v>
      </c>
      <c r="B1862" s="3" t="str">
        <f>HYPERLINK("https://hawk-eye.atlassian.net/browse/HWKREPORT-1627?atlOrigin=eyJpIjoiYzgwYTQ0ZjEyNzQzNGJhN2JmNjEyZTM0NmRhZWZhNjIiLCJwIjoic2hlZXRzLWppcmEifQ","HWKREPORT-1627")</f>
        <v>HWKREPORT-1627</v>
      </c>
      <c r="C1862" s="1" t="s">
        <v>3119</v>
      </c>
      <c r="D1862" s="1" t="s">
        <v>40</v>
      </c>
      <c r="E1862" s="1" t="s">
        <v>35</v>
      </c>
      <c r="F1862" s="4">
        <v>44865.4405787037</v>
      </c>
      <c r="G1862" s="3" t="str">
        <f>HYPERLINK("https://hawk-eye.atlassian.net/browse/?atlOrigin=eyJpIjoiYzgwYTQ0ZjEyNzQzNGJhN2JmNjEyZTM0NmRhZWZhNjIiLCJwIjoic2hlZXRzLWppcmEifQ","")</f>
        <v/>
      </c>
      <c r="H1862" s="1" t="s">
        <v>1058</v>
      </c>
      <c r="I1862" s="1" t="s">
        <v>26</v>
      </c>
      <c r="J1862" s="1" t="s">
        <v>26</v>
      </c>
      <c r="K1862" s="1" t="s">
        <v>2987</v>
      </c>
      <c r="L1862" s="1" t="s">
        <v>26</v>
      </c>
      <c r="M1862" s="1" t="s">
        <v>27</v>
      </c>
      <c r="N1862" s="1" t="s">
        <v>26</v>
      </c>
      <c r="O1862" s="1" t="s">
        <v>26</v>
      </c>
      <c r="P1862" s="4">
        <v>44865.44258101852</v>
      </c>
    </row>
    <row r="1863" hidden="1">
      <c r="A1863" s="1" t="s">
        <v>21</v>
      </c>
      <c r="B1863" s="3" t="str">
        <f>HYPERLINK("https://hawk-eye.atlassian.net/browse/HWKREPORT-1628?atlOrigin=eyJpIjoiYzgwYTQ0ZjEyNzQzNGJhN2JmNjEyZTM0NmRhZWZhNjIiLCJwIjoic2hlZXRzLWppcmEifQ","HWKREPORT-1628")</f>
        <v>HWKREPORT-1628</v>
      </c>
      <c r="C1863" s="1" t="s">
        <v>3120</v>
      </c>
      <c r="D1863" s="1" t="s">
        <v>40</v>
      </c>
      <c r="E1863" s="1" t="s">
        <v>35</v>
      </c>
      <c r="F1863" s="4">
        <v>44865.675844907404</v>
      </c>
      <c r="G1863" s="3" t="str">
        <f>HYPERLINK("https://hawk-eye.atlassian.net/browse/GT-676?atlOrigin=eyJpIjoiYzgwYTQ0ZjEyNzQzNGJhN2JmNjEyZTM0NmRhZWZhNjIiLCJwIjoic2hlZXRzLWppcmEifQ","GT-676")</f>
        <v>GT-676</v>
      </c>
      <c r="H1863" s="1" t="s">
        <v>1058</v>
      </c>
      <c r="I1863" s="1" t="s">
        <v>1085</v>
      </c>
      <c r="J1863" s="1" t="s">
        <v>26</v>
      </c>
      <c r="K1863" s="1" t="s">
        <v>1148</v>
      </c>
      <c r="L1863" s="1" t="s">
        <v>26</v>
      </c>
      <c r="M1863" s="1" t="s">
        <v>27</v>
      </c>
      <c r="N1863" s="1" t="s">
        <v>26</v>
      </c>
      <c r="O1863" s="1" t="s">
        <v>26</v>
      </c>
      <c r="P1863" s="4">
        <v>44876.421064814815</v>
      </c>
    </row>
    <row r="1864" hidden="1">
      <c r="A1864" s="1" t="s">
        <v>21</v>
      </c>
      <c r="B1864" s="3" t="str">
        <f>HYPERLINK("https://hawk-eye.atlassian.net/browse/HWKREPORT-1629?atlOrigin=eyJpIjoiYzgwYTQ0ZjEyNzQzNGJhN2JmNjEyZTM0NmRhZWZhNjIiLCJwIjoic2hlZXRzLWppcmEifQ","HWKREPORT-1629")</f>
        <v>HWKREPORT-1629</v>
      </c>
      <c r="C1864" s="1" t="s">
        <v>3121</v>
      </c>
      <c r="D1864" s="1" t="s">
        <v>34</v>
      </c>
      <c r="E1864" s="1" t="s">
        <v>35</v>
      </c>
      <c r="F1864" s="4">
        <v>44865.6947337963</v>
      </c>
      <c r="G1864" s="3" t="str">
        <f>HYPERLINK("https://hawk-eye.atlassian.net/browse/GT-657?atlOrigin=eyJpIjoiYzgwYTQ0ZjEyNzQzNGJhN2JmNjEyZTM0NmRhZWZhNjIiLCJwIjoic2hlZXRzLWppcmEifQ","GT-657")</f>
        <v>GT-657</v>
      </c>
      <c r="H1864" s="1" t="s">
        <v>1058</v>
      </c>
      <c r="I1864" s="1" t="s">
        <v>1085</v>
      </c>
      <c r="J1864" s="1" t="s">
        <v>26</v>
      </c>
      <c r="K1864" s="1" t="s">
        <v>1148</v>
      </c>
      <c r="L1864" s="1" t="s">
        <v>26</v>
      </c>
      <c r="M1864" s="1" t="s">
        <v>27</v>
      </c>
      <c r="N1864" s="1" t="s">
        <v>26</v>
      </c>
      <c r="O1864" s="1" t="s">
        <v>26</v>
      </c>
      <c r="P1864" s="4">
        <v>44868.55712962963</v>
      </c>
    </row>
    <row r="1865" hidden="1">
      <c r="A1865" s="1" t="s">
        <v>1055</v>
      </c>
      <c r="B1865" s="3" t="str">
        <f>HYPERLINK("https://hawk-eye.atlassian.net/browse/HWKREPORT-1630?atlOrigin=eyJpIjoiYzgwYTQ0ZjEyNzQzNGJhN2JmNjEyZTM0NmRhZWZhNjIiLCJwIjoic2hlZXRzLWppcmEifQ","HWKREPORT-1630")</f>
        <v>HWKREPORT-1630</v>
      </c>
      <c r="C1865" s="1" t="s">
        <v>3122</v>
      </c>
      <c r="D1865" s="1" t="s">
        <v>23</v>
      </c>
      <c r="E1865" s="1" t="s">
        <v>35</v>
      </c>
      <c r="F1865" s="4">
        <v>44865.70046296297</v>
      </c>
      <c r="G1865" s="3" t="str">
        <f>HYPERLINK("https://hawk-eye.atlassian.net/browse/GT-684?atlOrigin=eyJpIjoiYzgwYTQ0ZjEyNzQzNGJhN2JmNjEyZTM0NmRhZWZhNjIiLCJwIjoic2hlZXRzLWppcmEifQ","GT-684")</f>
        <v>GT-684</v>
      </c>
      <c r="H1865" s="1" t="s">
        <v>1058</v>
      </c>
      <c r="I1865" s="1" t="s">
        <v>1085</v>
      </c>
      <c r="J1865" s="1" t="s">
        <v>26</v>
      </c>
      <c r="K1865" s="1" t="s">
        <v>1114</v>
      </c>
      <c r="L1865" s="1" t="s">
        <v>26</v>
      </c>
      <c r="M1865" s="1" t="s">
        <v>27</v>
      </c>
      <c r="N1865" s="1" t="s">
        <v>26</v>
      </c>
      <c r="O1865" s="1" t="s">
        <v>26</v>
      </c>
      <c r="P1865" s="4">
        <v>44880.72300925926</v>
      </c>
    </row>
    <row r="1866" hidden="1">
      <c r="A1866" s="1" t="s">
        <v>1055</v>
      </c>
      <c r="B1866" s="3" t="str">
        <f>HYPERLINK("https://hawk-eye.atlassian.net/browse/HWKREPORT-1631?atlOrigin=eyJpIjoiYzgwYTQ0ZjEyNzQzNGJhN2JmNjEyZTM0NmRhZWZhNjIiLCJwIjoic2hlZXRzLWppcmEifQ","HWKREPORT-1631")</f>
        <v>HWKREPORT-1631</v>
      </c>
      <c r="C1866" s="1" t="s">
        <v>3123</v>
      </c>
      <c r="D1866" s="1" t="s">
        <v>23</v>
      </c>
      <c r="E1866" s="1" t="s">
        <v>1057</v>
      </c>
      <c r="F1866" s="4">
        <v>44865.70327546296</v>
      </c>
      <c r="G1866" s="3" t="str">
        <f>HYPERLINK("https://hawk-eye.atlassian.net/browse/GT-685?atlOrigin=eyJpIjoiYzgwYTQ0ZjEyNzQzNGJhN2JmNjEyZTM0NmRhZWZhNjIiLCJwIjoic2hlZXRzLWppcmEifQ","GT-685")</f>
        <v>GT-685</v>
      </c>
      <c r="H1866" s="1" t="s">
        <v>1058</v>
      </c>
      <c r="I1866" s="1" t="s">
        <v>1085</v>
      </c>
      <c r="J1866" s="1" t="s">
        <v>26</v>
      </c>
      <c r="K1866" s="1" t="s">
        <v>1114</v>
      </c>
      <c r="L1866" s="1" t="s">
        <v>26</v>
      </c>
      <c r="M1866" s="1" t="s">
        <v>27</v>
      </c>
      <c r="N1866" s="1" t="s">
        <v>26</v>
      </c>
      <c r="O1866" s="1" t="s">
        <v>26</v>
      </c>
      <c r="P1866" s="4">
        <v>44865.70327546296</v>
      </c>
    </row>
    <row r="1867" hidden="1">
      <c r="A1867" s="1" t="s">
        <v>1055</v>
      </c>
      <c r="B1867" s="3" t="str">
        <f>HYPERLINK("https://hawk-eye.atlassian.net/browse/HWKREPORT-1632?atlOrigin=eyJpIjoiYzgwYTQ0ZjEyNzQzNGJhN2JmNjEyZTM0NmRhZWZhNjIiLCJwIjoic2hlZXRzLWppcmEifQ","HWKREPORT-1632")</f>
        <v>HWKREPORT-1632</v>
      </c>
      <c r="C1867" s="1" t="s">
        <v>3124</v>
      </c>
      <c r="D1867" s="1" t="s">
        <v>23</v>
      </c>
      <c r="E1867" s="1" t="s">
        <v>1057</v>
      </c>
      <c r="F1867" s="4">
        <v>44865.70515046296</v>
      </c>
      <c r="G1867" s="3" t="str">
        <f>HYPERLINK("https://hawk-eye.atlassian.net/browse/?atlOrigin=eyJpIjoiYzgwYTQ0ZjEyNzQzNGJhN2JmNjEyZTM0NmRhZWZhNjIiLCJwIjoic2hlZXRzLWppcmEifQ","")</f>
        <v/>
      </c>
      <c r="H1867" s="1" t="s">
        <v>1058</v>
      </c>
      <c r="I1867" s="1" t="s">
        <v>1085</v>
      </c>
      <c r="J1867" s="1" t="s">
        <v>26</v>
      </c>
      <c r="K1867" s="1" t="s">
        <v>1114</v>
      </c>
      <c r="L1867" s="1" t="s">
        <v>26</v>
      </c>
      <c r="M1867" s="1" t="s">
        <v>27</v>
      </c>
      <c r="N1867" s="1" t="s">
        <v>26</v>
      </c>
      <c r="O1867" s="1" t="s">
        <v>26</v>
      </c>
      <c r="P1867" s="4">
        <v>44865.70516203704</v>
      </c>
    </row>
    <row r="1868" hidden="1">
      <c r="A1868" s="1" t="s">
        <v>1055</v>
      </c>
      <c r="B1868" s="3" t="str">
        <f>HYPERLINK("https://hawk-eye.atlassian.net/browse/HWKREPORT-1633?atlOrigin=eyJpIjoiYzgwYTQ0ZjEyNzQzNGJhN2JmNjEyZTM0NmRhZWZhNjIiLCJwIjoic2hlZXRzLWppcmEifQ","HWKREPORT-1633")</f>
        <v>HWKREPORT-1633</v>
      </c>
      <c r="C1868" s="1" t="s">
        <v>3125</v>
      </c>
      <c r="D1868" s="1" t="s">
        <v>23</v>
      </c>
      <c r="E1868" s="1" t="s">
        <v>35</v>
      </c>
      <c r="F1868" s="4">
        <v>44866.77960648148</v>
      </c>
      <c r="G1868" s="3" t="str">
        <f>HYPERLINK("https://hawk-eye.atlassian.net/browse/GT-678?atlOrigin=eyJpIjoiYzgwYTQ0ZjEyNzQzNGJhN2JmNjEyZTM0NmRhZWZhNjIiLCJwIjoic2hlZXRzLWppcmEifQ","GT-678")</f>
        <v>GT-678</v>
      </c>
      <c r="H1868" s="1" t="s">
        <v>1058</v>
      </c>
      <c r="I1868" s="1" t="s">
        <v>1085</v>
      </c>
      <c r="J1868" s="1" t="s">
        <v>26</v>
      </c>
      <c r="K1868" s="1" t="s">
        <v>1105</v>
      </c>
      <c r="L1868" s="1" t="s">
        <v>26</v>
      </c>
      <c r="M1868" s="1" t="s">
        <v>27</v>
      </c>
      <c r="N1868" s="1" t="s">
        <v>26</v>
      </c>
      <c r="O1868" s="1" t="s">
        <v>26</v>
      </c>
      <c r="P1868" s="4">
        <v>44880.726585648146</v>
      </c>
    </row>
    <row r="1869" hidden="1">
      <c r="A1869" s="1" t="s">
        <v>21</v>
      </c>
      <c r="B1869" s="3" t="str">
        <f>HYPERLINK("https://hawk-eye.atlassian.net/browse/HWKREPORT-1634?atlOrigin=eyJpIjoiYzgwYTQ0ZjEyNzQzNGJhN2JmNjEyZTM0NmRhZWZhNjIiLCJwIjoic2hlZXRzLWppcmEifQ","HWKREPORT-1634")</f>
        <v>HWKREPORT-1634</v>
      </c>
      <c r="C1869" s="1" t="s">
        <v>3126</v>
      </c>
      <c r="D1869" s="1" t="s">
        <v>23</v>
      </c>
      <c r="E1869" s="1" t="s">
        <v>35</v>
      </c>
      <c r="F1869" s="4">
        <v>44866.79649305555</v>
      </c>
      <c r="G1869" s="3" t="str">
        <f>HYPERLINK("https://hawk-eye.atlassian.net/browse/RTT-5490?atlOrigin=eyJpIjoiYzgwYTQ0ZjEyNzQzNGJhN2JmNjEyZTM0NmRhZWZhNjIiLCJwIjoic2hlZXRzLWppcmEifQ","RTT-5490")</f>
        <v>RTT-5490</v>
      </c>
      <c r="H1869" s="1" t="s">
        <v>1058</v>
      </c>
      <c r="I1869" s="1" t="s">
        <v>1071</v>
      </c>
      <c r="J1869" s="1" t="s">
        <v>26</v>
      </c>
      <c r="K1869" s="1" t="s">
        <v>1072</v>
      </c>
      <c r="L1869" s="1" t="s">
        <v>26</v>
      </c>
      <c r="M1869" s="1" t="s">
        <v>27</v>
      </c>
      <c r="N1869" s="1" t="s">
        <v>26</v>
      </c>
      <c r="O1869" s="1" t="s">
        <v>26</v>
      </c>
      <c r="P1869" s="4">
        <v>44914.59813657407</v>
      </c>
    </row>
    <row r="1870" hidden="1">
      <c r="A1870" s="1" t="s">
        <v>21</v>
      </c>
      <c r="B1870" s="3" t="str">
        <f>HYPERLINK("https://hawk-eye.atlassian.net/browse/HWKREPORT-1635?atlOrigin=eyJpIjoiYzgwYTQ0ZjEyNzQzNGJhN2JmNjEyZTM0NmRhZWZhNjIiLCJwIjoic2hlZXRzLWppcmEifQ","HWKREPORT-1635")</f>
        <v>HWKREPORT-1635</v>
      </c>
      <c r="C1870" s="1" t="s">
        <v>3127</v>
      </c>
      <c r="D1870" s="1" t="s">
        <v>34</v>
      </c>
      <c r="E1870" s="1" t="s">
        <v>35</v>
      </c>
      <c r="F1870" s="4">
        <v>44866.873703703706</v>
      </c>
      <c r="G1870" s="3" t="str">
        <f>HYPERLINK("https://hawk-eye.atlassian.net/browse/?atlOrigin=eyJpIjoiYzgwYTQ0ZjEyNzQzNGJhN2JmNjEyZTM0NmRhZWZhNjIiLCJwIjoic2hlZXRzLWppcmEifQ","")</f>
        <v/>
      </c>
      <c r="H1870" s="1" t="s">
        <v>1058</v>
      </c>
      <c r="I1870" s="1" t="s">
        <v>1085</v>
      </c>
      <c r="J1870" s="1" t="s">
        <v>26</v>
      </c>
      <c r="K1870" s="1" t="s">
        <v>1157</v>
      </c>
      <c r="L1870" s="1" t="s">
        <v>26</v>
      </c>
      <c r="M1870" s="1" t="s">
        <v>27</v>
      </c>
      <c r="N1870" s="1" t="s">
        <v>26</v>
      </c>
      <c r="O1870" s="1" t="s">
        <v>26</v>
      </c>
      <c r="P1870" s="4">
        <v>45770.47969907407</v>
      </c>
    </row>
    <row r="1871" hidden="1">
      <c r="A1871" s="1" t="s">
        <v>21</v>
      </c>
      <c r="B1871" s="3" t="str">
        <f>HYPERLINK("https://hawk-eye.atlassian.net/browse/HWKREPORT-1636?atlOrigin=eyJpIjoiYzgwYTQ0ZjEyNzQzNGJhN2JmNjEyZTM0NmRhZWZhNjIiLCJwIjoic2hlZXRzLWppcmEifQ","HWKREPORT-1636")</f>
        <v>HWKREPORT-1636</v>
      </c>
      <c r="C1871" s="1" t="s">
        <v>3128</v>
      </c>
      <c r="D1871" s="1" t="s">
        <v>23</v>
      </c>
      <c r="E1871" s="1" t="s">
        <v>35</v>
      </c>
      <c r="F1871" s="4">
        <v>44866.87670138889</v>
      </c>
      <c r="G1871" s="3" t="str">
        <f>HYPERLINK("https://hawk-eye.atlassian.net/browse/RTT-5491?atlOrigin=eyJpIjoiYzgwYTQ0ZjEyNzQzNGJhN2JmNjEyZTM0NmRhZWZhNjIiLCJwIjoic2hlZXRzLWppcmEifQ","RTT-5491")</f>
        <v>RTT-5491</v>
      </c>
      <c r="H1871" s="1" t="s">
        <v>1058</v>
      </c>
      <c r="I1871" s="1" t="s">
        <v>1071</v>
      </c>
      <c r="J1871" s="1" t="s">
        <v>26</v>
      </c>
      <c r="K1871" s="1" t="s">
        <v>1072</v>
      </c>
      <c r="L1871" s="1" t="s">
        <v>26</v>
      </c>
      <c r="M1871" s="1" t="s">
        <v>27</v>
      </c>
      <c r="N1871" s="1" t="s">
        <v>26</v>
      </c>
      <c r="O1871" s="1" t="s">
        <v>26</v>
      </c>
      <c r="P1871" s="4">
        <v>44986.40005787037</v>
      </c>
    </row>
    <row r="1872" hidden="1">
      <c r="A1872" s="1" t="s">
        <v>21</v>
      </c>
      <c r="B1872" s="3" t="str">
        <f>HYPERLINK("https://hawk-eye.atlassian.net/browse/HWKREPORT-1637?atlOrigin=eyJpIjoiYzgwYTQ0ZjEyNzQzNGJhN2JmNjEyZTM0NmRhZWZhNjIiLCJwIjoic2hlZXRzLWppcmEifQ","HWKREPORT-1637")</f>
        <v>HWKREPORT-1637</v>
      </c>
      <c r="C1872" s="1" t="s">
        <v>3129</v>
      </c>
      <c r="D1872" s="1" t="s">
        <v>23</v>
      </c>
      <c r="E1872" s="1" t="s">
        <v>35</v>
      </c>
      <c r="F1872" s="4">
        <v>44867.63041666667</v>
      </c>
      <c r="G1872" s="3" t="str">
        <f>HYPERLINK("https://hawk-eye.atlassian.net/browse/RTT-5487?atlOrigin=eyJpIjoiYzgwYTQ0ZjEyNzQzNGJhN2JmNjEyZTM0NmRhZWZhNjIiLCJwIjoic2hlZXRzLWppcmEifQ","RTT-5487")</f>
        <v>RTT-5487</v>
      </c>
      <c r="H1872" s="1" t="s">
        <v>1058</v>
      </c>
      <c r="I1872" s="1" t="s">
        <v>1071</v>
      </c>
      <c r="J1872" s="1" t="s">
        <v>26</v>
      </c>
      <c r="K1872" s="1" t="s">
        <v>1099</v>
      </c>
      <c r="L1872" s="1" t="s">
        <v>26</v>
      </c>
      <c r="M1872" s="1" t="s">
        <v>27</v>
      </c>
      <c r="N1872" s="1" t="s">
        <v>26</v>
      </c>
      <c r="O1872" s="1" t="s">
        <v>26</v>
      </c>
      <c r="P1872" s="4">
        <v>44966.43884259259</v>
      </c>
    </row>
    <row r="1873" hidden="1">
      <c r="A1873" s="1" t="s">
        <v>21</v>
      </c>
      <c r="B1873" s="3" t="str">
        <f>HYPERLINK("https://hawk-eye.atlassian.net/browse/HWKREPORT-1638?atlOrigin=eyJpIjoiYzgwYTQ0ZjEyNzQzNGJhN2JmNjEyZTM0NmRhZWZhNjIiLCJwIjoic2hlZXRzLWppcmEifQ","HWKREPORT-1638")</f>
        <v>HWKREPORT-1638</v>
      </c>
      <c r="C1873" s="1" t="s">
        <v>3130</v>
      </c>
      <c r="D1873" s="1" t="s">
        <v>40</v>
      </c>
      <c r="E1873" s="1" t="s">
        <v>35</v>
      </c>
      <c r="F1873" s="4">
        <v>44867.707604166666</v>
      </c>
      <c r="G1873" s="3" t="str">
        <f>HYPERLINK("https://hawk-eye.atlassian.net/browse/RTT-5489?atlOrigin=eyJpIjoiYzgwYTQ0ZjEyNzQzNGJhN2JmNjEyZTM0NmRhZWZhNjIiLCJwIjoic2hlZXRzLWppcmEifQ","RTT-5489")</f>
        <v>RTT-5489</v>
      </c>
      <c r="H1873" s="1" t="s">
        <v>1058</v>
      </c>
      <c r="I1873" s="1" t="s">
        <v>1085</v>
      </c>
      <c r="J1873" s="1" t="s">
        <v>26</v>
      </c>
      <c r="K1873" s="1" t="s">
        <v>1072</v>
      </c>
      <c r="L1873" s="1" t="s">
        <v>26</v>
      </c>
      <c r="M1873" s="1" t="s">
        <v>27</v>
      </c>
      <c r="N1873" s="1" t="s">
        <v>26</v>
      </c>
      <c r="O1873" s="1" t="s">
        <v>26</v>
      </c>
      <c r="P1873" s="4">
        <v>45341.55856481481</v>
      </c>
    </row>
    <row r="1874" hidden="1">
      <c r="A1874" s="1" t="s">
        <v>21</v>
      </c>
      <c r="B1874" s="3" t="str">
        <f>HYPERLINK("https://hawk-eye.atlassian.net/browse/HWKREPORT-1639?atlOrigin=eyJpIjoiYzgwYTQ0ZjEyNzQzNGJhN2JmNjEyZTM0NmRhZWZhNjIiLCJwIjoic2hlZXRzLWppcmEifQ","HWKREPORT-1639")</f>
        <v>HWKREPORT-1639</v>
      </c>
      <c r="C1874" s="1" t="s">
        <v>3131</v>
      </c>
      <c r="D1874" s="1" t="s">
        <v>40</v>
      </c>
      <c r="E1874" s="1" t="s">
        <v>35</v>
      </c>
      <c r="F1874" s="4">
        <v>44867.71141203704</v>
      </c>
      <c r="G1874" s="3" t="str">
        <f>HYPERLINK("https://hawk-eye.atlassian.net/browse/?atlOrigin=eyJpIjoiYzgwYTQ0ZjEyNzQzNGJhN2JmNjEyZTM0NmRhZWZhNjIiLCJwIjoic2hlZXRzLWppcmEifQ","")</f>
        <v/>
      </c>
      <c r="H1874" s="1" t="s">
        <v>1058</v>
      </c>
      <c r="I1874" s="1" t="s">
        <v>1085</v>
      </c>
      <c r="J1874" s="1" t="s">
        <v>26</v>
      </c>
      <c r="K1874" s="1" t="s">
        <v>1072</v>
      </c>
      <c r="L1874" s="1" t="s">
        <v>26</v>
      </c>
      <c r="M1874" s="1" t="s">
        <v>27</v>
      </c>
      <c r="N1874" s="1" t="s">
        <v>26</v>
      </c>
      <c r="O1874" s="1" t="s">
        <v>26</v>
      </c>
      <c r="P1874" s="4">
        <v>44872.50952546296</v>
      </c>
    </row>
    <row r="1875" hidden="1">
      <c r="A1875" s="1" t="s">
        <v>21</v>
      </c>
      <c r="B1875" s="3" t="str">
        <f>HYPERLINK("https://hawk-eye.atlassian.net/browse/HWKREPORT-1640?atlOrigin=eyJpIjoiYzgwYTQ0ZjEyNzQzNGJhN2JmNjEyZTM0NmRhZWZhNjIiLCJwIjoic2hlZXRzLWppcmEifQ","HWKREPORT-1640")</f>
        <v>HWKREPORT-1640</v>
      </c>
      <c r="C1875" s="1" t="s">
        <v>3132</v>
      </c>
      <c r="D1875" s="1" t="s">
        <v>34</v>
      </c>
      <c r="E1875" s="1" t="s">
        <v>35</v>
      </c>
      <c r="F1875" s="4">
        <v>44867.894953703704</v>
      </c>
      <c r="G1875" s="3" t="str">
        <f>HYPERLINK("https://hawk-eye.atlassian.net/browse/HE-1012?atlOrigin=eyJpIjoiYzgwYTQ0ZjEyNzQzNGJhN2JmNjEyZTM0NmRhZWZhNjIiLCJwIjoic2hlZXRzLWppcmEifQ","HE-1012")</f>
        <v>HE-1012</v>
      </c>
      <c r="H1875" s="1" t="s">
        <v>1058</v>
      </c>
      <c r="I1875" s="1" t="s">
        <v>1085</v>
      </c>
      <c r="J1875" s="1" t="s">
        <v>26</v>
      </c>
      <c r="K1875" s="1" t="s">
        <v>1157</v>
      </c>
      <c r="L1875" s="1" t="s">
        <v>26</v>
      </c>
      <c r="M1875" s="1" t="s">
        <v>27</v>
      </c>
      <c r="N1875" s="1" t="s">
        <v>26</v>
      </c>
      <c r="O1875" s="1" t="s">
        <v>26</v>
      </c>
      <c r="P1875" s="4">
        <v>44915.61039351852</v>
      </c>
    </row>
    <row r="1876" hidden="1">
      <c r="A1876" s="1" t="s">
        <v>21</v>
      </c>
      <c r="B1876" s="3" t="str">
        <f>HYPERLINK("https://hawk-eye.atlassian.net/browse/HWKREPORT-1642?atlOrigin=eyJpIjoiYzgwYTQ0ZjEyNzQzNGJhN2JmNjEyZTM0NmRhZWZhNjIiLCJwIjoic2hlZXRzLWppcmEifQ","HWKREPORT-1642")</f>
        <v>HWKREPORT-1642</v>
      </c>
      <c r="C1876" s="1" t="s">
        <v>3133</v>
      </c>
      <c r="D1876" s="1" t="s">
        <v>23</v>
      </c>
      <c r="E1876" s="1" t="s">
        <v>35</v>
      </c>
      <c r="F1876" s="4">
        <v>44867.923425925925</v>
      </c>
      <c r="G1876" s="3" t="str">
        <f>HYPERLINK("https://hawk-eye.atlassian.net/browse/HE-1013?atlOrigin=eyJpIjoiYzgwYTQ0ZjEyNzQzNGJhN2JmNjEyZTM0NmRhZWZhNjIiLCJwIjoic2hlZXRzLWppcmEifQ","HE-1013")</f>
        <v>HE-1013</v>
      </c>
      <c r="H1876" s="1" t="s">
        <v>1058</v>
      </c>
      <c r="I1876" s="1" t="s">
        <v>1085</v>
      </c>
      <c r="J1876" s="1" t="s">
        <v>26</v>
      </c>
      <c r="K1876" s="1" t="s">
        <v>3134</v>
      </c>
      <c r="L1876" s="1" t="s">
        <v>26</v>
      </c>
      <c r="M1876" s="1" t="s">
        <v>27</v>
      </c>
      <c r="N1876" s="1" t="s">
        <v>26</v>
      </c>
      <c r="O1876" s="1" t="s">
        <v>26</v>
      </c>
      <c r="P1876" s="4">
        <v>44971.66013888889</v>
      </c>
    </row>
    <row r="1877" hidden="1">
      <c r="A1877" s="1" t="s">
        <v>21</v>
      </c>
      <c r="B1877" s="3" t="str">
        <f>HYPERLINK("https://hawk-eye.atlassian.net/browse/HWKREPORT-1644?atlOrigin=eyJpIjoiYzgwYTQ0ZjEyNzQzNGJhN2JmNjEyZTM0NmRhZWZhNjIiLCJwIjoic2hlZXRzLWppcmEifQ","HWKREPORT-1644")</f>
        <v>HWKREPORT-1644</v>
      </c>
      <c r="C1877" s="1" t="s">
        <v>3135</v>
      </c>
      <c r="D1877" s="1" t="s">
        <v>23</v>
      </c>
      <c r="E1877" s="1" t="s">
        <v>35</v>
      </c>
      <c r="F1877" s="4">
        <v>44868.42766203704</v>
      </c>
      <c r="G1877" s="3" t="str">
        <f>HYPERLINK("https://hawk-eye.atlassian.net/browse/GT-870?atlOrigin=eyJpIjoiYzgwYTQ0ZjEyNzQzNGJhN2JmNjEyZTM0NmRhZWZhNjIiLCJwIjoic2hlZXRzLWppcmEifQ","GT-870")</f>
        <v>GT-870</v>
      </c>
      <c r="H1877" s="1" t="s">
        <v>1058</v>
      </c>
      <c r="I1877" s="1" t="s">
        <v>1082</v>
      </c>
      <c r="J1877" s="1" t="s">
        <v>26</v>
      </c>
      <c r="K1877" s="1" t="s">
        <v>1114</v>
      </c>
      <c r="L1877" s="1" t="s">
        <v>26</v>
      </c>
      <c r="M1877" s="1" t="s">
        <v>27</v>
      </c>
      <c r="N1877" s="1" t="s">
        <v>26</v>
      </c>
      <c r="O1877" s="1" t="s">
        <v>26</v>
      </c>
      <c r="P1877" s="4">
        <v>44965.66793981481</v>
      </c>
    </row>
    <row r="1878" hidden="1">
      <c r="A1878" s="1" t="s">
        <v>21</v>
      </c>
      <c r="B1878" s="3" t="str">
        <f>HYPERLINK("https://hawk-eye.atlassian.net/browse/HWKREPORT-1645?atlOrigin=eyJpIjoiYzgwYTQ0ZjEyNzQzNGJhN2JmNjEyZTM0NmRhZWZhNjIiLCJwIjoic2hlZXRzLWppcmEifQ","HWKREPORT-1645")</f>
        <v>HWKREPORT-1645</v>
      </c>
      <c r="C1878" s="1" t="s">
        <v>3136</v>
      </c>
      <c r="D1878" s="1" t="s">
        <v>23</v>
      </c>
      <c r="E1878" s="1" t="s">
        <v>35</v>
      </c>
      <c r="F1878" s="4">
        <v>44868.442245370374</v>
      </c>
      <c r="G1878" s="3" t="str">
        <f>HYPERLINK("https://hawk-eye.atlassian.net/browse/?atlOrigin=eyJpIjoiYzgwYTQ0ZjEyNzQzNGJhN2JmNjEyZTM0NmRhZWZhNjIiLCJwIjoic2hlZXRzLWppcmEifQ","")</f>
        <v/>
      </c>
      <c r="H1878" s="1" t="s">
        <v>1058</v>
      </c>
      <c r="I1878" s="1" t="s">
        <v>1082</v>
      </c>
      <c r="J1878" s="1" t="s">
        <v>26</v>
      </c>
      <c r="K1878" s="1" t="s">
        <v>1105</v>
      </c>
      <c r="L1878" s="1" t="s">
        <v>26</v>
      </c>
      <c r="M1878" s="1" t="s">
        <v>27</v>
      </c>
      <c r="N1878" s="1" t="s">
        <v>26</v>
      </c>
      <c r="O1878" s="1" t="s">
        <v>26</v>
      </c>
      <c r="P1878" s="4">
        <v>45330.69461805555</v>
      </c>
    </row>
    <row r="1879" hidden="1">
      <c r="A1879" s="1" t="s">
        <v>21</v>
      </c>
      <c r="B1879" s="3" t="str">
        <f>HYPERLINK("https://hawk-eye.atlassian.net/browse/HWKREPORT-1646?atlOrigin=eyJpIjoiYzgwYTQ0ZjEyNzQzNGJhN2JmNjEyZTM0NmRhZWZhNjIiLCJwIjoic2hlZXRzLWppcmEifQ","HWKREPORT-1646")</f>
        <v>HWKREPORT-1646</v>
      </c>
      <c r="C1879" s="1" t="s">
        <v>3137</v>
      </c>
      <c r="D1879" s="1" t="s">
        <v>23</v>
      </c>
      <c r="E1879" s="1" t="s">
        <v>1207</v>
      </c>
      <c r="F1879" s="4">
        <v>44869.703356481485</v>
      </c>
      <c r="G1879" s="3" t="str">
        <f>HYPERLINK("https://hawk-eye.atlassian.net/browse/RTT-5488?atlOrigin=eyJpIjoiYzgwYTQ0ZjEyNzQzNGJhN2JmNjEyZTM0NmRhZWZhNjIiLCJwIjoic2hlZXRzLWppcmEifQ","RTT-5488")</f>
        <v>RTT-5488</v>
      </c>
      <c r="H1879" s="1" t="s">
        <v>1058</v>
      </c>
      <c r="I1879" s="1" t="s">
        <v>1071</v>
      </c>
      <c r="J1879" s="1" t="s">
        <v>26</v>
      </c>
      <c r="K1879" s="1" t="s">
        <v>1072</v>
      </c>
      <c r="L1879" s="1" t="s">
        <v>26</v>
      </c>
      <c r="M1879" s="1" t="s">
        <v>27</v>
      </c>
      <c r="N1879" s="1" t="s">
        <v>26</v>
      </c>
      <c r="O1879" s="1" t="s">
        <v>26</v>
      </c>
      <c r="P1879" s="4">
        <v>44929.4184837963</v>
      </c>
    </row>
    <row r="1880" hidden="1">
      <c r="A1880" s="1" t="s">
        <v>21</v>
      </c>
      <c r="B1880" s="3" t="str">
        <f>HYPERLINK("https://hawk-eye.atlassian.net/browse/HWKREPORT-1647?atlOrigin=eyJpIjoiYzgwYTQ0ZjEyNzQzNGJhN2JmNjEyZTM0NmRhZWZhNjIiLCJwIjoic2hlZXRzLWppcmEifQ","HWKREPORT-1647")</f>
        <v>HWKREPORT-1647</v>
      </c>
      <c r="C1880" s="1" t="s">
        <v>3138</v>
      </c>
      <c r="D1880" s="1" t="s">
        <v>34</v>
      </c>
      <c r="E1880" s="1" t="s">
        <v>35</v>
      </c>
      <c r="F1880" s="4">
        <v>44872.41568287037</v>
      </c>
      <c r="G1880" s="3" t="str">
        <f>HYPERLINK("https://hawk-eye.atlassian.net/browse/RTT-5486?atlOrigin=eyJpIjoiYzgwYTQ0ZjEyNzQzNGJhN2JmNjEyZTM0NmRhZWZhNjIiLCJwIjoic2hlZXRzLWppcmEifQ","RTT-5486")</f>
        <v>RTT-5486</v>
      </c>
      <c r="H1880" s="1" t="s">
        <v>1058</v>
      </c>
      <c r="I1880" s="1" t="s">
        <v>1126</v>
      </c>
      <c r="J1880" s="1" t="s">
        <v>26</v>
      </c>
      <c r="K1880" s="1" t="s">
        <v>1072</v>
      </c>
      <c r="L1880" s="1" t="s">
        <v>26</v>
      </c>
      <c r="M1880" s="1" t="s">
        <v>27</v>
      </c>
      <c r="N1880" s="1" t="s">
        <v>26</v>
      </c>
      <c r="O1880" s="1" t="s">
        <v>26</v>
      </c>
      <c r="P1880" s="4">
        <v>44957.71776620371</v>
      </c>
    </row>
    <row r="1881" hidden="1">
      <c r="A1881" s="1" t="s">
        <v>21</v>
      </c>
      <c r="B1881" s="3" t="str">
        <f>HYPERLINK("https://hawk-eye.atlassian.net/browse/HWKREPORT-1648?atlOrigin=eyJpIjoiYzgwYTQ0ZjEyNzQzNGJhN2JmNjEyZTM0NmRhZWZhNjIiLCJwIjoic2hlZXRzLWppcmEifQ","HWKREPORT-1648")</f>
        <v>HWKREPORT-1648</v>
      </c>
      <c r="C1881" s="1" t="s">
        <v>3139</v>
      </c>
      <c r="D1881" s="1" t="s">
        <v>34</v>
      </c>
      <c r="E1881" s="1" t="s">
        <v>35</v>
      </c>
      <c r="F1881" s="4">
        <v>44872.580613425926</v>
      </c>
      <c r="G1881" s="3" t="str">
        <f>HYPERLINK("https://hawk-eye.atlassian.net/browse/GT-681?atlOrigin=eyJpIjoiYzgwYTQ0ZjEyNzQzNGJhN2JmNjEyZTM0NmRhZWZhNjIiLCJwIjoic2hlZXRzLWppcmEifQ","GT-681")</f>
        <v>GT-681</v>
      </c>
      <c r="H1881" s="1" t="s">
        <v>1058</v>
      </c>
      <c r="I1881" s="1" t="s">
        <v>1085</v>
      </c>
      <c r="J1881" s="1" t="s">
        <v>26</v>
      </c>
      <c r="K1881" s="1" t="s">
        <v>1148</v>
      </c>
      <c r="L1881" s="1" t="s">
        <v>26</v>
      </c>
      <c r="M1881" s="1" t="s">
        <v>27</v>
      </c>
      <c r="N1881" s="1" t="s">
        <v>26</v>
      </c>
      <c r="O1881" s="1" t="s">
        <v>26</v>
      </c>
      <c r="P1881" s="4">
        <v>44880.82674768518</v>
      </c>
    </row>
    <row r="1882" hidden="1">
      <c r="A1882" s="1" t="s">
        <v>1055</v>
      </c>
      <c r="B1882" s="3" t="str">
        <f>HYPERLINK("https://hawk-eye.atlassian.net/browse/HWKREPORT-1649?atlOrigin=eyJpIjoiYzgwYTQ0ZjEyNzQzNGJhN2JmNjEyZTM0NmRhZWZhNjIiLCJwIjoic2hlZXRzLWppcmEifQ","HWKREPORT-1649")</f>
        <v>HWKREPORT-1649</v>
      </c>
      <c r="C1882" s="1" t="s">
        <v>3140</v>
      </c>
      <c r="D1882" s="1" t="s">
        <v>23</v>
      </c>
      <c r="E1882" s="1" t="s">
        <v>1057</v>
      </c>
      <c r="F1882" s="4">
        <v>44872.58599537037</v>
      </c>
      <c r="G1882" s="3" t="str">
        <f t="shared" ref="G1882:G1883" si="148">HYPERLINK("https://hawk-eye.atlassian.net/browse/?atlOrigin=eyJpIjoiYzgwYTQ0ZjEyNzQzNGJhN2JmNjEyZTM0NmRhZWZhNjIiLCJwIjoic2hlZXRzLWppcmEifQ","")</f>
        <v/>
      </c>
      <c r="H1882" s="1" t="s">
        <v>1058</v>
      </c>
      <c r="I1882" s="1" t="s">
        <v>1085</v>
      </c>
      <c r="J1882" s="1" t="s">
        <v>26</v>
      </c>
      <c r="K1882" s="1" t="s">
        <v>1114</v>
      </c>
      <c r="L1882" s="1" t="s">
        <v>26</v>
      </c>
      <c r="M1882" s="1" t="s">
        <v>27</v>
      </c>
      <c r="N1882" s="1" t="s">
        <v>26</v>
      </c>
      <c r="O1882" s="1" t="s">
        <v>26</v>
      </c>
      <c r="P1882" s="4">
        <v>44872.58599537037</v>
      </c>
    </row>
    <row r="1883" hidden="1">
      <c r="A1883" s="1" t="s">
        <v>21</v>
      </c>
      <c r="B1883" s="3" t="str">
        <f>HYPERLINK("https://hawk-eye.atlassian.net/browse/HWKREPORT-1650?atlOrigin=eyJpIjoiYzgwYTQ0ZjEyNzQzNGJhN2JmNjEyZTM0NmRhZWZhNjIiLCJwIjoic2hlZXRzLWppcmEifQ","HWKREPORT-1650")</f>
        <v>HWKREPORT-1650</v>
      </c>
      <c r="C1883" s="1" t="s">
        <v>3141</v>
      </c>
      <c r="D1883" s="1" t="s">
        <v>23</v>
      </c>
      <c r="E1883" s="1" t="s">
        <v>35</v>
      </c>
      <c r="F1883" s="4">
        <v>44873.38295138889</v>
      </c>
      <c r="G1883" s="3" t="str">
        <f t="shared" si="148"/>
        <v/>
      </c>
      <c r="H1883" s="1" t="s">
        <v>1058</v>
      </c>
      <c r="I1883" s="1" t="s">
        <v>1085</v>
      </c>
      <c r="J1883" s="1" t="s">
        <v>26</v>
      </c>
      <c r="K1883" s="1" t="s">
        <v>1072</v>
      </c>
      <c r="L1883" s="1" t="s">
        <v>26</v>
      </c>
      <c r="M1883" s="1" t="s">
        <v>27</v>
      </c>
      <c r="N1883" s="1" t="s">
        <v>26</v>
      </c>
      <c r="O1883" s="1" t="s">
        <v>26</v>
      </c>
      <c r="P1883" s="4">
        <v>44873.44045138889</v>
      </c>
    </row>
    <row r="1884" hidden="1">
      <c r="A1884" s="1" t="s">
        <v>21</v>
      </c>
      <c r="B1884" s="3" t="str">
        <f>HYPERLINK("https://hawk-eye.atlassian.net/browse/HWKREPORT-1651?atlOrigin=eyJpIjoiYzgwYTQ0ZjEyNzQzNGJhN2JmNjEyZTM0NmRhZWZhNjIiLCJwIjoic2hlZXRzLWppcmEifQ","HWKREPORT-1651")</f>
        <v>HWKREPORT-1651</v>
      </c>
      <c r="C1884" s="1" t="s">
        <v>3142</v>
      </c>
      <c r="D1884" s="1" t="s">
        <v>23</v>
      </c>
      <c r="E1884" s="1" t="s">
        <v>1207</v>
      </c>
      <c r="F1884" s="4">
        <v>44873.38469907407</v>
      </c>
      <c r="G1884" s="3" t="str">
        <f>HYPERLINK("https://hawk-eye.atlassian.net/issues/?atlOrigin=eyJpIjoiYzgwYTQ0ZjEyNzQzNGJhN2JmNjEyZTM0NmRhZWZhNjIiLCJwIjoic2hlZXRzLWppcmEifQ&amp;jql=key+in+%28RTT-5497%2CRTT-5543%29","RTT-5497;RTT-5543")</f>
        <v>RTT-5497;RTT-5543</v>
      </c>
      <c r="H1884" s="1" t="s">
        <v>1058</v>
      </c>
      <c r="I1884" s="1" t="s">
        <v>1085</v>
      </c>
      <c r="J1884" s="1" t="s">
        <v>26</v>
      </c>
      <c r="K1884" s="1" t="s">
        <v>1072</v>
      </c>
      <c r="L1884" s="1" t="s">
        <v>26</v>
      </c>
      <c r="M1884" s="1" t="s">
        <v>27</v>
      </c>
      <c r="N1884" s="1" t="s">
        <v>26</v>
      </c>
      <c r="O1884" s="1" t="s">
        <v>26</v>
      </c>
      <c r="P1884" s="4">
        <v>44929.4184837963</v>
      </c>
    </row>
    <row r="1885" hidden="1">
      <c r="A1885" s="1" t="s">
        <v>21</v>
      </c>
      <c r="B1885" s="3" t="str">
        <f>HYPERLINK("https://hawk-eye.atlassian.net/browse/HWKREPORT-1652?atlOrigin=eyJpIjoiYzgwYTQ0ZjEyNzQzNGJhN2JmNjEyZTM0NmRhZWZhNjIiLCJwIjoic2hlZXRzLWppcmEifQ","HWKREPORT-1652")</f>
        <v>HWKREPORT-1652</v>
      </c>
      <c r="C1885" s="1" t="s">
        <v>3143</v>
      </c>
      <c r="D1885" s="1" t="s">
        <v>34</v>
      </c>
      <c r="E1885" s="1" t="s">
        <v>1207</v>
      </c>
      <c r="F1885" s="4">
        <v>44873.38931712963</v>
      </c>
      <c r="G1885" s="3" t="str">
        <f>HYPERLINK("https://hawk-eye.atlassian.net/issues/?atlOrigin=eyJpIjoiYzgwYTQ0ZjEyNzQzNGJhN2JmNjEyZTM0NmRhZWZhNjIiLCJwIjoic2hlZXRzLWppcmEifQ&amp;jql=key+in+%28RTT-5542%2CRTT-5494%29","RTT-5542;RTT-5494")</f>
        <v>RTT-5542;RTT-5494</v>
      </c>
      <c r="H1885" s="1" t="s">
        <v>1058</v>
      </c>
      <c r="I1885" s="1" t="s">
        <v>1085</v>
      </c>
      <c r="J1885" s="1" t="s">
        <v>26</v>
      </c>
      <c r="K1885" s="1" t="s">
        <v>26</v>
      </c>
      <c r="L1885" s="1" t="s">
        <v>26</v>
      </c>
      <c r="M1885" s="1" t="s">
        <v>27</v>
      </c>
      <c r="N1885" s="1" t="s">
        <v>26</v>
      </c>
      <c r="O1885" s="1" t="s">
        <v>26</v>
      </c>
      <c r="P1885" s="4">
        <v>44929.4184837963</v>
      </c>
    </row>
    <row r="1886" hidden="1">
      <c r="A1886" s="1" t="s">
        <v>21</v>
      </c>
      <c r="B1886" s="3" t="str">
        <f>HYPERLINK("https://hawk-eye.atlassian.net/browse/HWKREPORT-1653?atlOrigin=eyJpIjoiYzgwYTQ0ZjEyNzQzNGJhN2JmNjEyZTM0NmRhZWZhNjIiLCJwIjoic2hlZXRzLWppcmEifQ","HWKREPORT-1653")</f>
        <v>HWKREPORT-1653</v>
      </c>
      <c r="C1886" s="1" t="s">
        <v>3144</v>
      </c>
      <c r="D1886" s="1" t="s">
        <v>34</v>
      </c>
      <c r="E1886" s="1" t="s">
        <v>35</v>
      </c>
      <c r="F1886" s="4">
        <v>44873.39246527778</v>
      </c>
      <c r="G1886" s="3" t="str">
        <f>HYPERLINK("https://hawk-eye.atlassian.net/browse/RTT-5496?atlOrigin=eyJpIjoiYzgwYTQ0ZjEyNzQzNGJhN2JmNjEyZTM0NmRhZWZhNjIiLCJwIjoic2hlZXRzLWppcmEifQ","RTT-5496")</f>
        <v>RTT-5496</v>
      </c>
      <c r="H1886" s="1" t="s">
        <v>1058</v>
      </c>
      <c r="I1886" s="1" t="s">
        <v>1085</v>
      </c>
      <c r="J1886" s="1" t="s">
        <v>26</v>
      </c>
      <c r="K1886" s="1" t="s">
        <v>1072</v>
      </c>
      <c r="L1886" s="1" t="s">
        <v>26</v>
      </c>
      <c r="M1886" s="1" t="s">
        <v>27</v>
      </c>
      <c r="N1886" s="1" t="s">
        <v>26</v>
      </c>
      <c r="O1886" s="1" t="s">
        <v>26</v>
      </c>
      <c r="P1886" s="4">
        <v>44986.51115740741</v>
      </c>
    </row>
    <row r="1887" hidden="1">
      <c r="A1887" s="1" t="s">
        <v>21</v>
      </c>
      <c r="B1887" s="3" t="str">
        <f>HYPERLINK("https://hawk-eye.atlassian.net/browse/HWKREPORT-1654?atlOrigin=eyJpIjoiYzgwYTQ0ZjEyNzQzNGJhN2JmNjEyZTM0NmRhZWZhNjIiLCJwIjoic2hlZXRzLWppcmEifQ","HWKREPORT-1654")</f>
        <v>HWKREPORT-1654</v>
      </c>
      <c r="C1887" s="1" t="s">
        <v>3145</v>
      </c>
      <c r="D1887" s="1" t="s">
        <v>23</v>
      </c>
      <c r="E1887" s="1" t="s">
        <v>35</v>
      </c>
      <c r="F1887" s="4">
        <v>44873.39673611111</v>
      </c>
      <c r="G1887" s="3" t="str">
        <f>HYPERLINK("https://hawk-eye.atlassian.net/browse/?atlOrigin=eyJpIjoiYzgwYTQ0ZjEyNzQzNGJhN2JmNjEyZTM0NmRhZWZhNjIiLCJwIjoic2hlZXRzLWppcmEifQ","")</f>
        <v/>
      </c>
      <c r="H1887" s="1" t="s">
        <v>1058</v>
      </c>
      <c r="I1887" s="1" t="s">
        <v>1085</v>
      </c>
      <c r="J1887" s="1" t="s">
        <v>26</v>
      </c>
      <c r="K1887" s="1" t="s">
        <v>1105</v>
      </c>
      <c r="L1887" s="1" t="s">
        <v>26</v>
      </c>
      <c r="M1887" s="1" t="s">
        <v>27</v>
      </c>
      <c r="N1887" s="1" t="s">
        <v>26</v>
      </c>
      <c r="O1887" s="1" t="s">
        <v>26</v>
      </c>
      <c r="P1887" s="4">
        <v>45082.56752314815</v>
      </c>
    </row>
    <row r="1888" hidden="1">
      <c r="A1888" s="1" t="s">
        <v>21</v>
      </c>
      <c r="B1888" s="3" t="str">
        <f>HYPERLINK("https://hawk-eye.atlassian.net/browse/HWKREPORT-1655?atlOrigin=eyJpIjoiYzgwYTQ0ZjEyNzQzNGJhN2JmNjEyZTM0NmRhZWZhNjIiLCJwIjoic2hlZXRzLWppcmEifQ","HWKREPORT-1655")</f>
        <v>HWKREPORT-1655</v>
      </c>
      <c r="C1888" s="1" t="s">
        <v>3146</v>
      </c>
      <c r="D1888" s="1" t="s">
        <v>23</v>
      </c>
      <c r="E1888" s="1" t="s">
        <v>1207</v>
      </c>
      <c r="F1888" s="4">
        <v>44873.39959490741</v>
      </c>
      <c r="G1888" s="3" t="str">
        <f>HYPERLINK("https://hawk-eye.atlassian.net/browse/RTT-5495?atlOrigin=eyJpIjoiYzgwYTQ0ZjEyNzQzNGJhN2JmNjEyZTM0NmRhZWZhNjIiLCJwIjoic2hlZXRzLWppcmEifQ","RTT-5495")</f>
        <v>RTT-5495</v>
      </c>
      <c r="H1888" s="1" t="s">
        <v>1058</v>
      </c>
      <c r="I1888" s="1" t="s">
        <v>1085</v>
      </c>
      <c r="J1888" s="1" t="s">
        <v>26</v>
      </c>
      <c r="K1888" s="1" t="s">
        <v>1072</v>
      </c>
      <c r="L1888" s="1" t="s">
        <v>26</v>
      </c>
      <c r="M1888" s="1" t="s">
        <v>27</v>
      </c>
      <c r="N1888" s="1" t="s">
        <v>26</v>
      </c>
      <c r="O1888" s="1" t="s">
        <v>26</v>
      </c>
      <c r="P1888" s="4">
        <v>44929.4184837963</v>
      </c>
    </row>
    <row r="1889" hidden="1">
      <c r="A1889" s="1" t="s">
        <v>21</v>
      </c>
      <c r="B1889" s="3" t="str">
        <f>HYPERLINK("https://hawk-eye.atlassian.net/browse/HWKREPORT-1656?atlOrigin=eyJpIjoiYzgwYTQ0ZjEyNzQzNGJhN2JmNjEyZTM0NmRhZWZhNjIiLCJwIjoic2hlZXRzLWppcmEifQ","HWKREPORT-1656")</f>
        <v>HWKREPORT-1656</v>
      </c>
      <c r="C1889" s="1" t="s">
        <v>3147</v>
      </c>
      <c r="D1889" s="1" t="s">
        <v>23</v>
      </c>
      <c r="E1889" s="1" t="s">
        <v>1057</v>
      </c>
      <c r="F1889" s="4">
        <v>44873.41087962963</v>
      </c>
      <c r="G1889" s="3" t="str">
        <f>HYPERLINK("https://hawk-eye.atlassian.net/browse/GT-862?atlOrigin=eyJpIjoiYzgwYTQ0ZjEyNzQzNGJhN2JmNjEyZTM0NmRhZWZhNjIiLCJwIjoic2hlZXRzLWppcmEifQ","GT-862")</f>
        <v>GT-862</v>
      </c>
      <c r="H1889" s="1" t="s">
        <v>1058</v>
      </c>
      <c r="I1889" s="1" t="s">
        <v>1085</v>
      </c>
      <c r="J1889" s="1" t="s">
        <v>26</v>
      </c>
      <c r="K1889" s="1" t="s">
        <v>1114</v>
      </c>
      <c r="L1889" s="1" t="s">
        <v>26</v>
      </c>
      <c r="M1889" s="1" t="s">
        <v>27</v>
      </c>
      <c r="N1889" s="1" t="s">
        <v>26</v>
      </c>
      <c r="O1889" s="1" t="s">
        <v>26</v>
      </c>
      <c r="P1889" s="4">
        <v>44873.410891203705</v>
      </c>
    </row>
    <row r="1890" hidden="1">
      <c r="A1890" s="1" t="s">
        <v>21</v>
      </c>
      <c r="B1890" s="3" t="str">
        <f>HYPERLINK("https://hawk-eye.atlassian.net/browse/HWKREPORT-1657?atlOrigin=eyJpIjoiYzgwYTQ0ZjEyNzQzNGJhN2JmNjEyZTM0NmRhZWZhNjIiLCJwIjoic2hlZXRzLWppcmEifQ","HWKREPORT-1657")</f>
        <v>HWKREPORT-1657</v>
      </c>
      <c r="C1890" s="1" t="s">
        <v>3148</v>
      </c>
      <c r="D1890" s="1" t="s">
        <v>34</v>
      </c>
      <c r="E1890" s="1" t="s">
        <v>1057</v>
      </c>
      <c r="F1890" s="4">
        <v>44873.41452546296</v>
      </c>
      <c r="G1890" s="3" t="str">
        <f>HYPERLINK("https://hawk-eye.atlassian.net/browse/GT-891?atlOrigin=eyJpIjoiYzgwYTQ0ZjEyNzQzNGJhN2JmNjEyZTM0NmRhZWZhNjIiLCJwIjoic2hlZXRzLWppcmEifQ","GT-891")</f>
        <v>GT-891</v>
      </c>
      <c r="H1890" s="1" t="s">
        <v>1058</v>
      </c>
      <c r="I1890" s="1" t="s">
        <v>1085</v>
      </c>
      <c r="J1890" s="1" t="s">
        <v>26</v>
      </c>
      <c r="K1890" s="1" t="s">
        <v>1148</v>
      </c>
      <c r="L1890" s="1" t="s">
        <v>26</v>
      </c>
      <c r="M1890" s="1" t="s">
        <v>27</v>
      </c>
      <c r="N1890" s="1" t="s">
        <v>26</v>
      </c>
      <c r="O1890" s="1" t="s">
        <v>26</v>
      </c>
      <c r="P1890" s="4">
        <v>44873.41453703704</v>
      </c>
    </row>
    <row r="1891" hidden="1">
      <c r="A1891" s="1" t="s">
        <v>21</v>
      </c>
      <c r="B1891" s="3" t="str">
        <f>HYPERLINK("https://hawk-eye.atlassian.net/browse/HWKREPORT-1658?atlOrigin=eyJpIjoiYzgwYTQ0ZjEyNzQzNGJhN2JmNjEyZTM0NmRhZWZhNjIiLCJwIjoic2hlZXRzLWppcmEifQ","HWKREPORT-1658")</f>
        <v>HWKREPORT-1658</v>
      </c>
      <c r="C1891" s="1" t="s">
        <v>3149</v>
      </c>
      <c r="D1891" s="1" t="s">
        <v>34</v>
      </c>
      <c r="E1891" s="1" t="s">
        <v>1057</v>
      </c>
      <c r="F1891" s="4">
        <v>44873.427569444444</v>
      </c>
      <c r="G1891" s="3" t="str">
        <f>HYPERLINK("https://hawk-eye.atlassian.net/browse/?atlOrigin=eyJpIjoiYzgwYTQ0ZjEyNzQzNGJhN2JmNjEyZTM0NmRhZWZhNjIiLCJwIjoic2hlZXRzLWppcmEifQ","")</f>
        <v/>
      </c>
      <c r="H1891" s="1" t="s">
        <v>1058</v>
      </c>
      <c r="I1891" s="1" t="s">
        <v>1085</v>
      </c>
      <c r="J1891" s="1" t="s">
        <v>26</v>
      </c>
      <c r="K1891" s="1" t="s">
        <v>1148</v>
      </c>
      <c r="L1891" s="1" t="s">
        <v>26</v>
      </c>
      <c r="M1891" s="1" t="s">
        <v>27</v>
      </c>
      <c r="N1891" s="1" t="s">
        <v>26</v>
      </c>
      <c r="O1891" s="1" t="s">
        <v>26</v>
      </c>
      <c r="P1891" s="4">
        <v>44873.427569444444</v>
      </c>
    </row>
    <row r="1892" hidden="1">
      <c r="A1892" s="1" t="s">
        <v>1055</v>
      </c>
      <c r="B1892" s="3" t="str">
        <f>HYPERLINK("https://hawk-eye.atlassian.net/browse/HWKREPORT-1659?atlOrigin=eyJpIjoiYzgwYTQ0ZjEyNzQzNGJhN2JmNjEyZTM0NmRhZWZhNjIiLCJwIjoic2hlZXRzLWppcmEifQ","HWKREPORT-1659")</f>
        <v>HWKREPORT-1659</v>
      </c>
      <c r="C1892" s="1" t="s">
        <v>3150</v>
      </c>
      <c r="D1892" s="1" t="s">
        <v>23</v>
      </c>
      <c r="E1892" s="1" t="s">
        <v>1057</v>
      </c>
      <c r="F1892" s="4">
        <v>44873.45824074074</v>
      </c>
      <c r="G1892" s="3" t="str">
        <f>HYPERLINK("https://hawk-eye.atlassian.net/issues/?atlOrigin=eyJpIjoiYzgwYTQ0ZjEyNzQzNGJhN2JmNjEyZTM0NmRhZWZhNjIiLCJwIjoic2hlZXRzLWppcmEifQ&amp;jql=key+in+%28AL-543%2CAL-962%29","AL-543;AL-962")</f>
        <v>AL-543;AL-962</v>
      </c>
      <c r="H1892" s="1" t="s">
        <v>1058</v>
      </c>
      <c r="I1892" s="1" t="s">
        <v>1085</v>
      </c>
      <c r="J1892" s="1" t="s">
        <v>26</v>
      </c>
      <c r="K1892" s="1" t="s">
        <v>1219</v>
      </c>
      <c r="L1892" s="1" t="s">
        <v>26</v>
      </c>
      <c r="M1892" s="1" t="s">
        <v>27</v>
      </c>
      <c r="N1892" s="1" t="s">
        <v>26</v>
      </c>
      <c r="O1892" s="1" t="s">
        <v>26</v>
      </c>
      <c r="P1892" s="4">
        <v>44873.45825231481</v>
      </c>
    </row>
    <row r="1893" hidden="1">
      <c r="A1893" s="1" t="s">
        <v>1055</v>
      </c>
      <c r="B1893" s="3" t="str">
        <f>HYPERLINK("https://hawk-eye.atlassian.net/browse/HWKREPORT-1660?atlOrigin=eyJpIjoiYzgwYTQ0ZjEyNzQzNGJhN2JmNjEyZTM0NmRhZWZhNjIiLCJwIjoic2hlZXRzLWppcmEifQ","HWKREPORT-1660")</f>
        <v>HWKREPORT-1660</v>
      </c>
      <c r="C1893" s="1" t="s">
        <v>3151</v>
      </c>
      <c r="D1893" s="1" t="s">
        <v>23</v>
      </c>
      <c r="E1893" s="1" t="s">
        <v>1057</v>
      </c>
      <c r="F1893" s="4">
        <v>44873.4608912037</v>
      </c>
      <c r="G1893" s="3" t="str">
        <f>HYPERLINK("https://hawk-eye.atlassian.net/browse/AL-544?atlOrigin=eyJpIjoiYzgwYTQ0ZjEyNzQzNGJhN2JmNjEyZTM0NmRhZWZhNjIiLCJwIjoic2hlZXRzLWppcmEifQ","AL-544")</f>
        <v>AL-544</v>
      </c>
      <c r="H1893" s="1" t="s">
        <v>1058</v>
      </c>
      <c r="I1893" s="1" t="s">
        <v>1085</v>
      </c>
      <c r="J1893" s="1" t="s">
        <v>26</v>
      </c>
      <c r="K1893" s="1" t="s">
        <v>1219</v>
      </c>
      <c r="L1893" s="1" t="s">
        <v>26</v>
      </c>
      <c r="M1893" s="1" t="s">
        <v>27</v>
      </c>
      <c r="N1893" s="1" t="s">
        <v>26</v>
      </c>
      <c r="O1893" s="1" t="s">
        <v>26</v>
      </c>
      <c r="P1893" s="4">
        <v>44873.46090277778</v>
      </c>
    </row>
    <row r="1894" hidden="1">
      <c r="A1894" s="1" t="s">
        <v>1055</v>
      </c>
      <c r="B1894" s="3" t="str">
        <f>HYPERLINK("https://hawk-eye.atlassian.net/browse/HWKREPORT-1661?atlOrigin=eyJpIjoiYzgwYTQ0ZjEyNzQzNGJhN2JmNjEyZTM0NmRhZWZhNjIiLCJwIjoic2hlZXRzLWppcmEifQ","HWKREPORT-1661")</f>
        <v>HWKREPORT-1661</v>
      </c>
      <c r="C1894" s="1" t="s">
        <v>3152</v>
      </c>
      <c r="D1894" s="1" t="s">
        <v>23</v>
      </c>
      <c r="E1894" s="1" t="s">
        <v>35</v>
      </c>
      <c r="F1894" s="4">
        <v>44873.47447916667</v>
      </c>
      <c r="G1894" s="3" t="str">
        <f>HYPERLINK("https://hawk-eye.atlassian.net/browse/AL-546?atlOrigin=eyJpIjoiYzgwYTQ0ZjEyNzQzNGJhN2JmNjEyZTM0NmRhZWZhNjIiLCJwIjoic2hlZXRzLWppcmEifQ","AL-546")</f>
        <v>AL-546</v>
      </c>
      <c r="H1894" s="1" t="s">
        <v>1058</v>
      </c>
      <c r="I1894" s="1" t="s">
        <v>1085</v>
      </c>
      <c r="J1894" s="1" t="s">
        <v>26</v>
      </c>
      <c r="K1894" s="1" t="s">
        <v>1219</v>
      </c>
      <c r="L1894" s="1" t="s">
        <v>26</v>
      </c>
      <c r="M1894" s="1" t="s">
        <v>27</v>
      </c>
      <c r="N1894" s="1" t="s">
        <v>26</v>
      </c>
      <c r="O1894" s="1" t="s">
        <v>26</v>
      </c>
      <c r="P1894" s="4">
        <v>44995.61324074074</v>
      </c>
    </row>
    <row r="1895" hidden="1">
      <c r="A1895" s="1" t="s">
        <v>1055</v>
      </c>
      <c r="B1895" s="3" t="str">
        <f>HYPERLINK("https://hawk-eye.atlassian.net/browse/HWKREPORT-1662?atlOrigin=eyJpIjoiYzgwYTQ0ZjEyNzQzNGJhN2JmNjEyZTM0NmRhZWZhNjIiLCJwIjoic2hlZXRzLWppcmEifQ","HWKREPORT-1662")</f>
        <v>HWKREPORT-1662</v>
      </c>
      <c r="C1895" s="1" t="s">
        <v>3153</v>
      </c>
      <c r="D1895" s="1" t="s">
        <v>23</v>
      </c>
      <c r="E1895" s="1" t="s">
        <v>1207</v>
      </c>
      <c r="F1895" s="4">
        <v>44873.494618055556</v>
      </c>
      <c r="G1895" s="3" t="str">
        <f>HYPERLINK("https://hawk-eye.atlassian.net/browse/AL-545?atlOrigin=eyJpIjoiYzgwYTQ0ZjEyNzQzNGJhN2JmNjEyZTM0NmRhZWZhNjIiLCJwIjoic2hlZXRzLWppcmEifQ","AL-545")</f>
        <v>AL-545</v>
      </c>
      <c r="H1895" s="1" t="s">
        <v>1058</v>
      </c>
      <c r="I1895" s="1" t="s">
        <v>1085</v>
      </c>
      <c r="J1895" s="1" t="s">
        <v>26</v>
      </c>
      <c r="K1895" s="1" t="s">
        <v>1219</v>
      </c>
      <c r="L1895" s="1" t="s">
        <v>26</v>
      </c>
      <c r="M1895" s="1" t="s">
        <v>27</v>
      </c>
      <c r="N1895" s="1" t="s">
        <v>26</v>
      </c>
      <c r="O1895" s="1" t="s">
        <v>26</v>
      </c>
      <c r="P1895" s="4">
        <v>44929.4184837963</v>
      </c>
    </row>
    <row r="1896" hidden="1">
      <c r="A1896" s="1" t="s">
        <v>1055</v>
      </c>
      <c r="B1896" s="3" t="str">
        <f>HYPERLINK("https://hawk-eye.atlassian.net/browse/HWKREPORT-1663?atlOrigin=eyJpIjoiYzgwYTQ0ZjEyNzQzNGJhN2JmNjEyZTM0NmRhZWZhNjIiLCJwIjoic2hlZXRzLWppcmEifQ","HWKREPORT-1663")</f>
        <v>HWKREPORT-1663</v>
      </c>
      <c r="C1896" s="1" t="s">
        <v>3154</v>
      </c>
      <c r="D1896" s="1" t="s">
        <v>23</v>
      </c>
      <c r="E1896" s="1" t="s">
        <v>1057</v>
      </c>
      <c r="F1896" s="4">
        <v>44873.60681712963</v>
      </c>
      <c r="G1896" s="3" t="str">
        <f>HYPERLINK("https://hawk-eye.atlassian.net/browse/AL-548?atlOrigin=eyJpIjoiYzgwYTQ0ZjEyNzQzNGJhN2JmNjEyZTM0NmRhZWZhNjIiLCJwIjoic2hlZXRzLWppcmEifQ","AL-548")</f>
        <v>AL-548</v>
      </c>
      <c r="H1896" s="1" t="s">
        <v>1058</v>
      </c>
      <c r="I1896" s="1" t="s">
        <v>1071</v>
      </c>
      <c r="J1896" s="1" t="s">
        <v>26</v>
      </c>
      <c r="K1896" s="1" t="s">
        <v>1143</v>
      </c>
      <c r="L1896" s="1" t="s">
        <v>26</v>
      </c>
      <c r="M1896" s="1" t="s">
        <v>27</v>
      </c>
      <c r="N1896" s="1" t="s">
        <v>26</v>
      </c>
      <c r="O1896" s="1" t="s">
        <v>26</v>
      </c>
      <c r="P1896" s="4">
        <v>44873.60681712963</v>
      </c>
    </row>
    <row r="1897" hidden="1">
      <c r="A1897" s="1" t="s">
        <v>1055</v>
      </c>
      <c r="B1897" s="3" t="str">
        <f>HYPERLINK("https://hawk-eye.atlassian.net/browse/HWKREPORT-1664?atlOrigin=eyJpIjoiYzgwYTQ0ZjEyNzQzNGJhN2JmNjEyZTM0NmRhZWZhNjIiLCJwIjoic2hlZXRzLWppcmEifQ","HWKREPORT-1664")</f>
        <v>HWKREPORT-1664</v>
      </c>
      <c r="C1897" s="1" t="s">
        <v>3155</v>
      </c>
      <c r="D1897" s="1" t="s">
        <v>23</v>
      </c>
      <c r="E1897" s="1" t="s">
        <v>35</v>
      </c>
      <c r="F1897" s="4">
        <v>44873.6515162037</v>
      </c>
      <c r="G1897" s="3" t="str">
        <f>HYPERLINK("https://hawk-eye.atlassian.net/browse/AL-547?atlOrigin=eyJpIjoiYzgwYTQ0ZjEyNzQzNGJhN2JmNjEyZTM0NmRhZWZhNjIiLCJwIjoic2hlZXRzLWppcmEifQ","AL-547")</f>
        <v>AL-547</v>
      </c>
      <c r="H1897" s="1" t="s">
        <v>1058</v>
      </c>
      <c r="I1897" s="1" t="s">
        <v>1085</v>
      </c>
      <c r="J1897" s="1" t="s">
        <v>26</v>
      </c>
      <c r="K1897" s="1" t="s">
        <v>1219</v>
      </c>
      <c r="L1897" s="1" t="s">
        <v>26</v>
      </c>
      <c r="M1897" s="1" t="s">
        <v>27</v>
      </c>
      <c r="N1897" s="1" t="s">
        <v>26</v>
      </c>
      <c r="O1897" s="1" t="s">
        <v>26</v>
      </c>
      <c r="P1897" s="4">
        <v>44995.61075231482</v>
      </c>
    </row>
    <row r="1898" hidden="1">
      <c r="A1898" s="1" t="s">
        <v>1055</v>
      </c>
      <c r="B1898" s="3" t="str">
        <f>HYPERLINK("https://hawk-eye.atlassian.net/browse/HWKREPORT-1665?atlOrigin=eyJpIjoiYzgwYTQ0ZjEyNzQzNGJhN2JmNjEyZTM0NmRhZWZhNjIiLCJwIjoic2hlZXRzLWppcmEifQ","HWKREPORT-1665")</f>
        <v>HWKREPORT-1665</v>
      </c>
      <c r="C1898" s="1" t="s">
        <v>3156</v>
      </c>
      <c r="D1898" s="1" t="s">
        <v>23</v>
      </c>
      <c r="E1898" s="1" t="s">
        <v>1057</v>
      </c>
      <c r="F1898" s="4">
        <v>44873.65287037037</v>
      </c>
      <c r="G1898" s="3" t="str">
        <f>HYPERLINK("https://hawk-eye.atlassian.net/browse/?atlOrigin=eyJpIjoiYzgwYTQ0ZjEyNzQzNGJhN2JmNjEyZTM0NmRhZWZhNjIiLCJwIjoic2hlZXRzLWppcmEifQ","")</f>
        <v/>
      </c>
      <c r="H1898" s="1" t="s">
        <v>1058</v>
      </c>
      <c r="I1898" s="1" t="s">
        <v>1085</v>
      </c>
      <c r="J1898" s="1" t="s">
        <v>26</v>
      </c>
      <c r="K1898" s="1" t="s">
        <v>1072</v>
      </c>
      <c r="L1898" s="1" t="s">
        <v>26</v>
      </c>
      <c r="M1898" s="1" t="s">
        <v>27</v>
      </c>
      <c r="N1898" s="1" t="s">
        <v>26</v>
      </c>
      <c r="O1898" s="1" t="s">
        <v>26</v>
      </c>
      <c r="P1898" s="4">
        <v>44873.65288194444</v>
      </c>
    </row>
    <row r="1899" hidden="1">
      <c r="A1899" s="1" t="s">
        <v>21</v>
      </c>
      <c r="B1899" s="3" t="str">
        <f>HYPERLINK("https://hawk-eye.atlassian.net/browse/HWKREPORT-1666?atlOrigin=eyJpIjoiYzgwYTQ0ZjEyNzQzNGJhN2JmNjEyZTM0NmRhZWZhNjIiLCJwIjoic2hlZXRzLWppcmEifQ","HWKREPORT-1666")</f>
        <v>HWKREPORT-1666</v>
      </c>
      <c r="C1899" s="1" t="s">
        <v>3157</v>
      </c>
      <c r="D1899" s="1" t="s">
        <v>23</v>
      </c>
      <c r="E1899" s="1" t="s">
        <v>1207</v>
      </c>
      <c r="F1899" s="4">
        <v>44873.78696759259</v>
      </c>
      <c r="G1899" s="3" t="str">
        <f>HYPERLINK("https://hawk-eye.atlassian.net/browse/RTT-5503?atlOrigin=eyJpIjoiYzgwYTQ0ZjEyNzQzNGJhN2JmNjEyZTM0NmRhZWZhNjIiLCJwIjoic2hlZXRzLWppcmEifQ","RTT-5503")</f>
        <v>RTT-5503</v>
      </c>
      <c r="H1899" s="1" t="s">
        <v>1058</v>
      </c>
      <c r="I1899" s="1" t="s">
        <v>1071</v>
      </c>
      <c r="J1899" s="1" t="s">
        <v>26</v>
      </c>
      <c r="K1899" s="1" t="s">
        <v>1072</v>
      </c>
      <c r="L1899" s="1" t="s">
        <v>26</v>
      </c>
      <c r="M1899" s="1" t="s">
        <v>27</v>
      </c>
      <c r="N1899" s="1" t="s">
        <v>26</v>
      </c>
      <c r="O1899" s="1" t="s">
        <v>26</v>
      </c>
      <c r="P1899" s="4">
        <v>44929.4184837963</v>
      </c>
    </row>
    <row r="1900" hidden="1">
      <c r="A1900" s="1" t="s">
        <v>21</v>
      </c>
      <c r="B1900" s="3" t="str">
        <f>HYPERLINK("https://hawk-eye.atlassian.net/browse/HWKREPORT-1667?atlOrigin=eyJpIjoiYzgwYTQ0ZjEyNzQzNGJhN2JmNjEyZTM0NmRhZWZhNjIiLCJwIjoic2hlZXRzLWppcmEifQ","HWKREPORT-1667")</f>
        <v>HWKREPORT-1667</v>
      </c>
      <c r="C1900" s="1" t="s">
        <v>3158</v>
      </c>
      <c r="D1900" s="1" t="s">
        <v>23</v>
      </c>
      <c r="E1900" s="1" t="s">
        <v>1207</v>
      </c>
      <c r="F1900" s="4">
        <v>44873.79004629629</v>
      </c>
      <c r="G1900" s="3" t="str">
        <f>HYPERLINK("https://hawk-eye.atlassian.net/browse/RTT-5502?atlOrigin=eyJpIjoiYzgwYTQ0ZjEyNzQzNGJhN2JmNjEyZTM0NmRhZWZhNjIiLCJwIjoic2hlZXRzLWppcmEifQ","RTT-5502")</f>
        <v>RTT-5502</v>
      </c>
      <c r="H1900" s="1" t="s">
        <v>1058</v>
      </c>
      <c r="I1900" s="1" t="s">
        <v>1071</v>
      </c>
      <c r="J1900" s="1" t="s">
        <v>26</v>
      </c>
      <c r="K1900" s="1" t="s">
        <v>1072</v>
      </c>
      <c r="L1900" s="1" t="s">
        <v>26</v>
      </c>
      <c r="M1900" s="1" t="s">
        <v>27</v>
      </c>
      <c r="N1900" s="1" t="s">
        <v>26</v>
      </c>
      <c r="O1900" s="1" t="s">
        <v>26</v>
      </c>
      <c r="P1900" s="4">
        <v>44929.4184837963</v>
      </c>
    </row>
    <row r="1901" hidden="1">
      <c r="A1901" s="1" t="s">
        <v>21</v>
      </c>
      <c r="B1901" s="3" t="str">
        <f>HYPERLINK("https://hawk-eye.atlassian.net/browse/HWKREPORT-1668?atlOrigin=eyJpIjoiYzgwYTQ0ZjEyNzQzNGJhN2JmNjEyZTM0NmRhZWZhNjIiLCJwIjoic2hlZXRzLWppcmEifQ","HWKREPORT-1668")</f>
        <v>HWKREPORT-1668</v>
      </c>
      <c r="C1901" s="1" t="s">
        <v>3159</v>
      </c>
      <c r="D1901" s="1" t="s">
        <v>23</v>
      </c>
      <c r="E1901" s="1" t="s">
        <v>1207</v>
      </c>
      <c r="F1901" s="4">
        <v>44873.791921296295</v>
      </c>
      <c r="G1901" s="3" t="str">
        <f>HYPERLINK("https://hawk-eye.atlassian.net/browse/RTT-5501?atlOrigin=eyJpIjoiYzgwYTQ0ZjEyNzQzNGJhN2JmNjEyZTM0NmRhZWZhNjIiLCJwIjoic2hlZXRzLWppcmEifQ","RTT-5501")</f>
        <v>RTT-5501</v>
      </c>
      <c r="H1901" s="1" t="s">
        <v>1058</v>
      </c>
      <c r="I1901" s="1" t="s">
        <v>1085</v>
      </c>
      <c r="J1901" s="1" t="s">
        <v>26</v>
      </c>
      <c r="K1901" s="1" t="s">
        <v>1072</v>
      </c>
      <c r="L1901" s="1" t="s">
        <v>26</v>
      </c>
      <c r="M1901" s="1" t="s">
        <v>27</v>
      </c>
      <c r="N1901" s="1" t="s">
        <v>26</v>
      </c>
      <c r="O1901" s="1" t="s">
        <v>26</v>
      </c>
      <c r="P1901" s="4">
        <v>44929.4184837963</v>
      </c>
    </row>
    <row r="1902" hidden="1">
      <c r="A1902" s="1" t="s">
        <v>21</v>
      </c>
      <c r="B1902" s="3" t="str">
        <f>HYPERLINK("https://hawk-eye.atlassian.net/browse/HWKREPORT-1466?atlOrigin=eyJpIjoiYzgwYTQ0ZjEyNzQzNGJhN2JmNjEyZTM0NmRhZWZhNjIiLCJwIjoic2hlZXRzLWppcmEifQ","HWKREPORT-1466")</f>
        <v>HWKREPORT-1466</v>
      </c>
      <c r="C1902" s="1" t="s">
        <v>3160</v>
      </c>
      <c r="D1902" s="1" t="s">
        <v>40</v>
      </c>
      <c r="E1902" s="1" t="s">
        <v>35</v>
      </c>
      <c r="F1902" s="4">
        <v>44788.58866898148</v>
      </c>
      <c r="G1902" s="3" t="str">
        <f>HYPERLINK("https://hawk-eye.atlassian.net/browse/RTT-5210?atlOrigin=eyJpIjoiYzgwYTQ0ZjEyNzQzNGJhN2JmNjEyZTM0NmRhZWZhNjIiLCJwIjoic2hlZXRzLWppcmEifQ","RTT-5210")</f>
        <v>RTT-5210</v>
      </c>
      <c r="H1902" s="1" t="s">
        <v>1058</v>
      </c>
      <c r="I1902" s="1" t="s">
        <v>1085</v>
      </c>
      <c r="J1902" s="1" t="s">
        <v>26</v>
      </c>
      <c r="K1902" s="1" t="s">
        <v>1134</v>
      </c>
      <c r="L1902" s="1" t="s">
        <v>26</v>
      </c>
      <c r="M1902" s="1" t="s">
        <v>27</v>
      </c>
      <c r="N1902" s="1" t="s">
        <v>26</v>
      </c>
      <c r="O1902" s="1" t="s">
        <v>26</v>
      </c>
      <c r="P1902" s="4">
        <v>44789.722337962965</v>
      </c>
    </row>
    <row r="1903" hidden="1">
      <c r="A1903" s="1" t="s">
        <v>21</v>
      </c>
      <c r="B1903" s="3" t="str">
        <f>HYPERLINK("https://hawk-eye.atlassian.net/browse/HWKREPORT-1467?atlOrigin=eyJpIjoiYzgwYTQ0ZjEyNzQzNGJhN2JmNjEyZTM0NmRhZWZhNjIiLCJwIjoic2hlZXRzLWppcmEifQ","HWKREPORT-1467")</f>
        <v>HWKREPORT-1467</v>
      </c>
      <c r="C1903" s="1" t="s">
        <v>3161</v>
      </c>
      <c r="D1903" s="1" t="s">
        <v>23</v>
      </c>
      <c r="E1903" s="1" t="s">
        <v>35</v>
      </c>
      <c r="F1903" s="4">
        <v>44788.64706018518</v>
      </c>
      <c r="G1903" s="3" t="str">
        <f>HYPERLINK("https://hawk-eye.atlassian.net/browse/RTT-5215?atlOrigin=eyJpIjoiYzgwYTQ0ZjEyNzQzNGJhN2JmNjEyZTM0NmRhZWZhNjIiLCJwIjoic2hlZXRzLWppcmEifQ","RTT-5215")</f>
        <v>RTT-5215</v>
      </c>
      <c r="H1903" s="1" t="s">
        <v>1058</v>
      </c>
      <c r="I1903" s="1" t="s">
        <v>1071</v>
      </c>
      <c r="J1903" s="1" t="s">
        <v>26</v>
      </c>
      <c r="K1903" s="1" t="s">
        <v>1093</v>
      </c>
      <c r="L1903" s="1" t="s">
        <v>26</v>
      </c>
      <c r="M1903" s="1" t="s">
        <v>27</v>
      </c>
      <c r="N1903" s="1" t="s">
        <v>26</v>
      </c>
      <c r="O1903" s="1" t="s">
        <v>26</v>
      </c>
      <c r="P1903" s="4">
        <v>44844.55027777778</v>
      </c>
    </row>
    <row r="1904" hidden="1">
      <c r="A1904" s="1" t="s">
        <v>1055</v>
      </c>
      <c r="B1904" s="3" t="str">
        <f>HYPERLINK("https://hawk-eye.atlassian.net/browse/HWKREPORT-1468?atlOrigin=eyJpIjoiYzgwYTQ0ZjEyNzQzNGJhN2JmNjEyZTM0NmRhZWZhNjIiLCJwIjoic2hlZXRzLWppcmEifQ","HWKREPORT-1468")</f>
        <v>HWKREPORT-1468</v>
      </c>
      <c r="C1904" s="1" t="s">
        <v>3162</v>
      </c>
      <c r="D1904" s="1" t="s">
        <v>23</v>
      </c>
      <c r="E1904" s="1" t="s">
        <v>35</v>
      </c>
      <c r="F1904" s="4">
        <v>44788.80710648148</v>
      </c>
      <c r="G1904" s="3" t="str">
        <f>HYPERLINK("https://hawk-eye.atlassian.net/issues/?atlOrigin=eyJpIjoiYzgwYTQ0ZjEyNzQzNGJhN2JmNjEyZTM0NmRhZWZhNjIiLCJwIjoic2hlZXRzLWppcmEifQ&amp;jql=key+in+%28RTT-5214%2CBDP-1046%29","RTT-5214;BDP-1046")</f>
        <v>RTT-5214;BDP-1046</v>
      </c>
      <c r="H1904" s="1" t="s">
        <v>1058</v>
      </c>
      <c r="I1904" s="1" t="s">
        <v>1071</v>
      </c>
      <c r="J1904" s="1" t="s">
        <v>26</v>
      </c>
      <c r="K1904" s="1" t="s">
        <v>1397</v>
      </c>
      <c r="L1904" s="1" t="s">
        <v>26</v>
      </c>
      <c r="M1904" s="1" t="s">
        <v>27</v>
      </c>
      <c r="N1904" s="1" t="s">
        <v>26</v>
      </c>
      <c r="O1904" s="1" t="s">
        <v>26</v>
      </c>
      <c r="P1904" s="4">
        <v>44798.37488425926</v>
      </c>
    </row>
    <row r="1905" hidden="1">
      <c r="A1905" s="1" t="s">
        <v>1055</v>
      </c>
      <c r="B1905" s="3" t="str">
        <f>HYPERLINK("https://hawk-eye.atlassian.net/browse/HWKREPORT-1469?atlOrigin=eyJpIjoiYzgwYTQ0ZjEyNzQzNGJhN2JmNjEyZTM0NmRhZWZhNjIiLCJwIjoic2hlZXRzLWppcmEifQ","HWKREPORT-1469")</f>
        <v>HWKREPORT-1469</v>
      </c>
      <c r="C1905" s="1" t="s">
        <v>3163</v>
      </c>
      <c r="D1905" s="1" t="s">
        <v>23</v>
      </c>
      <c r="E1905" s="1" t="s">
        <v>1207</v>
      </c>
      <c r="F1905" s="4">
        <v>44788.81208333333</v>
      </c>
      <c r="G1905" s="3" t="str">
        <f>HYPERLINK("https://hawk-eye.atlassian.net/browse/RTT-5216?atlOrigin=eyJpIjoiYzgwYTQ0ZjEyNzQzNGJhN2JmNjEyZTM0NmRhZWZhNjIiLCJwIjoic2hlZXRzLWppcmEifQ","RTT-5216")</f>
        <v>RTT-5216</v>
      </c>
      <c r="H1905" s="1" t="s">
        <v>1058</v>
      </c>
      <c r="I1905" s="1" t="s">
        <v>1071</v>
      </c>
      <c r="J1905" s="1" t="s">
        <v>26</v>
      </c>
      <c r="K1905" s="1" t="s">
        <v>1072</v>
      </c>
      <c r="L1905" s="1" t="s">
        <v>26</v>
      </c>
      <c r="M1905" s="1" t="s">
        <v>27</v>
      </c>
      <c r="N1905" s="1" t="s">
        <v>26</v>
      </c>
      <c r="O1905" s="1" t="s">
        <v>26</v>
      </c>
      <c r="P1905" s="4">
        <v>44929.4184837963</v>
      </c>
    </row>
    <row r="1906" hidden="1">
      <c r="A1906" s="1" t="s">
        <v>21</v>
      </c>
      <c r="B1906" s="3" t="str">
        <f>HYPERLINK("https://hawk-eye.atlassian.net/browse/HWKREPORT-1470?atlOrigin=eyJpIjoiYzgwYTQ0ZjEyNzQzNGJhN2JmNjEyZTM0NmRhZWZhNjIiLCJwIjoic2hlZXRzLWppcmEifQ","HWKREPORT-1470")</f>
        <v>HWKREPORT-1470</v>
      </c>
      <c r="C1906" s="1" t="s">
        <v>3164</v>
      </c>
      <c r="D1906" s="1" t="s">
        <v>23</v>
      </c>
      <c r="E1906" s="1" t="s">
        <v>35</v>
      </c>
      <c r="F1906" s="4">
        <v>44788.81270833333</v>
      </c>
      <c r="G1906" s="3" t="str">
        <f>HYPERLINK("https://hawk-eye.atlassian.net/browse/BDP-979?atlOrigin=eyJpIjoiYzgwYTQ0ZjEyNzQzNGJhN2JmNjEyZTM0NmRhZWZhNjIiLCJwIjoic2hlZXRzLWppcmEifQ","BDP-979")</f>
        <v>BDP-979</v>
      </c>
      <c r="H1906" s="1" t="s">
        <v>1058</v>
      </c>
      <c r="I1906" s="1" t="s">
        <v>1071</v>
      </c>
      <c r="J1906" s="1" t="s">
        <v>26</v>
      </c>
      <c r="K1906" s="1" t="s">
        <v>1130</v>
      </c>
      <c r="L1906" s="1" t="s">
        <v>26</v>
      </c>
      <c r="M1906" s="1" t="s">
        <v>27</v>
      </c>
      <c r="N1906" s="1" t="s">
        <v>26</v>
      </c>
      <c r="O1906" s="1" t="s">
        <v>26</v>
      </c>
      <c r="P1906" s="4">
        <v>44833.60606481481</v>
      </c>
    </row>
    <row r="1907" hidden="1">
      <c r="A1907" s="1" t="s">
        <v>21</v>
      </c>
      <c r="B1907" s="3" t="str">
        <f>HYPERLINK("https://hawk-eye.atlassian.net/browse/HWKREPORT-1471?atlOrigin=eyJpIjoiYzgwYTQ0ZjEyNzQzNGJhN2JmNjEyZTM0NmRhZWZhNjIiLCJwIjoic2hlZXRzLWppcmEifQ","HWKREPORT-1471")</f>
        <v>HWKREPORT-1471</v>
      </c>
      <c r="C1907" s="1" t="s">
        <v>3165</v>
      </c>
      <c r="D1907" s="1" t="s">
        <v>23</v>
      </c>
      <c r="E1907" s="1" t="s">
        <v>1057</v>
      </c>
      <c r="F1907" s="4">
        <v>44788.82247685185</v>
      </c>
      <c r="G1907" s="3" t="str">
        <f>HYPERLINK("https://hawk-eye.atlassian.net/browse/RTT-5948?atlOrigin=eyJpIjoiYzgwYTQ0ZjEyNzQzNGJhN2JmNjEyZTM0NmRhZWZhNjIiLCJwIjoic2hlZXRzLWppcmEifQ","RTT-5948")</f>
        <v>RTT-5948</v>
      </c>
      <c r="H1907" s="1" t="s">
        <v>1058</v>
      </c>
      <c r="I1907" s="1" t="s">
        <v>1071</v>
      </c>
      <c r="J1907" s="1" t="s">
        <v>26</v>
      </c>
      <c r="K1907" s="1" t="s">
        <v>1312</v>
      </c>
      <c r="L1907" s="1" t="s">
        <v>26</v>
      </c>
      <c r="M1907" s="1" t="s">
        <v>27</v>
      </c>
      <c r="N1907" s="1" t="s">
        <v>26</v>
      </c>
      <c r="O1907" s="1" t="s">
        <v>26</v>
      </c>
      <c r="P1907" s="4">
        <v>44788.822488425925</v>
      </c>
    </row>
    <row r="1908" hidden="1">
      <c r="A1908" s="1" t="s">
        <v>1055</v>
      </c>
      <c r="B1908" s="3" t="str">
        <f>HYPERLINK("https://hawk-eye.atlassian.net/browse/HWKREPORT-1472?atlOrigin=eyJpIjoiYzgwYTQ0ZjEyNzQzNGJhN2JmNjEyZTM0NmRhZWZhNjIiLCJwIjoic2hlZXRzLWppcmEifQ","HWKREPORT-1472")</f>
        <v>HWKREPORT-1472</v>
      </c>
      <c r="C1908" s="1" t="s">
        <v>3166</v>
      </c>
      <c r="D1908" s="1" t="s">
        <v>23</v>
      </c>
      <c r="E1908" s="1" t="s">
        <v>1207</v>
      </c>
      <c r="F1908" s="4">
        <v>44788.82850694445</v>
      </c>
      <c r="G1908" s="3" t="str">
        <f>HYPERLINK("https://hawk-eye.atlassian.net/browse/RTT-5226?atlOrigin=eyJpIjoiYzgwYTQ0ZjEyNzQzNGJhN2JmNjEyZTM0NmRhZWZhNjIiLCJwIjoic2hlZXRzLWppcmEifQ","RTT-5226")</f>
        <v>RTT-5226</v>
      </c>
      <c r="H1908" s="1" t="s">
        <v>1058</v>
      </c>
      <c r="I1908" s="1" t="s">
        <v>1071</v>
      </c>
      <c r="J1908" s="1" t="s">
        <v>26</v>
      </c>
      <c r="K1908" s="1" t="s">
        <v>1072</v>
      </c>
      <c r="L1908" s="1" t="s">
        <v>26</v>
      </c>
      <c r="M1908" s="1" t="s">
        <v>27</v>
      </c>
      <c r="N1908" s="1" t="s">
        <v>26</v>
      </c>
      <c r="O1908" s="1" t="s">
        <v>26</v>
      </c>
      <c r="P1908" s="4">
        <v>45050.72583333333</v>
      </c>
    </row>
    <row r="1909" hidden="1">
      <c r="A1909" s="1" t="s">
        <v>1055</v>
      </c>
      <c r="B1909" s="3" t="str">
        <f>HYPERLINK("https://hawk-eye.atlassian.net/browse/HWKREPORT-1473?atlOrigin=eyJpIjoiYzgwYTQ0ZjEyNzQzNGJhN2JmNjEyZTM0NmRhZWZhNjIiLCJwIjoic2hlZXRzLWppcmEifQ","HWKREPORT-1473")</f>
        <v>HWKREPORT-1473</v>
      </c>
      <c r="C1909" s="1" t="s">
        <v>3167</v>
      </c>
      <c r="D1909" s="1" t="s">
        <v>23</v>
      </c>
      <c r="E1909" s="1" t="s">
        <v>1207</v>
      </c>
      <c r="F1909" s="4">
        <v>44788.94163194444</v>
      </c>
      <c r="G1909" s="3" t="str">
        <f>HYPERLINK("https://hawk-eye.atlassian.net/browse/BDS-429?atlOrigin=eyJpIjoiYzgwYTQ0ZjEyNzQzNGJhN2JmNjEyZTM0NmRhZWZhNjIiLCJwIjoic2hlZXRzLWppcmEifQ","BDS-429")</f>
        <v>BDS-429</v>
      </c>
      <c r="H1909" s="1" t="s">
        <v>1058</v>
      </c>
      <c r="I1909" s="1" t="s">
        <v>1071</v>
      </c>
      <c r="J1909" s="1" t="s">
        <v>26</v>
      </c>
      <c r="K1909" s="1" t="s">
        <v>1397</v>
      </c>
      <c r="L1909" s="1" t="s">
        <v>26</v>
      </c>
      <c r="M1909" s="1" t="s">
        <v>27</v>
      </c>
      <c r="N1909" s="1" t="s">
        <v>26</v>
      </c>
      <c r="O1909" s="1" t="s">
        <v>26</v>
      </c>
      <c r="P1909" s="4">
        <v>44929.4184837963</v>
      </c>
    </row>
    <row r="1910" hidden="1">
      <c r="A1910" s="1" t="s">
        <v>21</v>
      </c>
      <c r="B1910" s="3" t="str">
        <f>HYPERLINK("https://hawk-eye.atlassian.net/browse/HWKREPORT-1474?atlOrigin=eyJpIjoiYzgwYTQ0ZjEyNzQzNGJhN2JmNjEyZTM0NmRhZWZhNjIiLCJwIjoic2hlZXRzLWppcmEifQ","HWKREPORT-1474")</f>
        <v>HWKREPORT-1474</v>
      </c>
      <c r="C1910" s="1" t="s">
        <v>3168</v>
      </c>
      <c r="D1910" s="1" t="s">
        <v>23</v>
      </c>
      <c r="E1910" s="1" t="s">
        <v>35</v>
      </c>
      <c r="F1910" s="4">
        <v>44789.59596064815</v>
      </c>
      <c r="G1910" s="3" t="str">
        <f>HYPERLINK("https://hawk-eye.atlassian.net/browse/MLT-1102?atlOrigin=eyJpIjoiYzgwYTQ0ZjEyNzQzNGJhN2JmNjEyZTM0NmRhZWZhNjIiLCJwIjoic2hlZXRzLWppcmEifQ","MLT-1102")</f>
        <v>MLT-1102</v>
      </c>
      <c r="H1910" s="1" t="s">
        <v>1058</v>
      </c>
      <c r="I1910" s="1" t="s">
        <v>1071</v>
      </c>
      <c r="J1910" s="1" t="s">
        <v>26</v>
      </c>
      <c r="K1910" s="1" t="s">
        <v>1072</v>
      </c>
      <c r="L1910" s="1" t="s">
        <v>26</v>
      </c>
      <c r="M1910" s="1" t="s">
        <v>27</v>
      </c>
      <c r="N1910" s="1" t="s">
        <v>26</v>
      </c>
      <c r="O1910" s="1" t="s">
        <v>26</v>
      </c>
      <c r="P1910" s="4">
        <v>44795.39349537037</v>
      </c>
    </row>
    <row r="1911" hidden="1">
      <c r="A1911" s="1" t="s">
        <v>21</v>
      </c>
      <c r="B1911" s="3" t="str">
        <f>HYPERLINK("https://hawk-eye.atlassian.net/browse/HWKREPORT-1475?atlOrigin=eyJpIjoiYzgwYTQ0ZjEyNzQzNGJhN2JmNjEyZTM0NmRhZWZhNjIiLCJwIjoic2hlZXRzLWppcmEifQ","HWKREPORT-1475")</f>
        <v>HWKREPORT-1475</v>
      </c>
      <c r="C1911" s="1" t="s">
        <v>3169</v>
      </c>
      <c r="D1911" s="1" t="s">
        <v>23</v>
      </c>
      <c r="E1911" s="1" t="s">
        <v>35</v>
      </c>
      <c r="F1911" s="4">
        <v>44789.72009259259</v>
      </c>
      <c r="G1911" s="3" t="str">
        <f>HYPERLINK("https://hawk-eye.atlassian.net/browse/CORE-172?atlOrigin=eyJpIjoiYzgwYTQ0ZjEyNzQzNGJhN2JmNjEyZTM0NmRhZWZhNjIiLCJwIjoic2hlZXRzLWppcmEifQ","CORE-172")</f>
        <v>CORE-172</v>
      </c>
      <c r="H1911" s="1" t="s">
        <v>1058</v>
      </c>
      <c r="I1911" s="1" t="s">
        <v>1126</v>
      </c>
      <c r="J1911" s="1" t="s">
        <v>26</v>
      </c>
      <c r="K1911" s="1" t="s">
        <v>1134</v>
      </c>
      <c r="L1911" s="1" t="s">
        <v>26</v>
      </c>
      <c r="M1911" s="1" t="s">
        <v>27</v>
      </c>
      <c r="N1911" s="1" t="s">
        <v>26</v>
      </c>
      <c r="O1911" s="1" t="s">
        <v>26</v>
      </c>
      <c r="P1911" s="4">
        <v>44883.60105324074</v>
      </c>
    </row>
    <row r="1912" hidden="1">
      <c r="A1912" s="1" t="s">
        <v>21</v>
      </c>
      <c r="B1912" s="3" t="str">
        <f>HYPERLINK("https://hawk-eye.atlassian.net/browse/HWKREPORT-1476?atlOrigin=eyJpIjoiYzgwYTQ0ZjEyNzQzNGJhN2JmNjEyZTM0NmRhZWZhNjIiLCJwIjoic2hlZXRzLWppcmEifQ","HWKREPORT-1476")</f>
        <v>HWKREPORT-1476</v>
      </c>
      <c r="C1912" s="1" t="s">
        <v>3170</v>
      </c>
      <c r="D1912" s="1" t="s">
        <v>34</v>
      </c>
      <c r="E1912" s="1" t="s">
        <v>35</v>
      </c>
      <c r="F1912" s="4">
        <v>44789.733078703706</v>
      </c>
      <c r="G1912" s="3" t="str">
        <f>HYPERLINK("https://hawk-eye.atlassian.net/browse/RTT-5225?atlOrigin=eyJpIjoiYzgwYTQ0ZjEyNzQzNGJhN2JmNjEyZTM0NmRhZWZhNjIiLCJwIjoic2hlZXRzLWppcmEifQ","RTT-5225")</f>
        <v>RTT-5225</v>
      </c>
      <c r="H1912" s="1" t="s">
        <v>1058</v>
      </c>
      <c r="I1912" s="1" t="s">
        <v>1126</v>
      </c>
      <c r="J1912" s="1" t="s">
        <v>26</v>
      </c>
      <c r="K1912" s="1" t="s">
        <v>1127</v>
      </c>
      <c r="L1912" s="1" t="s">
        <v>26</v>
      </c>
      <c r="M1912" s="1" t="s">
        <v>27</v>
      </c>
      <c r="N1912" s="1" t="s">
        <v>26</v>
      </c>
      <c r="O1912" s="1" t="s">
        <v>26</v>
      </c>
      <c r="P1912" s="4">
        <v>45013.47309027778</v>
      </c>
    </row>
    <row r="1913" hidden="1">
      <c r="A1913" s="1" t="s">
        <v>21</v>
      </c>
      <c r="B1913" s="3" t="str">
        <f>HYPERLINK("https://hawk-eye.atlassian.net/browse/HWKREPORT-1477?atlOrigin=eyJpIjoiYzgwYTQ0ZjEyNzQzNGJhN2JmNjEyZTM0NmRhZWZhNjIiLCJwIjoic2hlZXRzLWppcmEifQ","HWKREPORT-1477")</f>
        <v>HWKREPORT-1477</v>
      </c>
      <c r="C1913" s="1" t="s">
        <v>3171</v>
      </c>
      <c r="D1913" s="1" t="s">
        <v>34</v>
      </c>
      <c r="E1913" s="1" t="s">
        <v>1207</v>
      </c>
      <c r="F1913" s="4">
        <v>44789.73688657407</v>
      </c>
      <c r="G1913" s="3" t="str">
        <f>HYPERLINK("https://hawk-eye.atlassian.net/browse/RTT-5224?atlOrigin=eyJpIjoiYzgwYTQ0ZjEyNzQzNGJhN2JmNjEyZTM0NmRhZWZhNjIiLCJwIjoic2hlZXRzLWppcmEifQ","RTT-5224")</f>
        <v>RTT-5224</v>
      </c>
      <c r="H1913" s="1" t="s">
        <v>1058</v>
      </c>
      <c r="I1913" s="1" t="s">
        <v>1126</v>
      </c>
      <c r="J1913" s="1" t="s">
        <v>26</v>
      </c>
      <c r="K1913" s="1" t="s">
        <v>1127</v>
      </c>
      <c r="L1913" s="1" t="s">
        <v>26</v>
      </c>
      <c r="M1913" s="1" t="s">
        <v>27</v>
      </c>
      <c r="N1913" s="1" t="s">
        <v>26</v>
      </c>
      <c r="O1913" s="1" t="s">
        <v>26</v>
      </c>
      <c r="P1913" s="4">
        <v>44929.4184837963</v>
      </c>
    </row>
    <row r="1914" hidden="1">
      <c r="A1914" s="1" t="s">
        <v>1055</v>
      </c>
      <c r="B1914" s="3" t="str">
        <f>HYPERLINK("https://hawk-eye.atlassian.net/browse/HWKREPORT-1478?atlOrigin=eyJpIjoiYzgwYTQ0ZjEyNzQzNGJhN2JmNjEyZTM0NmRhZWZhNjIiLCJwIjoic2hlZXRzLWppcmEifQ","HWKREPORT-1478")</f>
        <v>HWKREPORT-1478</v>
      </c>
      <c r="C1914" s="1" t="s">
        <v>3172</v>
      </c>
      <c r="D1914" s="1" t="s">
        <v>23</v>
      </c>
      <c r="E1914" s="1" t="s">
        <v>35</v>
      </c>
      <c r="F1914" s="4">
        <v>44790.542129629626</v>
      </c>
      <c r="G1914" s="3" t="str">
        <f>HYPERLINK("https://hawk-eye.atlassian.net/browse/?atlOrigin=eyJpIjoiYzgwYTQ0ZjEyNzQzNGJhN2JmNjEyZTM0NmRhZWZhNjIiLCJwIjoic2hlZXRzLWppcmEifQ","")</f>
        <v/>
      </c>
      <c r="H1914" s="1" t="s">
        <v>1058</v>
      </c>
      <c r="I1914" s="1" t="s">
        <v>1082</v>
      </c>
      <c r="J1914" s="1" t="s">
        <v>26</v>
      </c>
      <c r="K1914" s="1" t="s">
        <v>1247</v>
      </c>
      <c r="L1914" s="1" t="s">
        <v>26</v>
      </c>
      <c r="M1914" s="1" t="s">
        <v>27</v>
      </c>
      <c r="N1914" s="1" t="s">
        <v>26</v>
      </c>
      <c r="O1914" s="1" t="s">
        <v>26</v>
      </c>
      <c r="P1914" s="4">
        <v>44790.802152777775</v>
      </c>
    </row>
    <row r="1915" hidden="1">
      <c r="A1915" s="1" t="s">
        <v>1055</v>
      </c>
      <c r="B1915" s="3" t="str">
        <f>HYPERLINK("https://hawk-eye.atlassian.net/browse/HWKREPORT-1479?atlOrigin=eyJpIjoiYzgwYTQ0ZjEyNzQzNGJhN2JmNjEyZTM0NmRhZWZhNjIiLCJwIjoic2hlZXRzLWppcmEifQ","HWKREPORT-1479")</f>
        <v>HWKREPORT-1479</v>
      </c>
      <c r="C1915" s="1" t="s">
        <v>3173</v>
      </c>
      <c r="D1915" s="1" t="s">
        <v>23</v>
      </c>
      <c r="E1915" s="1" t="s">
        <v>35</v>
      </c>
      <c r="F1915" s="4">
        <v>44791.893530092595</v>
      </c>
      <c r="G1915" s="3" t="str">
        <f>HYPERLINK("https://hawk-eye.atlassian.net/browse/RTT-5651?atlOrigin=eyJpIjoiYzgwYTQ0ZjEyNzQzNGJhN2JmNjEyZTM0NmRhZWZhNjIiLCJwIjoic2hlZXRzLWppcmEifQ","RTT-5651")</f>
        <v>RTT-5651</v>
      </c>
      <c r="H1915" s="1" t="s">
        <v>1058</v>
      </c>
      <c r="I1915" s="1" t="s">
        <v>1071</v>
      </c>
      <c r="J1915" s="1" t="s">
        <v>26</v>
      </c>
      <c r="K1915" s="1" t="s">
        <v>1099</v>
      </c>
      <c r="L1915" s="1" t="s">
        <v>26</v>
      </c>
      <c r="M1915" s="1" t="s">
        <v>27</v>
      </c>
      <c r="N1915" s="1" t="s">
        <v>26</v>
      </c>
      <c r="O1915" s="1" t="s">
        <v>26</v>
      </c>
      <c r="P1915" s="4">
        <v>44958.417592592596</v>
      </c>
    </row>
    <row r="1916" hidden="1">
      <c r="A1916" s="1" t="s">
        <v>21</v>
      </c>
      <c r="B1916" s="3" t="str">
        <f>HYPERLINK("https://hawk-eye.atlassian.net/browse/HWKREPORT-1480?atlOrigin=eyJpIjoiYzgwYTQ0ZjEyNzQzNGJhN2JmNjEyZTM0NmRhZWZhNjIiLCJwIjoic2hlZXRzLWppcmEifQ","HWKREPORT-1480")</f>
        <v>HWKREPORT-1480</v>
      </c>
      <c r="C1916" s="1" t="s">
        <v>3174</v>
      </c>
      <c r="D1916" s="1" t="s">
        <v>23</v>
      </c>
      <c r="E1916" s="1" t="s">
        <v>1207</v>
      </c>
      <c r="F1916" s="4">
        <v>44792.090416666666</v>
      </c>
      <c r="G1916" s="3" t="str">
        <f>HYPERLINK("https://hawk-eye.atlassian.net/browse/RTT-5228?atlOrigin=eyJpIjoiYzgwYTQ0ZjEyNzQzNGJhN2JmNjEyZTM0NmRhZWZhNjIiLCJwIjoic2hlZXRzLWppcmEifQ","RTT-5228")</f>
        <v>RTT-5228</v>
      </c>
      <c r="H1916" s="1" t="s">
        <v>1058</v>
      </c>
      <c r="I1916" s="1" t="s">
        <v>1071</v>
      </c>
      <c r="J1916" s="1" t="s">
        <v>26</v>
      </c>
      <c r="K1916" s="1" t="s">
        <v>3175</v>
      </c>
      <c r="L1916" s="1" t="s">
        <v>26</v>
      </c>
      <c r="M1916" s="1" t="s">
        <v>27</v>
      </c>
      <c r="N1916" s="1" t="s">
        <v>26</v>
      </c>
      <c r="O1916" s="1" t="s">
        <v>26</v>
      </c>
      <c r="P1916" s="4">
        <v>44929.4184837963</v>
      </c>
    </row>
    <row r="1917" hidden="1">
      <c r="A1917" s="1" t="s">
        <v>21</v>
      </c>
      <c r="B1917" s="3" t="str">
        <f>HYPERLINK("https://hawk-eye.atlassian.net/browse/HWKREPORT-1481?atlOrigin=eyJpIjoiYzgwYTQ0ZjEyNzQzNGJhN2JmNjEyZTM0NmRhZWZhNjIiLCJwIjoic2hlZXRzLWppcmEifQ","HWKREPORT-1481")</f>
        <v>HWKREPORT-1481</v>
      </c>
      <c r="C1917" s="1" t="s">
        <v>3176</v>
      </c>
      <c r="D1917" s="1" t="s">
        <v>34</v>
      </c>
      <c r="E1917" s="1" t="s">
        <v>35</v>
      </c>
      <c r="F1917" s="4">
        <v>44792.40519675926</v>
      </c>
      <c r="G1917" s="3" t="str">
        <f>HYPERLINK("https://hawk-eye.atlassian.net/browse/TDP-1436?atlOrigin=eyJpIjoiYzgwYTQ0ZjEyNzQzNGJhN2JmNjEyZTM0NmRhZWZhNjIiLCJwIjoic2hlZXRzLWppcmEifQ","TDP-1436")</f>
        <v>TDP-1436</v>
      </c>
      <c r="H1917" s="1" t="s">
        <v>1058</v>
      </c>
      <c r="I1917" s="1" t="s">
        <v>1126</v>
      </c>
      <c r="J1917" s="1" t="s">
        <v>26</v>
      </c>
      <c r="K1917" s="1" t="s">
        <v>1211</v>
      </c>
      <c r="L1917" s="1" t="s">
        <v>26</v>
      </c>
      <c r="M1917" s="1" t="s">
        <v>27</v>
      </c>
      <c r="N1917" s="1" t="s">
        <v>26</v>
      </c>
      <c r="O1917" s="1" t="s">
        <v>26</v>
      </c>
      <c r="P1917" s="4">
        <v>45035.61782407408</v>
      </c>
    </row>
    <row r="1918" hidden="1">
      <c r="A1918" s="1" t="s">
        <v>21</v>
      </c>
      <c r="B1918" s="3" t="str">
        <f>HYPERLINK("https://hawk-eye.atlassian.net/browse/HWKREPORT-1482?atlOrigin=eyJpIjoiYzgwYTQ0ZjEyNzQzNGJhN2JmNjEyZTM0NmRhZWZhNjIiLCJwIjoic2hlZXRzLWppcmEifQ","HWKREPORT-1482")</f>
        <v>HWKREPORT-1482</v>
      </c>
      <c r="C1918" s="1" t="s">
        <v>3177</v>
      </c>
      <c r="D1918" s="1" t="s">
        <v>83</v>
      </c>
      <c r="E1918" s="1" t="s">
        <v>35</v>
      </c>
      <c r="F1918" s="4">
        <v>44793.92361111111</v>
      </c>
      <c r="G1918" s="3" t="str">
        <f>HYPERLINK("https://hawk-eye.atlassian.net/browse/RTT-5235?atlOrigin=eyJpIjoiYzgwYTQ0ZjEyNzQzNGJhN2JmNjEyZTM0NmRhZWZhNjIiLCJwIjoic2hlZXRzLWppcmEifQ","RTT-5235")</f>
        <v>RTT-5235</v>
      </c>
      <c r="H1918" s="1" t="s">
        <v>1058</v>
      </c>
      <c r="I1918" s="1" t="s">
        <v>1126</v>
      </c>
      <c r="J1918" s="1" t="s">
        <v>26</v>
      </c>
      <c r="K1918" s="1" t="s">
        <v>1072</v>
      </c>
      <c r="L1918" s="1" t="s">
        <v>26</v>
      </c>
      <c r="M1918" s="1" t="s">
        <v>27</v>
      </c>
      <c r="N1918" s="1" t="s">
        <v>26</v>
      </c>
      <c r="O1918" s="1" t="s">
        <v>26</v>
      </c>
      <c r="P1918" s="4">
        <v>44855.37819444444</v>
      </c>
    </row>
    <row r="1919" hidden="1">
      <c r="A1919" s="1" t="s">
        <v>21</v>
      </c>
      <c r="B1919" s="3" t="str">
        <f>HYPERLINK("https://hawk-eye.atlassian.net/browse/HWKREPORT-1483?atlOrigin=eyJpIjoiYzgwYTQ0ZjEyNzQzNGJhN2JmNjEyZTM0NmRhZWZhNjIiLCJwIjoic2hlZXRzLWppcmEifQ","HWKREPORT-1483")</f>
        <v>HWKREPORT-1483</v>
      </c>
      <c r="C1919" s="1" t="s">
        <v>3178</v>
      </c>
      <c r="D1919" s="1" t="s">
        <v>23</v>
      </c>
      <c r="E1919" s="1" t="s">
        <v>1207</v>
      </c>
      <c r="F1919" s="4">
        <v>44793.95719907407</v>
      </c>
      <c r="G1919" s="3" t="str">
        <f>HYPERLINK("https://hawk-eye.atlassian.net/browse/RTT-5255?atlOrigin=eyJpIjoiYzgwYTQ0ZjEyNzQzNGJhN2JmNjEyZTM0NmRhZWZhNjIiLCJwIjoic2hlZXRzLWppcmEifQ","RTT-5255")</f>
        <v>RTT-5255</v>
      </c>
      <c r="H1919" s="1" t="s">
        <v>1058</v>
      </c>
      <c r="I1919" s="1" t="s">
        <v>1126</v>
      </c>
      <c r="J1919" s="1" t="s">
        <v>26</v>
      </c>
      <c r="K1919" s="1" t="s">
        <v>1072</v>
      </c>
      <c r="L1919" s="1" t="s">
        <v>26</v>
      </c>
      <c r="M1919" s="1" t="s">
        <v>27</v>
      </c>
      <c r="N1919" s="1" t="s">
        <v>26</v>
      </c>
      <c r="O1919" s="1" t="s">
        <v>26</v>
      </c>
      <c r="P1919" s="4">
        <v>44929.4184837963</v>
      </c>
    </row>
    <row r="1920" hidden="1">
      <c r="A1920" s="1" t="s">
        <v>21</v>
      </c>
      <c r="B1920" s="3" t="str">
        <f>HYPERLINK("https://hawk-eye.atlassian.net/browse/HWKREPORT-1484?atlOrigin=eyJpIjoiYzgwYTQ0ZjEyNzQzNGJhN2JmNjEyZTM0NmRhZWZhNjIiLCJwIjoic2hlZXRzLWppcmEifQ","HWKREPORT-1484")</f>
        <v>HWKREPORT-1484</v>
      </c>
      <c r="C1920" s="1" t="s">
        <v>3179</v>
      </c>
      <c r="D1920" s="1" t="s">
        <v>23</v>
      </c>
      <c r="E1920" s="1" t="s">
        <v>1057</v>
      </c>
      <c r="F1920" s="4">
        <v>44795.952256944445</v>
      </c>
      <c r="G1920" s="3" t="str">
        <f>HYPERLINK("https://hawk-eye.atlassian.net/browse/?atlOrigin=eyJpIjoiYzgwYTQ0ZjEyNzQzNGJhN2JmNjEyZTM0NmRhZWZhNjIiLCJwIjoic2hlZXRzLWppcmEifQ","")</f>
        <v/>
      </c>
      <c r="H1920" s="1" t="s">
        <v>1058</v>
      </c>
      <c r="I1920" s="1" t="s">
        <v>1071</v>
      </c>
      <c r="J1920" s="1" t="s">
        <v>26</v>
      </c>
      <c r="K1920" s="1" t="s">
        <v>2197</v>
      </c>
      <c r="L1920" s="1" t="s">
        <v>26</v>
      </c>
      <c r="M1920" s="1" t="s">
        <v>27</v>
      </c>
      <c r="N1920" s="1" t="s">
        <v>26</v>
      </c>
      <c r="O1920" s="1" t="s">
        <v>26</v>
      </c>
      <c r="P1920" s="4">
        <v>44795.95226851852</v>
      </c>
    </row>
    <row r="1921" hidden="1">
      <c r="A1921" s="1" t="s">
        <v>1055</v>
      </c>
      <c r="B1921" s="3" t="str">
        <f>HYPERLINK("https://hawk-eye.atlassian.net/browse/HWKREPORT-1485?atlOrigin=eyJpIjoiYzgwYTQ0ZjEyNzQzNGJhN2JmNjEyZTM0NmRhZWZhNjIiLCJwIjoic2hlZXRzLWppcmEifQ","HWKREPORT-1485")</f>
        <v>HWKREPORT-1485</v>
      </c>
      <c r="C1921" s="1" t="s">
        <v>3180</v>
      </c>
      <c r="D1921" s="1" t="s">
        <v>23</v>
      </c>
      <c r="E1921" s="1" t="s">
        <v>35</v>
      </c>
      <c r="F1921" s="4">
        <v>44796.63747685185</v>
      </c>
      <c r="G1921" s="3" t="str">
        <f>HYPERLINK("https://hawk-eye.atlassian.net/browse/SO-416?atlOrigin=eyJpIjoiYzgwYTQ0ZjEyNzQzNGJhN2JmNjEyZTM0NmRhZWZhNjIiLCJwIjoic2hlZXRzLWppcmEifQ","SO-416")</f>
        <v>SO-416</v>
      </c>
      <c r="H1921" s="1" t="s">
        <v>1058</v>
      </c>
      <c r="I1921" s="1" t="s">
        <v>1151</v>
      </c>
      <c r="J1921" s="1" t="s">
        <v>26</v>
      </c>
      <c r="K1921" s="1" t="s">
        <v>1116</v>
      </c>
      <c r="L1921" s="1" t="s">
        <v>26</v>
      </c>
      <c r="M1921" s="1" t="s">
        <v>27</v>
      </c>
      <c r="N1921" s="1" t="s">
        <v>26</v>
      </c>
      <c r="O1921" s="1" t="s">
        <v>26</v>
      </c>
      <c r="P1921" s="4">
        <v>44895.42337962963</v>
      </c>
    </row>
    <row r="1922" hidden="1">
      <c r="A1922" s="1" t="s">
        <v>1055</v>
      </c>
      <c r="B1922" s="3" t="str">
        <f>HYPERLINK("https://hawk-eye.atlassian.net/browse/HWKREPORT-1486?atlOrigin=eyJpIjoiYzgwYTQ0ZjEyNzQzNGJhN2JmNjEyZTM0NmRhZWZhNjIiLCJwIjoic2hlZXRzLWppcmEifQ","HWKREPORT-1486")</f>
        <v>HWKREPORT-1486</v>
      </c>
      <c r="C1922" s="1" t="s">
        <v>3181</v>
      </c>
      <c r="D1922" s="1" t="s">
        <v>23</v>
      </c>
      <c r="E1922" s="1" t="s">
        <v>35</v>
      </c>
      <c r="F1922" s="4">
        <v>44796.63998842592</v>
      </c>
      <c r="G1922" s="3" t="str">
        <f>HYPERLINK("https://hawk-eye.atlassian.net/browse/SO-415?atlOrigin=eyJpIjoiYzgwYTQ0ZjEyNzQzNGJhN2JmNjEyZTM0NmRhZWZhNjIiLCJwIjoic2hlZXRzLWppcmEifQ","SO-415")</f>
        <v>SO-415</v>
      </c>
      <c r="H1922" s="1" t="s">
        <v>1058</v>
      </c>
      <c r="I1922" s="1" t="s">
        <v>1151</v>
      </c>
      <c r="J1922" s="1" t="s">
        <v>26</v>
      </c>
      <c r="K1922" s="1" t="s">
        <v>1116</v>
      </c>
      <c r="L1922" s="1" t="s">
        <v>26</v>
      </c>
      <c r="M1922" s="1" t="s">
        <v>27</v>
      </c>
      <c r="N1922" s="1" t="s">
        <v>26</v>
      </c>
      <c r="O1922" s="1" t="s">
        <v>26</v>
      </c>
      <c r="P1922" s="4">
        <v>44827.548483796294</v>
      </c>
    </row>
    <row r="1923" hidden="1">
      <c r="A1923" s="1" t="s">
        <v>21</v>
      </c>
      <c r="B1923" s="3" t="str">
        <f>HYPERLINK("https://hawk-eye.atlassian.net/browse/HWKREPORT-1487?atlOrigin=eyJpIjoiYzgwYTQ0ZjEyNzQzNGJhN2JmNjEyZTM0NmRhZWZhNjIiLCJwIjoic2hlZXRzLWppcmEifQ","HWKREPORT-1487")</f>
        <v>HWKREPORT-1487</v>
      </c>
      <c r="C1923" s="1" t="s">
        <v>3182</v>
      </c>
      <c r="D1923" s="1" t="s">
        <v>23</v>
      </c>
      <c r="E1923" s="1" t="s">
        <v>35</v>
      </c>
      <c r="F1923" s="4">
        <v>44796.65702546296</v>
      </c>
      <c r="G1923" s="3" t="str">
        <f>HYPERLINK("https://hawk-eye.atlassian.net/browse/SO-414?atlOrigin=eyJpIjoiYzgwYTQ0ZjEyNzQzNGJhN2JmNjEyZTM0NmRhZWZhNjIiLCJwIjoic2hlZXRzLWppcmEifQ","SO-414")</f>
        <v>SO-414</v>
      </c>
      <c r="H1923" s="1" t="s">
        <v>1058</v>
      </c>
      <c r="I1923" s="1" t="s">
        <v>1151</v>
      </c>
      <c r="J1923" s="1" t="s">
        <v>26</v>
      </c>
      <c r="K1923" s="1" t="s">
        <v>1116</v>
      </c>
      <c r="L1923" s="1" t="s">
        <v>26</v>
      </c>
      <c r="M1923" s="1" t="s">
        <v>27</v>
      </c>
      <c r="N1923" s="1" t="s">
        <v>26</v>
      </c>
      <c r="O1923" s="1" t="s">
        <v>26</v>
      </c>
      <c r="P1923" s="4">
        <v>44931.75034722222</v>
      </c>
    </row>
    <row r="1924" hidden="1">
      <c r="A1924" s="1" t="s">
        <v>1055</v>
      </c>
      <c r="B1924" s="3" t="str">
        <f>HYPERLINK("https://hawk-eye.atlassian.net/browse/HWKREPORT-1488?atlOrigin=eyJpIjoiYzgwYTQ0ZjEyNzQzNGJhN2JmNjEyZTM0NmRhZWZhNjIiLCJwIjoic2hlZXRzLWppcmEifQ","HWKREPORT-1488")</f>
        <v>HWKREPORT-1488</v>
      </c>
      <c r="C1924" s="1" t="s">
        <v>3183</v>
      </c>
      <c r="D1924" s="1" t="s">
        <v>23</v>
      </c>
      <c r="E1924" s="1" t="s">
        <v>1057</v>
      </c>
      <c r="F1924" s="4">
        <v>44797.408854166664</v>
      </c>
      <c r="G1924" s="3" t="str">
        <f>HYPERLINK("https://hawk-eye.atlassian.net/browse/GT-620?atlOrigin=eyJpIjoiYzgwYTQ0ZjEyNzQzNGJhN2JmNjEyZTM0NmRhZWZhNjIiLCJwIjoic2hlZXRzLWppcmEifQ","GT-620")</f>
        <v>GT-620</v>
      </c>
      <c r="H1924" s="1" t="s">
        <v>1058</v>
      </c>
      <c r="I1924" s="1" t="s">
        <v>1085</v>
      </c>
      <c r="J1924" s="1" t="s">
        <v>26</v>
      </c>
      <c r="K1924" s="1" t="s">
        <v>1114</v>
      </c>
      <c r="L1924" s="1" t="s">
        <v>26</v>
      </c>
      <c r="M1924" s="1" t="s">
        <v>27</v>
      </c>
      <c r="N1924" s="1" t="s">
        <v>26</v>
      </c>
      <c r="O1924" s="1" t="s">
        <v>26</v>
      </c>
      <c r="P1924" s="4">
        <v>44797.408854166664</v>
      </c>
    </row>
    <row r="1925" hidden="1">
      <c r="A1925" s="1" t="s">
        <v>1055</v>
      </c>
      <c r="B1925" s="3" t="str">
        <f>HYPERLINK("https://hawk-eye.atlassian.net/browse/HWKREPORT-1489?atlOrigin=eyJpIjoiYzgwYTQ0ZjEyNzQzNGJhN2JmNjEyZTM0NmRhZWZhNjIiLCJwIjoic2hlZXRzLWppcmEifQ","HWKREPORT-1489")</f>
        <v>HWKREPORT-1489</v>
      </c>
      <c r="C1925" s="1" t="s">
        <v>3184</v>
      </c>
      <c r="D1925" s="1" t="s">
        <v>23</v>
      </c>
      <c r="E1925" s="1" t="s">
        <v>1207</v>
      </c>
      <c r="F1925" s="4">
        <v>44797.412465277775</v>
      </c>
      <c r="G1925" s="3" t="str">
        <f>HYPERLINK("https://hawk-eye.atlassian.net/browse/AL-473?atlOrigin=eyJpIjoiYzgwYTQ0ZjEyNzQzNGJhN2JmNjEyZTM0NmRhZWZhNjIiLCJwIjoic2hlZXRzLWppcmEifQ","AL-473")</f>
        <v>AL-473</v>
      </c>
      <c r="H1925" s="1" t="s">
        <v>1058</v>
      </c>
      <c r="I1925" s="1" t="s">
        <v>1085</v>
      </c>
      <c r="J1925" s="1" t="s">
        <v>26</v>
      </c>
      <c r="K1925" s="1" t="s">
        <v>1717</v>
      </c>
      <c r="L1925" s="1" t="s">
        <v>26</v>
      </c>
      <c r="M1925" s="1" t="s">
        <v>27</v>
      </c>
      <c r="N1925" s="1" t="s">
        <v>26</v>
      </c>
      <c r="O1925" s="1" t="s">
        <v>26</v>
      </c>
      <c r="P1925" s="4">
        <v>44929.4184837963</v>
      </c>
    </row>
    <row r="1926" hidden="1">
      <c r="A1926" s="1" t="s">
        <v>1055</v>
      </c>
      <c r="B1926" s="3" t="str">
        <f>HYPERLINK("https://hawk-eye.atlassian.net/browse/HWKREPORT-1490?atlOrigin=eyJpIjoiYzgwYTQ0ZjEyNzQzNGJhN2JmNjEyZTM0NmRhZWZhNjIiLCJwIjoic2hlZXRzLWppcmEifQ","HWKREPORT-1490")</f>
        <v>HWKREPORT-1490</v>
      </c>
      <c r="C1926" s="1" t="s">
        <v>3185</v>
      </c>
      <c r="D1926" s="1" t="s">
        <v>23</v>
      </c>
      <c r="E1926" s="1" t="s">
        <v>35</v>
      </c>
      <c r="F1926" s="4">
        <v>44797.57570601852</v>
      </c>
      <c r="G1926" s="3" t="str">
        <f>HYPERLINK("https://hawk-eye.atlassian.net/browse/?atlOrigin=eyJpIjoiYzgwYTQ0ZjEyNzQzNGJhN2JmNjEyZTM0NmRhZWZhNjIiLCJwIjoic2hlZXRzLWppcmEifQ","")</f>
        <v/>
      </c>
      <c r="H1926" s="1" t="s">
        <v>1058</v>
      </c>
      <c r="I1926" s="1" t="s">
        <v>1085</v>
      </c>
      <c r="J1926" s="1" t="s">
        <v>26</v>
      </c>
      <c r="K1926" s="1" t="s">
        <v>1114</v>
      </c>
      <c r="L1926" s="1" t="s">
        <v>26</v>
      </c>
      <c r="M1926" s="1" t="s">
        <v>27</v>
      </c>
      <c r="N1926" s="1" t="s">
        <v>26</v>
      </c>
      <c r="O1926" s="1" t="s">
        <v>26</v>
      </c>
      <c r="P1926" s="4">
        <v>44963.69982638889</v>
      </c>
    </row>
    <row r="1927">
      <c r="A1927" s="1" t="s">
        <v>21</v>
      </c>
      <c r="B1927" s="3" t="str">
        <f>HYPERLINK("https://hawk-eye.atlassian.net/browse/HWKREPORT-1491?atlOrigin=eyJpIjoiYzgwYTQ0ZjEyNzQzNGJhN2JmNjEyZTM0NmRhZWZhNjIiLCJwIjoic2hlZXRzLWppcmEifQ","HWKREPORT-1491")</f>
        <v>HWKREPORT-1491</v>
      </c>
      <c r="C1927" s="1" t="s">
        <v>3186</v>
      </c>
      <c r="D1927" s="1" t="s">
        <v>23</v>
      </c>
      <c r="E1927" s="1" t="s">
        <v>35</v>
      </c>
      <c r="F1927" s="4">
        <v>44797.8471875</v>
      </c>
      <c r="G1927" s="3" t="str">
        <f>HYPERLINK("https://hawk-eye.atlassian.net/browse/RTT-5247?atlOrigin=eyJpIjoiYzgwYTQ0ZjEyNzQzNGJhN2JmNjEyZTM0NmRhZWZhNjIiLCJwIjoic2hlZXRzLWppcmEifQ","RTT-5247")</f>
        <v>RTT-5247</v>
      </c>
      <c r="H1927" s="1" t="s">
        <v>1058</v>
      </c>
      <c r="I1927" s="1" t="s">
        <v>28</v>
      </c>
      <c r="J1927" s="1" t="s">
        <v>26</v>
      </c>
      <c r="K1927" s="1" t="s">
        <v>1072</v>
      </c>
      <c r="L1927" s="1" t="s">
        <v>26</v>
      </c>
      <c r="M1927" s="1" t="s">
        <v>27</v>
      </c>
      <c r="N1927" s="1" t="s">
        <v>26</v>
      </c>
      <c r="O1927" s="1" t="s">
        <v>26</v>
      </c>
      <c r="P1927" s="4">
        <v>44855.37787037037</v>
      </c>
    </row>
    <row r="1928" hidden="1">
      <c r="A1928" s="1" t="s">
        <v>21</v>
      </c>
      <c r="B1928" s="3" t="str">
        <f>HYPERLINK("https://hawk-eye.atlassian.net/browse/HWKREPORT-1492?atlOrigin=eyJpIjoiYzgwYTQ0ZjEyNzQzNGJhN2JmNjEyZTM0NmRhZWZhNjIiLCJwIjoic2hlZXRzLWppcmEifQ","HWKREPORT-1492")</f>
        <v>HWKREPORT-1492</v>
      </c>
      <c r="C1928" s="1" t="s">
        <v>3187</v>
      </c>
      <c r="D1928" s="1" t="s">
        <v>23</v>
      </c>
      <c r="E1928" s="1" t="s">
        <v>1207</v>
      </c>
      <c r="F1928" s="4">
        <v>44797.93487268518</v>
      </c>
      <c r="G1928" s="3" t="str">
        <f>HYPERLINK("https://hawk-eye.atlassian.net/browse/RTT-5248?atlOrigin=eyJpIjoiYzgwYTQ0ZjEyNzQzNGJhN2JmNjEyZTM0NmRhZWZhNjIiLCJwIjoic2hlZXRzLWppcmEifQ","RTT-5248")</f>
        <v>RTT-5248</v>
      </c>
      <c r="H1928" s="1" t="s">
        <v>1058</v>
      </c>
      <c r="I1928" s="1" t="s">
        <v>1071</v>
      </c>
      <c r="J1928" s="1" t="s">
        <v>26</v>
      </c>
      <c r="K1928" s="1" t="s">
        <v>1072</v>
      </c>
      <c r="L1928" s="1" t="s">
        <v>26</v>
      </c>
      <c r="M1928" s="1" t="s">
        <v>27</v>
      </c>
      <c r="N1928" s="1" t="s">
        <v>26</v>
      </c>
      <c r="O1928" s="1" t="s">
        <v>26</v>
      </c>
      <c r="P1928" s="4">
        <v>44929.4184837963</v>
      </c>
    </row>
    <row r="1929" hidden="1">
      <c r="A1929" s="1" t="s">
        <v>21</v>
      </c>
      <c r="B1929" s="3" t="str">
        <f>HYPERLINK("https://hawk-eye.atlassian.net/browse/HWKREPORT-1493?atlOrigin=eyJpIjoiYzgwYTQ0ZjEyNzQzNGJhN2JmNjEyZTM0NmRhZWZhNjIiLCJwIjoic2hlZXRzLWppcmEifQ","HWKREPORT-1493")</f>
        <v>HWKREPORT-1493</v>
      </c>
      <c r="C1929" s="1" t="s">
        <v>3188</v>
      </c>
      <c r="D1929" s="1" t="s">
        <v>23</v>
      </c>
      <c r="E1929" s="1" t="s">
        <v>35</v>
      </c>
      <c r="F1929" s="4">
        <v>44798.59520833333</v>
      </c>
      <c r="G1929" s="3" t="str">
        <f>HYPERLINK("https://hawk-eye.atlassian.net/browse/RTT-5251?atlOrigin=eyJpIjoiYzgwYTQ0ZjEyNzQzNGJhN2JmNjEyZTM0NmRhZWZhNjIiLCJwIjoic2hlZXRzLWppcmEifQ","RTT-5251")</f>
        <v>RTT-5251</v>
      </c>
      <c r="H1929" s="1" t="s">
        <v>1058</v>
      </c>
      <c r="I1929" s="1" t="s">
        <v>1151</v>
      </c>
      <c r="J1929" s="1" t="s">
        <v>26</v>
      </c>
      <c r="K1929" s="1" t="s">
        <v>1072</v>
      </c>
      <c r="L1929" s="1" t="s">
        <v>26</v>
      </c>
      <c r="M1929" s="1" t="s">
        <v>27</v>
      </c>
      <c r="N1929" s="1" t="s">
        <v>26</v>
      </c>
      <c r="O1929" s="1" t="s">
        <v>26</v>
      </c>
      <c r="P1929" s="4">
        <v>44818.38642361111</v>
      </c>
    </row>
    <row r="1930" hidden="1">
      <c r="A1930" s="1" t="s">
        <v>1055</v>
      </c>
      <c r="B1930" s="3" t="str">
        <f>HYPERLINK("https://hawk-eye.atlassian.net/browse/HWKREPORT-1494?atlOrigin=eyJpIjoiYzgwYTQ0ZjEyNzQzNGJhN2JmNjEyZTM0NmRhZWZhNjIiLCJwIjoic2hlZXRzLWppcmEifQ","HWKREPORT-1494")</f>
        <v>HWKREPORT-1494</v>
      </c>
      <c r="C1930" s="1" t="s">
        <v>3189</v>
      </c>
      <c r="D1930" s="1" t="s">
        <v>83</v>
      </c>
      <c r="E1930" s="1" t="s">
        <v>35</v>
      </c>
      <c r="F1930" s="4">
        <v>44802.609826388885</v>
      </c>
      <c r="G1930" s="3" t="str">
        <f>HYPERLINK("https://hawk-eye.atlassian.net/browse/SO-565?atlOrigin=eyJpIjoiYzgwYTQ0ZjEyNzQzNGJhN2JmNjEyZTM0NmRhZWZhNjIiLCJwIjoic2hlZXRzLWppcmEifQ","SO-565")</f>
        <v>SO-565</v>
      </c>
      <c r="H1930" s="1" t="s">
        <v>1058</v>
      </c>
      <c r="I1930" s="1" t="s">
        <v>1151</v>
      </c>
      <c r="J1930" s="1" t="s">
        <v>26</v>
      </c>
      <c r="K1930" s="1" t="s">
        <v>1116</v>
      </c>
      <c r="L1930" s="1" t="s">
        <v>26</v>
      </c>
      <c r="M1930" s="1" t="s">
        <v>27</v>
      </c>
      <c r="N1930" s="1" t="s">
        <v>26</v>
      </c>
      <c r="O1930" s="1" t="s">
        <v>26</v>
      </c>
      <c r="P1930" s="4">
        <v>44970.59165509259</v>
      </c>
    </row>
    <row r="1931" hidden="1">
      <c r="A1931" s="1" t="s">
        <v>1055</v>
      </c>
      <c r="B1931" s="3" t="str">
        <f>HYPERLINK("https://hawk-eye.atlassian.net/browse/HWKREPORT-1495?atlOrigin=eyJpIjoiYzgwYTQ0ZjEyNzQzNGJhN2JmNjEyZTM0NmRhZWZhNjIiLCJwIjoic2hlZXRzLWppcmEifQ","HWKREPORT-1495")</f>
        <v>HWKREPORT-1495</v>
      </c>
      <c r="C1931" s="1" t="s">
        <v>3190</v>
      </c>
      <c r="D1931" s="1" t="s">
        <v>23</v>
      </c>
      <c r="E1931" s="1" t="s">
        <v>35</v>
      </c>
      <c r="F1931" s="4">
        <v>44802.6112037037</v>
      </c>
      <c r="G1931" s="3" t="str">
        <f>HYPERLINK("https://hawk-eye.atlassian.net/browse/SO-566?atlOrigin=eyJpIjoiYzgwYTQ0ZjEyNzQzNGJhN2JmNjEyZTM0NmRhZWZhNjIiLCJwIjoic2hlZXRzLWppcmEifQ","SO-566")</f>
        <v>SO-566</v>
      </c>
      <c r="H1931" s="1" t="s">
        <v>1058</v>
      </c>
      <c r="I1931" s="1" t="s">
        <v>1151</v>
      </c>
      <c r="J1931" s="1" t="s">
        <v>26</v>
      </c>
      <c r="K1931" s="1" t="s">
        <v>1116</v>
      </c>
      <c r="L1931" s="1" t="s">
        <v>26</v>
      </c>
      <c r="M1931" s="1" t="s">
        <v>27</v>
      </c>
      <c r="N1931" s="1" t="s">
        <v>26</v>
      </c>
      <c r="O1931" s="1" t="s">
        <v>26</v>
      </c>
      <c r="P1931" s="4">
        <v>44935.68052083333</v>
      </c>
    </row>
    <row r="1932" hidden="1">
      <c r="A1932" s="1" t="s">
        <v>1055</v>
      </c>
      <c r="B1932" s="3" t="str">
        <f>HYPERLINK("https://hawk-eye.atlassian.net/browse/HWKREPORT-1496?atlOrigin=eyJpIjoiYzgwYTQ0ZjEyNzQzNGJhN2JmNjEyZTM0NmRhZWZhNjIiLCJwIjoic2hlZXRzLWppcmEifQ","HWKREPORT-1496")</f>
        <v>HWKREPORT-1496</v>
      </c>
      <c r="C1932" s="1" t="s">
        <v>3191</v>
      </c>
      <c r="D1932" s="1" t="s">
        <v>23</v>
      </c>
      <c r="E1932" s="1" t="s">
        <v>1057</v>
      </c>
      <c r="F1932" s="4">
        <v>44802.891238425924</v>
      </c>
      <c r="G1932" s="3" t="str">
        <f>HYPERLINK("https://hawk-eye.atlassian.net/browse/?atlOrigin=eyJpIjoiYzgwYTQ0ZjEyNzQzNGJhN2JmNjEyZTM0NmRhZWZhNjIiLCJwIjoic2hlZXRzLWppcmEifQ","")</f>
        <v/>
      </c>
      <c r="H1932" s="1" t="s">
        <v>1058</v>
      </c>
      <c r="I1932" s="1" t="s">
        <v>1071</v>
      </c>
      <c r="J1932" s="1" t="s">
        <v>26</v>
      </c>
      <c r="K1932" s="1" t="s">
        <v>3192</v>
      </c>
      <c r="L1932" s="1" t="s">
        <v>26</v>
      </c>
      <c r="M1932" s="1" t="s">
        <v>27</v>
      </c>
      <c r="N1932" s="1" t="s">
        <v>26</v>
      </c>
      <c r="O1932" s="1" t="s">
        <v>26</v>
      </c>
      <c r="P1932" s="4">
        <v>44802.891238425924</v>
      </c>
    </row>
    <row r="1933" hidden="1">
      <c r="A1933" s="1" t="s">
        <v>21</v>
      </c>
      <c r="B1933" s="3" t="str">
        <f>HYPERLINK("https://hawk-eye.atlassian.net/browse/HWKREPORT-1497?atlOrigin=eyJpIjoiYzgwYTQ0ZjEyNzQzNGJhN2JmNjEyZTM0NmRhZWZhNjIiLCJwIjoic2hlZXRzLWppcmEifQ","HWKREPORT-1497")</f>
        <v>HWKREPORT-1497</v>
      </c>
      <c r="C1933" s="1" t="s">
        <v>3193</v>
      </c>
      <c r="D1933" s="1" t="s">
        <v>83</v>
      </c>
      <c r="E1933" s="1" t="s">
        <v>1207</v>
      </c>
      <c r="F1933" s="4">
        <v>44803.144155092596</v>
      </c>
      <c r="G1933" s="3" t="str">
        <f>HYPERLINK("https://hawk-eye.atlassian.net/browse/RTT-5254?atlOrigin=eyJpIjoiYzgwYTQ0ZjEyNzQzNGJhN2JmNjEyZTM0NmRhZWZhNjIiLCJwIjoic2hlZXRzLWppcmEifQ","RTT-5254")</f>
        <v>RTT-5254</v>
      </c>
      <c r="H1933" s="1" t="s">
        <v>1058</v>
      </c>
      <c r="I1933" s="1" t="s">
        <v>1126</v>
      </c>
      <c r="J1933" s="1" t="s">
        <v>26</v>
      </c>
      <c r="K1933" s="1" t="s">
        <v>1072</v>
      </c>
      <c r="L1933" s="1" t="s">
        <v>26</v>
      </c>
      <c r="M1933" s="1" t="s">
        <v>27</v>
      </c>
      <c r="N1933" s="1" t="s">
        <v>26</v>
      </c>
      <c r="O1933" s="1" t="s">
        <v>26</v>
      </c>
      <c r="P1933" s="4">
        <v>44929.4184837963</v>
      </c>
    </row>
    <row r="1934" hidden="1">
      <c r="A1934" s="1" t="s">
        <v>21</v>
      </c>
      <c r="B1934" s="3" t="str">
        <f>HYPERLINK("https://hawk-eye.atlassian.net/browse/HWKREPORT-1498?atlOrigin=eyJpIjoiYzgwYTQ0ZjEyNzQzNGJhN2JmNjEyZTM0NmRhZWZhNjIiLCJwIjoic2hlZXRzLWppcmEifQ","HWKREPORT-1498")</f>
        <v>HWKREPORT-1498</v>
      </c>
      <c r="C1934" s="1" t="s">
        <v>3194</v>
      </c>
      <c r="D1934" s="1" t="s">
        <v>34</v>
      </c>
      <c r="E1934" s="1" t="s">
        <v>35</v>
      </c>
      <c r="F1934" s="4">
        <v>44804.388969907406</v>
      </c>
      <c r="G1934" s="3" t="str">
        <f>HYPERLINK("https://hawk-eye.atlassian.net/browse/RTT-5278?atlOrigin=eyJpIjoiYzgwYTQ0ZjEyNzQzNGJhN2JmNjEyZTM0NmRhZWZhNjIiLCJwIjoic2hlZXRzLWppcmEifQ","RTT-5278")</f>
        <v>RTT-5278</v>
      </c>
      <c r="H1934" s="1" t="s">
        <v>1058</v>
      </c>
      <c r="I1934" s="1" t="s">
        <v>1085</v>
      </c>
      <c r="J1934" s="1" t="s">
        <v>26</v>
      </c>
      <c r="K1934" s="1" t="s">
        <v>1072</v>
      </c>
      <c r="L1934" s="1" t="s">
        <v>26</v>
      </c>
      <c r="M1934" s="1" t="s">
        <v>27</v>
      </c>
      <c r="N1934" s="1" t="s">
        <v>26</v>
      </c>
      <c r="O1934" s="1" t="s">
        <v>26</v>
      </c>
      <c r="P1934" s="4">
        <v>45341.55850694444</v>
      </c>
    </row>
    <row r="1935" hidden="1">
      <c r="A1935" s="1" t="s">
        <v>1055</v>
      </c>
      <c r="B1935" s="3" t="str">
        <f>HYPERLINK("https://hawk-eye.atlassian.net/browse/HWKREPORT-1499?atlOrigin=eyJpIjoiYzgwYTQ0ZjEyNzQzNGJhN2JmNjEyZTM0NmRhZWZhNjIiLCJwIjoic2hlZXRzLWppcmEifQ","HWKREPORT-1499")</f>
        <v>HWKREPORT-1499</v>
      </c>
      <c r="C1935" s="1" t="s">
        <v>3195</v>
      </c>
      <c r="D1935" s="1" t="s">
        <v>23</v>
      </c>
      <c r="E1935" s="1" t="s">
        <v>35</v>
      </c>
      <c r="F1935" s="4">
        <v>44804.514444444445</v>
      </c>
      <c r="G1935" s="3" t="str">
        <f>HYPERLINK("https://hawk-eye.atlassian.net/browse/RTT-5282?atlOrigin=eyJpIjoiYzgwYTQ0ZjEyNzQzNGJhN2JmNjEyZTM0NmRhZWZhNjIiLCJwIjoic2hlZXRzLWppcmEifQ","RTT-5282")</f>
        <v>RTT-5282</v>
      </c>
      <c r="H1935" s="1" t="s">
        <v>1058</v>
      </c>
      <c r="I1935" s="1" t="s">
        <v>1085</v>
      </c>
      <c r="J1935" s="1" t="s">
        <v>26</v>
      </c>
      <c r="K1935" s="1" t="s">
        <v>1362</v>
      </c>
      <c r="L1935" s="1" t="s">
        <v>26</v>
      </c>
      <c r="M1935" s="1" t="s">
        <v>27</v>
      </c>
      <c r="N1935" s="1" t="s">
        <v>26</v>
      </c>
      <c r="O1935" s="1" t="s">
        <v>26</v>
      </c>
      <c r="P1935" s="4">
        <v>44859.52075231481</v>
      </c>
    </row>
    <row r="1936" hidden="1">
      <c r="A1936" s="1" t="s">
        <v>1055</v>
      </c>
      <c r="B1936" s="3" t="str">
        <f>HYPERLINK("https://hawk-eye.atlassian.net/browse/HWKREPORT-1500?atlOrigin=eyJpIjoiYzgwYTQ0ZjEyNzQzNGJhN2JmNjEyZTM0NmRhZWZhNjIiLCJwIjoic2hlZXRzLWppcmEifQ","HWKREPORT-1500")</f>
        <v>HWKREPORT-1500</v>
      </c>
      <c r="C1936" s="1" t="s">
        <v>3196</v>
      </c>
      <c r="D1936" s="1" t="s">
        <v>23</v>
      </c>
      <c r="E1936" s="1" t="s">
        <v>1057</v>
      </c>
      <c r="F1936" s="4">
        <v>44804.51511574074</v>
      </c>
      <c r="G1936" s="3" t="str">
        <f>HYPERLINK("https://hawk-eye.atlassian.net/browse/?atlOrigin=eyJpIjoiYzgwYTQ0ZjEyNzQzNGJhN2JmNjEyZTM0NmRhZWZhNjIiLCJwIjoic2hlZXRzLWppcmEifQ","")</f>
        <v/>
      </c>
      <c r="H1936" s="1" t="s">
        <v>1058</v>
      </c>
      <c r="I1936" s="1" t="s">
        <v>1085</v>
      </c>
      <c r="J1936" s="1" t="s">
        <v>26</v>
      </c>
      <c r="K1936" s="1" t="s">
        <v>26</v>
      </c>
      <c r="L1936" s="1" t="s">
        <v>26</v>
      </c>
      <c r="M1936" s="1" t="s">
        <v>27</v>
      </c>
      <c r="N1936" s="1" t="s">
        <v>26</v>
      </c>
      <c r="O1936" s="1" t="s">
        <v>26</v>
      </c>
      <c r="P1936" s="4">
        <v>44804.51511574074</v>
      </c>
    </row>
    <row r="1937" hidden="1">
      <c r="A1937" s="1" t="s">
        <v>21</v>
      </c>
      <c r="B1937" s="3" t="str">
        <f>HYPERLINK("https://hawk-eye.atlassian.net/browse/HWKREPORT-1501?atlOrigin=eyJpIjoiYzgwYTQ0ZjEyNzQzNGJhN2JmNjEyZTM0NmRhZWZhNjIiLCJwIjoic2hlZXRzLWppcmEifQ","HWKREPORT-1501")</f>
        <v>HWKREPORT-1501</v>
      </c>
      <c r="C1937" s="1" t="s">
        <v>3197</v>
      </c>
      <c r="D1937" s="1" t="s">
        <v>40</v>
      </c>
      <c r="E1937" s="1" t="s">
        <v>35</v>
      </c>
      <c r="F1937" s="4">
        <v>44804.760150462964</v>
      </c>
      <c r="G1937" s="3" t="str">
        <f>HYPERLINK("https://hawk-eye.atlassian.net/browse/RTT-5284?atlOrigin=eyJpIjoiYzgwYTQ0ZjEyNzQzNGJhN2JmNjEyZTM0NmRhZWZhNjIiLCJwIjoic2hlZXRzLWppcmEifQ","RTT-5284")</f>
        <v>RTT-5284</v>
      </c>
      <c r="H1937" s="1" t="s">
        <v>1058</v>
      </c>
      <c r="I1937" s="1" t="s">
        <v>1085</v>
      </c>
      <c r="J1937" s="1" t="s">
        <v>26</v>
      </c>
      <c r="K1937" s="1" t="s">
        <v>1312</v>
      </c>
      <c r="L1937" s="1" t="s">
        <v>26</v>
      </c>
      <c r="M1937" s="1" t="s">
        <v>27</v>
      </c>
      <c r="N1937" s="1" t="s">
        <v>26</v>
      </c>
      <c r="O1937" s="1" t="s">
        <v>26</v>
      </c>
      <c r="P1937" s="4">
        <v>45341.558541666665</v>
      </c>
    </row>
    <row r="1938">
      <c r="A1938" s="1" t="s">
        <v>21</v>
      </c>
      <c r="B1938" s="3" t="str">
        <f>HYPERLINK("https://hawk-eye.atlassian.net/browse/HWKREPORT-1502?atlOrigin=eyJpIjoiYzgwYTQ0ZjEyNzQzNGJhN2JmNjEyZTM0NmRhZWZhNjIiLCJwIjoic2hlZXRzLWppcmEifQ","HWKREPORT-1502")</f>
        <v>HWKREPORT-1502</v>
      </c>
      <c r="C1938" s="1" t="s">
        <v>3198</v>
      </c>
      <c r="D1938" s="1" t="s">
        <v>34</v>
      </c>
      <c r="E1938" s="1" t="s">
        <v>35</v>
      </c>
      <c r="F1938" s="4">
        <v>44804.826574074075</v>
      </c>
      <c r="G1938" s="3" t="str">
        <f>HYPERLINK("https://hawk-eye.atlassian.net/browse/RTT-5283?atlOrigin=eyJpIjoiYzgwYTQ0ZjEyNzQzNGJhN2JmNjEyZTM0NmRhZWZhNjIiLCJwIjoic2hlZXRzLWppcmEifQ","RTT-5283")</f>
        <v>RTT-5283</v>
      </c>
      <c r="H1938" s="1" t="s">
        <v>1058</v>
      </c>
      <c r="I1938" s="1" t="s">
        <v>28</v>
      </c>
      <c r="J1938" s="1" t="s">
        <v>26</v>
      </c>
      <c r="K1938" s="1" t="s">
        <v>1072</v>
      </c>
      <c r="L1938" s="1" t="s">
        <v>26</v>
      </c>
      <c r="M1938" s="1" t="s">
        <v>27</v>
      </c>
      <c r="N1938" s="1" t="s">
        <v>26</v>
      </c>
      <c r="O1938" s="1" t="s">
        <v>26</v>
      </c>
      <c r="P1938" s="4">
        <v>44818.38623842593</v>
      </c>
    </row>
    <row r="1939" hidden="1">
      <c r="A1939" s="1" t="s">
        <v>1055</v>
      </c>
      <c r="B1939" s="3" t="str">
        <f>HYPERLINK("https://hawk-eye.atlassian.net/browse/HWKREPORT-1503?atlOrigin=eyJpIjoiYzgwYTQ0ZjEyNzQzNGJhN2JmNjEyZTM0NmRhZWZhNjIiLCJwIjoic2hlZXRzLWppcmEifQ","HWKREPORT-1503")</f>
        <v>HWKREPORT-1503</v>
      </c>
      <c r="C1939" s="1" t="s">
        <v>3199</v>
      </c>
      <c r="D1939" s="1" t="s">
        <v>23</v>
      </c>
      <c r="E1939" s="1" t="s">
        <v>35</v>
      </c>
      <c r="F1939" s="4">
        <v>44805.65672453704</v>
      </c>
      <c r="G1939" s="3" t="str">
        <f>HYPERLINK("https://hawk-eye.atlassian.net/browse/RTT-5289?atlOrigin=eyJpIjoiYzgwYTQ0ZjEyNzQzNGJhN2JmNjEyZTM0NmRhZWZhNjIiLCJwIjoic2hlZXRzLWppcmEifQ","RTT-5289")</f>
        <v>RTT-5289</v>
      </c>
      <c r="H1939" s="1" t="s">
        <v>1058</v>
      </c>
      <c r="I1939" s="1" t="s">
        <v>28</v>
      </c>
      <c r="J1939" s="1" t="s">
        <v>26</v>
      </c>
      <c r="K1939" s="1" t="s">
        <v>1072</v>
      </c>
      <c r="L1939" s="1" t="s">
        <v>26</v>
      </c>
      <c r="M1939" s="1" t="s">
        <v>27</v>
      </c>
      <c r="N1939" s="1" t="s">
        <v>26</v>
      </c>
      <c r="O1939" s="1" t="s">
        <v>26</v>
      </c>
      <c r="P1939" s="4">
        <v>44846.51380787037</v>
      </c>
    </row>
    <row r="1940" hidden="1">
      <c r="A1940" s="1" t="s">
        <v>1055</v>
      </c>
      <c r="B1940" s="3" t="str">
        <f>HYPERLINK("https://hawk-eye.atlassian.net/browse/HWKREPORT-1504?atlOrigin=eyJpIjoiYzgwYTQ0ZjEyNzQzNGJhN2JmNjEyZTM0NmRhZWZhNjIiLCJwIjoic2hlZXRzLWppcmEifQ","HWKREPORT-1504")</f>
        <v>HWKREPORT-1504</v>
      </c>
      <c r="C1940" s="1" t="s">
        <v>3200</v>
      </c>
      <c r="D1940" s="1" t="s">
        <v>23</v>
      </c>
      <c r="E1940" s="1" t="s">
        <v>35</v>
      </c>
      <c r="F1940" s="4">
        <v>44805.70445601852</v>
      </c>
      <c r="G1940" s="3" t="str">
        <f>HYPERLINK("https://hawk-eye.atlassian.net/browse/RTT-5288?atlOrigin=eyJpIjoiYzgwYTQ0ZjEyNzQzNGJhN2JmNjEyZTM0NmRhZWZhNjIiLCJwIjoic2hlZXRzLWppcmEifQ","RTT-5288")</f>
        <v>RTT-5288</v>
      </c>
      <c r="H1940" s="1" t="s">
        <v>1058</v>
      </c>
      <c r="I1940" s="1" t="s">
        <v>28</v>
      </c>
      <c r="J1940" s="1" t="s">
        <v>26</v>
      </c>
      <c r="K1940" s="1" t="s">
        <v>1072</v>
      </c>
      <c r="L1940" s="1" t="s">
        <v>26</v>
      </c>
      <c r="M1940" s="1" t="s">
        <v>27</v>
      </c>
      <c r="N1940" s="1" t="s">
        <v>26</v>
      </c>
      <c r="O1940" s="1" t="s">
        <v>26</v>
      </c>
      <c r="P1940" s="4">
        <v>45120.627592592595</v>
      </c>
    </row>
    <row r="1941" hidden="1">
      <c r="A1941" s="1" t="s">
        <v>21</v>
      </c>
      <c r="B1941" s="3" t="str">
        <f>HYPERLINK("https://hawk-eye.atlassian.net/browse/HWKREPORT-1505?atlOrigin=eyJpIjoiYzgwYTQ0ZjEyNzQzNGJhN2JmNjEyZTM0NmRhZWZhNjIiLCJwIjoic2hlZXRzLWppcmEifQ","HWKREPORT-1505")</f>
        <v>HWKREPORT-1505</v>
      </c>
      <c r="C1941" s="1" t="s">
        <v>3201</v>
      </c>
      <c r="D1941" s="1" t="s">
        <v>23</v>
      </c>
      <c r="E1941" s="1" t="s">
        <v>1207</v>
      </c>
      <c r="F1941" s="4">
        <v>44806.22152777778</v>
      </c>
      <c r="G1941" s="3" t="str">
        <f>HYPERLINK("https://hawk-eye.atlassian.net/browse/RTT-5287?atlOrigin=eyJpIjoiYzgwYTQ0ZjEyNzQzNGJhN2JmNjEyZTM0NmRhZWZhNjIiLCJwIjoic2hlZXRzLWppcmEifQ","RTT-5287")</f>
        <v>RTT-5287</v>
      </c>
      <c r="H1941" s="1" t="s">
        <v>1058</v>
      </c>
      <c r="I1941" s="1" t="s">
        <v>1126</v>
      </c>
      <c r="J1941" s="1" t="s">
        <v>26</v>
      </c>
      <c r="K1941" s="1" t="s">
        <v>1072</v>
      </c>
      <c r="L1941" s="1" t="s">
        <v>26</v>
      </c>
      <c r="M1941" s="1" t="s">
        <v>27</v>
      </c>
      <c r="N1941" s="1" t="s">
        <v>26</v>
      </c>
      <c r="O1941" s="1" t="s">
        <v>26</v>
      </c>
      <c r="P1941" s="4">
        <v>44929.4184837963</v>
      </c>
    </row>
    <row r="1942" hidden="1">
      <c r="A1942" s="1" t="s">
        <v>1055</v>
      </c>
      <c r="B1942" s="3" t="str">
        <f>HYPERLINK("https://hawk-eye.atlassian.net/browse/HWKREPORT-1506?atlOrigin=eyJpIjoiYzgwYTQ0ZjEyNzQzNGJhN2JmNjEyZTM0NmRhZWZhNjIiLCJwIjoic2hlZXRzLWppcmEifQ","HWKREPORT-1506")</f>
        <v>HWKREPORT-1506</v>
      </c>
      <c r="C1942" s="1" t="s">
        <v>3202</v>
      </c>
      <c r="D1942" s="1" t="s">
        <v>23</v>
      </c>
      <c r="E1942" s="1" t="s">
        <v>1057</v>
      </c>
      <c r="F1942" s="4">
        <v>44806.69925925926</v>
      </c>
      <c r="G1942" s="3" t="str">
        <f t="shared" ref="G1942:G1943" si="149">HYPERLINK("https://hawk-eye.atlassian.net/browse/?atlOrigin=eyJpIjoiYzgwYTQ0ZjEyNzQzNGJhN2JmNjEyZTM0NmRhZWZhNjIiLCJwIjoic2hlZXRzLWppcmEifQ","")</f>
        <v/>
      </c>
      <c r="H1942" s="1" t="s">
        <v>1058</v>
      </c>
      <c r="I1942" s="1" t="s">
        <v>1082</v>
      </c>
      <c r="J1942" s="1" t="s">
        <v>26</v>
      </c>
      <c r="K1942" s="1" t="s">
        <v>1247</v>
      </c>
      <c r="L1942" s="1" t="s">
        <v>26</v>
      </c>
      <c r="M1942" s="1" t="s">
        <v>27</v>
      </c>
      <c r="N1942" s="1" t="s">
        <v>26</v>
      </c>
      <c r="O1942" s="1" t="s">
        <v>26</v>
      </c>
      <c r="P1942" s="4">
        <v>44806.69925925926</v>
      </c>
    </row>
    <row r="1943" hidden="1">
      <c r="A1943" s="1" t="s">
        <v>1055</v>
      </c>
      <c r="B1943" s="3" t="str">
        <f>HYPERLINK("https://hawk-eye.atlassian.net/browse/HWKREPORT-1507?atlOrigin=eyJpIjoiYzgwYTQ0ZjEyNzQzNGJhN2JmNjEyZTM0NmRhZWZhNjIiLCJwIjoic2hlZXRzLWppcmEifQ","HWKREPORT-1507")</f>
        <v>HWKREPORT-1507</v>
      </c>
      <c r="C1943" s="1" t="s">
        <v>3203</v>
      </c>
      <c r="D1943" s="1" t="s">
        <v>23</v>
      </c>
      <c r="E1943" s="1" t="s">
        <v>1057</v>
      </c>
      <c r="F1943" s="4">
        <v>44806.701875</v>
      </c>
      <c r="G1943" s="3" t="str">
        <f t="shared" si="149"/>
        <v/>
      </c>
      <c r="H1943" s="1" t="s">
        <v>1058</v>
      </c>
      <c r="I1943" s="1" t="s">
        <v>1082</v>
      </c>
      <c r="J1943" s="1" t="s">
        <v>26</v>
      </c>
      <c r="K1943" s="1" t="s">
        <v>1247</v>
      </c>
      <c r="L1943" s="1" t="s">
        <v>26</v>
      </c>
      <c r="M1943" s="1" t="s">
        <v>27</v>
      </c>
      <c r="N1943" s="1" t="s">
        <v>26</v>
      </c>
      <c r="O1943" s="1" t="s">
        <v>26</v>
      </c>
      <c r="P1943" s="4">
        <v>44806.701875</v>
      </c>
    </row>
    <row r="1944" hidden="1">
      <c r="A1944" s="1" t="s">
        <v>1055</v>
      </c>
      <c r="B1944" s="3" t="str">
        <f>HYPERLINK("https://hawk-eye.atlassian.net/browse/HWKREPORT-1508?atlOrigin=eyJpIjoiYzgwYTQ0ZjEyNzQzNGJhN2JmNjEyZTM0NmRhZWZhNjIiLCJwIjoic2hlZXRzLWppcmEifQ","HWKREPORT-1508")</f>
        <v>HWKREPORT-1508</v>
      </c>
      <c r="C1944" s="1" t="s">
        <v>3204</v>
      </c>
      <c r="D1944" s="1" t="s">
        <v>23</v>
      </c>
      <c r="E1944" s="1" t="s">
        <v>1207</v>
      </c>
      <c r="F1944" s="4">
        <v>44808.71111111111</v>
      </c>
      <c r="G1944" s="3" t="str">
        <f>HYPERLINK("https://hawk-eye.atlassian.net/browse/RTT-5291?atlOrigin=eyJpIjoiYzgwYTQ0ZjEyNzQzNGJhN2JmNjEyZTM0NmRhZWZhNjIiLCJwIjoic2hlZXRzLWppcmEifQ","RTT-5291")</f>
        <v>RTT-5291</v>
      </c>
      <c r="H1944" s="1" t="s">
        <v>1058</v>
      </c>
      <c r="I1944" s="1" t="s">
        <v>1126</v>
      </c>
      <c r="J1944" s="1" t="s">
        <v>26</v>
      </c>
      <c r="K1944" s="1" t="s">
        <v>1312</v>
      </c>
      <c r="L1944" s="1" t="s">
        <v>26</v>
      </c>
      <c r="M1944" s="1" t="s">
        <v>27</v>
      </c>
      <c r="N1944" s="1" t="s">
        <v>26</v>
      </c>
      <c r="O1944" s="1" t="s">
        <v>26</v>
      </c>
      <c r="P1944" s="4">
        <v>44998.63747685185</v>
      </c>
    </row>
    <row r="1945" hidden="1">
      <c r="A1945" s="1" t="s">
        <v>21</v>
      </c>
      <c r="B1945" s="3" t="str">
        <f>HYPERLINK("https://hawk-eye.atlassian.net/browse/HWKREPORT-1509?atlOrigin=eyJpIjoiYzgwYTQ0ZjEyNzQzNGJhN2JmNjEyZTM0NmRhZWZhNjIiLCJwIjoic2hlZXRzLWppcmEifQ","HWKREPORT-1509")</f>
        <v>HWKREPORT-1509</v>
      </c>
      <c r="C1945" s="1" t="s">
        <v>3205</v>
      </c>
      <c r="D1945" s="1" t="s">
        <v>23</v>
      </c>
      <c r="E1945" s="1" t="s">
        <v>1207</v>
      </c>
      <c r="F1945" s="4">
        <v>44808.73153935185</v>
      </c>
      <c r="G1945" s="3" t="str">
        <f>HYPERLINK("https://hawk-eye.atlassian.net/browse/RTT-5290?atlOrigin=eyJpIjoiYzgwYTQ0ZjEyNzQzNGJhN2JmNjEyZTM0NmRhZWZhNjIiLCJwIjoic2hlZXRzLWppcmEifQ","RTT-5290")</f>
        <v>RTT-5290</v>
      </c>
      <c r="H1945" s="1" t="s">
        <v>1058</v>
      </c>
      <c r="I1945" s="1" t="s">
        <v>1126</v>
      </c>
      <c r="J1945" s="1" t="s">
        <v>26</v>
      </c>
      <c r="K1945" s="1" t="s">
        <v>1312</v>
      </c>
      <c r="L1945" s="1" t="s">
        <v>26</v>
      </c>
      <c r="M1945" s="1" t="s">
        <v>27</v>
      </c>
      <c r="N1945" s="1" t="s">
        <v>26</v>
      </c>
      <c r="O1945" s="1" t="s">
        <v>26</v>
      </c>
      <c r="P1945" s="4">
        <v>44979.443703703706</v>
      </c>
    </row>
    <row r="1946" hidden="1">
      <c r="A1946" s="1" t="s">
        <v>21</v>
      </c>
      <c r="B1946" s="3" t="str">
        <f>HYPERLINK("https://hawk-eye.atlassian.net/browse/HWKREPORT-1510?atlOrigin=eyJpIjoiYzgwYTQ0ZjEyNzQzNGJhN2JmNjEyZTM0NmRhZWZhNjIiLCJwIjoic2hlZXRzLWppcmEifQ","HWKREPORT-1510")</f>
        <v>HWKREPORT-1510</v>
      </c>
      <c r="C1946" s="1" t="s">
        <v>3206</v>
      </c>
      <c r="D1946" s="1" t="s">
        <v>23</v>
      </c>
      <c r="E1946" s="1" t="s">
        <v>35</v>
      </c>
      <c r="F1946" s="4">
        <v>44809.80847222222</v>
      </c>
      <c r="G1946" s="3" t="str">
        <f>HYPERLINK("https://hawk-eye.atlassian.net/browse/RTT-5293?atlOrigin=eyJpIjoiYzgwYTQ0ZjEyNzQzNGJhN2JmNjEyZTM0NmRhZWZhNjIiLCJwIjoic2hlZXRzLWppcmEifQ","RTT-5293")</f>
        <v>RTT-5293</v>
      </c>
      <c r="H1946" s="1" t="s">
        <v>1058</v>
      </c>
      <c r="I1946" s="1" t="s">
        <v>1126</v>
      </c>
      <c r="J1946" s="1" t="s">
        <v>26</v>
      </c>
      <c r="K1946" s="1" t="s">
        <v>1072</v>
      </c>
      <c r="L1946" s="1" t="s">
        <v>26</v>
      </c>
      <c r="M1946" s="1" t="s">
        <v>27</v>
      </c>
      <c r="N1946" s="1" t="s">
        <v>26</v>
      </c>
      <c r="O1946" s="1" t="s">
        <v>26</v>
      </c>
      <c r="P1946" s="4">
        <v>45709.64628472222</v>
      </c>
    </row>
    <row r="1947" hidden="1">
      <c r="A1947" s="1" t="s">
        <v>21</v>
      </c>
      <c r="B1947" s="3" t="str">
        <f>HYPERLINK("https://hawk-eye.atlassian.net/browse/HWKREPORT-1511?atlOrigin=eyJpIjoiYzgwYTQ0ZjEyNzQzNGJhN2JmNjEyZTM0NmRhZWZhNjIiLCJwIjoic2hlZXRzLWppcmEifQ","HWKREPORT-1511")</f>
        <v>HWKREPORT-1511</v>
      </c>
      <c r="C1947" s="1" t="s">
        <v>3207</v>
      </c>
      <c r="D1947" s="1" t="s">
        <v>34</v>
      </c>
      <c r="E1947" s="1" t="s">
        <v>1207</v>
      </c>
      <c r="F1947" s="4">
        <v>44809.87211805556</v>
      </c>
      <c r="G1947" s="3" t="str">
        <f>HYPERLINK("https://hawk-eye.atlassian.net/browse/RTT-5294?atlOrigin=eyJpIjoiYzgwYTQ0ZjEyNzQzNGJhN2JmNjEyZTM0NmRhZWZhNjIiLCJwIjoic2hlZXRzLWppcmEifQ","RTT-5294")</f>
        <v>RTT-5294</v>
      </c>
      <c r="H1947" s="1" t="s">
        <v>1058</v>
      </c>
      <c r="I1947" s="1" t="s">
        <v>1126</v>
      </c>
      <c r="J1947" s="1" t="s">
        <v>26</v>
      </c>
      <c r="K1947" s="1" t="s">
        <v>1312</v>
      </c>
      <c r="L1947" s="1" t="s">
        <v>26</v>
      </c>
      <c r="M1947" s="1" t="s">
        <v>27</v>
      </c>
      <c r="N1947" s="1" t="s">
        <v>26</v>
      </c>
      <c r="O1947" s="1" t="s">
        <v>26</v>
      </c>
      <c r="P1947" s="4">
        <v>44929.4184837963</v>
      </c>
    </row>
    <row r="1948" hidden="1">
      <c r="A1948" s="1" t="s">
        <v>1055</v>
      </c>
      <c r="B1948" s="3" t="str">
        <f>HYPERLINK("https://hawk-eye.atlassian.net/browse/HWKREPORT-1512?atlOrigin=eyJpIjoiYzgwYTQ0ZjEyNzQzNGJhN2JmNjEyZTM0NmRhZWZhNjIiLCJwIjoic2hlZXRzLWppcmEifQ","HWKREPORT-1512")</f>
        <v>HWKREPORT-1512</v>
      </c>
      <c r="C1948" s="1" t="s">
        <v>3208</v>
      </c>
      <c r="D1948" s="1" t="s">
        <v>23</v>
      </c>
      <c r="E1948" s="1" t="s">
        <v>35</v>
      </c>
      <c r="F1948" s="4">
        <v>44810.85778935185</v>
      </c>
      <c r="G1948" s="3" t="str">
        <f>HYPERLINK("https://hawk-eye.atlassian.net/browse/?atlOrigin=eyJpIjoiYzgwYTQ0ZjEyNzQzNGJhN2JmNjEyZTM0NmRhZWZhNjIiLCJwIjoic2hlZXRzLWppcmEifQ","")</f>
        <v/>
      </c>
      <c r="H1948" s="1" t="s">
        <v>1058</v>
      </c>
      <c r="I1948" s="1" t="s">
        <v>1071</v>
      </c>
      <c r="J1948" s="1" t="s">
        <v>26</v>
      </c>
      <c r="K1948" s="1" t="s">
        <v>3209</v>
      </c>
      <c r="L1948" s="1" t="s">
        <v>26</v>
      </c>
      <c r="M1948" s="1" t="s">
        <v>27</v>
      </c>
      <c r="N1948" s="1" t="s">
        <v>26</v>
      </c>
      <c r="O1948" s="1" t="s">
        <v>26</v>
      </c>
      <c r="P1948" s="4">
        <v>44932.42475694444</v>
      </c>
    </row>
    <row r="1949" hidden="1">
      <c r="A1949" s="1" t="s">
        <v>1055</v>
      </c>
      <c r="B1949" s="3" t="str">
        <f>HYPERLINK("https://hawk-eye.atlassian.net/browse/HWKREPORT-1513?atlOrigin=eyJpIjoiYzgwYTQ0ZjEyNzQzNGJhN2JmNjEyZTM0NmRhZWZhNjIiLCJwIjoic2hlZXRzLWppcmEifQ","HWKREPORT-1513")</f>
        <v>HWKREPORT-1513</v>
      </c>
      <c r="C1949" s="1" t="s">
        <v>3210</v>
      </c>
      <c r="D1949" s="1" t="s">
        <v>83</v>
      </c>
      <c r="E1949" s="1" t="s">
        <v>35</v>
      </c>
      <c r="F1949" s="4">
        <v>44811.60322916666</v>
      </c>
      <c r="G1949" s="3" t="str">
        <f>HYPERLINK("https://hawk-eye.atlassian.net/browse/SO-567?atlOrigin=eyJpIjoiYzgwYTQ0ZjEyNzQzNGJhN2JmNjEyZTM0NmRhZWZhNjIiLCJwIjoic2hlZXRzLWppcmEifQ","SO-567")</f>
        <v>SO-567</v>
      </c>
      <c r="H1949" s="1" t="s">
        <v>1058</v>
      </c>
      <c r="I1949" s="1" t="s">
        <v>1151</v>
      </c>
      <c r="J1949" s="1" t="s">
        <v>26</v>
      </c>
      <c r="K1949" s="1" t="s">
        <v>1116</v>
      </c>
      <c r="L1949" s="1" t="s">
        <v>26</v>
      </c>
      <c r="M1949" s="1" t="s">
        <v>27</v>
      </c>
      <c r="N1949" s="1" t="s">
        <v>26</v>
      </c>
      <c r="O1949" s="1" t="s">
        <v>26</v>
      </c>
      <c r="P1949" s="4">
        <v>44960.783125</v>
      </c>
    </row>
    <row r="1950" hidden="1">
      <c r="A1950" s="1" t="s">
        <v>1055</v>
      </c>
      <c r="B1950" s="3" t="str">
        <f>HYPERLINK("https://hawk-eye.atlassian.net/browse/HWKREPORT-1514?atlOrigin=eyJpIjoiYzgwYTQ0ZjEyNzQzNGJhN2JmNjEyZTM0NmRhZWZhNjIiLCJwIjoic2hlZXRzLWppcmEifQ","HWKREPORT-1514")</f>
        <v>HWKREPORT-1514</v>
      </c>
      <c r="C1950" s="1" t="s">
        <v>3211</v>
      </c>
      <c r="D1950" s="1" t="s">
        <v>23</v>
      </c>
      <c r="E1950" s="1" t="s">
        <v>1207</v>
      </c>
      <c r="F1950" s="4">
        <v>44811.771099537036</v>
      </c>
      <c r="G1950" s="3" t="str">
        <f>HYPERLINK("https://hawk-eye.atlassian.net/browse/RTT-5299?atlOrigin=eyJpIjoiYzgwYTQ0ZjEyNzQzNGJhN2JmNjEyZTM0NmRhZWZhNjIiLCJwIjoic2hlZXRzLWppcmEifQ","RTT-5299")</f>
        <v>RTT-5299</v>
      </c>
      <c r="H1950" s="1" t="s">
        <v>1058</v>
      </c>
      <c r="I1950" s="1" t="s">
        <v>1126</v>
      </c>
      <c r="J1950" s="1" t="s">
        <v>26</v>
      </c>
      <c r="K1950" s="1" t="s">
        <v>1312</v>
      </c>
      <c r="L1950" s="1" t="s">
        <v>26</v>
      </c>
      <c r="M1950" s="1" t="s">
        <v>27</v>
      </c>
      <c r="N1950" s="1" t="s">
        <v>26</v>
      </c>
      <c r="O1950" s="1" t="s">
        <v>26</v>
      </c>
      <c r="P1950" s="4">
        <v>44929.4184837963</v>
      </c>
    </row>
    <row r="1951" hidden="1">
      <c r="A1951" s="1" t="s">
        <v>21</v>
      </c>
      <c r="B1951" s="3" t="str">
        <f>HYPERLINK("https://hawk-eye.atlassian.net/browse/HWKREPORT-1516?atlOrigin=eyJpIjoiYzgwYTQ0ZjEyNzQzNGJhN2JmNjEyZTM0NmRhZWZhNjIiLCJwIjoic2hlZXRzLWppcmEifQ","HWKREPORT-1516")</f>
        <v>HWKREPORT-1516</v>
      </c>
      <c r="C1951" s="1" t="s">
        <v>3212</v>
      </c>
      <c r="D1951" s="1" t="s">
        <v>23</v>
      </c>
      <c r="E1951" s="1" t="s">
        <v>1057</v>
      </c>
      <c r="F1951" s="4">
        <v>44812.16420138889</v>
      </c>
      <c r="G1951" s="3" t="str">
        <f>HYPERLINK("https://hawk-eye.atlassian.net/browse/?atlOrigin=eyJpIjoiYzgwYTQ0ZjEyNzQzNGJhN2JmNjEyZTM0NmRhZWZhNjIiLCJwIjoic2hlZXRzLWppcmEifQ","")</f>
        <v/>
      </c>
      <c r="H1951" s="1" t="s">
        <v>1058</v>
      </c>
      <c r="I1951" s="1" t="s">
        <v>1126</v>
      </c>
      <c r="J1951" s="1" t="s">
        <v>26</v>
      </c>
      <c r="K1951" s="1" t="s">
        <v>3213</v>
      </c>
      <c r="L1951" s="1" t="s">
        <v>26</v>
      </c>
      <c r="M1951" s="1" t="s">
        <v>27</v>
      </c>
      <c r="N1951" s="1" t="s">
        <v>26</v>
      </c>
      <c r="O1951" s="1" t="s">
        <v>26</v>
      </c>
      <c r="P1951" s="4">
        <v>44812.16421296296</v>
      </c>
    </row>
    <row r="1952" hidden="1">
      <c r="A1952" s="1" t="s">
        <v>21</v>
      </c>
      <c r="B1952" s="3" t="str">
        <f>HYPERLINK("https://hawk-eye.atlassian.net/browse/HWKREPORT-1517?atlOrigin=eyJpIjoiYzgwYTQ0ZjEyNzQzNGJhN2JmNjEyZTM0NmRhZWZhNjIiLCJwIjoic2hlZXRzLWppcmEifQ","HWKREPORT-1517")</f>
        <v>HWKREPORT-1517</v>
      </c>
      <c r="C1952" s="1" t="s">
        <v>3214</v>
      </c>
      <c r="D1952" s="1" t="s">
        <v>23</v>
      </c>
      <c r="E1952" s="1" t="s">
        <v>35</v>
      </c>
      <c r="F1952" s="4">
        <v>44812.66136574074</v>
      </c>
      <c r="G1952" s="3" t="str">
        <f>HYPERLINK("https://hawk-eye.atlassian.net/browse/RTT-5301?atlOrigin=eyJpIjoiYzgwYTQ0ZjEyNzQzNGJhN2JmNjEyZTM0NmRhZWZhNjIiLCJwIjoic2hlZXRzLWppcmEifQ","RTT-5301")</f>
        <v>RTT-5301</v>
      </c>
      <c r="H1952" s="1" t="s">
        <v>1058</v>
      </c>
      <c r="I1952" s="1" t="s">
        <v>1071</v>
      </c>
      <c r="J1952" s="1" t="s">
        <v>26</v>
      </c>
      <c r="K1952" s="1" t="s">
        <v>1072</v>
      </c>
      <c r="L1952" s="1" t="s">
        <v>26</v>
      </c>
      <c r="M1952" s="1" t="s">
        <v>27</v>
      </c>
      <c r="N1952" s="1" t="s">
        <v>26</v>
      </c>
      <c r="O1952" s="1" t="s">
        <v>26</v>
      </c>
      <c r="P1952" s="4">
        <v>44844.55006944444</v>
      </c>
    </row>
    <row r="1953" hidden="1">
      <c r="A1953" s="1" t="s">
        <v>21</v>
      </c>
      <c r="B1953" s="3" t="str">
        <f>HYPERLINK("https://hawk-eye.atlassian.net/browse/HWKREPORT-1518?atlOrigin=eyJpIjoiYzgwYTQ0ZjEyNzQzNGJhN2JmNjEyZTM0NmRhZWZhNjIiLCJwIjoic2hlZXRzLWppcmEifQ","HWKREPORT-1518")</f>
        <v>HWKREPORT-1518</v>
      </c>
      <c r="C1953" s="1" t="s">
        <v>3215</v>
      </c>
      <c r="D1953" s="1" t="s">
        <v>23</v>
      </c>
      <c r="E1953" s="1" t="s">
        <v>1057</v>
      </c>
      <c r="F1953" s="4">
        <v>44812.843668981484</v>
      </c>
      <c r="G1953" s="3" t="str">
        <f>HYPERLINK("https://hawk-eye.atlassian.net/browse/?atlOrigin=eyJpIjoiYzgwYTQ0ZjEyNzQzNGJhN2JmNjEyZTM0NmRhZWZhNjIiLCJwIjoic2hlZXRzLWppcmEifQ","")</f>
        <v/>
      </c>
      <c r="H1953" s="1" t="s">
        <v>1058</v>
      </c>
      <c r="I1953" s="1" t="s">
        <v>1071</v>
      </c>
      <c r="J1953" s="1" t="s">
        <v>26</v>
      </c>
      <c r="K1953" s="1" t="s">
        <v>3216</v>
      </c>
      <c r="L1953" s="1" t="s">
        <v>26</v>
      </c>
      <c r="M1953" s="1" t="s">
        <v>27</v>
      </c>
      <c r="N1953" s="1" t="s">
        <v>26</v>
      </c>
      <c r="O1953" s="1" t="s">
        <v>26</v>
      </c>
      <c r="P1953" s="4">
        <v>44812.843668981484</v>
      </c>
    </row>
    <row r="1954" hidden="1">
      <c r="A1954" s="1" t="s">
        <v>21</v>
      </c>
      <c r="B1954" s="3" t="str">
        <f>HYPERLINK("https://hawk-eye.atlassian.net/browse/HWKREPORT-1519?atlOrigin=eyJpIjoiYzgwYTQ0ZjEyNzQzNGJhN2JmNjEyZTM0NmRhZWZhNjIiLCJwIjoic2hlZXRzLWppcmEifQ","HWKREPORT-1519")</f>
        <v>HWKREPORT-1519</v>
      </c>
      <c r="C1954" s="1" t="s">
        <v>3217</v>
      </c>
      <c r="D1954" s="1" t="s">
        <v>83</v>
      </c>
      <c r="E1954" s="1" t="s">
        <v>35</v>
      </c>
      <c r="F1954" s="4">
        <v>44813.508888888886</v>
      </c>
      <c r="G1954" s="3" t="str">
        <f>HYPERLINK("https://hawk-eye.atlassian.net/browse/HWKREPORT-2009?atlOrigin=eyJpIjoiYzgwYTQ0ZjEyNzQzNGJhN2JmNjEyZTM0NmRhZWZhNjIiLCJwIjoic2hlZXRzLWppcmEifQ","HWKREPORT-2009")</f>
        <v>HWKREPORT-2009</v>
      </c>
      <c r="H1954" s="1" t="s">
        <v>1058</v>
      </c>
      <c r="I1954" s="1" t="s">
        <v>1071</v>
      </c>
      <c r="J1954" s="1" t="s">
        <v>26</v>
      </c>
      <c r="K1954" s="1" t="s">
        <v>3218</v>
      </c>
      <c r="L1954" s="1" t="s">
        <v>26</v>
      </c>
      <c r="M1954" s="1" t="s">
        <v>27</v>
      </c>
      <c r="N1954" s="1" t="s">
        <v>26</v>
      </c>
      <c r="O1954" s="1" t="s">
        <v>26</v>
      </c>
      <c r="P1954" s="4">
        <v>45124.6718287037</v>
      </c>
    </row>
    <row r="1955" hidden="1">
      <c r="A1955" s="1" t="s">
        <v>1055</v>
      </c>
      <c r="B1955" s="3" t="str">
        <f>HYPERLINK("https://hawk-eye.atlassian.net/browse/HWKREPORT-1520?atlOrigin=eyJpIjoiYzgwYTQ0ZjEyNzQzNGJhN2JmNjEyZTM0NmRhZWZhNjIiLCJwIjoic2hlZXRzLWppcmEifQ","HWKREPORT-1520")</f>
        <v>HWKREPORT-1520</v>
      </c>
      <c r="C1955" s="1" t="s">
        <v>3219</v>
      </c>
      <c r="D1955" s="1" t="s">
        <v>23</v>
      </c>
      <c r="E1955" s="1" t="s">
        <v>35</v>
      </c>
      <c r="F1955" s="4">
        <v>44813.60637731481</v>
      </c>
      <c r="G1955" s="3" t="str">
        <f>HYPERLINK("https://hawk-eye.atlassian.net/browse/RTT-5307?atlOrigin=eyJpIjoiYzgwYTQ0ZjEyNzQzNGJhN2JmNjEyZTM0NmRhZWZhNjIiLCJwIjoic2hlZXRzLWppcmEifQ","RTT-5307")</f>
        <v>RTT-5307</v>
      </c>
      <c r="H1955" s="1" t="s">
        <v>1058</v>
      </c>
      <c r="I1955" s="1" t="s">
        <v>1085</v>
      </c>
      <c r="J1955" s="1" t="s">
        <v>26</v>
      </c>
      <c r="K1955" s="1" t="s">
        <v>1312</v>
      </c>
      <c r="L1955" s="1" t="s">
        <v>26</v>
      </c>
      <c r="M1955" s="1" t="s">
        <v>27</v>
      </c>
      <c r="N1955" s="1" t="s">
        <v>26</v>
      </c>
      <c r="O1955" s="1" t="s">
        <v>26</v>
      </c>
      <c r="P1955" s="4">
        <v>44957.7108912037</v>
      </c>
    </row>
    <row r="1956" hidden="1">
      <c r="A1956" s="1" t="s">
        <v>1055</v>
      </c>
      <c r="B1956" s="3" t="str">
        <f>HYPERLINK("https://hawk-eye.atlassian.net/browse/HWKREPORT-1521?atlOrigin=eyJpIjoiYzgwYTQ0ZjEyNzQzNGJhN2JmNjEyZTM0NmRhZWZhNjIiLCJwIjoic2hlZXRzLWppcmEifQ","HWKREPORT-1521")</f>
        <v>HWKREPORT-1521</v>
      </c>
      <c r="C1956" s="1" t="s">
        <v>3220</v>
      </c>
      <c r="D1956" s="1" t="s">
        <v>23</v>
      </c>
      <c r="E1956" s="1" t="s">
        <v>35</v>
      </c>
      <c r="F1956" s="4">
        <v>44813.85789351852</v>
      </c>
      <c r="G1956" s="3" t="str">
        <f>HYPERLINK("https://hawk-eye.atlassian.net/browse/RTT-5308?atlOrigin=eyJpIjoiYzgwYTQ0ZjEyNzQzNGJhN2JmNjEyZTM0NmRhZWZhNjIiLCJwIjoic2hlZXRzLWppcmEifQ","RTT-5308")</f>
        <v>RTT-5308</v>
      </c>
      <c r="H1956" s="1" t="s">
        <v>1058</v>
      </c>
      <c r="I1956" s="1" t="s">
        <v>1071</v>
      </c>
      <c r="J1956" s="1" t="s">
        <v>26</v>
      </c>
      <c r="K1956" s="1" t="s">
        <v>1072</v>
      </c>
      <c r="L1956" s="1" t="s">
        <v>26</v>
      </c>
      <c r="M1956" s="1" t="s">
        <v>27</v>
      </c>
      <c r="N1956" s="1" t="s">
        <v>26</v>
      </c>
      <c r="O1956" s="1" t="s">
        <v>26</v>
      </c>
      <c r="P1956" s="4">
        <v>44946.638773148145</v>
      </c>
    </row>
    <row r="1957" hidden="1">
      <c r="A1957" s="1" t="s">
        <v>21</v>
      </c>
      <c r="B1957" s="3" t="str">
        <f>HYPERLINK("https://hawk-eye.atlassian.net/browse/HWKREPORT-1522?atlOrigin=eyJpIjoiYzgwYTQ0ZjEyNzQzNGJhN2JmNjEyZTM0NmRhZWZhNjIiLCJwIjoic2hlZXRzLWppcmEifQ","HWKREPORT-1522")</f>
        <v>HWKREPORT-1522</v>
      </c>
      <c r="C1957" s="1" t="s">
        <v>3221</v>
      </c>
      <c r="D1957" s="1" t="s">
        <v>23</v>
      </c>
      <c r="E1957" s="1" t="s">
        <v>35</v>
      </c>
      <c r="F1957" s="4">
        <v>44815.94322916667</v>
      </c>
      <c r="G1957" s="3" t="str">
        <f>HYPERLINK("https://hawk-eye.atlassian.net/browse/RTT-5449?atlOrigin=eyJpIjoiYzgwYTQ0ZjEyNzQzNGJhN2JmNjEyZTM0NmRhZWZhNjIiLCJwIjoic2hlZXRzLWppcmEifQ","RTT-5449")</f>
        <v>RTT-5449</v>
      </c>
      <c r="H1957" s="1" t="s">
        <v>1058</v>
      </c>
      <c r="I1957" s="1" t="s">
        <v>1071</v>
      </c>
      <c r="J1957" s="1" t="s">
        <v>26</v>
      </c>
      <c r="K1957" s="1" t="s">
        <v>1312</v>
      </c>
      <c r="L1957" s="1" t="s">
        <v>26</v>
      </c>
      <c r="M1957" s="1" t="s">
        <v>27</v>
      </c>
      <c r="N1957" s="1" t="s">
        <v>26</v>
      </c>
      <c r="O1957" s="1" t="s">
        <v>26</v>
      </c>
      <c r="P1957" s="4">
        <v>44966.438576388886</v>
      </c>
    </row>
    <row r="1958" hidden="1">
      <c r="A1958" s="1" t="s">
        <v>21</v>
      </c>
      <c r="B1958" s="3" t="str">
        <f>HYPERLINK("https://hawk-eye.atlassian.net/browse/HWKREPORT-1523?atlOrigin=eyJpIjoiYzgwYTQ0ZjEyNzQzNGJhN2JmNjEyZTM0NmRhZWZhNjIiLCJwIjoic2hlZXRzLWppcmEifQ","HWKREPORT-1523")</f>
        <v>HWKREPORT-1523</v>
      </c>
      <c r="C1958" s="1" t="s">
        <v>3222</v>
      </c>
      <c r="D1958" s="1" t="s">
        <v>40</v>
      </c>
      <c r="E1958" s="1" t="s">
        <v>35</v>
      </c>
      <c r="F1958" s="4">
        <v>44816.499918981484</v>
      </c>
      <c r="G1958" s="3" t="str">
        <f t="shared" ref="G1958:G1959" si="150">HYPERLINK("https://hawk-eye.atlassian.net/browse/?atlOrigin=eyJpIjoiYzgwYTQ0ZjEyNzQzNGJhN2JmNjEyZTM0NmRhZWZhNjIiLCJwIjoic2hlZXRzLWppcmEifQ","")</f>
        <v/>
      </c>
      <c r="H1958" s="1" t="s">
        <v>1058</v>
      </c>
      <c r="I1958" s="1" t="s">
        <v>1085</v>
      </c>
      <c r="J1958" s="1" t="s">
        <v>26</v>
      </c>
      <c r="K1958" s="1" t="s">
        <v>2987</v>
      </c>
      <c r="L1958" s="1" t="s">
        <v>26</v>
      </c>
      <c r="M1958" s="1" t="s">
        <v>27</v>
      </c>
      <c r="N1958" s="1" t="s">
        <v>26</v>
      </c>
      <c r="O1958" s="1" t="s">
        <v>26</v>
      </c>
      <c r="P1958" s="4">
        <v>45202.716458333336</v>
      </c>
    </row>
    <row r="1959" hidden="1">
      <c r="A1959" s="1" t="s">
        <v>21</v>
      </c>
      <c r="B1959" s="3" t="str">
        <f>HYPERLINK("https://hawk-eye.atlassian.net/browse/HWKREPORT-1524?atlOrigin=eyJpIjoiYzgwYTQ0ZjEyNzQzNGJhN2JmNjEyZTM0NmRhZWZhNjIiLCJwIjoic2hlZXRzLWppcmEifQ","HWKREPORT-1524")</f>
        <v>HWKREPORT-1524</v>
      </c>
      <c r="C1959" s="1" t="s">
        <v>3223</v>
      </c>
      <c r="D1959" s="1" t="s">
        <v>40</v>
      </c>
      <c r="E1959" s="1" t="s">
        <v>1074</v>
      </c>
      <c r="F1959" s="4">
        <v>44816.58398148148</v>
      </c>
      <c r="G1959" s="3" t="str">
        <f t="shared" si="150"/>
        <v/>
      </c>
      <c r="H1959" s="1" t="s">
        <v>1058</v>
      </c>
      <c r="I1959" s="1" t="s">
        <v>1085</v>
      </c>
      <c r="J1959" s="1" t="s">
        <v>26</v>
      </c>
      <c r="K1959" s="1" t="s">
        <v>2987</v>
      </c>
      <c r="L1959" s="1" t="s">
        <v>26</v>
      </c>
      <c r="M1959" s="1" t="s">
        <v>27</v>
      </c>
      <c r="N1959" s="1" t="s">
        <v>26</v>
      </c>
      <c r="O1959" s="1" t="s">
        <v>26</v>
      </c>
      <c r="P1959" s="4">
        <v>44818.48334490741</v>
      </c>
    </row>
    <row r="1960" hidden="1">
      <c r="A1960" s="1" t="s">
        <v>21</v>
      </c>
      <c r="B1960" s="3" t="str">
        <f>HYPERLINK("https://hawk-eye.atlassian.net/browse/HWKREPORT-1525?atlOrigin=eyJpIjoiYzgwYTQ0ZjEyNzQzNGJhN2JmNjEyZTM0NmRhZWZhNjIiLCJwIjoic2hlZXRzLWppcmEifQ","HWKREPORT-1525")</f>
        <v>HWKREPORT-1525</v>
      </c>
      <c r="C1960" s="1" t="s">
        <v>3224</v>
      </c>
      <c r="D1960" s="1" t="s">
        <v>23</v>
      </c>
      <c r="E1960" s="1" t="s">
        <v>35</v>
      </c>
      <c r="F1960" s="4">
        <v>44816.697800925926</v>
      </c>
      <c r="G1960" s="3" t="str">
        <f>HYPERLINK("https://hawk-eye.atlassian.net/browse/BDP-1008?atlOrigin=eyJpIjoiYzgwYTQ0ZjEyNzQzNGJhN2JmNjEyZTM0NmRhZWZhNjIiLCJwIjoic2hlZXRzLWppcmEifQ","BDP-1008")</f>
        <v>BDP-1008</v>
      </c>
      <c r="H1960" s="1" t="s">
        <v>1058</v>
      </c>
      <c r="I1960" s="1" t="s">
        <v>1071</v>
      </c>
      <c r="J1960" s="1" t="s">
        <v>26</v>
      </c>
      <c r="K1960" s="1" t="s">
        <v>1130</v>
      </c>
      <c r="L1960" s="1" t="s">
        <v>26</v>
      </c>
      <c r="M1960" s="1" t="s">
        <v>27</v>
      </c>
      <c r="N1960" s="1" t="s">
        <v>26</v>
      </c>
      <c r="O1960" s="1" t="s">
        <v>26</v>
      </c>
      <c r="P1960" s="4">
        <v>44837.63055555556</v>
      </c>
    </row>
    <row r="1961" hidden="1">
      <c r="A1961" s="1" t="s">
        <v>1055</v>
      </c>
      <c r="B1961" s="3" t="str">
        <f>HYPERLINK("https://hawk-eye.atlassian.net/browse/HWKREPORT-1526?atlOrigin=eyJpIjoiYzgwYTQ0ZjEyNzQzNGJhN2JmNjEyZTM0NmRhZWZhNjIiLCJwIjoic2hlZXRzLWppcmEifQ","HWKREPORT-1526")</f>
        <v>HWKREPORT-1526</v>
      </c>
      <c r="C1961" s="1" t="s">
        <v>3225</v>
      </c>
      <c r="D1961" s="1" t="s">
        <v>23</v>
      </c>
      <c r="E1961" s="1" t="s">
        <v>35</v>
      </c>
      <c r="F1961" s="4">
        <v>44816.748078703706</v>
      </c>
      <c r="G1961" s="3" t="str">
        <f>HYPERLINK("https://hawk-eye.atlassian.net/browse/?atlOrigin=eyJpIjoiYzgwYTQ0ZjEyNzQzNGJhN2JmNjEyZTM0NmRhZWZhNjIiLCJwIjoic2hlZXRzLWppcmEifQ","")</f>
        <v/>
      </c>
      <c r="H1961" s="1" t="s">
        <v>1058</v>
      </c>
      <c r="I1961" s="1" t="s">
        <v>1151</v>
      </c>
      <c r="J1961" s="1" t="s">
        <v>26</v>
      </c>
      <c r="K1961" s="1" t="s">
        <v>1072</v>
      </c>
      <c r="L1961" s="1" t="s">
        <v>26</v>
      </c>
      <c r="M1961" s="1" t="s">
        <v>27</v>
      </c>
      <c r="N1961" s="1" t="s">
        <v>26</v>
      </c>
      <c r="O1961" s="1" t="s">
        <v>26</v>
      </c>
      <c r="P1961" s="4">
        <v>44818.390393518515</v>
      </c>
    </row>
    <row r="1962" hidden="1">
      <c r="A1962" s="1" t="s">
        <v>1055</v>
      </c>
      <c r="B1962" s="3" t="str">
        <f>HYPERLINK("https://hawk-eye.atlassian.net/browse/HWKREPORT-1527?atlOrigin=eyJpIjoiYzgwYTQ0ZjEyNzQzNGJhN2JmNjEyZTM0NmRhZWZhNjIiLCJwIjoic2hlZXRzLWppcmEifQ","HWKREPORT-1527")</f>
        <v>HWKREPORT-1527</v>
      </c>
      <c r="C1962" s="1" t="s">
        <v>3226</v>
      </c>
      <c r="D1962" s="1" t="s">
        <v>23</v>
      </c>
      <c r="E1962" s="1" t="s">
        <v>1207</v>
      </c>
      <c r="F1962" s="4">
        <v>44816.91506944445</v>
      </c>
      <c r="G1962" s="3" t="str">
        <f>HYPERLINK("https://hawk-eye.atlassian.net/browse/RTT-5387?atlOrigin=eyJpIjoiYzgwYTQ0ZjEyNzQzNGJhN2JmNjEyZTM0NmRhZWZhNjIiLCJwIjoic2hlZXRzLWppcmEifQ","RTT-5387")</f>
        <v>RTT-5387</v>
      </c>
      <c r="H1962" s="1" t="s">
        <v>1058</v>
      </c>
      <c r="I1962" s="1" t="s">
        <v>1151</v>
      </c>
      <c r="J1962" s="1" t="s">
        <v>26</v>
      </c>
      <c r="K1962" s="1" t="s">
        <v>1072</v>
      </c>
      <c r="L1962" s="1" t="s">
        <v>26</v>
      </c>
      <c r="M1962" s="1" t="s">
        <v>27</v>
      </c>
      <c r="N1962" s="1" t="s">
        <v>26</v>
      </c>
      <c r="O1962" s="1" t="s">
        <v>26</v>
      </c>
      <c r="P1962" s="4">
        <v>44929.4184837963</v>
      </c>
    </row>
    <row r="1963" hidden="1">
      <c r="A1963" s="1" t="s">
        <v>21</v>
      </c>
      <c r="B1963" s="3" t="str">
        <f>HYPERLINK("https://hawk-eye.atlassian.net/browse/HWKREPORT-1528?atlOrigin=eyJpIjoiYzgwYTQ0ZjEyNzQzNGJhN2JmNjEyZTM0NmRhZWZhNjIiLCJwIjoic2hlZXRzLWppcmEifQ","HWKREPORT-1528")</f>
        <v>HWKREPORT-1528</v>
      </c>
      <c r="C1963" s="1" t="s">
        <v>3227</v>
      </c>
      <c r="D1963" s="1" t="s">
        <v>23</v>
      </c>
      <c r="E1963" s="1" t="s">
        <v>1057</v>
      </c>
      <c r="F1963" s="4">
        <v>44817.527094907404</v>
      </c>
      <c r="G1963" s="3" t="str">
        <f>HYPERLINK("https://hawk-eye.atlassian.net/browse/?atlOrigin=eyJpIjoiYzgwYTQ0ZjEyNzQzNGJhN2JmNjEyZTM0NmRhZWZhNjIiLCJwIjoic2hlZXRzLWppcmEifQ","")</f>
        <v/>
      </c>
      <c r="H1963" s="1" t="s">
        <v>1058</v>
      </c>
      <c r="I1963" s="1" t="s">
        <v>1126</v>
      </c>
      <c r="J1963" s="1" t="s">
        <v>26</v>
      </c>
      <c r="K1963" s="1" t="s">
        <v>2987</v>
      </c>
      <c r="L1963" s="1" t="s">
        <v>26</v>
      </c>
      <c r="M1963" s="1" t="s">
        <v>27</v>
      </c>
      <c r="N1963" s="1" t="s">
        <v>26</v>
      </c>
      <c r="O1963" s="1" t="s">
        <v>26</v>
      </c>
      <c r="P1963" s="4">
        <v>44817.52710648148</v>
      </c>
    </row>
    <row r="1964" hidden="1">
      <c r="A1964" s="1" t="s">
        <v>21</v>
      </c>
      <c r="B1964" s="3" t="str">
        <f>HYPERLINK("https://hawk-eye.atlassian.net/browse/HWKREPORT-1529?atlOrigin=eyJpIjoiYzgwYTQ0ZjEyNzQzNGJhN2JmNjEyZTM0NmRhZWZhNjIiLCJwIjoic2hlZXRzLWppcmEifQ","HWKREPORT-1529")</f>
        <v>HWKREPORT-1529</v>
      </c>
      <c r="C1964" s="1" t="s">
        <v>3228</v>
      </c>
      <c r="D1964" s="1" t="s">
        <v>34</v>
      </c>
      <c r="E1964" s="1" t="s">
        <v>1207</v>
      </c>
      <c r="F1964" s="4">
        <v>44817.73855324074</v>
      </c>
      <c r="G1964" s="3" t="str">
        <f>HYPERLINK("https://hawk-eye.atlassian.net/browse/RTT-5319?atlOrigin=eyJpIjoiYzgwYTQ0ZjEyNzQzNGJhN2JmNjEyZTM0NmRhZWZhNjIiLCJwIjoic2hlZXRzLWppcmEifQ","RTT-5319")</f>
        <v>RTT-5319</v>
      </c>
      <c r="H1964" s="1" t="s">
        <v>1058</v>
      </c>
      <c r="I1964" s="1" t="s">
        <v>2110</v>
      </c>
      <c r="J1964" s="1" t="s">
        <v>26</v>
      </c>
      <c r="K1964" s="1" t="s">
        <v>1362</v>
      </c>
      <c r="L1964" s="1" t="s">
        <v>26</v>
      </c>
      <c r="M1964" s="1" t="s">
        <v>27</v>
      </c>
      <c r="N1964" s="1" t="s">
        <v>26</v>
      </c>
      <c r="O1964" s="1" t="s">
        <v>26</v>
      </c>
      <c r="P1964" s="4">
        <v>44929.4184837963</v>
      </c>
    </row>
    <row r="1965" hidden="1">
      <c r="A1965" s="1" t="s">
        <v>21</v>
      </c>
      <c r="B1965" s="3" t="str">
        <f>HYPERLINK("https://hawk-eye.atlassian.net/browse/HWKREPORT-1530?atlOrigin=eyJpIjoiYzgwYTQ0ZjEyNzQzNGJhN2JmNjEyZTM0NmRhZWZhNjIiLCJwIjoic2hlZXRzLWppcmEifQ","HWKREPORT-1530")</f>
        <v>HWKREPORT-1530</v>
      </c>
      <c r="C1965" s="1" t="s">
        <v>3229</v>
      </c>
      <c r="D1965" s="1" t="s">
        <v>23</v>
      </c>
      <c r="E1965" s="1" t="s">
        <v>1207</v>
      </c>
      <c r="F1965" s="4">
        <v>44817.77795138889</v>
      </c>
      <c r="G1965" s="3" t="str">
        <f>HYPERLINK("https://hawk-eye.atlassian.net/browse/RTT-5320?atlOrigin=eyJpIjoiYzgwYTQ0ZjEyNzQzNGJhN2JmNjEyZTM0NmRhZWZhNjIiLCJwIjoic2hlZXRzLWppcmEifQ","RTT-5320")</f>
        <v>RTT-5320</v>
      </c>
      <c r="H1965" s="1" t="s">
        <v>1058</v>
      </c>
      <c r="I1965" s="1" t="s">
        <v>2110</v>
      </c>
      <c r="J1965" s="1" t="s">
        <v>26</v>
      </c>
      <c r="K1965" s="1" t="s">
        <v>1312</v>
      </c>
      <c r="L1965" s="1" t="s">
        <v>26</v>
      </c>
      <c r="M1965" s="1" t="s">
        <v>27</v>
      </c>
      <c r="N1965" s="1" t="s">
        <v>26</v>
      </c>
      <c r="O1965" s="1" t="s">
        <v>26</v>
      </c>
      <c r="P1965" s="4">
        <v>44929.4184837963</v>
      </c>
    </row>
    <row r="1966" hidden="1">
      <c r="A1966" s="1" t="s">
        <v>21</v>
      </c>
      <c r="B1966" s="3" t="str">
        <f>HYPERLINK("https://hawk-eye.atlassian.net/browse/HWKREPORT-1531?atlOrigin=eyJpIjoiYzgwYTQ0ZjEyNzQzNGJhN2JmNjEyZTM0NmRhZWZhNjIiLCJwIjoic2hlZXRzLWppcmEifQ","HWKREPORT-1531")</f>
        <v>HWKREPORT-1531</v>
      </c>
      <c r="C1966" s="1" t="s">
        <v>3230</v>
      </c>
      <c r="D1966" s="1" t="s">
        <v>83</v>
      </c>
      <c r="E1966" s="1" t="s">
        <v>35</v>
      </c>
      <c r="F1966" s="4">
        <v>44817.795949074076</v>
      </c>
      <c r="G1966" s="3" t="str">
        <f>HYPERLINK("https://hawk-eye.atlassian.net/browse/RTT-5321?atlOrigin=eyJpIjoiYzgwYTQ0ZjEyNzQzNGJhN2JmNjEyZTM0NmRhZWZhNjIiLCJwIjoic2hlZXRzLWppcmEifQ","RTT-5321")</f>
        <v>RTT-5321</v>
      </c>
      <c r="H1966" s="1" t="s">
        <v>1058</v>
      </c>
      <c r="I1966" s="1" t="s">
        <v>2110</v>
      </c>
      <c r="J1966" s="1" t="s">
        <v>26</v>
      </c>
      <c r="K1966" s="1" t="s">
        <v>1312</v>
      </c>
      <c r="L1966" s="1" t="s">
        <v>26</v>
      </c>
      <c r="M1966" s="1" t="s">
        <v>27</v>
      </c>
      <c r="N1966" s="1" t="s">
        <v>26</v>
      </c>
      <c r="O1966" s="1" t="s">
        <v>26</v>
      </c>
      <c r="P1966" s="4">
        <v>44952.90491898148</v>
      </c>
    </row>
    <row r="1967" hidden="1">
      <c r="A1967" s="1" t="s">
        <v>1055</v>
      </c>
      <c r="B1967" s="3" t="str">
        <f>HYPERLINK("https://hawk-eye.atlassian.net/browse/HWKREPORT-1532?atlOrigin=eyJpIjoiYzgwYTQ0ZjEyNzQzNGJhN2JmNjEyZTM0NmRhZWZhNjIiLCJwIjoic2hlZXRzLWppcmEifQ","HWKREPORT-1532")</f>
        <v>HWKREPORT-1532</v>
      </c>
      <c r="C1967" s="1" t="s">
        <v>3231</v>
      </c>
      <c r="D1967" s="1" t="s">
        <v>23</v>
      </c>
      <c r="E1967" s="1" t="s">
        <v>1057</v>
      </c>
      <c r="F1967" s="4">
        <v>44818.42665509259</v>
      </c>
      <c r="G1967" s="3" t="str">
        <f>HYPERLINK("https://hawk-eye.atlassian.net/browse/GT-1058?atlOrigin=eyJpIjoiYzgwYTQ0ZjEyNzQzNGJhN2JmNjEyZTM0NmRhZWZhNjIiLCJwIjoic2hlZXRzLWppcmEifQ","GT-1058")</f>
        <v>GT-1058</v>
      </c>
      <c r="H1967" s="1" t="s">
        <v>1058</v>
      </c>
      <c r="I1967" s="1" t="s">
        <v>1082</v>
      </c>
      <c r="J1967" s="1" t="s">
        <v>26</v>
      </c>
      <c r="K1967" s="1" t="s">
        <v>1105</v>
      </c>
      <c r="L1967" s="1" t="s">
        <v>26</v>
      </c>
      <c r="M1967" s="1" t="s">
        <v>27</v>
      </c>
      <c r="N1967" s="1" t="s">
        <v>26</v>
      </c>
      <c r="O1967" s="1" t="s">
        <v>26</v>
      </c>
      <c r="P1967" s="4">
        <v>44818.426666666666</v>
      </c>
    </row>
    <row r="1968" hidden="1">
      <c r="A1968" s="1" t="s">
        <v>21</v>
      </c>
      <c r="B1968" s="3" t="str">
        <f>HYPERLINK("https://hawk-eye.atlassian.net/browse/HWKREPORT-1533?atlOrigin=eyJpIjoiYzgwYTQ0ZjEyNzQzNGJhN2JmNjEyZTM0NmRhZWZhNjIiLCJwIjoic2hlZXRzLWppcmEifQ","HWKREPORT-1533")</f>
        <v>HWKREPORT-1533</v>
      </c>
      <c r="C1968" s="1" t="s">
        <v>3232</v>
      </c>
      <c r="D1968" s="1" t="s">
        <v>23</v>
      </c>
      <c r="E1968" s="1" t="s">
        <v>35</v>
      </c>
      <c r="F1968" s="4">
        <v>44818.607256944444</v>
      </c>
      <c r="G1968" s="3" t="str">
        <f t="shared" ref="G1968:G1969" si="151">HYPERLINK("https://hawk-eye.atlassian.net/browse/?atlOrigin=eyJpIjoiYzgwYTQ0ZjEyNzQzNGJhN2JmNjEyZTM0NmRhZWZhNjIiLCJwIjoic2hlZXRzLWppcmEifQ","")</f>
        <v/>
      </c>
      <c r="H1968" s="1" t="s">
        <v>1058</v>
      </c>
      <c r="I1968" s="1" t="s">
        <v>1071</v>
      </c>
      <c r="J1968" s="1" t="s">
        <v>26</v>
      </c>
      <c r="K1968" s="1" t="s">
        <v>2987</v>
      </c>
      <c r="L1968" s="1" t="s">
        <v>26</v>
      </c>
      <c r="M1968" s="1" t="s">
        <v>27</v>
      </c>
      <c r="N1968" s="1" t="s">
        <v>26</v>
      </c>
      <c r="O1968" s="1" t="s">
        <v>26</v>
      </c>
      <c r="P1968" s="4">
        <v>45631.72690972222</v>
      </c>
    </row>
    <row r="1969" hidden="1">
      <c r="A1969" s="1" t="s">
        <v>21</v>
      </c>
      <c r="B1969" s="3" t="str">
        <f>HYPERLINK("https://hawk-eye.atlassian.net/browse/HWKREPORT-1534?atlOrigin=eyJpIjoiYzgwYTQ0ZjEyNzQzNGJhN2JmNjEyZTM0NmRhZWZhNjIiLCJwIjoic2hlZXRzLWppcmEifQ","HWKREPORT-1534")</f>
        <v>HWKREPORT-1534</v>
      </c>
      <c r="C1969" s="1" t="s">
        <v>3233</v>
      </c>
      <c r="D1969" s="1" t="s">
        <v>34</v>
      </c>
      <c r="E1969" s="1" t="s">
        <v>1057</v>
      </c>
      <c r="F1969" s="4">
        <v>44818.617789351854</v>
      </c>
      <c r="G1969" s="3" t="str">
        <f t="shared" si="151"/>
        <v/>
      </c>
      <c r="H1969" s="1" t="s">
        <v>1058</v>
      </c>
      <c r="I1969" s="1" t="s">
        <v>1071</v>
      </c>
      <c r="J1969" s="1" t="s">
        <v>26</v>
      </c>
      <c r="K1969" s="1" t="s">
        <v>1130</v>
      </c>
      <c r="L1969" s="1" t="s">
        <v>26</v>
      </c>
      <c r="M1969" s="1" t="s">
        <v>27</v>
      </c>
      <c r="N1969" s="1" t="s">
        <v>26</v>
      </c>
      <c r="O1969" s="1" t="s">
        <v>26</v>
      </c>
      <c r="P1969" s="4">
        <v>44818.617789351854</v>
      </c>
    </row>
    <row r="1970" hidden="1">
      <c r="A1970" s="1" t="s">
        <v>1055</v>
      </c>
      <c r="B1970" s="3" t="str">
        <f>HYPERLINK("https://hawk-eye.atlassian.net/browse/HWKREPORT-1535?atlOrigin=eyJpIjoiYzgwYTQ0ZjEyNzQzNGJhN2JmNjEyZTM0NmRhZWZhNjIiLCJwIjoic2hlZXRzLWppcmEifQ","HWKREPORT-1535")</f>
        <v>HWKREPORT-1535</v>
      </c>
      <c r="C1970" s="1" t="s">
        <v>3234</v>
      </c>
      <c r="D1970" s="1" t="s">
        <v>23</v>
      </c>
      <c r="E1970" s="1" t="s">
        <v>35</v>
      </c>
      <c r="F1970" s="4">
        <v>44818.72787037037</v>
      </c>
      <c r="G1970" s="3" t="str">
        <f>HYPERLINK("https://hawk-eye.atlassian.net/browse/SO-461?atlOrigin=eyJpIjoiYzgwYTQ0ZjEyNzQzNGJhN2JmNjEyZTM0NmRhZWZhNjIiLCJwIjoic2hlZXRzLWppcmEifQ","SO-461")</f>
        <v>SO-461</v>
      </c>
      <c r="H1970" s="1" t="s">
        <v>1058</v>
      </c>
      <c r="I1970" s="1" t="s">
        <v>1085</v>
      </c>
      <c r="J1970" s="1" t="s">
        <v>26</v>
      </c>
      <c r="K1970" s="1" t="s">
        <v>1116</v>
      </c>
      <c r="L1970" s="1" t="s">
        <v>26</v>
      </c>
      <c r="M1970" s="1" t="s">
        <v>27</v>
      </c>
      <c r="N1970" s="1" t="s">
        <v>26</v>
      </c>
      <c r="O1970" s="1" t="s">
        <v>26</v>
      </c>
      <c r="P1970" s="4">
        <v>45315.49935185185</v>
      </c>
    </row>
    <row r="1971" hidden="1">
      <c r="A1971" s="1" t="s">
        <v>1055</v>
      </c>
      <c r="B1971" s="3" t="str">
        <f>HYPERLINK("https://hawk-eye.atlassian.net/browse/HWKREPORT-1536?atlOrigin=eyJpIjoiYzgwYTQ0ZjEyNzQzNGJhN2JmNjEyZTM0NmRhZWZhNjIiLCJwIjoic2hlZXRzLWppcmEifQ","HWKREPORT-1536")</f>
        <v>HWKREPORT-1536</v>
      </c>
      <c r="C1971" s="1" t="s">
        <v>3235</v>
      </c>
      <c r="D1971" s="1" t="s">
        <v>23</v>
      </c>
      <c r="E1971" s="1" t="s">
        <v>35</v>
      </c>
      <c r="F1971" s="4">
        <v>44819.81743055556</v>
      </c>
      <c r="G1971" s="3" t="str">
        <f t="shared" ref="G1971:G1972" si="152">HYPERLINK("https://hawk-eye.atlassian.net/browse/?atlOrigin=eyJpIjoiYzgwYTQ0ZjEyNzQzNGJhN2JmNjEyZTM0NmRhZWZhNjIiLCJwIjoic2hlZXRzLWppcmEifQ","")</f>
        <v/>
      </c>
      <c r="H1971" s="1" t="s">
        <v>1058</v>
      </c>
      <c r="I1971" s="1" t="s">
        <v>1151</v>
      </c>
      <c r="J1971" s="1" t="s">
        <v>26</v>
      </c>
      <c r="K1971" s="1" t="s">
        <v>1072</v>
      </c>
      <c r="L1971" s="1" t="s">
        <v>26</v>
      </c>
      <c r="M1971" s="1" t="s">
        <v>27</v>
      </c>
      <c r="N1971" s="1" t="s">
        <v>26</v>
      </c>
      <c r="O1971" s="1" t="s">
        <v>26</v>
      </c>
      <c r="P1971" s="4">
        <v>45216.38480324074</v>
      </c>
    </row>
    <row r="1972" hidden="1">
      <c r="A1972" s="1" t="s">
        <v>21</v>
      </c>
      <c r="B1972" s="3" t="str">
        <f>HYPERLINK("https://hawk-eye.atlassian.net/browse/HWKREPORT-1537?atlOrigin=eyJpIjoiYzgwYTQ0ZjEyNzQzNGJhN2JmNjEyZTM0NmRhZWZhNjIiLCJwIjoic2hlZXRzLWppcmEifQ","HWKREPORT-1537")</f>
        <v>HWKREPORT-1537</v>
      </c>
      <c r="C1972" s="1" t="s">
        <v>3236</v>
      </c>
      <c r="D1972" s="1" t="s">
        <v>34</v>
      </c>
      <c r="E1972" s="1" t="s">
        <v>1057</v>
      </c>
      <c r="F1972" s="4">
        <v>44820.20511574074</v>
      </c>
      <c r="G1972" s="3" t="str">
        <f t="shared" si="152"/>
        <v/>
      </c>
      <c r="H1972" s="1" t="s">
        <v>1058</v>
      </c>
      <c r="I1972" s="1" t="s">
        <v>1071</v>
      </c>
      <c r="J1972" s="1" t="s">
        <v>26</v>
      </c>
      <c r="K1972" s="1" t="s">
        <v>1898</v>
      </c>
      <c r="L1972" s="1" t="s">
        <v>26</v>
      </c>
      <c r="M1972" s="1" t="s">
        <v>27</v>
      </c>
      <c r="N1972" s="1" t="s">
        <v>26</v>
      </c>
      <c r="O1972" s="1" t="s">
        <v>26</v>
      </c>
      <c r="P1972" s="4">
        <v>44820.20511574074</v>
      </c>
    </row>
    <row r="1973" hidden="1">
      <c r="A1973" s="1" t="s">
        <v>21</v>
      </c>
      <c r="B1973" s="3" t="str">
        <f>HYPERLINK("https://hawk-eye.atlassian.net/browse/HWKREPORT-1538?atlOrigin=eyJpIjoiYzgwYTQ0ZjEyNzQzNGJhN2JmNjEyZTM0NmRhZWZhNjIiLCJwIjoic2hlZXRzLWppcmEifQ","HWKREPORT-1538")</f>
        <v>HWKREPORT-1538</v>
      </c>
      <c r="C1973" s="1" t="s">
        <v>3237</v>
      </c>
      <c r="D1973" s="1" t="s">
        <v>23</v>
      </c>
      <c r="E1973" s="1" t="s">
        <v>1057</v>
      </c>
      <c r="F1973" s="4">
        <v>44820.65118055556</v>
      </c>
      <c r="G1973" s="3" t="str">
        <f>HYPERLINK("https://hawk-eye.atlassian.net/browse/RTT-5330?atlOrigin=eyJpIjoiYzgwYTQ0ZjEyNzQzNGJhN2JmNjEyZTM0NmRhZWZhNjIiLCJwIjoic2hlZXRzLWppcmEifQ","RTT-5330")</f>
        <v>RTT-5330</v>
      </c>
      <c r="H1973" s="1" t="s">
        <v>1058</v>
      </c>
      <c r="I1973" s="1" t="s">
        <v>1071</v>
      </c>
      <c r="J1973" s="1" t="s">
        <v>26</v>
      </c>
      <c r="K1973" s="1" t="s">
        <v>1072</v>
      </c>
      <c r="L1973" s="1" t="s">
        <v>26</v>
      </c>
      <c r="M1973" s="1" t="s">
        <v>27</v>
      </c>
      <c r="N1973" s="1" t="s">
        <v>26</v>
      </c>
      <c r="O1973" s="1" t="s">
        <v>26</v>
      </c>
      <c r="P1973" s="4">
        <v>45216.384618055556</v>
      </c>
    </row>
    <row r="1974" hidden="1">
      <c r="A1974" s="1" t="s">
        <v>21</v>
      </c>
      <c r="B1974" s="3" t="str">
        <f>HYPERLINK("https://hawk-eye.atlassian.net/browse/HWKREPORT-1539?atlOrigin=eyJpIjoiYzgwYTQ0ZjEyNzQzNGJhN2JmNjEyZTM0NmRhZWZhNjIiLCJwIjoic2hlZXRzLWppcmEifQ","HWKREPORT-1539")</f>
        <v>HWKREPORT-1539</v>
      </c>
      <c r="C1974" s="1" t="s">
        <v>3238</v>
      </c>
      <c r="D1974" s="1" t="s">
        <v>23</v>
      </c>
      <c r="E1974" s="1" t="s">
        <v>35</v>
      </c>
      <c r="F1974" s="4">
        <v>44823.817349537036</v>
      </c>
      <c r="G1974" s="3" t="str">
        <f t="shared" ref="G1974:G1976" si="153">HYPERLINK("https://hawk-eye.atlassian.net/browse/?atlOrigin=eyJpIjoiYzgwYTQ0ZjEyNzQzNGJhN2JmNjEyZTM0NmRhZWZhNjIiLCJwIjoic2hlZXRzLWppcmEifQ","")</f>
        <v/>
      </c>
      <c r="H1974" s="1" t="s">
        <v>1058</v>
      </c>
      <c r="I1974" s="1" t="s">
        <v>1071</v>
      </c>
      <c r="J1974" s="1" t="s">
        <v>26</v>
      </c>
      <c r="K1974" s="1" t="s">
        <v>3091</v>
      </c>
      <c r="L1974" s="1" t="s">
        <v>26</v>
      </c>
      <c r="M1974" s="1" t="s">
        <v>27</v>
      </c>
      <c r="N1974" s="1" t="s">
        <v>26</v>
      </c>
      <c r="O1974" s="1" t="s">
        <v>26</v>
      </c>
      <c r="P1974" s="4">
        <v>45216.38505787037</v>
      </c>
    </row>
    <row r="1975" hidden="1">
      <c r="A1975" s="1" t="s">
        <v>1055</v>
      </c>
      <c r="B1975" s="3" t="str">
        <f>HYPERLINK("https://hawk-eye.atlassian.net/browse/HWKREPORT-1540?atlOrigin=eyJpIjoiYzgwYTQ0ZjEyNzQzNGJhN2JmNjEyZTM0NmRhZWZhNjIiLCJwIjoic2hlZXRzLWppcmEifQ","HWKREPORT-1540")</f>
        <v>HWKREPORT-1540</v>
      </c>
      <c r="C1975" s="1" t="s">
        <v>3239</v>
      </c>
      <c r="D1975" s="1" t="s">
        <v>23</v>
      </c>
      <c r="E1975" s="1" t="s">
        <v>1057</v>
      </c>
      <c r="F1975" s="4">
        <v>44824.43814814815</v>
      </c>
      <c r="G1975" s="3" t="str">
        <f t="shared" si="153"/>
        <v/>
      </c>
      <c r="H1975" s="1" t="s">
        <v>1058</v>
      </c>
      <c r="I1975" s="1" t="s">
        <v>1126</v>
      </c>
      <c r="J1975" s="1" t="s">
        <v>26</v>
      </c>
      <c r="K1975" s="1" t="s">
        <v>2420</v>
      </c>
      <c r="L1975" s="1" t="s">
        <v>26</v>
      </c>
      <c r="M1975" s="1" t="s">
        <v>27</v>
      </c>
      <c r="N1975" s="1" t="s">
        <v>26</v>
      </c>
      <c r="O1975" s="1" t="s">
        <v>26</v>
      </c>
      <c r="P1975" s="4">
        <v>44824.43814814815</v>
      </c>
    </row>
    <row r="1976" hidden="1">
      <c r="A1976" s="1" t="s">
        <v>1055</v>
      </c>
      <c r="B1976" s="3" t="str">
        <f>HYPERLINK("https://hawk-eye.atlassian.net/browse/HWKREPORT-1541?atlOrigin=eyJpIjoiYzgwYTQ0ZjEyNzQzNGJhN2JmNjEyZTM0NmRhZWZhNjIiLCJwIjoic2hlZXRzLWppcmEifQ","HWKREPORT-1541")</f>
        <v>HWKREPORT-1541</v>
      </c>
      <c r="C1976" s="1" t="s">
        <v>3240</v>
      </c>
      <c r="D1976" s="1" t="s">
        <v>23</v>
      </c>
      <c r="E1976" s="1" t="s">
        <v>1057</v>
      </c>
      <c r="F1976" s="4">
        <v>44824.44137731481</v>
      </c>
      <c r="G1976" s="3" t="str">
        <f t="shared" si="153"/>
        <v/>
      </c>
      <c r="H1976" s="1" t="s">
        <v>1058</v>
      </c>
      <c r="I1976" s="1" t="s">
        <v>1126</v>
      </c>
      <c r="J1976" s="1" t="s">
        <v>26</v>
      </c>
      <c r="K1976" s="1" t="s">
        <v>2420</v>
      </c>
      <c r="L1976" s="1" t="s">
        <v>26</v>
      </c>
      <c r="M1976" s="1" t="s">
        <v>27</v>
      </c>
      <c r="N1976" s="1" t="s">
        <v>26</v>
      </c>
      <c r="O1976" s="1" t="s">
        <v>26</v>
      </c>
      <c r="P1976" s="4">
        <v>44824.44137731481</v>
      </c>
    </row>
    <row r="1977" hidden="1">
      <c r="A1977" s="1" t="s">
        <v>1055</v>
      </c>
      <c r="B1977" s="3" t="str">
        <f>HYPERLINK("https://hawk-eye.atlassian.net/browse/HWKREPORT-1542?atlOrigin=eyJpIjoiYzgwYTQ0ZjEyNzQzNGJhN2JmNjEyZTM0NmRhZWZhNjIiLCJwIjoic2hlZXRzLWppcmEifQ","HWKREPORT-1542")</f>
        <v>HWKREPORT-1542</v>
      </c>
      <c r="C1977" s="1" t="s">
        <v>3241</v>
      </c>
      <c r="D1977" s="1" t="s">
        <v>23</v>
      </c>
      <c r="E1977" s="1" t="s">
        <v>35</v>
      </c>
      <c r="F1977" s="4">
        <v>44824.46393518519</v>
      </c>
      <c r="G1977" s="3" t="str">
        <f>HYPERLINK("https://hawk-eye.atlassian.net/browse/RTT-5626?atlOrigin=eyJpIjoiYzgwYTQ0ZjEyNzQzNGJhN2JmNjEyZTM0NmRhZWZhNjIiLCJwIjoic2hlZXRzLWppcmEifQ","RTT-5626")</f>
        <v>RTT-5626</v>
      </c>
      <c r="H1977" s="1" t="s">
        <v>1058</v>
      </c>
      <c r="I1977" s="1" t="s">
        <v>1082</v>
      </c>
      <c r="J1977" s="1" t="s">
        <v>26</v>
      </c>
      <c r="K1977" s="1" t="s">
        <v>1247</v>
      </c>
      <c r="L1977" s="1" t="s">
        <v>26</v>
      </c>
      <c r="M1977" s="1" t="s">
        <v>27</v>
      </c>
      <c r="N1977" s="1" t="s">
        <v>26</v>
      </c>
      <c r="O1977" s="1" t="s">
        <v>26</v>
      </c>
      <c r="P1977" s="4">
        <v>44957.71079861111</v>
      </c>
    </row>
    <row r="1978" hidden="1">
      <c r="A1978" s="1" t="s">
        <v>1055</v>
      </c>
      <c r="B1978" s="3" t="str">
        <f>HYPERLINK("https://hawk-eye.atlassian.net/browse/HWKREPORT-1543?atlOrigin=eyJpIjoiYzgwYTQ0ZjEyNzQzNGJhN2JmNjEyZTM0NmRhZWZhNjIiLCJwIjoic2hlZXRzLWppcmEifQ","HWKREPORT-1543")</f>
        <v>HWKREPORT-1543</v>
      </c>
      <c r="C1978" s="1" t="s">
        <v>3242</v>
      </c>
      <c r="D1978" s="1" t="s">
        <v>23</v>
      </c>
      <c r="E1978" s="1" t="s">
        <v>1057</v>
      </c>
      <c r="F1978" s="4">
        <v>44824.498819444445</v>
      </c>
      <c r="G1978" s="3" t="str">
        <f t="shared" ref="G1978:G1979" si="154">HYPERLINK("https://hawk-eye.atlassian.net/browse/?atlOrigin=eyJpIjoiYzgwYTQ0ZjEyNzQzNGJhN2JmNjEyZTM0NmRhZWZhNjIiLCJwIjoic2hlZXRzLWppcmEifQ","")</f>
        <v/>
      </c>
      <c r="H1978" s="1" t="s">
        <v>1058</v>
      </c>
      <c r="I1978" s="1" t="s">
        <v>1126</v>
      </c>
      <c r="J1978" s="1" t="s">
        <v>26</v>
      </c>
      <c r="K1978" s="1" t="s">
        <v>2299</v>
      </c>
      <c r="L1978" s="1" t="s">
        <v>26</v>
      </c>
      <c r="M1978" s="1" t="s">
        <v>27</v>
      </c>
      <c r="N1978" s="1" t="s">
        <v>26</v>
      </c>
      <c r="O1978" s="1" t="s">
        <v>26</v>
      </c>
      <c r="P1978" s="4">
        <v>44824.49883101852</v>
      </c>
    </row>
    <row r="1979" hidden="1">
      <c r="A1979" s="1" t="s">
        <v>1055</v>
      </c>
      <c r="B1979" s="3" t="str">
        <f>HYPERLINK("https://hawk-eye.atlassian.net/browse/HWKREPORT-1544?atlOrigin=eyJpIjoiYzgwYTQ0ZjEyNzQzNGJhN2JmNjEyZTM0NmRhZWZhNjIiLCJwIjoic2hlZXRzLWppcmEifQ","HWKREPORT-1544")</f>
        <v>HWKREPORT-1544</v>
      </c>
      <c r="C1979" s="1" t="s">
        <v>3243</v>
      </c>
      <c r="D1979" s="1" t="s">
        <v>23</v>
      </c>
      <c r="E1979" s="1" t="s">
        <v>1057</v>
      </c>
      <c r="F1979" s="4">
        <v>44824.54875</v>
      </c>
      <c r="G1979" s="3" t="str">
        <f t="shared" si="154"/>
        <v/>
      </c>
      <c r="H1979" s="1" t="s">
        <v>1058</v>
      </c>
      <c r="I1979" s="1" t="s">
        <v>1126</v>
      </c>
      <c r="J1979" s="1" t="s">
        <v>26</v>
      </c>
      <c r="K1979" s="1" t="s">
        <v>2420</v>
      </c>
      <c r="L1979" s="1" t="s">
        <v>26</v>
      </c>
      <c r="M1979" s="1" t="s">
        <v>27</v>
      </c>
      <c r="N1979" s="1" t="s">
        <v>26</v>
      </c>
      <c r="O1979" s="1" t="s">
        <v>26</v>
      </c>
      <c r="P1979" s="4">
        <v>44824.54875</v>
      </c>
    </row>
    <row r="1980" hidden="1">
      <c r="A1980" s="1" t="s">
        <v>21</v>
      </c>
      <c r="B1980" s="3" t="str">
        <f>HYPERLINK("https://hawk-eye.atlassian.net/browse/HWKREPORT-1545?atlOrigin=eyJpIjoiYzgwYTQ0ZjEyNzQzNGJhN2JmNjEyZTM0NmRhZWZhNjIiLCJwIjoic2hlZXRzLWppcmEifQ","HWKREPORT-1545")</f>
        <v>HWKREPORT-1545</v>
      </c>
      <c r="C1980" s="1" t="s">
        <v>3244</v>
      </c>
      <c r="D1980" s="1" t="s">
        <v>34</v>
      </c>
      <c r="E1980" s="1" t="s">
        <v>1074</v>
      </c>
      <c r="F1980" s="4">
        <v>44824.569560185184</v>
      </c>
      <c r="G1980" s="3" t="str">
        <f>HYPERLINK("https://hawk-eye.atlassian.net/browse/TGM-41?atlOrigin=eyJpIjoiYzgwYTQ0ZjEyNzQzNGJhN2JmNjEyZTM0NmRhZWZhNjIiLCJwIjoic2hlZXRzLWppcmEifQ","TGM-41")</f>
        <v>TGM-41</v>
      </c>
      <c r="H1980" s="1" t="s">
        <v>1058</v>
      </c>
      <c r="I1980" s="1" t="s">
        <v>1126</v>
      </c>
      <c r="J1980" s="1" t="s">
        <v>26</v>
      </c>
      <c r="K1980" s="1" t="s">
        <v>2420</v>
      </c>
      <c r="L1980" s="1" t="s">
        <v>26</v>
      </c>
      <c r="M1980" s="1" t="s">
        <v>27</v>
      </c>
      <c r="N1980" s="1" t="s">
        <v>26</v>
      </c>
      <c r="O1980" s="1" t="s">
        <v>26</v>
      </c>
      <c r="P1980" s="4">
        <v>45265.53726851852</v>
      </c>
    </row>
    <row r="1981" hidden="1">
      <c r="A1981" s="1" t="s">
        <v>21</v>
      </c>
      <c r="B1981" s="3" t="str">
        <f>HYPERLINK("https://hawk-eye.atlassian.net/browse/HWKREPORT-1546?atlOrigin=eyJpIjoiYzgwYTQ0ZjEyNzQzNGJhN2JmNjEyZTM0NmRhZWZhNjIiLCJwIjoic2hlZXRzLWppcmEifQ","HWKREPORT-1546")</f>
        <v>HWKREPORT-1546</v>
      </c>
      <c r="C1981" s="1" t="s">
        <v>3245</v>
      </c>
      <c r="D1981" s="1" t="s">
        <v>23</v>
      </c>
      <c r="E1981" s="1" t="s">
        <v>1207</v>
      </c>
      <c r="F1981" s="4">
        <v>44825.72615740741</v>
      </c>
      <c r="G1981" s="3" t="str">
        <f>HYPERLINK("https://hawk-eye.atlassian.net/browse/RTT-5336?atlOrigin=eyJpIjoiYzgwYTQ0ZjEyNzQzNGJhN2JmNjEyZTM0NmRhZWZhNjIiLCJwIjoic2hlZXRzLWppcmEifQ","RTT-5336")</f>
        <v>RTT-5336</v>
      </c>
      <c r="H1981" s="1" t="s">
        <v>1058</v>
      </c>
      <c r="I1981" s="1" t="s">
        <v>1071</v>
      </c>
      <c r="J1981" s="1" t="s">
        <v>26</v>
      </c>
      <c r="K1981" s="1" t="s">
        <v>1099</v>
      </c>
      <c r="L1981" s="1" t="s">
        <v>26</v>
      </c>
      <c r="M1981" s="1" t="s">
        <v>27</v>
      </c>
      <c r="N1981" s="1" t="s">
        <v>26</v>
      </c>
      <c r="O1981" s="1" t="s">
        <v>26</v>
      </c>
      <c r="P1981" s="4">
        <v>44929.4184837963</v>
      </c>
    </row>
    <row r="1982" hidden="1">
      <c r="A1982" s="1" t="s">
        <v>21</v>
      </c>
      <c r="B1982" s="3" t="str">
        <f>HYPERLINK("https://hawk-eye.atlassian.net/browse/HWKREPORT-1547?atlOrigin=eyJpIjoiYzgwYTQ0ZjEyNzQzNGJhN2JmNjEyZTM0NmRhZWZhNjIiLCJwIjoic2hlZXRzLWppcmEifQ","HWKREPORT-1547")</f>
        <v>HWKREPORT-1547</v>
      </c>
      <c r="C1982" s="1" t="s">
        <v>3246</v>
      </c>
      <c r="D1982" s="1" t="s">
        <v>23</v>
      </c>
      <c r="E1982" s="1" t="s">
        <v>1207</v>
      </c>
      <c r="F1982" s="4">
        <v>44825.73</v>
      </c>
      <c r="G1982" s="3" t="str">
        <f>HYPERLINK("https://hawk-eye.atlassian.net/browse/RTT-5335?atlOrigin=eyJpIjoiYzgwYTQ0ZjEyNzQzNGJhN2JmNjEyZTM0NmRhZWZhNjIiLCJwIjoic2hlZXRzLWppcmEifQ","RTT-5335")</f>
        <v>RTT-5335</v>
      </c>
      <c r="H1982" s="1" t="s">
        <v>1058</v>
      </c>
      <c r="I1982" s="1" t="s">
        <v>1071</v>
      </c>
      <c r="J1982" s="1" t="s">
        <v>26</v>
      </c>
      <c r="K1982" s="1" t="s">
        <v>1099</v>
      </c>
      <c r="L1982" s="1" t="s">
        <v>26</v>
      </c>
      <c r="M1982" s="1" t="s">
        <v>27</v>
      </c>
      <c r="N1982" s="1" t="s">
        <v>26</v>
      </c>
      <c r="O1982" s="1" t="s">
        <v>26</v>
      </c>
      <c r="P1982" s="4">
        <v>44929.4184837963</v>
      </c>
    </row>
    <row r="1983" hidden="1">
      <c r="A1983" s="1" t="s">
        <v>21</v>
      </c>
      <c r="B1983" s="3" t="str">
        <f>HYPERLINK("https://hawk-eye.atlassian.net/browse/HWKREPORT-1548?atlOrigin=eyJpIjoiYzgwYTQ0ZjEyNzQzNGJhN2JmNjEyZTM0NmRhZWZhNjIiLCJwIjoic2hlZXRzLWppcmEifQ","HWKREPORT-1548")</f>
        <v>HWKREPORT-1548</v>
      </c>
      <c r="C1983" s="1" t="s">
        <v>3247</v>
      </c>
      <c r="D1983" s="1" t="s">
        <v>23</v>
      </c>
      <c r="E1983" s="1" t="s">
        <v>35</v>
      </c>
      <c r="F1983" s="4">
        <v>44825.731875</v>
      </c>
      <c r="G1983" s="3" t="str">
        <f>HYPERLINK("https://hawk-eye.atlassian.net/browse/RTT-5334?atlOrigin=eyJpIjoiYzgwYTQ0ZjEyNzQzNGJhN2JmNjEyZTM0NmRhZWZhNjIiLCJwIjoic2hlZXRzLWppcmEifQ","RTT-5334")</f>
        <v>RTT-5334</v>
      </c>
      <c r="H1983" s="1" t="s">
        <v>1058</v>
      </c>
      <c r="I1983" s="1" t="s">
        <v>1071</v>
      </c>
      <c r="J1983" s="1" t="s">
        <v>26</v>
      </c>
      <c r="K1983" s="1" t="s">
        <v>1099</v>
      </c>
      <c r="L1983" s="1" t="s">
        <v>26</v>
      </c>
      <c r="M1983" s="1" t="s">
        <v>27</v>
      </c>
      <c r="N1983" s="1" t="s">
        <v>26</v>
      </c>
      <c r="O1983" s="1" t="s">
        <v>26</v>
      </c>
      <c r="P1983" s="4">
        <v>44846.47222222222</v>
      </c>
    </row>
    <row r="1984" hidden="1">
      <c r="A1984" s="1" t="s">
        <v>21</v>
      </c>
      <c r="B1984" s="3" t="str">
        <f>HYPERLINK("https://hawk-eye.atlassian.net/browse/HWKREPORT-1549?atlOrigin=eyJpIjoiYzgwYTQ0ZjEyNzQzNGJhN2JmNjEyZTM0NmRhZWZhNjIiLCJwIjoic2hlZXRzLWppcmEifQ","HWKREPORT-1549")</f>
        <v>HWKREPORT-1549</v>
      </c>
      <c r="C1984" s="1" t="s">
        <v>3248</v>
      </c>
      <c r="D1984" s="1" t="s">
        <v>23</v>
      </c>
      <c r="E1984" s="1" t="s">
        <v>1057</v>
      </c>
      <c r="F1984" s="4">
        <v>44826.41844907407</v>
      </c>
      <c r="G1984" s="3" t="str">
        <f>HYPERLINK("https://hawk-eye.atlassian.net/browse/GT-631?atlOrigin=eyJpIjoiYzgwYTQ0ZjEyNzQzNGJhN2JmNjEyZTM0NmRhZWZhNjIiLCJwIjoic2hlZXRzLWppcmEifQ","GT-631")</f>
        <v>GT-631</v>
      </c>
      <c r="H1984" s="1" t="s">
        <v>1058</v>
      </c>
      <c r="I1984" s="1" t="s">
        <v>1082</v>
      </c>
      <c r="J1984" s="1" t="s">
        <v>26</v>
      </c>
      <c r="K1984" s="1" t="s">
        <v>1105</v>
      </c>
      <c r="L1984" s="1" t="s">
        <v>26</v>
      </c>
      <c r="M1984" s="1" t="s">
        <v>27</v>
      </c>
      <c r="N1984" s="1" t="s">
        <v>26</v>
      </c>
      <c r="O1984" s="1" t="s">
        <v>26</v>
      </c>
      <c r="P1984" s="4">
        <v>44826.41846064815</v>
      </c>
    </row>
    <row r="1985" hidden="1">
      <c r="A1985" s="1" t="s">
        <v>21</v>
      </c>
      <c r="B1985" s="3" t="str">
        <f>HYPERLINK("https://hawk-eye.atlassian.net/browse/HWKREPORT-1550?atlOrigin=eyJpIjoiYzgwYTQ0ZjEyNzQzNGJhN2JmNjEyZTM0NmRhZWZhNjIiLCJwIjoic2hlZXRzLWppcmEifQ","HWKREPORT-1550")</f>
        <v>HWKREPORT-1550</v>
      </c>
      <c r="C1985" s="1" t="s">
        <v>3249</v>
      </c>
      <c r="D1985" s="1" t="s">
        <v>23</v>
      </c>
      <c r="E1985" s="1" t="s">
        <v>1057</v>
      </c>
      <c r="F1985" s="4">
        <v>44826.421064814815</v>
      </c>
      <c r="G1985" s="3" t="str">
        <f>HYPERLINK("https://hawk-eye.atlassian.net/browse/GT-899?atlOrigin=eyJpIjoiYzgwYTQ0ZjEyNzQzNGJhN2JmNjEyZTM0NmRhZWZhNjIiLCJwIjoic2hlZXRzLWppcmEifQ","GT-899")</f>
        <v>GT-899</v>
      </c>
      <c r="H1985" s="1" t="s">
        <v>1058</v>
      </c>
      <c r="I1985" s="1" t="s">
        <v>1082</v>
      </c>
      <c r="J1985" s="1" t="s">
        <v>26</v>
      </c>
      <c r="K1985" s="1" t="s">
        <v>1105</v>
      </c>
      <c r="L1985" s="1" t="s">
        <v>26</v>
      </c>
      <c r="M1985" s="1" t="s">
        <v>27</v>
      </c>
      <c r="N1985" s="1" t="s">
        <v>26</v>
      </c>
      <c r="O1985" s="1" t="s">
        <v>26</v>
      </c>
      <c r="P1985" s="4">
        <v>44826.42107638889</v>
      </c>
    </row>
    <row r="1986" hidden="1">
      <c r="A1986" s="1" t="s">
        <v>21</v>
      </c>
      <c r="B1986" s="3" t="str">
        <f>HYPERLINK("https://hawk-eye.atlassian.net/browse/HWKREPORT-1551?atlOrigin=eyJpIjoiYzgwYTQ0ZjEyNzQzNGJhN2JmNjEyZTM0NmRhZWZhNjIiLCJwIjoic2hlZXRzLWppcmEifQ","HWKREPORT-1551")</f>
        <v>HWKREPORT-1551</v>
      </c>
      <c r="C1986" s="1" t="s">
        <v>3250</v>
      </c>
      <c r="D1986" s="1" t="s">
        <v>23</v>
      </c>
      <c r="E1986" s="1" t="s">
        <v>1057</v>
      </c>
      <c r="F1986" s="4">
        <v>44826.431967592594</v>
      </c>
      <c r="G1986" s="3" t="str">
        <f>HYPERLINK("https://hawk-eye.atlassian.net/browse/GT-591?atlOrigin=eyJpIjoiYzgwYTQ0ZjEyNzQzNGJhN2JmNjEyZTM0NmRhZWZhNjIiLCJwIjoic2hlZXRzLWppcmEifQ","GT-591")</f>
        <v>GT-591</v>
      </c>
      <c r="H1986" s="1" t="s">
        <v>1058</v>
      </c>
      <c r="I1986" s="1" t="s">
        <v>1082</v>
      </c>
      <c r="J1986" s="1" t="s">
        <v>26</v>
      </c>
      <c r="K1986" s="1" t="s">
        <v>1105</v>
      </c>
      <c r="L1986" s="1" t="s">
        <v>26</v>
      </c>
      <c r="M1986" s="1" t="s">
        <v>27</v>
      </c>
      <c r="N1986" s="1" t="s">
        <v>26</v>
      </c>
      <c r="O1986" s="1" t="s">
        <v>26</v>
      </c>
      <c r="P1986" s="4">
        <v>44826.431967592594</v>
      </c>
    </row>
    <row r="1987" hidden="1">
      <c r="A1987" s="1" t="s">
        <v>21</v>
      </c>
      <c r="B1987" s="3" t="str">
        <f>HYPERLINK("https://hawk-eye.atlassian.net/browse/HWKREPORT-1552?atlOrigin=eyJpIjoiYzgwYTQ0ZjEyNzQzNGJhN2JmNjEyZTM0NmRhZWZhNjIiLCJwIjoic2hlZXRzLWppcmEifQ","HWKREPORT-1552")</f>
        <v>HWKREPORT-1552</v>
      </c>
      <c r="C1987" s="1" t="s">
        <v>3251</v>
      </c>
      <c r="D1987" s="1" t="s">
        <v>23</v>
      </c>
      <c r="E1987" s="1" t="s">
        <v>1057</v>
      </c>
      <c r="F1987" s="4">
        <v>44826.434386574074</v>
      </c>
      <c r="G1987" s="3" t="str">
        <f>HYPERLINK("https://hawk-eye.atlassian.net/browse/GT-629?atlOrigin=eyJpIjoiYzgwYTQ0ZjEyNzQzNGJhN2JmNjEyZTM0NmRhZWZhNjIiLCJwIjoic2hlZXRzLWppcmEifQ","GT-629")</f>
        <v>GT-629</v>
      </c>
      <c r="H1987" s="1" t="s">
        <v>1058</v>
      </c>
      <c r="I1987" s="1" t="s">
        <v>1082</v>
      </c>
      <c r="J1987" s="1" t="s">
        <v>26</v>
      </c>
      <c r="K1987" s="1" t="s">
        <v>3252</v>
      </c>
      <c r="L1987" s="1" t="s">
        <v>26</v>
      </c>
      <c r="M1987" s="1" t="s">
        <v>27</v>
      </c>
      <c r="N1987" s="1" t="s">
        <v>26</v>
      </c>
      <c r="O1987" s="1" t="s">
        <v>26</v>
      </c>
      <c r="P1987" s="4">
        <v>44826.43439814815</v>
      </c>
    </row>
    <row r="1988" hidden="1">
      <c r="A1988" s="1" t="s">
        <v>1055</v>
      </c>
      <c r="B1988" s="3" t="str">
        <f>HYPERLINK("https://hawk-eye.atlassian.net/browse/HWKREPORT-1553?atlOrigin=eyJpIjoiYzgwYTQ0ZjEyNzQzNGJhN2JmNjEyZTM0NmRhZWZhNjIiLCJwIjoic2hlZXRzLWppcmEifQ","HWKREPORT-1553")</f>
        <v>HWKREPORT-1553</v>
      </c>
      <c r="C1988" s="1" t="s">
        <v>3253</v>
      </c>
      <c r="D1988" s="1" t="s">
        <v>23</v>
      </c>
      <c r="E1988" s="1" t="s">
        <v>1057</v>
      </c>
      <c r="F1988" s="4">
        <v>44826.43616898148</v>
      </c>
      <c r="G1988" s="3" t="str">
        <f t="shared" ref="G1988:G1989" si="155">HYPERLINK("https://hawk-eye.atlassian.net/browse/?atlOrigin=eyJpIjoiYzgwYTQ0ZjEyNzQzNGJhN2JmNjEyZTM0NmRhZWZhNjIiLCJwIjoic2hlZXRzLWppcmEifQ","")</f>
        <v/>
      </c>
      <c r="H1988" s="1" t="s">
        <v>1058</v>
      </c>
      <c r="I1988" s="1" t="s">
        <v>1082</v>
      </c>
      <c r="J1988" s="1" t="s">
        <v>26</v>
      </c>
      <c r="K1988" s="1" t="s">
        <v>3252</v>
      </c>
      <c r="L1988" s="1" t="s">
        <v>26</v>
      </c>
      <c r="M1988" s="1" t="s">
        <v>27</v>
      </c>
      <c r="N1988" s="1" t="s">
        <v>26</v>
      </c>
      <c r="O1988" s="1" t="s">
        <v>26</v>
      </c>
      <c r="P1988" s="4">
        <v>44826.43616898148</v>
      </c>
    </row>
    <row r="1989" hidden="1">
      <c r="A1989" s="1" t="s">
        <v>21</v>
      </c>
      <c r="B1989" s="3" t="str">
        <f>HYPERLINK("https://hawk-eye.atlassian.net/browse/HWKREPORT-1554?atlOrigin=eyJpIjoiYzgwYTQ0ZjEyNzQzNGJhN2JmNjEyZTM0NmRhZWZhNjIiLCJwIjoic2hlZXRzLWppcmEifQ","HWKREPORT-1554")</f>
        <v>HWKREPORT-1554</v>
      </c>
      <c r="C1989" s="1" t="s">
        <v>3254</v>
      </c>
      <c r="D1989" s="1" t="s">
        <v>34</v>
      </c>
      <c r="E1989" s="1" t="s">
        <v>1057</v>
      </c>
      <c r="F1989" s="4">
        <v>44826.44082175926</v>
      </c>
      <c r="G1989" s="3" t="str">
        <f t="shared" si="155"/>
        <v/>
      </c>
      <c r="H1989" s="1" t="s">
        <v>1058</v>
      </c>
      <c r="I1989" s="1" t="s">
        <v>1082</v>
      </c>
      <c r="J1989" s="1" t="s">
        <v>26</v>
      </c>
      <c r="K1989" s="1" t="s">
        <v>1105</v>
      </c>
      <c r="L1989" s="1" t="s">
        <v>26</v>
      </c>
      <c r="M1989" s="1" t="s">
        <v>27</v>
      </c>
      <c r="N1989" s="1" t="s">
        <v>26</v>
      </c>
      <c r="O1989" s="1" t="s">
        <v>26</v>
      </c>
      <c r="P1989" s="4">
        <v>44826.440833333334</v>
      </c>
    </row>
    <row r="1990" hidden="1">
      <c r="A1990" s="1" t="s">
        <v>21</v>
      </c>
      <c r="B1990" s="3" t="str">
        <f>HYPERLINK("https://hawk-eye.atlassian.net/browse/HWKREPORT-1555?atlOrigin=eyJpIjoiYzgwYTQ0ZjEyNzQzNGJhN2JmNjEyZTM0NmRhZWZhNjIiLCJwIjoic2hlZXRzLWppcmEifQ","HWKREPORT-1555")</f>
        <v>HWKREPORT-1555</v>
      </c>
      <c r="C1990" s="1" t="s">
        <v>3255</v>
      </c>
      <c r="D1990" s="1" t="s">
        <v>34</v>
      </c>
      <c r="E1990" s="1" t="s">
        <v>35</v>
      </c>
      <c r="F1990" s="4">
        <v>44826.485925925925</v>
      </c>
      <c r="G1990" s="3" t="str">
        <f>HYPERLINK("https://hawk-eye.atlassian.net/browse/RTT-5337?atlOrigin=eyJpIjoiYzgwYTQ0ZjEyNzQzNGJhN2JmNjEyZTM0NmRhZWZhNjIiLCJwIjoic2hlZXRzLWppcmEifQ","RTT-5337")</f>
        <v>RTT-5337</v>
      </c>
      <c r="H1990" s="1" t="s">
        <v>1058</v>
      </c>
      <c r="I1990" s="1" t="s">
        <v>1085</v>
      </c>
      <c r="J1990" s="1" t="s">
        <v>26</v>
      </c>
      <c r="K1990" s="1" t="s">
        <v>1072</v>
      </c>
      <c r="L1990" s="1" t="s">
        <v>26</v>
      </c>
      <c r="M1990" s="1" t="s">
        <v>27</v>
      </c>
      <c r="N1990" s="1" t="s">
        <v>26</v>
      </c>
      <c r="O1990" s="1" t="s">
        <v>26</v>
      </c>
      <c r="P1990" s="4">
        <v>45555.33675925926</v>
      </c>
    </row>
    <row r="1991" hidden="1">
      <c r="A1991" s="1" t="s">
        <v>1055</v>
      </c>
      <c r="B1991" s="3" t="str">
        <f>HYPERLINK("https://hawk-eye.atlassian.net/browse/HWKREPORT-1556?atlOrigin=eyJpIjoiYzgwYTQ0ZjEyNzQzNGJhN2JmNjEyZTM0NmRhZWZhNjIiLCJwIjoic2hlZXRzLWppcmEifQ","HWKREPORT-1556")</f>
        <v>HWKREPORT-1556</v>
      </c>
      <c r="C1991" s="1" t="s">
        <v>3256</v>
      </c>
      <c r="D1991" s="1" t="s">
        <v>23</v>
      </c>
      <c r="E1991" s="1" t="s">
        <v>35</v>
      </c>
      <c r="F1991" s="4">
        <v>44826.52549768519</v>
      </c>
      <c r="G1991" s="3" t="str">
        <f>HYPERLINK("https://hawk-eye.atlassian.net/browse/AL-493?atlOrigin=eyJpIjoiYzgwYTQ0ZjEyNzQzNGJhN2JmNjEyZTM0NmRhZWZhNjIiLCJwIjoic2hlZXRzLWppcmEifQ","AL-493")</f>
        <v>AL-493</v>
      </c>
      <c r="H1991" s="1" t="s">
        <v>1058</v>
      </c>
      <c r="I1991" s="1" t="s">
        <v>1071</v>
      </c>
      <c r="J1991" s="1" t="s">
        <v>26</v>
      </c>
      <c r="K1991" s="1" t="s">
        <v>1898</v>
      </c>
      <c r="L1991" s="1" t="s">
        <v>26</v>
      </c>
      <c r="M1991" s="1" t="s">
        <v>27</v>
      </c>
      <c r="N1991" s="1" t="s">
        <v>26</v>
      </c>
      <c r="O1991" s="1" t="s">
        <v>26</v>
      </c>
      <c r="P1991" s="4">
        <v>44882.605150462965</v>
      </c>
    </row>
    <row r="1992" hidden="1">
      <c r="A1992" s="1" t="s">
        <v>1055</v>
      </c>
      <c r="B1992" s="3" t="str">
        <f>HYPERLINK("https://hawk-eye.atlassian.net/browse/HWKREPORT-1557?atlOrigin=eyJpIjoiYzgwYTQ0ZjEyNzQzNGJhN2JmNjEyZTM0NmRhZWZhNjIiLCJwIjoic2hlZXRzLWppcmEifQ","HWKREPORT-1557")</f>
        <v>HWKREPORT-1557</v>
      </c>
      <c r="C1992" s="1" t="s">
        <v>3257</v>
      </c>
      <c r="D1992" s="1" t="s">
        <v>23</v>
      </c>
      <c r="E1992" s="1" t="s">
        <v>1057</v>
      </c>
      <c r="F1992" s="4">
        <v>44826.68543981481</v>
      </c>
      <c r="G1992" s="3" t="str">
        <f>HYPERLINK("https://hawk-eye.atlassian.net/browse/BDP-1026?atlOrigin=eyJpIjoiYzgwYTQ0ZjEyNzQzNGJhN2JmNjEyZTM0NmRhZWZhNjIiLCJwIjoic2hlZXRzLWppcmEifQ","BDP-1026")</f>
        <v>BDP-1026</v>
      </c>
      <c r="H1992" s="1" t="s">
        <v>1058</v>
      </c>
      <c r="I1992" s="1" t="s">
        <v>1071</v>
      </c>
      <c r="J1992" s="1" t="s">
        <v>26</v>
      </c>
      <c r="K1992" s="1" t="s">
        <v>1130</v>
      </c>
      <c r="L1992" s="1" t="s">
        <v>26</v>
      </c>
      <c r="M1992" s="1" t="s">
        <v>27</v>
      </c>
      <c r="N1992" s="1" t="s">
        <v>26</v>
      </c>
      <c r="O1992" s="1" t="s">
        <v>26</v>
      </c>
      <c r="P1992" s="4">
        <v>44826.68543981481</v>
      </c>
    </row>
    <row r="1993" hidden="1">
      <c r="A1993" s="1" t="s">
        <v>1055</v>
      </c>
      <c r="B1993" s="3" t="str">
        <f>HYPERLINK("https://hawk-eye.atlassian.net/browse/HWKREPORT-1558?atlOrigin=eyJpIjoiYzgwYTQ0ZjEyNzQzNGJhN2JmNjEyZTM0NmRhZWZhNjIiLCJwIjoic2hlZXRzLWppcmEifQ","HWKREPORT-1558")</f>
        <v>HWKREPORT-1558</v>
      </c>
      <c r="C1993" s="1" t="s">
        <v>3258</v>
      </c>
      <c r="D1993" s="1" t="s">
        <v>23</v>
      </c>
      <c r="E1993" s="1" t="s">
        <v>35</v>
      </c>
      <c r="F1993" s="4">
        <v>44826.68616898148</v>
      </c>
      <c r="G1993" s="3" t="str">
        <f>HYPERLINK("https://hawk-eye.atlassian.net/browse/BDP-1025?atlOrigin=eyJpIjoiYzgwYTQ0ZjEyNzQzNGJhN2JmNjEyZTM0NmRhZWZhNjIiLCJwIjoic2hlZXRzLWppcmEifQ","BDP-1025")</f>
        <v>BDP-1025</v>
      </c>
      <c r="H1993" s="1" t="s">
        <v>1058</v>
      </c>
      <c r="I1993" s="1" t="s">
        <v>1071</v>
      </c>
      <c r="J1993" s="1" t="s">
        <v>26</v>
      </c>
      <c r="K1993" s="1" t="s">
        <v>1130</v>
      </c>
      <c r="L1993" s="1" t="s">
        <v>26</v>
      </c>
      <c r="M1993" s="1" t="s">
        <v>27</v>
      </c>
      <c r="N1993" s="1" t="s">
        <v>26</v>
      </c>
      <c r="O1993" s="1" t="s">
        <v>26</v>
      </c>
      <c r="P1993" s="4">
        <v>44851.64761574074</v>
      </c>
    </row>
    <row r="1994" hidden="1">
      <c r="A1994" s="1" t="s">
        <v>1055</v>
      </c>
      <c r="B1994" s="3" t="str">
        <f>HYPERLINK("https://hawk-eye.atlassian.net/browse/HWKREPORT-1559?atlOrigin=eyJpIjoiYzgwYTQ0ZjEyNzQzNGJhN2JmNjEyZTM0NmRhZWZhNjIiLCJwIjoic2hlZXRzLWppcmEifQ","HWKREPORT-1559")</f>
        <v>HWKREPORT-1559</v>
      </c>
      <c r="C1994" s="1" t="s">
        <v>3259</v>
      </c>
      <c r="D1994" s="1" t="s">
        <v>23</v>
      </c>
      <c r="E1994" s="1" t="s">
        <v>35</v>
      </c>
      <c r="F1994" s="4">
        <v>44830.348020833335</v>
      </c>
      <c r="G1994" s="3" t="str">
        <f>HYPERLINK("https://hawk-eye.atlassian.net/browse/CORE-181?atlOrigin=eyJpIjoiYzgwYTQ0ZjEyNzQzNGJhN2JmNjEyZTM0NmRhZWZhNjIiLCJwIjoic2hlZXRzLWppcmEifQ","CORE-181")</f>
        <v>CORE-181</v>
      </c>
      <c r="H1994" s="1" t="s">
        <v>1058</v>
      </c>
      <c r="I1994" s="1" t="s">
        <v>1082</v>
      </c>
      <c r="J1994" s="1" t="s">
        <v>26</v>
      </c>
      <c r="K1994" s="1" t="s">
        <v>3260</v>
      </c>
      <c r="L1994" s="1" t="s">
        <v>26</v>
      </c>
      <c r="M1994" s="1" t="s">
        <v>27</v>
      </c>
      <c r="N1994" s="1" t="s">
        <v>26</v>
      </c>
      <c r="O1994" s="1" t="s">
        <v>26</v>
      </c>
      <c r="P1994" s="4">
        <v>44845.75094907408</v>
      </c>
    </row>
    <row r="1995" hidden="1">
      <c r="A1995" s="1" t="s">
        <v>21</v>
      </c>
      <c r="B1995" s="3" t="str">
        <f>HYPERLINK("https://hawk-eye.atlassian.net/browse/HWKREPORT-1560?atlOrigin=eyJpIjoiYzgwYTQ0ZjEyNzQzNGJhN2JmNjEyZTM0NmRhZWZhNjIiLCJwIjoic2hlZXRzLWppcmEifQ","HWKREPORT-1560")</f>
        <v>HWKREPORT-1560</v>
      </c>
      <c r="C1995" s="1" t="s">
        <v>3261</v>
      </c>
      <c r="D1995" s="1" t="s">
        <v>23</v>
      </c>
      <c r="E1995" s="1" t="s">
        <v>35</v>
      </c>
      <c r="F1995" s="4">
        <v>44832.67403935185</v>
      </c>
      <c r="G1995" s="3" t="str">
        <f>HYPERLINK("https://hawk-eye.atlassian.net/browse/MLT-1182?atlOrigin=eyJpIjoiYzgwYTQ0ZjEyNzQzNGJhN2JmNjEyZTM0NmRhZWZhNjIiLCJwIjoic2hlZXRzLWppcmEifQ","MLT-1182")</f>
        <v>MLT-1182</v>
      </c>
      <c r="H1995" s="1" t="s">
        <v>1058</v>
      </c>
      <c r="I1995" s="1" t="s">
        <v>1151</v>
      </c>
      <c r="J1995" s="1" t="s">
        <v>26</v>
      </c>
      <c r="K1995" s="1" t="s">
        <v>1072</v>
      </c>
      <c r="L1995" s="1" t="s">
        <v>26</v>
      </c>
      <c r="M1995" s="1" t="s">
        <v>27</v>
      </c>
      <c r="N1995" s="1" t="s">
        <v>26</v>
      </c>
      <c r="O1995" s="1" t="s">
        <v>26</v>
      </c>
      <c r="P1995" s="4">
        <v>44862.439305555556</v>
      </c>
    </row>
    <row r="1996" hidden="1">
      <c r="A1996" s="1" t="s">
        <v>1055</v>
      </c>
      <c r="B1996" s="3" t="str">
        <f>HYPERLINK("https://hawk-eye.atlassian.net/browse/HWKREPORT-1561?atlOrigin=eyJpIjoiYzgwYTQ0ZjEyNzQzNGJhN2JmNjEyZTM0NmRhZWZhNjIiLCJwIjoic2hlZXRzLWppcmEifQ","HWKREPORT-1561")</f>
        <v>HWKREPORT-1561</v>
      </c>
      <c r="C1996" s="1" t="s">
        <v>3262</v>
      </c>
      <c r="D1996" s="1" t="s">
        <v>23</v>
      </c>
      <c r="E1996" s="1" t="s">
        <v>35</v>
      </c>
      <c r="F1996" s="4">
        <v>44832.67539351852</v>
      </c>
      <c r="G1996" s="3" t="str">
        <f>HYPERLINK("https://hawk-eye.atlassian.net/browse/BDP-1036?atlOrigin=eyJpIjoiYzgwYTQ0ZjEyNzQzNGJhN2JmNjEyZTM0NmRhZWZhNjIiLCJwIjoic2hlZXRzLWppcmEifQ","BDP-1036")</f>
        <v>BDP-1036</v>
      </c>
      <c r="H1996" s="1" t="s">
        <v>1058</v>
      </c>
      <c r="I1996" s="1" t="s">
        <v>1071</v>
      </c>
      <c r="J1996" s="1" t="s">
        <v>26</v>
      </c>
      <c r="K1996" s="1" t="s">
        <v>3263</v>
      </c>
      <c r="L1996" s="1" t="s">
        <v>26</v>
      </c>
      <c r="M1996" s="1" t="s">
        <v>27</v>
      </c>
      <c r="N1996" s="1" t="s">
        <v>26</v>
      </c>
      <c r="O1996" s="1" t="s">
        <v>26</v>
      </c>
      <c r="P1996" s="4">
        <v>44932.425578703704</v>
      </c>
    </row>
    <row r="1997" hidden="1">
      <c r="A1997" s="1" t="s">
        <v>1055</v>
      </c>
      <c r="B1997" s="3" t="str">
        <f>HYPERLINK("https://hawk-eye.atlassian.net/browse/HWKREPORT-1562?atlOrigin=eyJpIjoiYzgwYTQ0ZjEyNzQzNGJhN2JmNjEyZTM0NmRhZWZhNjIiLCJwIjoic2hlZXRzLWppcmEifQ","HWKREPORT-1562")</f>
        <v>HWKREPORT-1562</v>
      </c>
      <c r="C1997" s="1" t="s">
        <v>3264</v>
      </c>
      <c r="D1997" s="1" t="s">
        <v>23</v>
      </c>
      <c r="E1997" s="1" t="s">
        <v>1057</v>
      </c>
      <c r="F1997" s="4">
        <v>44833.845729166664</v>
      </c>
      <c r="G1997" s="3" t="str">
        <f>HYPERLINK("https://hawk-eye.atlassian.net/browse/?atlOrigin=eyJpIjoiYzgwYTQ0ZjEyNzQzNGJhN2JmNjEyZTM0NmRhZWZhNjIiLCJwIjoic2hlZXRzLWppcmEifQ","")</f>
        <v/>
      </c>
      <c r="H1997" s="1" t="s">
        <v>1058</v>
      </c>
      <c r="I1997" s="1" t="s">
        <v>1071</v>
      </c>
      <c r="J1997" s="1" t="s">
        <v>26</v>
      </c>
      <c r="K1997" s="1" t="s">
        <v>1813</v>
      </c>
      <c r="L1997" s="1" t="s">
        <v>26</v>
      </c>
      <c r="M1997" s="1" t="s">
        <v>27</v>
      </c>
      <c r="N1997" s="1" t="s">
        <v>26</v>
      </c>
      <c r="O1997" s="1" t="s">
        <v>26</v>
      </c>
      <c r="P1997" s="4">
        <v>44833.84574074074</v>
      </c>
    </row>
    <row r="1998" hidden="1">
      <c r="A1998" s="1" t="s">
        <v>21</v>
      </c>
      <c r="B1998" s="3" t="str">
        <f>HYPERLINK("https://hawk-eye.atlassian.net/browse/HWKREPORT-1563?atlOrigin=eyJpIjoiYzgwYTQ0ZjEyNzQzNGJhN2JmNjEyZTM0NmRhZWZhNjIiLCJwIjoic2hlZXRzLWppcmEifQ","HWKREPORT-1563")</f>
        <v>HWKREPORT-1563</v>
      </c>
      <c r="C1998" s="1" t="s">
        <v>3265</v>
      </c>
      <c r="D1998" s="1" t="s">
        <v>23</v>
      </c>
      <c r="E1998" s="1" t="s">
        <v>35</v>
      </c>
      <c r="F1998" s="4">
        <v>44837.48636574074</v>
      </c>
      <c r="G1998" s="3" t="str">
        <f>HYPERLINK("https://hawk-eye.atlassian.net/browse/GFXPAKS-389?atlOrigin=eyJpIjoiYzgwYTQ0ZjEyNzQzNGJhN2JmNjEyZTM0NmRhZWZhNjIiLCJwIjoic2hlZXRzLWppcmEifQ","GFXPAKS-389")</f>
        <v>GFXPAKS-389</v>
      </c>
      <c r="H1998" s="1" t="s">
        <v>1058</v>
      </c>
      <c r="I1998" s="1" t="s">
        <v>1126</v>
      </c>
      <c r="J1998" s="1" t="s">
        <v>26</v>
      </c>
      <c r="K1998" s="1" t="s">
        <v>2937</v>
      </c>
      <c r="L1998" s="1" t="s">
        <v>26</v>
      </c>
      <c r="M1998" s="1" t="s">
        <v>27</v>
      </c>
      <c r="N1998" s="1" t="s">
        <v>26</v>
      </c>
      <c r="O1998" s="1" t="s">
        <v>26</v>
      </c>
      <c r="P1998" s="4">
        <v>44977.4008912037</v>
      </c>
    </row>
    <row r="1999" hidden="1">
      <c r="A1999" s="1" t="s">
        <v>21</v>
      </c>
      <c r="B1999" s="3" t="str">
        <f>HYPERLINK("https://hawk-eye.atlassian.net/browse/HWKREPORT-1564?atlOrigin=eyJpIjoiYzgwYTQ0ZjEyNzQzNGJhN2JmNjEyZTM0NmRhZWZhNjIiLCJwIjoic2hlZXRzLWppcmEifQ","HWKREPORT-1564")</f>
        <v>HWKREPORT-1564</v>
      </c>
      <c r="C1999" s="1" t="s">
        <v>3266</v>
      </c>
      <c r="D1999" s="1" t="s">
        <v>34</v>
      </c>
      <c r="E1999" s="1" t="s">
        <v>1074</v>
      </c>
      <c r="F1999" s="4">
        <v>44837.501875</v>
      </c>
      <c r="G1999" s="3" t="str">
        <f>HYPERLINK("https://hawk-eye.atlassian.net/browse/TGM-36?atlOrigin=eyJpIjoiYzgwYTQ0ZjEyNzQzNGJhN2JmNjEyZTM0NmRhZWZhNjIiLCJwIjoic2hlZXRzLWppcmEifQ","TGM-36")</f>
        <v>TGM-36</v>
      </c>
      <c r="H1999" s="1" t="s">
        <v>1058</v>
      </c>
      <c r="I1999" s="1" t="s">
        <v>1126</v>
      </c>
      <c r="J1999" s="1" t="s">
        <v>26</v>
      </c>
      <c r="K1999" s="1" t="s">
        <v>2420</v>
      </c>
      <c r="L1999" s="1" t="s">
        <v>26</v>
      </c>
      <c r="M1999" s="1" t="s">
        <v>27</v>
      </c>
      <c r="N1999" s="1" t="s">
        <v>26</v>
      </c>
      <c r="O1999" s="1" t="s">
        <v>26</v>
      </c>
      <c r="P1999" s="4">
        <v>44964.65042824074</v>
      </c>
    </row>
    <row r="2000" hidden="1">
      <c r="A2000" s="1" t="s">
        <v>21</v>
      </c>
      <c r="B2000" s="3" t="str">
        <f>HYPERLINK("https://hawk-eye.atlassian.net/browse/HWKREPORT-1565?atlOrigin=eyJpIjoiYzgwYTQ0ZjEyNzQzNGJhN2JmNjEyZTM0NmRhZWZhNjIiLCJwIjoic2hlZXRzLWppcmEifQ","HWKREPORT-1565")</f>
        <v>HWKREPORT-1565</v>
      </c>
      <c r="C2000" s="1" t="s">
        <v>3267</v>
      </c>
      <c r="D2000" s="1" t="s">
        <v>40</v>
      </c>
      <c r="E2000" s="1" t="s">
        <v>35</v>
      </c>
      <c r="F2000" s="4">
        <v>44837.50884259259</v>
      </c>
      <c r="G2000" s="3" t="str">
        <f>HYPERLINK("https://hawk-eye.atlassian.net/browse/GFXPAKS-387?atlOrigin=eyJpIjoiYzgwYTQ0ZjEyNzQzNGJhN2JmNjEyZTM0NmRhZWZhNjIiLCJwIjoic2hlZXRzLWppcmEifQ","GFXPAKS-387")</f>
        <v>GFXPAKS-387</v>
      </c>
      <c r="H2000" s="1" t="s">
        <v>1058</v>
      </c>
      <c r="I2000" s="1" t="s">
        <v>1126</v>
      </c>
      <c r="J2000" s="1" t="s">
        <v>26</v>
      </c>
      <c r="K2000" s="1" t="s">
        <v>2420</v>
      </c>
      <c r="L2000" s="1" t="s">
        <v>26</v>
      </c>
      <c r="M2000" s="1" t="s">
        <v>27</v>
      </c>
      <c r="N2000" s="1" t="s">
        <v>26</v>
      </c>
      <c r="O2000" s="1" t="s">
        <v>26</v>
      </c>
      <c r="P2000" s="4">
        <v>44862.593125</v>
      </c>
    </row>
    <row r="2001" hidden="1">
      <c r="A2001" s="1" t="s">
        <v>1055</v>
      </c>
      <c r="B2001" s="3" t="str">
        <f>HYPERLINK("https://hawk-eye.atlassian.net/browse/HWKREPORT-1566?atlOrigin=eyJpIjoiYzgwYTQ0ZjEyNzQzNGJhN2JmNjEyZTM0NmRhZWZhNjIiLCJwIjoic2hlZXRzLWppcmEifQ","HWKREPORT-1566")</f>
        <v>HWKREPORT-1566</v>
      </c>
      <c r="C2001" s="1" t="s">
        <v>3268</v>
      </c>
      <c r="D2001" s="1" t="s">
        <v>23</v>
      </c>
      <c r="E2001" s="1" t="s">
        <v>1057</v>
      </c>
      <c r="F2001" s="4">
        <v>44837.642488425925</v>
      </c>
      <c r="G2001" s="3" t="str">
        <f>HYPERLINK("https://hawk-eye.atlassian.net/browse/FDP-2011?atlOrigin=eyJpIjoiYzgwYTQ0ZjEyNzQzNGJhN2JmNjEyZTM0NmRhZWZhNjIiLCJwIjoic2hlZXRzLWppcmEifQ","FDP-2011")</f>
        <v>FDP-2011</v>
      </c>
      <c r="H2001" s="1" t="s">
        <v>1058</v>
      </c>
      <c r="I2001" s="1" t="s">
        <v>1085</v>
      </c>
      <c r="J2001" s="1" t="s">
        <v>26</v>
      </c>
      <c r="K2001" s="1" t="s">
        <v>1157</v>
      </c>
      <c r="L2001" s="1" t="s">
        <v>26</v>
      </c>
      <c r="M2001" s="1" t="s">
        <v>27</v>
      </c>
      <c r="N2001" s="1" t="s">
        <v>26</v>
      </c>
      <c r="O2001" s="1" t="s">
        <v>26</v>
      </c>
      <c r="P2001" s="4">
        <v>44837.6425</v>
      </c>
    </row>
    <row r="2002" hidden="1">
      <c r="A2002" s="1" t="s">
        <v>21</v>
      </c>
      <c r="B2002" s="3" t="str">
        <f>HYPERLINK("https://hawk-eye.atlassian.net/browse/HWKREPORT-1366?atlOrigin=eyJpIjoiYzgwYTQ0ZjEyNzQzNGJhN2JmNjEyZTM0NmRhZWZhNjIiLCJwIjoic2hlZXRzLWppcmEifQ","HWKREPORT-1366")</f>
        <v>HWKREPORT-1366</v>
      </c>
      <c r="C2002" s="6" t="s">
        <v>3269</v>
      </c>
      <c r="D2002" s="1" t="s">
        <v>40</v>
      </c>
      <c r="E2002" s="1" t="s">
        <v>35</v>
      </c>
      <c r="F2002" s="4">
        <v>44733.78703703704</v>
      </c>
      <c r="G2002" s="3" t="str">
        <f>HYPERLINK("https://hawk-eye.atlassian.net/browse/RTT-5065?atlOrigin=eyJpIjoiYzgwYTQ0ZjEyNzQzNGJhN2JmNjEyZTM0NmRhZWZhNjIiLCJwIjoic2hlZXRzLWppcmEifQ","RTT-5065")</f>
        <v>RTT-5065</v>
      </c>
      <c r="H2002" s="1" t="s">
        <v>1058</v>
      </c>
      <c r="I2002" s="1" t="s">
        <v>1085</v>
      </c>
      <c r="J2002" s="1" t="s">
        <v>26</v>
      </c>
      <c r="K2002" s="1" t="s">
        <v>2729</v>
      </c>
      <c r="L2002" s="1" t="s">
        <v>26</v>
      </c>
      <c r="M2002" s="1" t="s">
        <v>27</v>
      </c>
      <c r="N2002" s="1" t="s">
        <v>26</v>
      </c>
      <c r="O2002" s="1" t="s">
        <v>26</v>
      </c>
      <c r="P2002" s="4">
        <v>45341.55826388889</v>
      </c>
    </row>
    <row r="2003" hidden="1">
      <c r="A2003" s="1" t="s">
        <v>1055</v>
      </c>
      <c r="B2003" s="3" t="str">
        <f>HYPERLINK("https://hawk-eye.atlassian.net/browse/HWKREPORT-1367?atlOrigin=eyJpIjoiYzgwYTQ0ZjEyNzQzNGJhN2JmNjEyZTM0NmRhZWZhNjIiLCJwIjoic2hlZXRzLWppcmEifQ","HWKREPORT-1367")</f>
        <v>HWKREPORT-1367</v>
      </c>
      <c r="C2003" s="6" t="s">
        <v>3270</v>
      </c>
      <c r="D2003" s="1" t="s">
        <v>23</v>
      </c>
      <c r="E2003" s="1" t="s">
        <v>35</v>
      </c>
      <c r="F2003" s="4">
        <v>44733.79087962963</v>
      </c>
      <c r="G2003" s="3" t="str">
        <f>HYPERLINK("https://hawk-eye.atlassian.net/browse/RTT-5066?atlOrigin=eyJpIjoiYzgwYTQ0ZjEyNzQzNGJhN2JmNjEyZTM0NmRhZWZhNjIiLCJwIjoic2hlZXRzLWppcmEifQ","RTT-5066")</f>
        <v>RTT-5066</v>
      </c>
      <c r="H2003" s="1" t="s">
        <v>1058</v>
      </c>
      <c r="I2003" s="1" t="s">
        <v>1085</v>
      </c>
      <c r="J2003" s="1" t="s">
        <v>26</v>
      </c>
      <c r="K2003" s="1" t="s">
        <v>1072</v>
      </c>
      <c r="L2003" s="1" t="s">
        <v>26</v>
      </c>
      <c r="M2003" s="1" t="s">
        <v>27</v>
      </c>
      <c r="N2003" s="1" t="s">
        <v>26</v>
      </c>
      <c r="O2003" s="1" t="s">
        <v>26</v>
      </c>
      <c r="P2003" s="4">
        <v>45341.55829861111</v>
      </c>
    </row>
    <row r="2004" hidden="1">
      <c r="A2004" s="1" t="s">
        <v>21</v>
      </c>
      <c r="B2004" s="3" t="str">
        <f>HYPERLINK("https://hawk-eye.atlassian.net/browse/HWKREPORT-1368?atlOrigin=eyJpIjoiYzgwYTQ0ZjEyNzQzNGJhN2JmNjEyZTM0NmRhZWZhNjIiLCJwIjoic2hlZXRzLWppcmEifQ","HWKREPORT-1368")</f>
        <v>HWKREPORT-1368</v>
      </c>
      <c r="C2004" s="1" t="s">
        <v>3271</v>
      </c>
      <c r="D2004" s="1" t="s">
        <v>83</v>
      </c>
      <c r="E2004" s="1" t="s">
        <v>1057</v>
      </c>
      <c r="F2004" s="4">
        <v>44733.795810185184</v>
      </c>
      <c r="G2004" s="3" t="str">
        <f>HYPERLINK("https://hawk-eye.atlassian.net/browse/?atlOrigin=eyJpIjoiYzgwYTQ0ZjEyNzQzNGJhN2JmNjEyZTM0NmRhZWZhNjIiLCJwIjoic2hlZXRzLWppcmEifQ","")</f>
        <v/>
      </c>
      <c r="H2004" s="1" t="s">
        <v>1058</v>
      </c>
      <c r="I2004" s="1" t="s">
        <v>1085</v>
      </c>
      <c r="J2004" s="1" t="s">
        <v>26</v>
      </c>
      <c r="K2004" s="1" t="s">
        <v>1072</v>
      </c>
      <c r="L2004" s="1" t="s">
        <v>26</v>
      </c>
      <c r="M2004" s="1" t="s">
        <v>27</v>
      </c>
      <c r="N2004" s="1" t="s">
        <v>26</v>
      </c>
      <c r="O2004" s="1" t="s">
        <v>26</v>
      </c>
      <c r="P2004" s="4">
        <v>44733.795810185184</v>
      </c>
    </row>
    <row r="2005" hidden="1">
      <c r="A2005" s="1" t="s">
        <v>21</v>
      </c>
      <c r="B2005" s="3" t="str">
        <f>HYPERLINK("https://hawk-eye.atlassian.net/browse/HWKREPORT-1369?atlOrigin=eyJpIjoiYzgwYTQ0ZjEyNzQzNGJhN2JmNjEyZTM0NmRhZWZhNjIiLCJwIjoic2hlZXRzLWppcmEifQ","HWKREPORT-1369")</f>
        <v>HWKREPORT-1369</v>
      </c>
      <c r="C2005" s="1" t="s">
        <v>3272</v>
      </c>
      <c r="D2005" s="1" t="s">
        <v>83</v>
      </c>
      <c r="E2005" s="1" t="s">
        <v>35</v>
      </c>
      <c r="F2005" s="4">
        <v>44733.797685185185</v>
      </c>
      <c r="G2005" s="3" t="str">
        <f>HYPERLINK("https://hawk-eye.atlassian.net/browse/SO-327?atlOrigin=eyJpIjoiYzgwYTQ0ZjEyNzQzNGJhN2JmNjEyZTM0NmRhZWZhNjIiLCJwIjoic2hlZXRzLWppcmEifQ","SO-327")</f>
        <v>SO-327</v>
      </c>
      <c r="H2005" s="1" t="s">
        <v>1058</v>
      </c>
      <c r="I2005" s="1" t="s">
        <v>1085</v>
      </c>
      <c r="J2005" s="1" t="s">
        <v>26</v>
      </c>
      <c r="K2005" s="1" t="s">
        <v>1116</v>
      </c>
      <c r="L2005" s="1" t="s">
        <v>26</v>
      </c>
      <c r="M2005" s="1" t="s">
        <v>27</v>
      </c>
      <c r="N2005" s="1" t="s">
        <v>26</v>
      </c>
      <c r="O2005" s="1" t="s">
        <v>26</v>
      </c>
      <c r="P2005" s="4">
        <v>44762.60429398148</v>
      </c>
    </row>
    <row r="2006" hidden="1">
      <c r="A2006" s="1" t="s">
        <v>21</v>
      </c>
      <c r="B2006" s="3" t="str">
        <f>HYPERLINK("https://hawk-eye.atlassian.net/browse/HWKREPORT-1370?atlOrigin=eyJpIjoiYzgwYTQ0ZjEyNzQzNGJhN2JmNjEyZTM0NmRhZWZhNjIiLCJwIjoic2hlZXRzLWppcmEifQ","HWKREPORT-1370")</f>
        <v>HWKREPORT-1370</v>
      </c>
      <c r="C2006" s="1" t="s">
        <v>3273</v>
      </c>
      <c r="D2006" s="1" t="s">
        <v>23</v>
      </c>
      <c r="E2006" s="1" t="s">
        <v>35</v>
      </c>
      <c r="F2006" s="4">
        <v>44733.79917824074</v>
      </c>
      <c r="G2006" s="3" t="str">
        <f>HYPERLINK("https://hawk-eye.atlassian.net/browse/RTT-5079?atlOrigin=eyJpIjoiYzgwYTQ0ZjEyNzQzNGJhN2JmNjEyZTM0NmRhZWZhNjIiLCJwIjoic2hlZXRzLWppcmEifQ","RTT-5079")</f>
        <v>RTT-5079</v>
      </c>
      <c r="H2006" s="1" t="s">
        <v>1058</v>
      </c>
      <c r="I2006" s="1" t="s">
        <v>1085</v>
      </c>
      <c r="J2006" s="1" t="s">
        <v>26</v>
      </c>
      <c r="K2006" s="1" t="s">
        <v>1072</v>
      </c>
      <c r="L2006" s="1" t="s">
        <v>26</v>
      </c>
      <c r="M2006" s="1" t="s">
        <v>27</v>
      </c>
      <c r="N2006" s="1" t="s">
        <v>26</v>
      </c>
      <c r="O2006" s="1" t="s">
        <v>26</v>
      </c>
      <c r="P2006" s="4">
        <v>45341.55837962963</v>
      </c>
    </row>
    <row r="2007" hidden="1">
      <c r="A2007" s="1" t="s">
        <v>21</v>
      </c>
      <c r="B2007" s="3" t="str">
        <f>HYPERLINK("https://hawk-eye.atlassian.net/browse/HWKREPORT-1371?atlOrigin=eyJpIjoiYzgwYTQ0ZjEyNzQzNGJhN2JmNjEyZTM0NmRhZWZhNjIiLCJwIjoic2hlZXRzLWppcmEifQ","HWKREPORT-1371")</f>
        <v>HWKREPORT-1371</v>
      </c>
      <c r="C2007" s="1" t="s">
        <v>3274</v>
      </c>
      <c r="D2007" s="1" t="s">
        <v>23</v>
      </c>
      <c r="E2007" s="1" t="s">
        <v>1207</v>
      </c>
      <c r="F2007" s="4">
        <v>44733.868113425924</v>
      </c>
      <c r="G2007" s="3" t="str">
        <f>HYPERLINK("https://hawk-eye.atlassian.net/browse/RTT-5087?atlOrigin=eyJpIjoiYzgwYTQ0ZjEyNzQzNGJhN2JmNjEyZTM0NmRhZWZhNjIiLCJwIjoic2hlZXRzLWppcmEifQ","RTT-5087")</f>
        <v>RTT-5087</v>
      </c>
      <c r="H2007" s="1" t="s">
        <v>1058</v>
      </c>
      <c r="I2007" s="1" t="s">
        <v>1071</v>
      </c>
      <c r="J2007" s="1" t="s">
        <v>26</v>
      </c>
      <c r="K2007" s="1" t="s">
        <v>1312</v>
      </c>
      <c r="L2007" s="1" t="s">
        <v>26</v>
      </c>
      <c r="M2007" s="1" t="s">
        <v>27</v>
      </c>
      <c r="N2007" s="1" t="s">
        <v>26</v>
      </c>
      <c r="O2007" s="1" t="s">
        <v>26</v>
      </c>
      <c r="P2007" s="4">
        <v>44929.4184837963</v>
      </c>
    </row>
    <row r="2008" hidden="1">
      <c r="A2008" s="1" t="s">
        <v>21</v>
      </c>
      <c r="B2008" s="3" t="str">
        <f>HYPERLINK("https://hawk-eye.atlassian.net/browse/HWKREPORT-1372?atlOrigin=eyJpIjoiYzgwYTQ0ZjEyNzQzNGJhN2JmNjEyZTM0NmRhZWZhNjIiLCJwIjoic2hlZXRzLWppcmEifQ","HWKREPORT-1372")</f>
        <v>HWKREPORT-1372</v>
      </c>
      <c r="C2008" s="1" t="s">
        <v>3275</v>
      </c>
      <c r="D2008" s="1" t="s">
        <v>23</v>
      </c>
      <c r="E2008" s="1" t="s">
        <v>35</v>
      </c>
      <c r="F2008" s="4">
        <v>44733.874814814815</v>
      </c>
      <c r="G2008" s="3" t="str">
        <f>HYPERLINK("https://hawk-eye.atlassian.net/browse/RTT-5068?atlOrigin=eyJpIjoiYzgwYTQ0ZjEyNzQzNGJhN2JmNjEyZTM0NmRhZWZhNjIiLCJwIjoic2hlZXRzLWppcmEifQ","RTT-5068")</f>
        <v>RTT-5068</v>
      </c>
      <c r="H2008" s="1" t="s">
        <v>1058</v>
      </c>
      <c r="I2008" s="1" t="s">
        <v>1071</v>
      </c>
      <c r="J2008" s="1" t="s">
        <v>26</v>
      </c>
      <c r="K2008" s="1" t="s">
        <v>1072</v>
      </c>
      <c r="L2008" s="1" t="s">
        <v>26</v>
      </c>
      <c r="M2008" s="1" t="s">
        <v>27</v>
      </c>
      <c r="N2008" s="1" t="s">
        <v>26</v>
      </c>
      <c r="O2008" s="1" t="s">
        <v>26</v>
      </c>
      <c r="P2008" s="4">
        <v>44803.39403935185</v>
      </c>
    </row>
    <row r="2009" hidden="1">
      <c r="A2009" s="1" t="s">
        <v>21</v>
      </c>
      <c r="B2009" s="3" t="str">
        <f>HYPERLINK("https://hawk-eye.atlassian.net/browse/HWKREPORT-1373?atlOrigin=eyJpIjoiYzgwYTQ0ZjEyNzQzNGJhN2JmNjEyZTM0NmRhZWZhNjIiLCJwIjoic2hlZXRzLWppcmEifQ","HWKREPORT-1373")</f>
        <v>HWKREPORT-1373</v>
      </c>
      <c r="C2009" s="1" t="s">
        <v>3276</v>
      </c>
      <c r="D2009" s="1" t="s">
        <v>23</v>
      </c>
      <c r="E2009" s="1" t="s">
        <v>35</v>
      </c>
      <c r="F2009" s="4">
        <v>44733.88756944444</v>
      </c>
      <c r="G2009" s="3" t="str">
        <f>HYPERLINK("https://hawk-eye.atlassian.net/browse/RTT-5285?atlOrigin=eyJpIjoiYzgwYTQ0ZjEyNzQzNGJhN2JmNjEyZTM0NmRhZWZhNjIiLCJwIjoic2hlZXRzLWppcmEifQ","RTT-5285")</f>
        <v>RTT-5285</v>
      </c>
      <c r="H2009" s="1" t="s">
        <v>1058</v>
      </c>
      <c r="I2009" s="1" t="s">
        <v>1429</v>
      </c>
      <c r="J2009" s="1" t="s">
        <v>26</v>
      </c>
      <c r="K2009" s="1" t="s">
        <v>1312</v>
      </c>
      <c r="L2009" s="1" t="s">
        <v>26</v>
      </c>
      <c r="M2009" s="1" t="s">
        <v>27</v>
      </c>
      <c r="N2009" s="1" t="s">
        <v>26</v>
      </c>
      <c r="O2009" s="1" t="s">
        <v>26</v>
      </c>
      <c r="P2009" s="4">
        <v>45524.731527777774</v>
      </c>
    </row>
    <row r="2010" hidden="1">
      <c r="A2010" s="1" t="s">
        <v>21</v>
      </c>
      <c r="B2010" s="3" t="str">
        <f>HYPERLINK("https://hawk-eye.atlassian.net/browse/HWKREPORT-1374?atlOrigin=eyJpIjoiYzgwYTQ0ZjEyNzQzNGJhN2JmNjEyZTM0NmRhZWZhNjIiLCJwIjoic2hlZXRzLWppcmEifQ","HWKREPORT-1374")</f>
        <v>HWKREPORT-1374</v>
      </c>
      <c r="C2010" s="1" t="s">
        <v>3277</v>
      </c>
      <c r="D2010" s="1" t="s">
        <v>83</v>
      </c>
      <c r="E2010" s="1" t="s">
        <v>35</v>
      </c>
      <c r="F2010" s="4">
        <v>44735.01783564815</v>
      </c>
      <c r="G2010" s="3" t="str">
        <f>HYPERLINK("https://hawk-eye.atlassian.net/browse/SO-333?atlOrigin=eyJpIjoiYzgwYTQ0ZjEyNzQzNGJhN2JmNjEyZTM0NmRhZWZhNjIiLCJwIjoic2hlZXRzLWppcmEifQ","SO-333")</f>
        <v>SO-333</v>
      </c>
      <c r="H2010" s="1" t="s">
        <v>1058</v>
      </c>
      <c r="I2010" s="1" t="s">
        <v>1151</v>
      </c>
      <c r="J2010" s="1" t="s">
        <v>26</v>
      </c>
      <c r="K2010" s="1" t="s">
        <v>1102</v>
      </c>
      <c r="L2010" s="1" t="s">
        <v>26</v>
      </c>
      <c r="M2010" s="1" t="s">
        <v>27</v>
      </c>
      <c r="N2010" s="1" t="s">
        <v>26</v>
      </c>
      <c r="O2010" s="1" t="s">
        <v>26</v>
      </c>
      <c r="P2010" s="4">
        <v>44760.38150462963</v>
      </c>
    </row>
    <row r="2011" hidden="1">
      <c r="A2011" s="1" t="s">
        <v>1055</v>
      </c>
      <c r="B2011" s="3" t="str">
        <f>HYPERLINK("https://hawk-eye.atlassian.net/browse/HWKREPORT-1375?atlOrigin=eyJpIjoiYzgwYTQ0ZjEyNzQzNGJhN2JmNjEyZTM0NmRhZWZhNjIiLCJwIjoic2hlZXRzLWppcmEifQ","HWKREPORT-1375")</f>
        <v>HWKREPORT-1375</v>
      </c>
      <c r="C2011" s="1" t="s">
        <v>3278</v>
      </c>
      <c r="D2011" s="1" t="s">
        <v>23</v>
      </c>
      <c r="E2011" s="1" t="s">
        <v>1057</v>
      </c>
      <c r="F2011" s="4">
        <v>44735.35325231482</v>
      </c>
      <c r="G2011" s="3" t="str">
        <f>HYPERLINK("https://hawk-eye.atlassian.net/browse/GT-899?atlOrigin=eyJpIjoiYzgwYTQ0ZjEyNzQzNGJhN2JmNjEyZTM0NmRhZWZhNjIiLCJwIjoic2hlZXRzLWppcmEifQ","GT-899")</f>
        <v>GT-899</v>
      </c>
      <c r="H2011" s="1" t="s">
        <v>1058</v>
      </c>
      <c r="I2011" s="1" t="s">
        <v>1082</v>
      </c>
      <c r="J2011" s="1" t="s">
        <v>26</v>
      </c>
      <c r="K2011" s="1" t="s">
        <v>1105</v>
      </c>
      <c r="L2011" s="1" t="s">
        <v>26</v>
      </c>
      <c r="M2011" s="1" t="s">
        <v>27</v>
      </c>
      <c r="N2011" s="1" t="s">
        <v>26</v>
      </c>
      <c r="O2011" s="1" t="s">
        <v>26</v>
      </c>
      <c r="P2011" s="4">
        <v>44735.35326388889</v>
      </c>
    </row>
    <row r="2012" hidden="1">
      <c r="A2012" s="1" t="s">
        <v>21</v>
      </c>
      <c r="B2012" s="3" t="str">
        <f>HYPERLINK("https://hawk-eye.atlassian.net/browse/HWKREPORT-1376?atlOrigin=eyJpIjoiYzgwYTQ0ZjEyNzQzNGJhN2JmNjEyZTM0NmRhZWZhNjIiLCJwIjoic2hlZXRzLWppcmEifQ","HWKREPORT-1376")</f>
        <v>HWKREPORT-1376</v>
      </c>
      <c r="C2012" s="1" t="s">
        <v>3279</v>
      </c>
      <c r="D2012" s="1" t="s">
        <v>23</v>
      </c>
      <c r="E2012" s="1" t="s">
        <v>1057</v>
      </c>
      <c r="F2012" s="4">
        <v>44735.702523148146</v>
      </c>
      <c r="G2012" s="3" t="str">
        <f>HYPERLINK("https://hawk-eye.atlassian.net/issues/?atlOrigin=eyJpIjoiYzgwYTQ0ZjEyNzQzNGJhN2JmNjEyZTM0NmRhZWZhNjIiLCJwIjoic2hlZXRzLWppcmEifQ&amp;jql=key+in+%28RTT-5086%2CRTT-5256%29","RTT-5086;RTT-5256")</f>
        <v>RTT-5086;RTT-5256</v>
      </c>
      <c r="H2012" s="1" t="s">
        <v>1058</v>
      </c>
      <c r="I2012" s="1" t="s">
        <v>1071</v>
      </c>
      <c r="J2012" s="1" t="s">
        <v>26</v>
      </c>
      <c r="K2012" s="1" t="s">
        <v>1072</v>
      </c>
      <c r="L2012" s="1" t="s">
        <v>26</v>
      </c>
      <c r="M2012" s="1" t="s">
        <v>27</v>
      </c>
      <c r="N2012" s="1" t="s">
        <v>26</v>
      </c>
      <c r="O2012" s="1" t="s">
        <v>26</v>
      </c>
      <c r="P2012" s="4">
        <v>44810.63988425926</v>
      </c>
    </row>
    <row r="2013" hidden="1">
      <c r="A2013" s="1" t="s">
        <v>21</v>
      </c>
      <c r="B2013" s="3" t="str">
        <f>HYPERLINK("https://hawk-eye.atlassian.net/browse/HWKREPORT-1377?atlOrigin=eyJpIjoiYzgwYTQ0ZjEyNzQzNGJhN2JmNjEyZTM0NmRhZWZhNjIiLCJwIjoic2hlZXRzLWppcmEifQ","HWKREPORT-1377")</f>
        <v>HWKREPORT-1377</v>
      </c>
      <c r="C2013" s="1" t="s">
        <v>3280</v>
      </c>
      <c r="D2013" s="1" t="s">
        <v>23</v>
      </c>
      <c r="E2013" s="1" t="s">
        <v>35</v>
      </c>
      <c r="F2013" s="4">
        <v>44735.7778125</v>
      </c>
      <c r="G2013" s="3" t="str">
        <f>HYPERLINK("https://hawk-eye.atlassian.net/browse/AL-387?atlOrigin=eyJpIjoiYzgwYTQ0ZjEyNzQzNGJhN2JmNjEyZTM0NmRhZWZhNjIiLCJwIjoic2hlZXRzLWppcmEifQ","AL-387")</f>
        <v>AL-387</v>
      </c>
      <c r="H2013" s="1" t="s">
        <v>1058</v>
      </c>
      <c r="I2013" s="1" t="s">
        <v>1071</v>
      </c>
      <c r="J2013" s="1" t="s">
        <v>26</v>
      </c>
      <c r="K2013" s="1" t="s">
        <v>1898</v>
      </c>
      <c r="L2013" s="1" t="s">
        <v>26</v>
      </c>
      <c r="M2013" s="1" t="s">
        <v>27</v>
      </c>
      <c r="N2013" s="1" t="s">
        <v>26</v>
      </c>
      <c r="O2013" s="1" t="s">
        <v>26</v>
      </c>
      <c r="P2013" s="4">
        <v>44827.44375</v>
      </c>
    </row>
    <row r="2014" hidden="1">
      <c r="A2014" s="1" t="s">
        <v>21</v>
      </c>
      <c r="B2014" s="3" t="str">
        <f>HYPERLINK("https://hawk-eye.atlassian.net/browse/HWKREPORT-1378?atlOrigin=eyJpIjoiYzgwYTQ0ZjEyNzQzNGJhN2JmNjEyZTM0NmRhZWZhNjIiLCJwIjoic2hlZXRzLWppcmEifQ","HWKREPORT-1378")</f>
        <v>HWKREPORT-1378</v>
      </c>
      <c r="C2014" s="1" t="s">
        <v>3281</v>
      </c>
      <c r="D2014" s="1" t="s">
        <v>34</v>
      </c>
      <c r="E2014" s="1" t="s">
        <v>1207</v>
      </c>
      <c r="F2014" s="4">
        <v>44736.30076388889</v>
      </c>
      <c r="G2014" s="3" t="str">
        <f>HYPERLINK("https://hawk-eye.atlassian.net/browse/AL-388?atlOrigin=eyJpIjoiYzgwYTQ0ZjEyNzQzNGJhN2JmNjEyZTM0NmRhZWZhNjIiLCJwIjoic2hlZXRzLWppcmEifQ","AL-388")</f>
        <v>AL-388</v>
      </c>
      <c r="H2014" s="1" t="s">
        <v>1058</v>
      </c>
      <c r="I2014" s="1" t="s">
        <v>1071</v>
      </c>
      <c r="J2014" s="1" t="s">
        <v>26</v>
      </c>
      <c r="K2014" s="1" t="s">
        <v>1898</v>
      </c>
      <c r="L2014" s="1" t="s">
        <v>26</v>
      </c>
      <c r="M2014" s="1" t="s">
        <v>27</v>
      </c>
      <c r="N2014" s="1" t="s">
        <v>26</v>
      </c>
      <c r="O2014" s="1" t="s">
        <v>26</v>
      </c>
      <c r="P2014" s="4">
        <v>44929.4184837963</v>
      </c>
    </row>
    <row r="2015" hidden="1">
      <c r="A2015" s="1" t="s">
        <v>1055</v>
      </c>
      <c r="B2015" s="3" t="str">
        <f>HYPERLINK("https://hawk-eye.atlassian.net/browse/HWKREPORT-1379?atlOrigin=eyJpIjoiYzgwYTQ0ZjEyNzQzNGJhN2JmNjEyZTM0NmRhZWZhNjIiLCJwIjoic2hlZXRzLWppcmEifQ","HWKREPORT-1379")</f>
        <v>HWKREPORT-1379</v>
      </c>
      <c r="C2015" s="1" t="s">
        <v>3282</v>
      </c>
      <c r="D2015" s="1" t="s">
        <v>23</v>
      </c>
      <c r="E2015" s="1" t="s">
        <v>35</v>
      </c>
      <c r="F2015" s="4">
        <v>44739.45712962963</v>
      </c>
      <c r="G2015" s="3" t="str">
        <f>HYPERLINK("https://hawk-eye.atlassian.net/browse/?atlOrigin=eyJpIjoiYzgwYTQ0ZjEyNzQzNGJhN2JmNjEyZTM0NmRhZWZhNjIiLCJwIjoic2hlZXRzLWppcmEifQ","")</f>
        <v/>
      </c>
      <c r="H2015" s="1" t="s">
        <v>1058</v>
      </c>
      <c r="I2015" s="1" t="s">
        <v>1082</v>
      </c>
      <c r="J2015" s="1" t="s">
        <v>26</v>
      </c>
      <c r="K2015" s="1" t="s">
        <v>1105</v>
      </c>
      <c r="L2015" s="1" t="s">
        <v>26</v>
      </c>
      <c r="M2015" s="1" t="s">
        <v>27</v>
      </c>
      <c r="N2015" s="1" t="s">
        <v>26</v>
      </c>
      <c r="O2015" s="1" t="s">
        <v>26</v>
      </c>
      <c r="P2015" s="4">
        <v>44853.64040509259</v>
      </c>
    </row>
    <row r="2016" hidden="1">
      <c r="A2016" s="1" t="s">
        <v>1055</v>
      </c>
      <c r="B2016" s="3" t="str">
        <f>HYPERLINK("https://hawk-eye.atlassian.net/browse/HWKREPORT-1380?atlOrigin=eyJpIjoiYzgwYTQ0ZjEyNzQzNGJhN2JmNjEyZTM0NmRhZWZhNjIiLCJwIjoic2hlZXRzLWppcmEifQ","HWKREPORT-1380")</f>
        <v>HWKREPORT-1380</v>
      </c>
      <c r="C2016" s="1" t="s">
        <v>3283</v>
      </c>
      <c r="D2016" s="1" t="s">
        <v>23</v>
      </c>
      <c r="E2016" s="1" t="s">
        <v>35</v>
      </c>
      <c r="F2016" s="4">
        <v>44739.68981481482</v>
      </c>
      <c r="G2016" s="3" t="str">
        <f>HYPERLINK("https://hawk-eye.atlassian.net/browse/RTT-5078?atlOrigin=eyJpIjoiYzgwYTQ0ZjEyNzQzNGJhN2JmNjEyZTM0NmRhZWZhNjIiLCJwIjoic2hlZXRzLWppcmEifQ","RTT-5078")</f>
        <v>RTT-5078</v>
      </c>
      <c r="H2016" s="1" t="s">
        <v>1058</v>
      </c>
      <c r="I2016" s="1" t="s">
        <v>28</v>
      </c>
      <c r="J2016" s="1" t="s">
        <v>26</v>
      </c>
      <c r="K2016" s="1" t="s">
        <v>1072</v>
      </c>
      <c r="L2016" s="1" t="s">
        <v>26</v>
      </c>
      <c r="M2016" s="1" t="s">
        <v>27</v>
      </c>
      <c r="N2016" s="1" t="s">
        <v>26</v>
      </c>
      <c r="O2016" s="1" t="s">
        <v>26</v>
      </c>
      <c r="P2016" s="4">
        <v>45524.73144675926</v>
      </c>
    </row>
    <row r="2017" hidden="1">
      <c r="A2017" s="1" t="s">
        <v>1055</v>
      </c>
      <c r="B2017" s="3" t="str">
        <f>HYPERLINK("https://hawk-eye.atlassian.net/browse/HWKREPORT-1381?atlOrigin=eyJpIjoiYzgwYTQ0ZjEyNzQzNGJhN2JmNjEyZTM0NmRhZWZhNjIiLCJwIjoic2hlZXRzLWppcmEifQ","HWKREPORT-1381")</f>
        <v>HWKREPORT-1381</v>
      </c>
      <c r="C2017" s="1" t="s">
        <v>3284</v>
      </c>
      <c r="D2017" s="1" t="s">
        <v>23</v>
      </c>
      <c r="E2017" s="1" t="s">
        <v>35</v>
      </c>
      <c r="F2017" s="4">
        <v>44739.7097337963</v>
      </c>
      <c r="G2017" s="3" t="str">
        <f>HYPERLINK("https://hawk-eye.atlassian.net/browse/RTT-5084?atlOrigin=eyJpIjoiYzgwYTQ0ZjEyNzQzNGJhN2JmNjEyZTM0NmRhZWZhNjIiLCJwIjoic2hlZXRzLWppcmEifQ","RTT-5084")</f>
        <v>RTT-5084</v>
      </c>
      <c r="H2017" s="1" t="s">
        <v>1058</v>
      </c>
      <c r="I2017" s="1" t="s">
        <v>28</v>
      </c>
      <c r="J2017" s="1" t="s">
        <v>26</v>
      </c>
      <c r="K2017" s="1" t="s">
        <v>1072</v>
      </c>
      <c r="L2017" s="1" t="s">
        <v>26</v>
      </c>
      <c r="M2017" s="1" t="s">
        <v>27</v>
      </c>
      <c r="N2017" s="1" t="s">
        <v>26</v>
      </c>
      <c r="O2017" s="1" t="s">
        <v>26</v>
      </c>
      <c r="P2017" s="4">
        <v>45216.382314814815</v>
      </c>
    </row>
    <row r="2018" hidden="1">
      <c r="A2018" s="1" t="s">
        <v>21</v>
      </c>
      <c r="B2018" s="3" t="str">
        <f>HYPERLINK("https://hawk-eye.atlassian.net/browse/HWKREPORT-1382?atlOrigin=eyJpIjoiYzgwYTQ0ZjEyNzQzNGJhN2JmNjEyZTM0NmRhZWZhNjIiLCJwIjoic2hlZXRzLWppcmEifQ","HWKREPORT-1382")</f>
        <v>HWKREPORT-1382</v>
      </c>
      <c r="C2018" s="1" t="s">
        <v>3285</v>
      </c>
      <c r="D2018" s="1" t="s">
        <v>23</v>
      </c>
      <c r="E2018" s="1" t="s">
        <v>35</v>
      </c>
      <c r="F2018" s="4">
        <v>44739.886712962965</v>
      </c>
      <c r="G2018" s="3" t="str">
        <f>HYPERLINK("https://hawk-eye.atlassian.net/browse/BDP-865?atlOrigin=eyJpIjoiYzgwYTQ0ZjEyNzQzNGJhN2JmNjEyZTM0NmRhZWZhNjIiLCJwIjoic2hlZXRzLWppcmEifQ","BDP-865")</f>
        <v>BDP-865</v>
      </c>
      <c r="H2018" s="1" t="s">
        <v>1058</v>
      </c>
      <c r="I2018" s="1" t="s">
        <v>1071</v>
      </c>
      <c r="J2018" s="1" t="s">
        <v>26</v>
      </c>
      <c r="K2018" s="1" t="s">
        <v>1130</v>
      </c>
      <c r="L2018" s="1" t="s">
        <v>26</v>
      </c>
      <c r="M2018" s="1" t="s">
        <v>27</v>
      </c>
      <c r="N2018" s="1" t="s">
        <v>26</v>
      </c>
      <c r="O2018" s="1" t="s">
        <v>26</v>
      </c>
      <c r="P2018" s="4">
        <v>45631.725381944445</v>
      </c>
    </row>
    <row r="2019" hidden="1">
      <c r="A2019" s="1" t="s">
        <v>21</v>
      </c>
      <c r="B2019" s="3" t="str">
        <f>HYPERLINK("https://hawk-eye.atlassian.net/browse/HWKREPORT-1383?atlOrigin=eyJpIjoiYzgwYTQ0ZjEyNzQzNGJhN2JmNjEyZTM0NmRhZWZhNjIiLCJwIjoic2hlZXRzLWppcmEifQ","HWKREPORT-1383")</f>
        <v>HWKREPORT-1383</v>
      </c>
      <c r="C2019" s="1" t="s">
        <v>3286</v>
      </c>
      <c r="D2019" s="1" t="s">
        <v>23</v>
      </c>
      <c r="E2019" s="1" t="s">
        <v>1057</v>
      </c>
      <c r="F2019" s="4">
        <v>44739.92439814815</v>
      </c>
      <c r="G2019" s="3" t="str">
        <f>HYPERLINK("https://hawk-eye.atlassian.net/browse/?atlOrigin=eyJpIjoiYzgwYTQ0ZjEyNzQzNGJhN2JmNjEyZTM0NmRhZWZhNjIiLCJwIjoic2hlZXRzLWppcmEifQ","")</f>
        <v/>
      </c>
      <c r="H2019" s="1" t="s">
        <v>1058</v>
      </c>
      <c r="I2019" s="1" t="s">
        <v>1071</v>
      </c>
      <c r="J2019" s="1" t="s">
        <v>26</v>
      </c>
      <c r="K2019" s="1" t="s">
        <v>2197</v>
      </c>
      <c r="L2019" s="1" t="s">
        <v>26</v>
      </c>
      <c r="M2019" s="1" t="s">
        <v>27</v>
      </c>
      <c r="N2019" s="1" t="s">
        <v>26</v>
      </c>
      <c r="O2019" s="1" t="s">
        <v>26</v>
      </c>
      <c r="P2019" s="4">
        <v>44739.924409722225</v>
      </c>
    </row>
    <row r="2020" hidden="1">
      <c r="A2020" s="1" t="s">
        <v>21</v>
      </c>
      <c r="B2020" s="3" t="str">
        <f>HYPERLINK("https://hawk-eye.atlassian.net/browse/HWKREPORT-1384?atlOrigin=eyJpIjoiYzgwYTQ0ZjEyNzQzNGJhN2JmNjEyZTM0NmRhZWZhNjIiLCJwIjoic2hlZXRzLWppcmEifQ","HWKREPORT-1384")</f>
        <v>HWKREPORT-1384</v>
      </c>
      <c r="C2020" s="1" t="s">
        <v>3287</v>
      </c>
      <c r="D2020" s="1" t="s">
        <v>34</v>
      </c>
      <c r="E2020" s="1" t="s">
        <v>1057</v>
      </c>
      <c r="F2020" s="4">
        <v>44740.21417824074</v>
      </c>
      <c r="G2020" s="3" t="str">
        <f>HYPERLINK("https://hawk-eye.atlassian.net/browse/BDP-861?atlOrigin=eyJpIjoiYzgwYTQ0ZjEyNzQzNGJhN2JmNjEyZTM0NmRhZWZhNjIiLCJwIjoic2hlZXRzLWppcmEifQ","BDP-861")</f>
        <v>BDP-861</v>
      </c>
      <c r="H2020" s="1" t="s">
        <v>1058</v>
      </c>
      <c r="I2020" s="1" t="s">
        <v>1071</v>
      </c>
      <c r="J2020" s="1" t="s">
        <v>26</v>
      </c>
      <c r="K2020" s="1" t="s">
        <v>1130</v>
      </c>
      <c r="L2020" s="1" t="s">
        <v>26</v>
      </c>
      <c r="M2020" s="1" t="s">
        <v>27</v>
      </c>
      <c r="N2020" s="1" t="s">
        <v>26</v>
      </c>
      <c r="O2020" s="1" t="s">
        <v>26</v>
      </c>
      <c r="P2020" s="4">
        <v>44740.21418981482</v>
      </c>
    </row>
    <row r="2021" hidden="1">
      <c r="A2021" s="1" t="s">
        <v>21</v>
      </c>
      <c r="B2021" s="3" t="str">
        <f>HYPERLINK("https://hawk-eye.atlassian.net/browse/HWKREPORT-1385?atlOrigin=eyJpIjoiYzgwYTQ0ZjEyNzQzNGJhN2JmNjEyZTM0NmRhZWZhNjIiLCJwIjoic2hlZXRzLWppcmEifQ","HWKREPORT-1385")</f>
        <v>HWKREPORT-1385</v>
      </c>
      <c r="C2021" s="1" t="s">
        <v>3288</v>
      </c>
      <c r="D2021" s="1" t="s">
        <v>23</v>
      </c>
      <c r="E2021" s="1" t="s">
        <v>35</v>
      </c>
      <c r="F2021" s="4">
        <v>44740.21769675926</v>
      </c>
      <c r="G2021" s="3" t="str">
        <f>HYPERLINK("https://hawk-eye.atlassian.net/browse/?atlOrigin=eyJpIjoiYzgwYTQ0ZjEyNzQzNGJhN2JmNjEyZTM0NmRhZWZhNjIiLCJwIjoic2hlZXRzLWppcmEifQ","")</f>
        <v/>
      </c>
      <c r="H2021" s="1" t="s">
        <v>1058</v>
      </c>
      <c r="I2021" s="1" t="s">
        <v>1071</v>
      </c>
      <c r="J2021" s="1" t="s">
        <v>26</v>
      </c>
      <c r="K2021" s="1" t="s">
        <v>1130</v>
      </c>
      <c r="L2021" s="1" t="s">
        <v>26</v>
      </c>
      <c r="M2021" s="1" t="s">
        <v>27</v>
      </c>
      <c r="N2021" s="1" t="s">
        <v>26</v>
      </c>
      <c r="O2021" s="1" t="s">
        <v>26</v>
      </c>
      <c r="P2021" s="4">
        <v>44774.45364583333</v>
      </c>
    </row>
    <row r="2022" hidden="1">
      <c r="A2022" s="1" t="s">
        <v>21</v>
      </c>
      <c r="B2022" s="3" t="str">
        <f>HYPERLINK("https://hawk-eye.atlassian.net/browse/HWKREPORT-1386?atlOrigin=eyJpIjoiYzgwYTQ0ZjEyNzQzNGJhN2JmNjEyZTM0NmRhZWZhNjIiLCJwIjoic2hlZXRzLWppcmEifQ","HWKREPORT-1386")</f>
        <v>HWKREPORT-1386</v>
      </c>
      <c r="C2022" s="1" t="s">
        <v>3289</v>
      </c>
      <c r="D2022" s="1" t="s">
        <v>23</v>
      </c>
      <c r="E2022" s="1" t="s">
        <v>1057</v>
      </c>
      <c r="F2022" s="4">
        <v>44740.472962962966</v>
      </c>
      <c r="G2022" s="3" t="str">
        <f>HYPERLINK("https://hawk-eye.atlassian.net/browse/GT-819?atlOrigin=eyJpIjoiYzgwYTQ0ZjEyNzQzNGJhN2JmNjEyZTM0NmRhZWZhNjIiLCJwIjoic2hlZXRzLWppcmEifQ","GT-819")</f>
        <v>GT-819</v>
      </c>
      <c r="H2022" s="1" t="s">
        <v>1058</v>
      </c>
      <c r="I2022" s="1" t="s">
        <v>1082</v>
      </c>
      <c r="J2022" s="1" t="s">
        <v>26</v>
      </c>
      <c r="K2022" s="1" t="s">
        <v>1105</v>
      </c>
      <c r="L2022" s="1" t="s">
        <v>26</v>
      </c>
      <c r="M2022" s="1" t="s">
        <v>27</v>
      </c>
      <c r="N2022" s="1" t="s">
        <v>26</v>
      </c>
      <c r="O2022" s="1" t="s">
        <v>26</v>
      </c>
      <c r="P2022" s="4">
        <v>44740.472974537035</v>
      </c>
    </row>
    <row r="2023" hidden="1">
      <c r="A2023" s="1" t="s">
        <v>1055</v>
      </c>
      <c r="B2023" s="3" t="str">
        <f>HYPERLINK("https://hawk-eye.atlassian.net/browse/HWKREPORT-1387?atlOrigin=eyJpIjoiYzgwYTQ0ZjEyNzQzNGJhN2JmNjEyZTM0NmRhZWZhNjIiLCJwIjoic2hlZXRzLWppcmEifQ","HWKREPORT-1387")</f>
        <v>HWKREPORT-1387</v>
      </c>
      <c r="C2023" s="1" t="s">
        <v>3290</v>
      </c>
      <c r="D2023" s="1" t="s">
        <v>23</v>
      </c>
      <c r="E2023" s="1" t="s">
        <v>1057</v>
      </c>
      <c r="F2023" s="4">
        <v>44740.47692129629</v>
      </c>
      <c r="G2023" s="3" t="str">
        <f>HYPERLINK("https://hawk-eye.atlassian.net/browse/?atlOrigin=eyJpIjoiYzgwYTQ0ZjEyNzQzNGJhN2JmNjEyZTM0NmRhZWZhNjIiLCJwIjoic2hlZXRzLWppcmEifQ","")</f>
        <v/>
      </c>
      <c r="H2023" s="1" t="s">
        <v>1058</v>
      </c>
      <c r="I2023" s="1" t="s">
        <v>1082</v>
      </c>
      <c r="J2023" s="1" t="s">
        <v>26</v>
      </c>
      <c r="K2023" s="1" t="s">
        <v>1105</v>
      </c>
      <c r="L2023" s="1" t="s">
        <v>26</v>
      </c>
      <c r="M2023" s="1" t="s">
        <v>27</v>
      </c>
      <c r="N2023" s="1" t="s">
        <v>26</v>
      </c>
      <c r="O2023" s="1" t="s">
        <v>26</v>
      </c>
      <c r="P2023" s="4">
        <v>44740.47693287037</v>
      </c>
    </row>
    <row r="2024" hidden="1">
      <c r="A2024" s="1" t="s">
        <v>1055</v>
      </c>
      <c r="B2024" s="3" t="str">
        <f>HYPERLINK("https://hawk-eye.atlassian.net/browse/HWKREPORT-1388?atlOrigin=eyJpIjoiYzgwYTQ0ZjEyNzQzNGJhN2JmNjEyZTM0NmRhZWZhNjIiLCJwIjoic2hlZXRzLWppcmEifQ","HWKREPORT-1388")</f>
        <v>HWKREPORT-1388</v>
      </c>
      <c r="C2024" s="1" t="s">
        <v>3291</v>
      </c>
      <c r="D2024" s="1" t="s">
        <v>23</v>
      </c>
      <c r="E2024" s="1" t="s">
        <v>35</v>
      </c>
      <c r="F2024" s="4">
        <v>44740.77217592593</v>
      </c>
      <c r="G2024" s="3" t="str">
        <f>HYPERLINK("https://hawk-eye.atlassian.net/browse/SO-330?atlOrigin=eyJpIjoiYzgwYTQ0ZjEyNzQzNGJhN2JmNjEyZTM0NmRhZWZhNjIiLCJwIjoic2hlZXRzLWppcmEifQ","SO-330")</f>
        <v>SO-330</v>
      </c>
      <c r="H2024" s="1" t="s">
        <v>1058</v>
      </c>
      <c r="I2024" s="1" t="s">
        <v>28</v>
      </c>
      <c r="J2024" s="1" t="s">
        <v>26</v>
      </c>
      <c r="K2024" s="1" t="s">
        <v>1116</v>
      </c>
      <c r="L2024" s="1" t="s">
        <v>26</v>
      </c>
      <c r="M2024" s="1" t="s">
        <v>27</v>
      </c>
      <c r="N2024" s="1" t="s">
        <v>26</v>
      </c>
      <c r="O2024" s="1" t="s">
        <v>26</v>
      </c>
      <c r="P2024" s="4">
        <v>44754.602314814816</v>
      </c>
    </row>
    <row r="2025" hidden="1">
      <c r="A2025" s="1" t="s">
        <v>21</v>
      </c>
      <c r="B2025" s="3" t="str">
        <f>HYPERLINK("https://hawk-eye.atlassian.net/browse/HWKREPORT-1389?atlOrigin=eyJpIjoiYzgwYTQ0ZjEyNzQzNGJhN2JmNjEyZTM0NmRhZWZhNjIiLCJwIjoic2hlZXRzLWppcmEifQ","HWKREPORT-1389")</f>
        <v>HWKREPORT-1389</v>
      </c>
      <c r="C2025" s="1" t="s">
        <v>3292</v>
      </c>
      <c r="D2025" s="1" t="s">
        <v>23</v>
      </c>
      <c r="E2025" s="1" t="s">
        <v>35</v>
      </c>
      <c r="F2025" s="4">
        <v>44740.92041666667</v>
      </c>
      <c r="G2025" s="3" t="str">
        <f>HYPERLINK("https://hawk-eye.atlassian.net/browse/RTT-5085?atlOrigin=eyJpIjoiYzgwYTQ0ZjEyNzQzNGJhN2JmNjEyZTM0NmRhZWZhNjIiLCJwIjoic2hlZXRzLWppcmEifQ","RTT-5085")</f>
        <v>RTT-5085</v>
      </c>
      <c r="H2025" s="1" t="s">
        <v>1058</v>
      </c>
      <c r="I2025" s="1" t="s">
        <v>1071</v>
      </c>
      <c r="J2025" s="1" t="s">
        <v>26</v>
      </c>
      <c r="K2025" s="1" t="s">
        <v>1099</v>
      </c>
      <c r="L2025" s="1" t="s">
        <v>26</v>
      </c>
      <c r="M2025" s="1" t="s">
        <v>27</v>
      </c>
      <c r="N2025" s="1" t="s">
        <v>26</v>
      </c>
      <c r="O2025" s="1" t="s">
        <v>26</v>
      </c>
      <c r="P2025" s="4">
        <v>44852.62425925926</v>
      </c>
    </row>
    <row r="2026" hidden="1">
      <c r="A2026" s="1" t="s">
        <v>21</v>
      </c>
      <c r="B2026" s="3" t="str">
        <f>HYPERLINK("https://hawk-eye.atlassian.net/browse/HWKREPORT-1390?atlOrigin=eyJpIjoiYzgwYTQ0ZjEyNzQzNGJhN2JmNjEyZTM0NmRhZWZhNjIiLCJwIjoic2hlZXRzLWppcmEifQ","HWKREPORT-1390")</f>
        <v>HWKREPORT-1390</v>
      </c>
      <c r="C2026" s="1" t="s">
        <v>3293</v>
      </c>
      <c r="D2026" s="1" t="s">
        <v>23</v>
      </c>
      <c r="E2026" s="1" t="s">
        <v>1207</v>
      </c>
      <c r="F2026" s="4">
        <v>44743.754270833335</v>
      </c>
      <c r="G2026" s="3" t="str">
        <f>HYPERLINK("https://hawk-eye.atlassian.net/browse/RTT-5127?atlOrigin=eyJpIjoiYzgwYTQ0ZjEyNzQzNGJhN2JmNjEyZTM0NmRhZWZhNjIiLCJwIjoic2hlZXRzLWppcmEifQ","RTT-5127")</f>
        <v>RTT-5127</v>
      </c>
      <c r="H2026" s="1" t="s">
        <v>1058</v>
      </c>
      <c r="I2026" s="1" t="s">
        <v>1126</v>
      </c>
      <c r="J2026" s="1" t="s">
        <v>26</v>
      </c>
      <c r="K2026" s="1" t="s">
        <v>1312</v>
      </c>
      <c r="L2026" s="1" t="s">
        <v>26</v>
      </c>
      <c r="M2026" s="1" t="s">
        <v>27</v>
      </c>
      <c r="N2026" s="1" t="s">
        <v>26</v>
      </c>
      <c r="O2026" s="1" t="s">
        <v>26</v>
      </c>
      <c r="P2026" s="4">
        <v>44929.4184837963</v>
      </c>
    </row>
    <row r="2027" hidden="1">
      <c r="A2027" s="1" t="s">
        <v>1055</v>
      </c>
      <c r="B2027" s="3" t="str">
        <f>HYPERLINK("https://hawk-eye.atlassian.net/browse/HWKREPORT-1391?atlOrigin=eyJpIjoiYzgwYTQ0ZjEyNzQzNGJhN2JmNjEyZTM0NmRhZWZhNjIiLCJwIjoic2hlZXRzLWppcmEifQ","HWKREPORT-1391")</f>
        <v>HWKREPORT-1391</v>
      </c>
      <c r="C2027" s="1" t="s">
        <v>3294</v>
      </c>
      <c r="D2027" s="1" t="s">
        <v>23</v>
      </c>
      <c r="E2027" s="1" t="s">
        <v>1207</v>
      </c>
      <c r="F2027" s="4">
        <v>44743.893113425926</v>
      </c>
      <c r="G2027" s="3" t="str">
        <f>HYPERLINK("https://hawk-eye.atlassian.net/browse/RTT-5080?atlOrigin=eyJpIjoiYzgwYTQ0ZjEyNzQzNGJhN2JmNjEyZTM0NmRhZWZhNjIiLCJwIjoic2hlZXRzLWppcmEifQ","RTT-5080")</f>
        <v>RTT-5080</v>
      </c>
      <c r="H2027" s="1" t="s">
        <v>1058</v>
      </c>
      <c r="I2027" s="1" t="s">
        <v>1126</v>
      </c>
      <c r="J2027" s="1" t="s">
        <v>26</v>
      </c>
      <c r="K2027" s="1" t="s">
        <v>1134</v>
      </c>
      <c r="L2027" s="1" t="s">
        <v>26</v>
      </c>
      <c r="M2027" s="1" t="s">
        <v>27</v>
      </c>
      <c r="N2027" s="1" t="s">
        <v>26</v>
      </c>
      <c r="O2027" s="1" t="s">
        <v>26</v>
      </c>
      <c r="P2027" s="4">
        <v>44929.4184837963</v>
      </c>
    </row>
    <row r="2028" hidden="1">
      <c r="A2028" s="1" t="s">
        <v>21</v>
      </c>
      <c r="B2028" s="3" t="str">
        <f>HYPERLINK("https://hawk-eye.atlassian.net/browse/HWKREPORT-1392?atlOrigin=eyJpIjoiYzgwYTQ0ZjEyNzQzNGJhN2JmNjEyZTM0NmRhZWZhNjIiLCJwIjoic2hlZXRzLWppcmEifQ","HWKREPORT-1392")</f>
        <v>HWKREPORT-1392</v>
      </c>
      <c r="C2028" s="1" t="s">
        <v>3295</v>
      </c>
      <c r="D2028" s="1" t="s">
        <v>34</v>
      </c>
      <c r="E2028" s="1" t="s">
        <v>1207</v>
      </c>
      <c r="F2028" s="4">
        <v>44746.71601851852</v>
      </c>
      <c r="G2028" s="3" t="str">
        <f>HYPERLINK("https://hawk-eye.atlassian.net/browse/TDP-1462?atlOrigin=eyJpIjoiYzgwYTQ0ZjEyNzQzNGJhN2JmNjEyZTM0NmRhZWZhNjIiLCJwIjoic2hlZXRzLWppcmEifQ","TDP-1462")</f>
        <v>TDP-1462</v>
      </c>
      <c r="H2028" s="1" t="s">
        <v>1058</v>
      </c>
      <c r="I2028" s="1" t="s">
        <v>1126</v>
      </c>
      <c r="J2028" s="1" t="s">
        <v>26</v>
      </c>
      <c r="K2028" s="1" t="s">
        <v>1211</v>
      </c>
      <c r="L2028" s="1" t="s">
        <v>26</v>
      </c>
      <c r="M2028" s="1" t="s">
        <v>27</v>
      </c>
      <c r="N2028" s="1" t="s">
        <v>26</v>
      </c>
      <c r="O2028" s="1" t="s">
        <v>26</v>
      </c>
      <c r="P2028" s="4">
        <v>44929.4184837963</v>
      </c>
    </row>
    <row r="2029" hidden="1">
      <c r="A2029" s="1" t="s">
        <v>21</v>
      </c>
      <c r="B2029" s="3" t="str">
        <f>HYPERLINK("https://hawk-eye.atlassian.net/browse/HWKREPORT-1393?atlOrigin=eyJpIjoiYzgwYTQ0ZjEyNzQzNGJhN2JmNjEyZTM0NmRhZWZhNjIiLCJwIjoic2hlZXRzLWppcmEifQ","HWKREPORT-1393")</f>
        <v>HWKREPORT-1393</v>
      </c>
      <c r="C2029" s="1" t="s">
        <v>3296</v>
      </c>
      <c r="D2029" s="1" t="s">
        <v>23</v>
      </c>
      <c r="E2029" s="1" t="s">
        <v>1207</v>
      </c>
      <c r="F2029" s="4">
        <v>44746.89162037037</v>
      </c>
      <c r="G2029" s="3" t="str">
        <f>HYPERLINK("https://hawk-eye.atlassian.net/browse/RTT-5083?atlOrigin=eyJpIjoiYzgwYTQ0ZjEyNzQzNGJhN2JmNjEyZTM0NmRhZWZhNjIiLCJwIjoic2hlZXRzLWppcmEifQ","RTT-5083")</f>
        <v>RTT-5083</v>
      </c>
      <c r="H2029" s="1" t="s">
        <v>1058</v>
      </c>
      <c r="I2029" s="1" t="s">
        <v>1126</v>
      </c>
      <c r="J2029" s="1" t="s">
        <v>26</v>
      </c>
      <c r="K2029" s="1" t="s">
        <v>1072</v>
      </c>
      <c r="L2029" s="1" t="s">
        <v>26</v>
      </c>
      <c r="M2029" s="1" t="s">
        <v>27</v>
      </c>
      <c r="N2029" s="1" t="s">
        <v>26</v>
      </c>
      <c r="O2029" s="1" t="s">
        <v>26</v>
      </c>
      <c r="P2029" s="4">
        <v>44929.4184837963</v>
      </c>
    </row>
    <row r="2030" hidden="1">
      <c r="A2030" s="1" t="s">
        <v>21</v>
      </c>
      <c r="B2030" s="3" t="str">
        <f>HYPERLINK("https://hawk-eye.atlassian.net/browse/HWKREPORT-1394?atlOrigin=eyJpIjoiYzgwYTQ0ZjEyNzQzNGJhN2JmNjEyZTM0NmRhZWZhNjIiLCJwIjoic2hlZXRzLWppcmEifQ","HWKREPORT-1394")</f>
        <v>HWKREPORT-1394</v>
      </c>
      <c r="C2030" s="1" t="s">
        <v>3297</v>
      </c>
      <c r="D2030" s="1" t="s">
        <v>34</v>
      </c>
      <c r="E2030" s="1" t="s">
        <v>1207</v>
      </c>
      <c r="F2030" s="4">
        <v>44746.9005787037</v>
      </c>
      <c r="G2030" s="3" t="str">
        <f>HYPERLINK("https://hawk-eye.atlassian.net/browse/RTT-5082?atlOrigin=eyJpIjoiYzgwYTQ0ZjEyNzQzNGJhN2JmNjEyZTM0NmRhZWZhNjIiLCJwIjoic2hlZXRzLWppcmEifQ","RTT-5082")</f>
        <v>RTT-5082</v>
      </c>
      <c r="H2030" s="1" t="s">
        <v>1058</v>
      </c>
      <c r="I2030" s="1" t="s">
        <v>1126</v>
      </c>
      <c r="J2030" s="1" t="s">
        <v>26</v>
      </c>
      <c r="K2030" s="1" t="s">
        <v>2197</v>
      </c>
      <c r="L2030" s="1" t="s">
        <v>26</v>
      </c>
      <c r="M2030" s="1" t="s">
        <v>27</v>
      </c>
      <c r="N2030" s="1" t="s">
        <v>26</v>
      </c>
      <c r="O2030" s="1" t="s">
        <v>26</v>
      </c>
      <c r="P2030" s="4">
        <v>44929.4184837963</v>
      </c>
    </row>
    <row r="2031" hidden="1">
      <c r="A2031" s="1" t="s">
        <v>21</v>
      </c>
      <c r="B2031" s="3" t="str">
        <f>HYPERLINK("https://hawk-eye.atlassian.net/browse/HWKREPORT-1395?atlOrigin=eyJpIjoiYzgwYTQ0ZjEyNzQzNGJhN2JmNjEyZTM0NmRhZWZhNjIiLCJwIjoic2hlZXRzLWppcmEifQ","HWKREPORT-1395")</f>
        <v>HWKREPORT-1395</v>
      </c>
      <c r="C2031" s="1" t="s">
        <v>3298</v>
      </c>
      <c r="D2031" s="1" t="s">
        <v>23</v>
      </c>
      <c r="E2031" s="1" t="s">
        <v>35</v>
      </c>
      <c r="F2031" s="4">
        <v>44747.82011574074</v>
      </c>
      <c r="G2031" s="3" t="str">
        <f>HYPERLINK("https://hawk-eye.atlassian.net/browse/AL-400?atlOrigin=eyJpIjoiYzgwYTQ0ZjEyNzQzNGJhN2JmNjEyZTM0NmRhZWZhNjIiLCJwIjoic2hlZXRzLWppcmEifQ","AL-400")</f>
        <v>AL-400</v>
      </c>
      <c r="H2031" s="1" t="s">
        <v>1058</v>
      </c>
      <c r="I2031" s="1" t="s">
        <v>1071</v>
      </c>
      <c r="J2031" s="1" t="s">
        <v>26</v>
      </c>
      <c r="K2031" s="1" t="s">
        <v>1276</v>
      </c>
      <c r="L2031" s="1" t="s">
        <v>26</v>
      </c>
      <c r="M2031" s="1" t="s">
        <v>27</v>
      </c>
      <c r="N2031" s="1" t="s">
        <v>26</v>
      </c>
      <c r="O2031" s="1" t="s">
        <v>26</v>
      </c>
      <c r="P2031" s="4">
        <v>44827.44332175926</v>
      </c>
    </row>
    <row r="2032" hidden="1">
      <c r="A2032" s="1" t="s">
        <v>21</v>
      </c>
      <c r="B2032" s="3" t="str">
        <f>HYPERLINK("https://hawk-eye.atlassian.net/browse/HWKREPORT-1396?atlOrigin=eyJpIjoiYzgwYTQ0ZjEyNzQzNGJhN2JmNjEyZTM0NmRhZWZhNjIiLCJwIjoic2hlZXRzLWppcmEifQ","HWKREPORT-1396")</f>
        <v>HWKREPORT-1396</v>
      </c>
      <c r="C2032" s="1" t="s">
        <v>3299</v>
      </c>
      <c r="D2032" s="1" t="s">
        <v>34</v>
      </c>
      <c r="E2032" s="1" t="s">
        <v>35</v>
      </c>
      <c r="F2032" s="4">
        <v>44748.53855324074</v>
      </c>
      <c r="G2032" s="3" t="str">
        <f>HYPERLINK("https://hawk-eye.atlassian.net/browse/SO-337?atlOrigin=eyJpIjoiYzgwYTQ0ZjEyNzQzNGJhN2JmNjEyZTM0NmRhZWZhNjIiLCJwIjoic2hlZXRzLWppcmEifQ","SO-337")</f>
        <v>SO-337</v>
      </c>
      <c r="H2032" s="1" t="s">
        <v>1058</v>
      </c>
      <c r="I2032" s="1" t="s">
        <v>1085</v>
      </c>
      <c r="J2032" s="1" t="s">
        <v>26</v>
      </c>
      <c r="K2032" s="1" t="s">
        <v>3300</v>
      </c>
      <c r="L2032" s="1" t="s">
        <v>26</v>
      </c>
      <c r="M2032" s="1" t="s">
        <v>27</v>
      </c>
      <c r="N2032" s="1" t="s">
        <v>26</v>
      </c>
      <c r="O2032" s="1" t="s">
        <v>26</v>
      </c>
      <c r="P2032" s="4">
        <v>44749.371828703705</v>
      </c>
    </row>
    <row r="2033" hidden="1">
      <c r="A2033" s="1" t="s">
        <v>21</v>
      </c>
      <c r="B2033" s="3" t="str">
        <f>HYPERLINK("https://hawk-eye.atlassian.net/browse/HWKREPORT-1397?atlOrigin=eyJpIjoiYzgwYTQ0ZjEyNzQzNGJhN2JmNjEyZTM0NmRhZWZhNjIiLCJwIjoic2hlZXRzLWppcmEifQ","HWKREPORT-1397")</f>
        <v>HWKREPORT-1397</v>
      </c>
      <c r="C2033" s="1" t="s">
        <v>3301</v>
      </c>
      <c r="D2033" s="1" t="s">
        <v>34</v>
      </c>
      <c r="E2033" s="1" t="s">
        <v>35</v>
      </c>
      <c r="F2033" s="4">
        <v>44749.58324074074</v>
      </c>
      <c r="G2033" s="3" t="str">
        <f>HYPERLINK("https://hawk-eye.atlassian.net/browse/SO-338?atlOrigin=eyJpIjoiYzgwYTQ0ZjEyNzQzNGJhN2JmNjEyZTM0NmRhZWZhNjIiLCJwIjoic2hlZXRzLWppcmEifQ","SO-338")</f>
        <v>SO-338</v>
      </c>
      <c r="H2033" s="1" t="s">
        <v>1058</v>
      </c>
      <c r="I2033" s="1" t="s">
        <v>1085</v>
      </c>
      <c r="J2033" s="1" t="s">
        <v>26</v>
      </c>
      <c r="K2033" s="1" t="s">
        <v>1116</v>
      </c>
      <c r="L2033" s="1" t="s">
        <v>26</v>
      </c>
      <c r="M2033" s="1" t="s">
        <v>27</v>
      </c>
      <c r="N2033" s="1" t="s">
        <v>26</v>
      </c>
      <c r="O2033" s="1" t="s">
        <v>26</v>
      </c>
      <c r="P2033" s="4">
        <v>44761.43761574074</v>
      </c>
    </row>
    <row r="2034" hidden="1">
      <c r="A2034" s="1" t="s">
        <v>21</v>
      </c>
      <c r="B2034" s="3" t="str">
        <f>HYPERLINK("https://hawk-eye.atlassian.net/browse/HWKREPORT-1398?atlOrigin=eyJpIjoiYzgwYTQ0ZjEyNzQzNGJhN2JmNjEyZTM0NmRhZWZhNjIiLCJwIjoic2hlZXRzLWppcmEifQ","HWKREPORT-1398")</f>
        <v>HWKREPORT-1398</v>
      </c>
      <c r="C2034" s="1" t="s">
        <v>3302</v>
      </c>
      <c r="D2034" s="1" t="s">
        <v>23</v>
      </c>
      <c r="E2034" s="1" t="s">
        <v>35</v>
      </c>
      <c r="F2034" s="4">
        <v>44749.63532407407</v>
      </c>
      <c r="G2034" s="3" t="str">
        <f>HYPERLINK("https://hawk-eye.atlassian.net/browse/BDP-948?atlOrigin=eyJpIjoiYzgwYTQ0ZjEyNzQzNGJhN2JmNjEyZTM0NmRhZWZhNjIiLCJwIjoic2hlZXRzLWppcmEifQ","BDP-948")</f>
        <v>BDP-948</v>
      </c>
      <c r="H2034" s="1" t="s">
        <v>1058</v>
      </c>
      <c r="I2034" s="1" t="s">
        <v>1071</v>
      </c>
      <c r="J2034" s="1" t="s">
        <v>26</v>
      </c>
      <c r="K2034" s="1" t="s">
        <v>1130</v>
      </c>
      <c r="L2034" s="1" t="s">
        <v>26</v>
      </c>
      <c r="M2034" s="1" t="s">
        <v>27</v>
      </c>
      <c r="N2034" s="1" t="s">
        <v>26</v>
      </c>
      <c r="O2034" s="1" t="s">
        <v>26</v>
      </c>
      <c r="P2034" s="4">
        <v>44872.788252314815</v>
      </c>
    </row>
    <row r="2035" hidden="1">
      <c r="A2035" s="1" t="s">
        <v>1055</v>
      </c>
      <c r="B2035" s="3" t="str">
        <f>HYPERLINK("https://hawk-eye.atlassian.net/browse/HWKREPORT-1399?atlOrigin=eyJpIjoiYzgwYTQ0ZjEyNzQzNGJhN2JmNjEyZTM0NmRhZWZhNjIiLCJwIjoic2hlZXRzLWppcmEifQ","HWKREPORT-1399")</f>
        <v>HWKREPORT-1399</v>
      </c>
      <c r="C2035" s="1" t="s">
        <v>3303</v>
      </c>
      <c r="D2035" s="1" t="s">
        <v>23</v>
      </c>
      <c r="E2035" s="1" t="s">
        <v>1207</v>
      </c>
      <c r="F2035" s="4">
        <v>44750.193344907406</v>
      </c>
      <c r="G2035" s="3" t="str">
        <f>HYPERLINK("https://hawk-eye.atlassian.net/browse/AL-406?atlOrigin=eyJpIjoiYzgwYTQ0ZjEyNzQzNGJhN2JmNjEyZTM0NmRhZWZhNjIiLCJwIjoic2hlZXRzLWppcmEifQ","AL-406")</f>
        <v>AL-406</v>
      </c>
      <c r="H2035" s="1" t="s">
        <v>1058</v>
      </c>
      <c r="I2035" s="1" t="s">
        <v>1071</v>
      </c>
      <c r="J2035" s="1" t="s">
        <v>26</v>
      </c>
      <c r="K2035" s="1" t="s">
        <v>1898</v>
      </c>
      <c r="L2035" s="1" t="s">
        <v>26</v>
      </c>
      <c r="M2035" s="1" t="s">
        <v>27</v>
      </c>
      <c r="N2035" s="1" t="s">
        <v>26</v>
      </c>
      <c r="O2035" s="1" t="s">
        <v>26</v>
      </c>
      <c r="P2035" s="4">
        <v>44929.4184837963</v>
      </c>
    </row>
    <row r="2036" hidden="1">
      <c r="A2036" s="1" t="s">
        <v>1055</v>
      </c>
      <c r="B2036" s="3" t="str">
        <f>HYPERLINK("https://hawk-eye.atlassian.net/browse/HWKREPORT-1400?atlOrigin=eyJpIjoiYzgwYTQ0ZjEyNzQzNGJhN2JmNjEyZTM0NmRhZWZhNjIiLCJwIjoic2hlZXRzLWppcmEifQ","HWKREPORT-1400")</f>
        <v>HWKREPORT-1400</v>
      </c>
      <c r="C2036" s="1" t="s">
        <v>3304</v>
      </c>
      <c r="D2036" s="1" t="s">
        <v>23</v>
      </c>
      <c r="E2036" s="1" t="s">
        <v>1207</v>
      </c>
      <c r="F2036" s="4">
        <v>44750.82586805556</v>
      </c>
      <c r="G2036" s="3" t="str">
        <f>HYPERLINK("https://hawk-eye.atlassian.net/browse/RTT-5420?atlOrigin=eyJpIjoiYzgwYTQ0ZjEyNzQzNGJhN2JmNjEyZTM0NmRhZWZhNjIiLCJwIjoic2hlZXRzLWppcmEifQ","RTT-5420")</f>
        <v>RTT-5420</v>
      </c>
      <c r="H2036" s="1" t="s">
        <v>1058</v>
      </c>
      <c r="I2036" s="1" t="s">
        <v>1071</v>
      </c>
      <c r="J2036" s="1" t="s">
        <v>26</v>
      </c>
      <c r="K2036" s="1" t="s">
        <v>1072</v>
      </c>
      <c r="L2036" s="1" t="s">
        <v>26</v>
      </c>
      <c r="M2036" s="1" t="s">
        <v>27</v>
      </c>
      <c r="N2036" s="1" t="s">
        <v>26</v>
      </c>
      <c r="O2036" s="1" t="s">
        <v>26</v>
      </c>
      <c r="P2036" s="4">
        <v>44980.72557870371</v>
      </c>
    </row>
    <row r="2037" hidden="1">
      <c r="A2037" s="1" t="s">
        <v>21</v>
      </c>
      <c r="B2037" s="3" t="str">
        <f>HYPERLINK("https://hawk-eye.atlassian.net/browse/HWKREPORT-1401?atlOrigin=eyJpIjoiYzgwYTQ0ZjEyNzQzNGJhN2JmNjEyZTM0NmRhZWZhNjIiLCJwIjoic2hlZXRzLWppcmEifQ","HWKREPORT-1401")</f>
        <v>HWKREPORT-1401</v>
      </c>
      <c r="C2037" s="1" t="s">
        <v>3305</v>
      </c>
      <c r="D2037" s="1" t="s">
        <v>40</v>
      </c>
      <c r="E2037" s="1" t="s">
        <v>35</v>
      </c>
      <c r="F2037" s="4">
        <v>44752.68525462963</v>
      </c>
      <c r="G2037" s="3" t="str">
        <f>HYPERLINK("https://hawk-eye.atlassian.net/browse/?atlOrigin=eyJpIjoiYzgwYTQ0ZjEyNzQzNGJhN2JmNjEyZTM0NmRhZWZhNjIiLCJwIjoic2hlZXRzLWppcmEifQ","")</f>
        <v/>
      </c>
      <c r="H2037" s="1" t="s">
        <v>1058</v>
      </c>
      <c r="I2037" s="1" t="s">
        <v>1085</v>
      </c>
      <c r="J2037" s="1" t="s">
        <v>26</v>
      </c>
      <c r="K2037" s="1" t="s">
        <v>1072</v>
      </c>
      <c r="L2037" s="1" t="s">
        <v>26</v>
      </c>
      <c r="M2037" s="1" t="s">
        <v>27</v>
      </c>
      <c r="N2037" s="1" t="s">
        <v>26</v>
      </c>
      <c r="O2037" s="1" t="s">
        <v>26</v>
      </c>
      <c r="P2037" s="4">
        <v>44803.394375</v>
      </c>
    </row>
    <row r="2038" hidden="1">
      <c r="A2038" s="1" t="s">
        <v>21</v>
      </c>
      <c r="B2038" s="3" t="str">
        <f>HYPERLINK("https://hawk-eye.atlassian.net/browse/HWKREPORT-1402?atlOrigin=eyJpIjoiYzgwYTQ0ZjEyNzQzNGJhN2JmNjEyZTM0NmRhZWZhNjIiLCJwIjoic2hlZXRzLWppcmEifQ","HWKREPORT-1402")</f>
        <v>HWKREPORT-1402</v>
      </c>
      <c r="C2038" s="1" t="s">
        <v>3306</v>
      </c>
      <c r="D2038" s="1" t="s">
        <v>40</v>
      </c>
      <c r="E2038" s="1" t="s">
        <v>35</v>
      </c>
      <c r="F2038" s="4">
        <v>44752.69144675926</v>
      </c>
      <c r="G2038" s="3" t="str">
        <f>HYPERLINK("https://hawk-eye.atlassian.net/browse/RTT-5122?atlOrigin=eyJpIjoiYzgwYTQ0ZjEyNzQzNGJhN2JmNjEyZTM0NmRhZWZhNjIiLCJwIjoic2hlZXRzLWppcmEifQ","RTT-5122")</f>
        <v>RTT-5122</v>
      </c>
      <c r="H2038" s="1" t="s">
        <v>1058</v>
      </c>
      <c r="I2038" s="1" t="s">
        <v>1085</v>
      </c>
      <c r="J2038" s="1" t="s">
        <v>26</v>
      </c>
      <c r="K2038" s="1" t="s">
        <v>1072</v>
      </c>
      <c r="L2038" s="1" t="s">
        <v>26</v>
      </c>
      <c r="M2038" s="1" t="s">
        <v>27</v>
      </c>
      <c r="N2038" s="1" t="s">
        <v>26</v>
      </c>
      <c r="O2038" s="1" t="s">
        <v>26</v>
      </c>
      <c r="P2038" s="4">
        <v>45341.55841435185</v>
      </c>
    </row>
    <row r="2039" hidden="1">
      <c r="A2039" s="1" t="s">
        <v>1055</v>
      </c>
      <c r="B2039" s="3" t="str">
        <f>HYPERLINK("https://hawk-eye.atlassian.net/browse/HWKREPORT-1403?atlOrigin=eyJpIjoiYzgwYTQ0ZjEyNzQzNGJhN2JmNjEyZTM0NmRhZWZhNjIiLCJwIjoic2hlZXRzLWppcmEifQ","HWKREPORT-1403")</f>
        <v>HWKREPORT-1403</v>
      </c>
      <c r="C2039" s="1" t="s">
        <v>3307</v>
      </c>
      <c r="D2039" s="1" t="s">
        <v>23</v>
      </c>
      <c r="E2039" s="1" t="s">
        <v>35</v>
      </c>
      <c r="F2039" s="4">
        <v>44753.235810185186</v>
      </c>
      <c r="G2039" s="3" t="str">
        <f>HYPERLINK("https://hawk-eye.atlassian.net/browse/?atlOrigin=eyJpIjoiYzgwYTQ0ZjEyNzQzNGJhN2JmNjEyZTM0NmRhZWZhNjIiLCJwIjoic2hlZXRzLWppcmEifQ","")</f>
        <v/>
      </c>
      <c r="H2039" s="1" t="s">
        <v>1058</v>
      </c>
      <c r="I2039" s="1" t="s">
        <v>1071</v>
      </c>
      <c r="J2039" s="1" t="s">
        <v>26</v>
      </c>
      <c r="K2039" s="1" t="s">
        <v>1072</v>
      </c>
      <c r="L2039" s="1" t="s">
        <v>26</v>
      </c>
      <c r="M2039" s="1" t="s">
        <v>27</v>
      </c>
      <c r="N2039" s="1" t="s">
        <v>26</v>
      </c>
      <c r="O2039" s="1" t="s">
        <v>26</v>
      </c>
      <c r="P2039" s="4">
        <v>44859.52172453704</v>
      </c>
    </row>
    <row r="2040" hidden="1">
      <c r="A2040" s="1" t="s">
        <v>21</v>
      </c>
      <c r="B2040" s="3" t="str">
        <f>HYPERLINK("https://hawk-eye.atlassian.net/browse/HWKREPORT-1404?atlOrigin=eyJpIjoiYzgwYTQ0ZjEyNzQzNGJhN2JmNjEyZTM0NmRhZWZhNjIiLCJwIjoic2hlZXRzLWppcmEifQ","HWKREPORT-1404")</f>
        <v>HWKREPORT-1404</v>
      </c>
      <c r="C2040" s="1" t="s">
        <v>3308</v>
      </c>
      <c r="D2040" s="1" t="s">
        <v>34</v>
      </c>
      <c r="E2040" s="1" t="s">
        <v>1207</v>
      </c>
      <c r="F2040" s="4">
        <v>44753.450844907406</v>
      </c>
      <c r="G2040" s="3" t="str">
        <f>HYPERLINK("https://hawk-eye.atlassian.net/browse/RTT-5126?atlOrigin=eyJpIjoiYzgwYTQ0ZjEyNzQzNGJhN2JmNjEyZTM0NmRhZWZhNjIiLCJwIjoic2hlZXRzLWppcmEifQ","RTT-5126")</f>
        <v>RTT-5126</v>
      </c>
      <c r="H2040" s="1" t="s">
        <v>1058</v>
      </c>
      <c r="I2040" s="1" t="s">
        <v>1126</v>
      </c>
      <c r="J2040" s="1" t="s">
        <v>26</v>
      </c>
      <c r="K2040" s="1" t="s">
        <v>2197</v>
      </c>
      <c r="L2040" s="1" t="s">
        <v>26</v>
      </c>
      <c r="M2040" s="1" t="s">
        <v>27</v>
      </c>
      <c r="N2040" s="1" t="s">
        <v>26</v>
      </c>
      <c r="O2040" s="1" t="s">
        <v>26</v>
      </c>
      <c r="P2040" s="4">
        <v>44929.4184837963</v>
      </c>
    </row>
    <row r="2041" hidden="1">
      <c r="A2041" s="1" t="s">
        <v>21</v>
      </c>
      <c r="B2041" s="3" t="str">
        <f>HYPERLINK("https://hawk-eye.atlassian.net/browse/HWKREPORT-1405?atlOrigin=eyJpIjoiYzgwYTQ0ZjEyNzQzNGJhN2JmNjEyZTM0NmRhZWZhNjIiLCJwIjoic2hlZXRzLWppcmEifQ","HWKREPORT-1405")</f>
        <v>HWKREPORT-1405</v>
      </c>
      <c r="C2041" s="1" t="s">
        <v>3309</v>
      </c>
      <c r="D2041" s="1" t="s">
        <v>40</v>
      </c>
      <c r="E2041" s="1" t="s">
        <v>35</v>
      </c>
      <c r="F2041" s="4">
        <v>44753.775509259256</v>
      </c>
      <c r="G2041" s="3" t="str">
        <f t="shared" ref="G2041:G2042" si="156">HYPERLINK("https://hawk-eye.atlassian.net/browse/?atlOrigin=eyJpIjoiYzgwYTQ0ZjEyNzQzNGJhN2JmNjEyZTM0NmRhZWZhNjIiLCJwIjoic2hlZXRzLWppcmEifQ","")</f>
        <v/>
      </c>
      <c r="H2041" s="1" t="s">
        <v>1058</v>
      </c>
      <c r="I2041" s="1" t="s">
        <v>1082</v>
      </c>
      <c r="J2041" s="1" t="s">
        <v>26</v>
      </c>
      <c r="K2041" s="1" t="s">
        <v>1744</v>
      </c>
      <c r="L2041" s="1" t="s">
        <v>26</v>
      </c>
      <c r="M2041" s="1" t="s">
        <v>27</v>
      </c>
      <c r="N2041" s="1" t="s">
        <v>26</v>
      </c>
      <c r="O2041" s="1" t="s">
        <v>26</v>
      </c>
      <c r="P2041" s="4">
        <v>44770.466631944444</v>
      </c>
    </row>
    <row r="2042" hidden="1">
      <c r="A2042" s="1" t="s">
        <v>1055</v>
      </c>
      <c r="B2042" s="3" t="str">
        <f>HYPERLINK("https://hawk-eye.atlassian.net/browse/HWKREPORT-1406?atlOrigin=eyJpIjoiYzgwYTQ0ZjEyNzQzNGJhN2JmNjEyZTM0NmRhZWZhNjIiLCJwIjoic2hlZXRzLWppcmEifQ","HWKREPORT-1406")</f>
        <v>HWKREPORT-1406</v>
      </c>
      <c r="C2042" s="1" t="s">
        <v>3310</v>
      </c>
      <c r="D2042" s="1" t="s">
        <v>23</v>
      </c>
      <c r="E2042" s="1" t="s">
        <v>1057</v>
      </c>
      <c r="F2042" s="4">
        <v>44753.885787037034</v>
      </c>
      <c r="G2042" s="3" t="str">
        <f t="shared" si="156"/>
        <v/>
      </c>
      <c r="H2042" s="1" t="s">
        <v>1058</v>
      </c>
      <c r="I2042" s="1" t="s">
        <v>1071</v>
      </c>
      <c r="J2042" s="1" t="s">
        <v>26</v>
      </c>
      <c r="K2042" s="1" t="s">
        <v>1372</v>
      </c>
      <c r="L2042" s="1" t="s">
        <v>26</v>
      </c>
      <c r="M2042" s="1" t="s">
        <v>27</v>
      </c>
      <c r="N2042" s="1" t="s">
        <v>26</v>
      </c>
      <c r="O2042" s="1" t="s">
        <v>26</v>
      </c>
      <c r="P2042" s="4">
        <v>44753.885787037034</v>
      </c>
    </row>
    <row r="2043" hidden="1">
      <c r="A2043" s="1" t="s">
        <v>1055</v>
      </c>
      <c r="B2043" s="3" t="str">
        <f>HYPERLINK("https://hawk-eye.atlassian.net/browse/HWKREPORT-1407?atlOrigin=eyJpIjoiYzgwYTQ0ZjEyNzQzNGJhN2JmNjEyZTM0NmRhZWZhNjIiLCJwIjoic2hlZXRzLWppcmEifQ","HWKREPORT-1407")</f>
        <v>HWKREPORT-1407</v>
      </c>
      <c r="C2043" s="1" t="s">
        <v>3311</v>
      </c>
      <c r="D2043" s="1" t="s">
        <v>23</v>
      </c>
      <c r="E2043" s="1" t="s">
        <v>1207</v>
      </c>
      <c r="F2043" s="4">
        <v>44753.89096064815</v>
      </c>
      <c r="G2043" s="3" t="str">
        <f>HYPERLINK("https://hawk-eye.atlassian.net/browse/RTT-5186?atlOrigin=eyJpIjoiYzgwYTQ0ZjEyNzQzNGJhN2JmNjEyZTM0NmRhZWZhNjIiLCJwIjoic2hlZXRzLWppcmEifQ","RTT-5186")</f>
        <v>RTT-5186</v>
      </c>
      <c r="H2043" s="1" t="s">
        <v>1058</v>
      </c>
      <c r="I2043" s="1" t="s">
        <v>1071</v>
      </c>
      <c r="J2043" s="1" t="s">
        <v>26</v>
      </c>
      <c r="K2043" s="1" t="s">
        <v>1072</v>
      </c>
      <c r="L2043" s="1" t="s">
        <v>26</v>
      </c>
      <c r="M2043" s="1" t="s">
        <v>27</v>
      </c>
      <c r="N2043" s="1" t="s">
        <v>26</v>
      </c>
      <c r="O2043" s="1" t="s">
        <v>26</v>
      </c>
      <c r="P2043" s="4">
        <v>44929.4184837963</v>
      </c>
    </row>
    <row r="2044" hidden="1">
      <c r="A2044" s="1" t="s">
        <v>1055</v>
      </c>
      <c r="B2044" s="3" t="str">
        <f>HYPERLINK("https://hawk-eye.atlassian.net/browse/HWKREPORT-1408?atlOrigin=eyJpIjoiYzgwYTQ0ZjEyNzQzNGJhN2JmNjEyZTM0NmRhZWZhNjIiLCJwIjoic2hlZXRzLWppcmEifQ","HWKREPORT-1408")</f>
        <v>HWKREPORT-1408</v>
      </c>
      <c r="C2044" s="1" t="s">
        <v>3312</v>
      </c>
      <c r="D2044" s="1" t="s">
        <v>23</v>
      </c>
      <c r="E2044" s="1" t="s">
        <v>35</v>
      </c>
      <c r="F2044" s="4">
        <v>44754.02621527778</v>
      </c>
      <c r="G2044" s="3" t="str">
        <f>HYPERLINK("https://hawk-eye.atlassian.net/browse/RTT-5380?atlOrigin=eyJpIjoiYzgwYTQ0ZjEyNzQzNGJhN2JmNjEyZTM0NmRhZWZhNjIiLCJwIjoic2hlZXRzLWppcmEifQ","RTT-5380")</f>
        <v>RTT-5380</v>
      </c>
      <c r="H2044" s="1" t="s">
        <v>1058</v>
      </c>
      <c r="I2044" s="1" t="s">
        <v>1071</v>
      </c>
      <c r="J2044" s="1" t="s">
        <v>26</v>
      </c>
      <c r="K2044" s="1" t="s">
        <v>1072</v>
      </c>
      <c r="L2044" s="1" t="s">
        <v>26</v>
      </c>
      <c r="M2044" s="1" t="s">
        <v>27</v>
      </c>
      <c r="N2044" s="1" t="s">
        <v>26</v>
      </c>
      <c r="O2044" s="1" t="s">
        <v>26</v>
      </c>
      <c r="P2044" s="4">
        <v>44867.55131944444</v>
      </c>
    </row>
    <row r="2045" hidden="1">
      <c r="A2045" s="1" t="s">
        <v>1055</v>
      </c>
      <c r="B2045" s="3" t="str">
        <f>HYPERLINK("https://hawk-eye.atlassian.net/browse/HWKREPORT-1409?atlOrigin=eyJpIjoiYzgwYTQ0ZjEyNzQzNGJhN2JmNjEyZTM0NmRhZWZhNjIiLCJwIjoic2hlZXRzLWppcmEifQ","HWKREPORT-1409")</f>
        <v>HWKREPORT-1409</v>
      </c>
      <c r="C2045" s="1" t="s">
        <v>3313</v>
      </c>
      <c r="D2045" s="1" t="s">
        <v>23</v>
      </c>
      <c r="E2045" s="1" t="s">
        <v>1057</v>
      </c>
      <c r="F2045" s="4">
        <v>44754.04756944445</v>
      </c>
      <c r="G2045" s="3" t="str">
        <f>HYPERLINK("https://hawk-eye.atlassian.net/browse/?atlOrigin=eyJpIjoiYzgwYTQ0ZjEyNzQzNGJhN2JmNjEyZTM0NmRhZWZhNjIiLCJwIjoic2hlZXRzLWppcmEifQ","")</f>
        <v/>
      </c>
      <c r="H2045" s="1" t="s">
        <v>1058</v>
      </c>
      <c r="I2045" s="1" t="s">
        <v>1071</v>
      </c>
      <c r="J2045" s="1" t="s">
        <v>26</v>
      </c>
      <c r="K2045" s="1" t="s">
        <v>1072</v>
      </c>
      <c r="L2045" s="1" t="s">
        <v>26</v>
      </c>
      <c r="M2045" s="1" t="s">
        <v>27</v>
      </c>
      <c r="N2045" s="1" t="s">
        <v>26</v>
      </c>
      <c r="O2045" s="1" t="s">
        <v>26</v>
      </c>
      <c r="P2045" s="4">
        <v>44754.04756944445</v>
      </c>
    </row>
    <row r="2046" hidden="1">
      <c r="A2046" s="1" t="s">
        <v>21</v>
      </c>
      <c r="B2046" s="3" t="str">
        <f>HYPERLINK("https://hawk-eye.atlassian.net/browse/HWKREPORT-1410?atlOrigin=eyJpIjoiYzgwYTQ0ZjEyNzQzNGJhN2JmNjEyZTM0NmRhZWZhNjIiLCJwIjoic2hlZXRzLWppcmEifQ","HWKREPORT-1410")</f>
        <v>HWKREPORT-1410</v>
      </c>
      <c r="C2046" s="1" t="s">
        <v>3314</v>
      </c>
      <c r="D2046" s="1" t="s">
        <v>23</v>
      </c>
      <c r="E2046" s="1" t="s">
        <v>1074</v>
      </c>
      <c r="F2046" s="4">
        <v>44754.59752314815</v>
      </c>
      <c r="G2046" s="3" t="str">
        <f>HYPERLINK("https://hawk-eye.atlassian.net/browse/RTT-5185?atlOrigin=eyJpIjoiYzgwYTQ0ZjEyNzQzNGJhN2JmNjEyZTM0NmRhZWZhNjIiLCJwIjoic2hlZXRzLWppcmEifQ","RTT-5185")</f>
        <v>RTT-5185</v>
      </c>
      <c r="H2046" s="1" t="s">
        <v>1058</v>
      </c>
      <c r="I2046" s="1" t="s">
        <v>1071</v>
      </c>
      <c r="J2046" s="1" t="s">
        <v>26</v>
      </c>
      <c r="K2046" s="1" t="s">
        <v>1072</v>
      </c>
      <c r="L2046" s="1" t="s">
        <v>26</v>
      </c>
      <c r="M2046" s="1" t="s">
        <v>27</v>
      </c>
      <c r="N2046" s="1" t="s">
        <v>26</v>
      </c>
      <c r="O2046" s="1" t="s">
        <v>26</v>
      </c>
      <c r="P2046" s="4">
        <v>44778.55100694444</v>
      </c>
    </row>
    <row r="2047" hidden="1">
      <c r="A2047" s="1" t="s">
        <v>1055</v>
      </c>
      <c r="B2047" s="3" t="str">
        <f>HYPERLINK("https://hawk-eye.atlassian.net/browse/HWKREPORT-1411?atlOrigin=eyJpIjoiYzgwYTQ0ZjEyNzQzNGJhN2JmNjEyZTM0NmRhZWZhNjIiLCJwIjoic2hlZXRzLWppcmEifQ","HWKREPORT-1411")</f>
        <v>HWKREPORT-1411</v>
      </c>
      <c r="C2047" s="1" t="s">
        <v>3315</v>
      </c>
      <c r="D2047" s="1" t="s">
        <v>23</v>
      </c>
      <c r="E2047" s="1" t="s">
        <v>1207</v>
      </c>
      <c r="F2047" s="4">
        <v>44755.433854166666</v>
      </c>
      <c r="G2047" s="3" t="str">
        <f>HYPERLINK("https://hawk-eye.atlassian.net/browse/RTT-5125?atlOrigin=eyJpIjoiYzgwYTQ0ZjEyNzQzNGJhN2JmNjEyZTM0NmRhZWZhNjIiLCJwIjoic2hlZXRzLWppcmEifQ","RTT-5125")</f>
        <v>RTT-5125</v>
      </c>
      <c r="H2047" s="1" t="s">
        <v>1058</v>
      </c>
      <c r="I2047" s="1" t="s">
        <v>1126</v>
      </c>
      <c r="J2047" s="1" t="s">
        <v>26</v>
      </c>
      <c r="K2047" s="1" t="s">
        <v>1312</v>
      </c>
      <c r="L2047" s="1" t="s">
        <v>26</v>
      </c>
      <c r="M2047" s="1" t="s">
        <v>27</v>
      </c>
      <c r="N2047" s="1" t="s">
        <v>26</v>
      </c>
      <c r="O2047" s="1" t="s">
        <v>26</v>
      </c>
      <c r="P2047" s="4">
        <v>44929.4184837963</v>
      </c>
    </row>
    <row r="2048" hidden="1">
      <c r="A2048" s="1" t="s">
        <v>21</v>
      </c>
      <c r="B2048" s="3" t="str">
        <f>HYPERLINK("https://hawk-eye.atlassian.net/browse/HWKREPORT-1412?atlOrigin=eyJpIjoiYzgwYTQ0ZjEyNzQzNGJhN2JmNjEyZTM0NmRhZWZhNjIiLCJwIjoic2hlZXRzLWppcmEifQ","HWKREPORT-1412")</f>
        <v>HWKREPORT-1412</v>
      </c>
      <c r="C2048" s="6" t="s">
        <v>3316</v>
      </c>
      <c r="D2048" s="1" t="s">
        <v>40</v>
      </c>
      <c r="E2048" s="1" t="s">
        <v>1207</v>
      </c>
      <c r="F2048" s="4">
        <v>44756.41326388889</v>
      </c>
      <c r="G2048" s="3" t="str">
        <f>HYPERLINK("https://hawk-eye.atlassian.net/browse/AL-421?atlOrigin=eyJpIjoiYzgwYTQ0ZjEyNzQzNGJhN2JmNjEyZTM0NmRhZWZhNjIiLCJwIjoic2hlZXRzLWppcmEifQ","AL-421")</f>
        <v>AL-421</v>
      </c>
      <c r="H2048" s="1" t="s">
        <v>1058</v>
      </c>
      <c r="I2048" s="1" t="s">
        <v>1085</v>
      </c>
      <c r="J2048" s="1" t="s">
        <v>26</v>
      </c>
      <c r="K2048" s="1" t="s">
        <v>1219</v>
      </c>
      <c r="L2048" s="1" t="s">
        <v>26</v>
      </c>
      <c r="M2048" s="1" t="s">
        <v>27</v>
      </c>
      <c r="N2048" s="1" t="s">
        <v>26</v>
      </c>
      <c r="O2048" s="1" t="s">
        <v>26</v>
      </c>
      <c r="P2048" s="4">
        <v>44929.4184837963</v>
      </c>
    </row>
    <row r="2049" hidden="1">
      <c r="A2049" s="1" t="s">
        <v>1055</v>
      </c>
      <c r="B2049" s="3" t="str">
        <f>HYPERLINK("https://hawk-eye.atlassian.net/browse/HWKREPORT-1413?atlOrigin=eyJpIjoiYzgwYTQ0ZjEyNzQzNGJhN2JmNjEyZTM0NmRhZWZhNjIiLCJwIjoic2hlZXRzLWppcmEifQ","HWKREPORT-1413")</f>
        <v>HWKREPORT-1413</v>
      </c>
      <c r="C2049" s="1" t="s">
        <v>3317</v>
      </c>
      <c r="D2049" s="1" t="s">
        <v>23</v>
      </c>
      <c r="E2049" s="1" t="s">
        <v>35</v>
      </c>
      <c r="F2049" s="4">
        <v>44756.491261574076</v>
      </c>
      <c r="G2049" s="3" t="str">
        <f>HYPERLINK("https://hawk-eye.atlassian.net/browse/RTT-5353?atlOrigin=eyJpIjoiYzgwYTQ0ZjEyNzQzNGJhN2JmNjEyZTM0NmRhZWZhNjIiLCJwIjoic2hlZXRzLWppcmEifQ","RTT-5353")</f>
        <v>RTT-5353</v>
      </c>
      <c r="H2049" s="1" t="s">
        <v>1058</v>
      </c>
      <c r="I2049" s="1" t="s">
        <v>1085</v>
      </c>
      <c r="J2049" s="1" t="s">
        <v>26</v>
      </c>
      <c r="K2049" s="1" t="s">
        <v>1072</v>
      </c>
      <c r="L2049" s="1" t="s">
        <v>26</v>
      </c>
      <c r="M2049" s="1" t="s">
        <v>27</v>
      </c>
      <c r="N2049" s="1" t="s">
        <v>26</v>
      </c>
      <c r="O2049" s="1" t="s">
        <v>26</v>
      </c>
      <c r="P2049" s="4">
        <v>44859.52137731481</v>
      </c>
    </row>
    <row r="2050" hidden="1">
      <c r="A2050" s="1" t="s">
        <v>21</v>
      </c>
      <c r="B2050" s="3" t="str">
        <f>HYPERLINK("https://hawk-eye.atlassian.net/browse/HWKREPORT-1414?atlOrigin=eyJpIjoiYzgwYTQ0ZjEyNzQzNGJhN2JmNjEyZTM0NmRhZWZhNjIiLCJwIjoic2hlZXRzLWppcmEifQ","HWKREPORT-1414")</f>
        <v>HWKREPORT-1414</v>
      </c>
      <c r="C2050" s="1" t="s">
        <v>3318</v>
      </c>
      <c r="D2050" s="1" t="s">
        <v>40</v>
      </c>
      <c r="E2050" s="1" t="s">
        <v>35</v>
      </c>
      <c r="F2050" s="4">
        <v>44756.51042824074</v>
      </c>
      <c r="G2050" s="3" t="str">
        <f>HYPERLINK("https://hawk-eye.atlassian.net/browse/RTT-5184?atlOrigin=eyJpIjoiYzgwYTQ0ZjEyNzQzNGJhN2JmNjEyZTM0NmRhZWZhNjIiLCJwIjoic2hlZXRzLWppcmEifQ","RTT-5184")</f>
        <v>RTT-5184</v>
      </c>
      <c r="H2050" s="1" t="s">
        <v>1058</v>
      </c>
      <c r="I2050" s="1" t="s">
        <v>1085</v>
      </c>
      <c r="J2050" s="1" t="s">
        <v>26</v>
      </c>
      <c r="K2050" s="1" t="s">
        <v>3319</v>
      </c>
      <c r="L2050" s="1" t="s">
        <v>26</v>
      </c>
      <c r="M2050" s="1" t="s">
        <v>27</v>
      </c>
      <c r="N2050" s="1" t="s">
        <v>26</v>
      </c>
      <c r="O2050" s="1" t="s">
        <v>26</v>
      </c>
      <c r="P2050" s="4">
        <v>45341.55844907407</v>
      </c>
    </row>
    <row r="2051" hidden="1">
      <c r="A2051" s="1" t="s">
        <v>21</v>
      </c>
      <c r="B2051" s="3" t="str">
        <f>HYPERLINK("https://hawk-eye.atlassian.net/browse/HWKREPORT-1415?atlOrigin=eyJpIjoiYzgwYTQ0ZjEyNzQzNGJhN2JmNjEyZTM0NmRhZWZhNjIiLCJwIjoic2hlZXRzLWppcmEifQ","HWKREPORT-1415")</f>
        <v>HWKREPORT-1415</v>
      </c>
      <c r="C2051" s="1" t="s">
        <v>3320</v>
      </c>
      <c r="D2051" s="1" t="s">
        <v>34</v>
      </c>
      <c r="E2051" s="1" t="s">
        <v>35</v>
      </c>
      <c r="F2051" s="4">
        <v>44756.513287037036</v>
      </c>
      <c r="G2051" s="3" t="str">
        <f>HYPERLINK("https://hawk-eye.atlassian.net/browse/RTT-5136?atlOrigin=eyJpIjoiYzgwYTQ0ZjEyNzQzNGJhN2JmNjEyZTM0NmRhZWZhNjIiLCJwIjoic2hlZXRzLWppcmEifQ","RTT-5136")</f>
        <v>RTT-5136</v>
      </c>
      <c r="H2051" s="1" t="s">
        <v>1058</v>
      </c>
      <c r="I2051" s="1" t="s">
        <v>1085</v>
      </c>
      <c r="J2051" s="1" t="s">
        <v>26</v>
      </c>
      <c r="K2051" s="1" t="s">
        <v>1312</v>
      </c>
      <c r="L2051" s="1" t="s">
        <v>26</v>
      </c>
      <c r="M2051" s="1" t="s">
        <v>27</v>
      </c>
      <c r="N2051" s="1" t="s">
        <v>26</v>
      </c>
      <c r="O2051" s="1" t="s">
        <v>26</v>
      </c>
      <c r="P2051" s="4">
        <v>45341.55847222222</v>
      </c>
    </row>
    <row r="2052" hidden="1">
      <c r="A2052" s="1" t="s">
        <v>1055</v>
      </c>
      <c r="B2052" s="3" t="str">
        <f>HYPERLINK("https://hawk-eye.atlassian.net/browse/HWKREPORT-1416?atlOrigin=eyJpIjoiYzgwYTQ0ZjEyNzQzNGJhN2JmNjEyZTM0NmRhZWZhNjIiLCJwIjoic2hlZXRzLWppcmEifQ","HWKREPORT-1416")</f>
        <v>HWKREPORT-1416</v>
      </c>
      <c r="C2052" s="1" t="s">
        <v>3321</v>
      </c>
      <c r="D2052" s="1" t="s">
        <v>23</v>
      </c>
      <c r="E2052" s="1" t="s">
        <v>35</v>
      </c>
      <c r="F2052" s="4">
        <v>44756.71084490741</v>
      </c>
      <c r="G2052" s="3" t="str">
        <f>HYPERLINK("https://hawk-eye.atlassian.net/browse/SO-359?atlOrigin=eyJpIjoiYzgwYTQ0ZjEyNzQzNGJhN2JmNjEyZTM0NmRhZWZhNjIiLCJwIjoic2hlZXRzLWppcmEifQ","SO-359")</f>
        <v>SO-359</v>
      </c>
      <c r="H2052" s="1" t="s">
        <v>1058</v>
      </c>
      <c r="I2052" s="1" t="s">
        <v>1071</v>
      </c>
      <c r="J2052" s="1" t="s">
        <v>26</v>
      </c>
      <c r="K2052" s="1" t="s">
        <v>1726</v>
      </c>
      <c r="L2052" s="1" t="s">
        <v>26</v>
      </c>
      <c r="M2052" s="1" t="s">
        <v>27</v>
      </c>
      <c r="N2052" s="1" t="s">
        <v>26</v>
      </c>
      <c r="O2052" s="1" t="s">
        <v>26</v>
      </c>
      <c r="P2052" s="4">
        <v>44944.54939814815</v>
      </c>
    </row>
    <row r="2053" hidden="1">
      <c r="A2053" s="1" t="s">
        <v>1055</v>
      </c>
      <c r="B2053" s="3" t="str">
        <f>HYPERLINK("https://hawk-eye.atlassian.net/browse/HWKREPORT-1417?atlOrigin=eyJpIjoiYzgwYTQ0ZjEyNzQzNGJhN2JmNjEyZTM0NmRhZWZhNjIiLCJwIjoic2hlZXRzLWppcmEifQ","HWKREPORT-1417")</f>
        <v>HWKREPORT-1417</v>
      </c>
      <c r="C2053" s="1" t="s">
        <v>3322</v>
      </c>
      <c r="D2053" s="1" t="s">
        <v>23</v>
      </c>
      <c r="E2053" s="1" t="s">
        <v>35</v>
      </c>
      <c r="F2053" s="4">
        <v>44756.72105324074</v>
      </c>
      <c r="G2053" s="3" t="str">
        <f>HYPERLINK("https://hawk-eye.atlassian.net/browse/SO-358?atlOrigin=eyJpIjoiYzgwYTQ0ZjEyNzQzNGJhN2JmNjEyZTM0NmRhZWZhNjIiLCJwIjoic2hlZXRzLWppcmEifQ","SO-358")</f>
        <v>SO-358</v>
      </c>
      <c r="H2053" s="1" t="s">
        <v>1058</v>
      </c>
      <c r="I2053" s="1" t="s">
        <v>1071</v>
      </c>
      <c r="J2053" s="1" t="s">
        <v>26</v>
      </c>
      <c r="K2053" s="1" t="s">
        <v>1726</v>
      </c>
      <c r="L2053" s="1" t="s">
        <v>26</v>
      </c>
      <c r="M2053" s="1" t="s">
        <v>27</v>
      </c>
      <c r="N2053" s="1" t="s">
        <v>26</v>
      </c>
      <c r="O2053" s="1" t="s">
        <v>26</v>
      </c>
      <c r="P2053" s="4">
        <v>44937.549479166664</v>
      </c>
    </row>
    <row r="2054" hidden="1">
      <c r="A2054" s="1" t="s">
        <v>1055</v>
      </c>
      <c r="B2054" s="3" t="str">
        <f>HYPERLINK("https://hawk-eye.atlassian.net/browse/HWKREPORT-1418?atlOrigin=eyJpIjoiYzgwYTQ0ZjEyNzQzNGJhN2JmNjEyZTM0NmRhZWZhNjIiLCJwIjoic2hlZXRzLWppcmEifQ","HWKREPORT-1418")</f>
        <v>HWKREPORT-1418</v>
      </c>
      <c r="C2054" s="1" t="s">
        <v>3323</v>
      </c>
      <c r="D2054" s="1" t="s">
        <v>83</v>
      </c>
      <c r="E2054" s="1" t="s">
        <v>35</v>
      </c>
      <c r="F2054" s="4">
        <v>44756.74780092593</v>
      </c>
      <c r="G2054" s="3" t="str">
        <f>HYPERLINK("https://hawk-eye.atlassian.net/browse/SO-357?atlOrigin=eyJpIjoiYzgwYTQ0ZjEyNzQzNGJhN2JmNjEyZTM0NmRhZWZhNjIiLCJwIjoic2hlZXRzLWppcmEifQ","SO-357")</f>
        <v>SO-357</v>
      </c>
      <c r="H2054" s="1" t="s">
        <v>1058</v>
      </c>
      <c r="I2054" s="1" t="s">
        <v>1071</v>
      </c>
      <c r="J2054" s="1" t="s">
        <v>26</v>
      </c>
      <c r="K2054" s="1" t="s">
        <v>1726</v>
      </c>
      <c r="L2054" s="1" t="s">
        <v>26</v>
      </c>
      <c r="M2054" s="1" t="s">
        <v>27</v>
      </c>
      <c r="N2054" s="1" t="s">
        <v>26</v>
      </c>
      <c r="O2054" s="1" t="s">
        <v>26</v>
      </c>
      <c r="P2054" s="4">
        <v>44956.587916666664</v>
      </c>
    </row>
    <row r="2055" hidden="1">
      <c r="A2055" s="1" t="s">
        <v>21</v>
      </c>
      <c r="B2055" s="3" t="str">
        <f>HYPERLINK("https://hawk-eye.atlassian.net/browse/HWKREPORT-1419?atlOrigin=eyJpIjoiYzgwYTQ0ZjEyNzQzNGJhN2JmNjEyZTM0NmRhZWZhNjIiLCJwIjoic2hlZXRzLWppcmEifQ","HWKREPORT-1419")</f>
        <v>HWKREPORT-1419</v>
      </c>
      <c r="C2055" s="1" t="s">
        <v>3324</v>
      </c>
      <c r="D2055" s="1" t="s">
        <v>23</v>
      </c>
      <c r="E2055" s="1" t="s">
        <v>1057</v>
      </c>
      <c r="F2055" s="4">
        <v>44756.89292824074</v>
      </c>
      <c r="G2055" s="3" t="str">
        <f>HYPERLINK("https://hawk-eye.atlassian.net/browse/?atlOrigin=eyJpIjoiYzgwYTQ0ZjEyNzQzNGJhN2JmNjEyZTM0NmRhZWZhNjIiLCJwIjoic2hlZXRzLWppcmEifQ","")</f>
        <v/>
      </c>
      <c r="H2055" s="1" t="s">
        <v>1058</v>
      </c>
      <c r="I2055" s="1" t="s">
        <v>1071</v>
      </c>
      <c r="J2055" s="1" t="s">
        <v>26</v>
      </c>
      <c r="K2055" s="1" t="s">
        <v>1099</v>
      </c>
      <c r="L2055" s="1" t="s">
        <v>26</v>
      </c>
      <c r="M2055" s="1" t="s">
        <v>27</v>
      </c>
      <c r="N2055" s="1" t="s">
        <v>26</v>
      </c>
      <c r="O2055" s="1" t="s">
        <v>26</v>
      </c>
      <c r="P2055" s="4">
        <v>44756.89293981482</v>
      </c>
    </row>
    <row r="2056" hidden="1">
      <c r="A2056" s="1" t="s">
        <v>1055</v>
      </c>
      <c r="B2056" s="3" t="str">
        <f>HYPERLINK("https://hawk-eye.atlassian.net/browse/HWKREPORT-1420?atlOrigin=eyJpIjoiYzgwYTQ0ZjEyNzQzNGJhN2JmNjEyZTM0NmRhZWZhNjIiLCJwIjoic2hlZXRzLWppcmEifQ","HWKREPORT-1420")</f>
        <v>HWKREPORT-1420</v>
      </c>
      <c r="C2056" s="1" t="s">
        <v>3325</v>
      </c>
      <c r="D2056" s="1" t="s">
        <v>23</v>
      </c>
      <c r="E2056" s="1" t="s">
        <v>35</v>
      </c>
      <c r="F2056" s="4">
        <v>44757.43243055556</v>
      </c>
      <c r="G2056" s="3" t="str">
        <f>HYPERLINK("https://hawk-eye.atlassian.net/browse/RTT-5137?atlOrigin=eyJpIjoiYzgwYTQ0ZjEyNzQzNGJhN2JmNjEyZTM0NmRhZWZhNjIiLCJwIjoic2hlZXRzLWppcmEifQ","RTT-5137")</f>
        <v>RTT-5137</v>
      </c>
      <c r="H2056" s="1" t="s">
        <v>1058</v>
      </c>
      <c r="I2056" s="1" t="s">
        <v>1082</v>
      </c>
      <c r="J2056" s="1" t="s">
        <v>26</v>
      </c>
      <c r="K2056" s="1" t="s">
        <v>1072</v>
      </c>
      <c r="L2056" s="1" t="s">
        <v>26</v>
      </c>
      <c r="M2056" s="1" t="s">
        <v>27</v>
      </c>
      <c r="N2056" s="1" t="s">
        <v>26</v>
      </c>
      <c r="O2056" s="1" t="s">
        <v>26</v>
      </c>
      <c r="P2056" s="4">
        <v>44837.505011574074</v>
      </c>
    </row>
    <row r="2057" hidden="1">
      <c r="A2057" s="1" t="s">
        <v>1055</v>
      </c>
      <c r="B2057" s="3" t="str">
        <f>HYPERLINK("https://hawk-eye.atlassian.net/browse/HWKREPORT-1421?atlOrigin=eyJpIjoiYzgwYTQ0ZjEyNzQzNGJhN2JmNjEyZTM0NmRhZWZhNjIiLCJwIjoic2hlZXRzLWppcmEifQ","HWKREPORT-1421")</f>
        <v>HWKREPORT-1421</v>
      </c>
      <c r="C2057" s="1" t="s">
        <v>3326</v>
      </c>
      <c r="D2057" s="1" t="s">
        <v>23</v>
      </c>
      <c r="E2057" s="1" t="s">
        <v>1207</v>
      </c>
      <c r="F2057" s="4">
        <v>44757.434652777774</v>
      </c>
      <c r="G2057" s="3" t="str">
        <f>HYPERLINK("https://hawk-eye.atlassian.net/browse/RTT-5187?atlOrigin=eyJpIjoiYzgwYTQ0ZjEyNzQzNGJhN2JmNjEyZTM0NmRhZWZhNjIiLCJwIjoic2hlZXRzLWppcmEifQ","RTT-5187")</f>
        <v>RTT-5187</v>
      </c>
      <c r="H2057" s="1" t="s">
        <v>1058</v>
      </c>
      <c r="I2057" s="1" t="s">
        <v>1082</v>
      </c>
      <c r="J2057" s="1" t="s">
        <v>26</v>
      </c>
      <c r="K2057" s="1" t="s">
        <v>1312</v>
      </c>
      <c r="L2057" s="1" t="s">
        <v>26</v>
      </c>
      <c r="M2057" s="1" t="s">
        <v>27</v>
      </c>
      <c r="N2057" s="1" t="s">
        <v>26</v>
      </c>
      <c r="O2057" s="1" t="s">
        <v>26</v>
      </c>
      <c r="P2057" s="4">
        <v>44929.4184837963</v>
      </c>
    </row>
    <row r="2058" hidden="1">
      <c r="A2058" s="1" t="s">
        <v>21</v>
      </c>
      <c r="B2058" s="3" t="str">
        <f>HYPERLINK("https://hawk-eye.atlassian.net/browse/HWKREPORT-1422?atlOrigin=eyJpIjoiYzgwYTQ0ZjEyNzQzNGJhN2JmNjEyZTM0NmRhZWZhNjIiLCJwIjoic2hlZXRzLWppcmEifQ","HWKREPORT-1422")</f>
        <v>HWKREPORT-1422</v>
      </c>
      <c r="C2058" s="1" t="s">
        <v>3327</v>
      </c>
      <c r="D2058" s="1" t="s">
        <v>23</v>
      </c>
      <c r="E2058" s="1" t="s">
        <v>35</v>
      </c>
      <c r="F2058" s="4">
        <v>44757.43664351852</v>
      </c>
      <c r="G2058" s="3" t="str">
        <f>HYPERLINK("https://hawk-eye.atlassian.net/browse/RTT-5138?atlOrigin=eyJpIjoiYzgwYTQ0ZjEyNzQzNGJhN2JmNjEyZTM0NmRhZWZhNjIiLCJwIjoic2hlZXRzLWppcmEifQ","RTT-5138")</f>
        <v>RTT-5138</v>
      </c>
      <c r="H2058" s="1" t="s">
        <v>1058</v>
      </c>
      <c r="I2058" s="1" t="s">
        <v>1082</v>
      </c>
      <c r="J2058" s="1" t="s">
        <v>26</v>
      </c>
      <c r="K2058" s="1" t="s">
        <v>1312</v>
      </c>
      <c r="L2058" s="1" t="s">
        <v>26</v>
      </c>
      <c r="M2058" s="1" t="s">
        <v>27</v>
      </c>
      <c r="N2058" s="1" t="s">
        <v>26</v>
      </c>
      <c r="O2058" s="1" t="s">
        <v>26</v>
      </c>
      <c r="P2058" s="4">
        <v>44789.41423611111</v>
      </c>
    </row>
    <row r="2059" hidden="1">
      <c r="A2059" s="1" t="s">
        <v>21</v>
      </c>
      <c r="B2059" s="3" t="str">
        <f>HYPERLINK("https://hawk-eye.atlassian.net/browse/HWKREPORT-1423?atlOrigin=eyJpIjoiYzgwYTQ0ZjEyNzQzNGJhN2JmNjEyZTM0NmRhZWZhNjIiLCJwIjoic2hlZXRzLWppcmEifQ","HWKREPORT-1423")</f>
        <v>HWKREPORT-1423</v>
      </c>
      <c r="C2059" s="1" t="s">
        <v>3328</v>
      </c>
      <c r="D2059" s="1" t="s">
        <v>23</v>
      </c>
      <c r="E2059" s="1" t="s">
        <v>1207</v>
      </c>
      <c r="F2059" s="4">
        <v>44757.808900462966</v>
      </c>
      <c r="G2059" s="3" t="str">
        <f>HYPERLINK("https://hawk-eye.atlassian.net/browse/RTT-5183?atlOrigin=eyJpIjoiYzgwYTQ0ZjEyNzQzNGJhN2JmNjEyZTM0NmRhZWZhNjIiLCJwIjoic2hlZXRzLWppcmEifQ","RTT-5183")</f>
        <v>RTT-5183</v>
      </c>
      <c r="H2059" s="1" t="s">
        <v>1058</v>
      </c>
      <c r="I2059" s="1" t="s">
        <v>1071</v>
      </c>
      <c r="J2059" s="1" t="s">
        <v>26</v>
      </c>
      <c r="K2059" s="1" t="s">
        <v>2197</v>
      </c>
      <c r="L2059" s="1" t="s">
        <v>26</v>
      </c>
      <c r="M2059" s="1" t="s">
        <v>27</v>
      </c>
      <c r="N2059" s="1" t="s">
        <v>26</v>
      </c>
      <c r="O2059" s="1" t="s">
        <v>26</v>
      </c>
      <c r="P2059" s="4">
        <v>44929.4184837963</v>
      </c>
    </row>
    <row r="2060" hidden="1">
      <c r="A2060" s="1" t="s">
        <v>21</v>
      </c>
      <c r="B2060" s="3" t="str">
        <f>HYPERLINK("https://hawk-eye.atlassian.net/browse/HWKREPORT-1424?atlOrigin=eyJpIjoiYzgwYTQ0ZjEyNzQzNGJhN2JmNjEyZTM0NmRhZWZhNjIiLCJwIjoic2hlZXRzLWppcmEifQ","HWKREPORT-1424")</f>
        <v>HWKREPORT-1424</v>
      </c>
      <c r="C2060" s="1" t="s">
        <v>3329</v>
      </c>
      <c r="D2060" s="1" t="s">
        <v>23</v>
      </c>
      <c r="E2060" s="1" t="s">
        <v>35</v>
      </c>
      <c r="F2060" s="4">
        <v>44760.94443287037</v>
      </c>
      <c r="G2060" s="3" t="str">
        <f>HYPERLINK("https://hawk-eye.atlassian.net/browse/RTT-5148?atlOrigin=eyJpIjoiYzgwYTQ0ZjEyNzQzNGJhN2JmNjEyZTM0NmRhZWZhNjIiLCJwIjoic2hlZXRzLWppcmEifQ","RTT-5148")</f>
        <v>RTT-5148</v>
      </c>
      <c r="H2060" s="1" t="s">
        <v>1058</v>
      </c>
      <c r="I2060" s="1" t="s">
        <v>1071</v>
      </c>
      <c r="J2060" s="1" t="s">
        <v>26</v>
      </c>
      <c r="K2060" s="1" t="s">
        <v>1312</v>
      </c>
      <c r="L2060" s="1" t="s">
        <v>26</v>
      </c>
      <c r="M2060" s="1" t="s">
        <v>27</v>
      </c>
      <c r="N2060" s="1" t="s">
        <v>26</v>
      </c>
      <c r="O2060" s="1" t="s">
        <v>26</v>
      </c>
      <c r="P2060" s="4">
        <v>44837.377916666665</v>
      </c>
    </row>
    <row r="2061" hidden="1">
      <c r="A2061" s="1" t="s">
        <v>1055</v>
      </c>
      <c r="B2061" s="3" t="str">
        <f>HYPERLINK("https://hawk-eye.atlassian.net/browse/HWKREPORT-1425?atlOrigin=eyJpIjoiYzgwYTQ0ZjEyNzQzNGJhN2JmNjEyZTM0NmRhZWZhNjIiLCJwIjoic2hlZXRzLWppcmEifQ","HWKREPORT-1425")</f>
        <v>HWKREPORT-1425</v>
      </c>
      <c r="C2061" s="1" t="s">
        <v>3330</v>
      </c>
      <c r="D2061" s="1" t="s">
        <v>23</v>
      </c>
      <c r="E2061" s="1" t="s">
        <v>35</v>
      </c>
      <c r="F2061" s="4">
        <v>44761.68486111111</v>
      </c>
      <c r="G2061" s="3" t="str">
        <f>HYPERLINK("https://hawk-eye.atlassian.net/browse/RTT-5158?atlOrigin=eyJpIjoiYzgwYTQ0ZjEyNzQzNGJhN2JmNjEyZTM0NmRhZWZhNjIiLCJwIjoic2hlZXRzLWppcmEifQ","RTT-5158")</f>
        <v>RTT-5158</v>
      </c>
      <c r="H2061" s="1" t="s">
        <v>1058</v>
      </c>
      <c r="I2061" s="1" t="s">
        <v>1082</v>
      </c>
      <c r="J2061" s="1" t="s">
        <v>26</v>
      </c>
      <c r="K2061" s="1" t="s">
        <v>1072</v>
      </c>
      <c r="L2061" s="1" t="s">
        <v>26</v>
      </c>
      <c r="M2061" s="1" t="s">
        <v>27</v>
      </c>
      <c r="N2061" s="1" t="s">
        <v>26</v>
      </c>
      <c r="O2061" s="1" t="s">
        <v>26</v>
      </c>
      <c r="P2061" s="4">
        <v>45167.660219907404</v>
      </c>
    </row>
    <row r="2062" hidden="1">
      <c r="A2062" s="1" t="s">
        <v>1055</v>
      </c>
      <c r="B2062" s="3" t="str">
        <f>HYPERLINK("https://hawk-eye.atlassian.net/browse/HWKREPORT-1426?atlOrigin=eyJpIjoiYzgwYTQ0ZjEyNzQzNGJhN2JmNjEyZTM0NmRhZWZhNjIiLCJwIjoic2hlZXRzLWppcmEifQ","HWKREPORT-1426")</f>
        <v>HWKREPORT-1426</v>
      </c>
      <c r="C2062" s="1" t="s">
        <v>3331</v>
      </c>
      <c r="D2062" s="1" t="s">
        <v>23</v>
      </c>
      <c r="E2062" s="1" t="s">
        <v>35</v>
      </c>
      <c r="F2062" s="4">
        <v>44761.68524305556</v>
      </c>
      <c r="G2062" s="3" t="str">
        <f>HYPERLINK("https://hawk-eye.atlassian.net/browse/SO-356?atlOrigin=eyJpIjoiYzgwYTQ0ZjEyNzQzNGJhN2JmNjEyZTM0NmRhZWZhNjIiLCJwIjoic2hlZXRzLWppcmEifQ","SO-356")</f>
        <v>SO-356</v>
      </c>
      <c r="H2062" s="1" t="s">
        <v>1058</v>
      </c>
      <c r="I2062" s="1" t="s">
        <v>1151</v>
      </c>
      <c r="J2062" s="1" t="s">
        <v>26</v>
      </c>
      <c r="K2062" s="1" t="s">
        <v>1116</v>
      </c>
      <c r="L2062" s="1" t="s">
        <v>26</v>
      </c>
      <c r="M2062" s="1" t="s">
        <v>27</v>
      </c>
      <c r="N2062" s="1" t="s">
        <v>26</v>
      </c>
      <c r="O2062" s="1" t="s">
        <v>26</v>
      </c>
      <c r="P2062" s="4">
        <v>44775.75158564815</v>
      </c>
    </row>
    <row r="2063" hidden="1">
      <c r="A2063" s="1" t="s">
        <v>21</v>
      </c>
      <c r="B2063" s="3" t="str">
        <f>HYPERLINK("https://hawk-eye.atlassian.net/browse/HWKREPORT-1427?atlOrigin=eyJpIjoiYzgwYTQ0ZjEyNzQzNGJhN2JmNjEyZTM0NmRhZWZhNjIiLCJwIjoic2hlZXRzLWppcmEifQ","HWKREPORT-1427")</f>
        <v>HWKREPORT-1427</v>
      </c>
      <c r="C2063" s="1" t="s">
        <v>3332</v>
      </c>
      <c r="D2063" s="1" t="s">
        <v>23</v>
      </c>
      <c r="E2063" s="1" t="s">
        <v>35</v>
      </c>
      <c r="F2063" s="4">
        <v>44761.76217592593</v>
      </c>
      <c r="G2063" s="3" t="str">
        <f>HYPERLINK("https://hawk-eye.atlassian.net/browse/RTT-5157?atlOrigin=eyJpIjoiYzgwYTQ0ZjEyNzQzNGJhN2JmNjEyZTM0NmRhZWZhNjIiLCJwIjoic2hlZXRzLWppcmEifQ","RTT-5157")</f>
        <v>RTT-5157</v>
      </c>
      <c r="H2063" s="1" t="s">
        <v>1058</v>
      </c>
      <c r="I2063" s="1" t="s">
        <v>1082</v>
      </c>
      <c r="J2063" s="1" t="s">
        <v>26</v>
      </c>
      <c r="K2063" s="1" t="s">
        <v>1072</v>
      </c>
      <c r="L2063" s="1" t="s">
        <v>26</v>
      </c>
      <c r="M2063" s="1" t="s">
        <v>27</v>
      </c>
      <c r="N2063" s="1" t="s">
        <v>26</v>
      </c>
      <c r="O2063" s="1" t="s">
        <v>26</v>
      </c>
      <c r="P2063" s="4">
        <v>45013.51954861111</v>
      </c>
    </row>
    <row r="2064" hidden="1">
      <c r="A2064" s="1" t="s">
        <v>1055</v>
      </c>
      <c r="B2064" s="3" t="str">
        <f>HYPERLINK("https://hawk-eye.atlassian.net/browse/HWKREPORT-1428?atlOrigin=eyJpIjoiYzgwYTQ0ZjEyNzQzNGJhN2JmNjEyZTM0NmRhZWZhNjIiLCJwIjoic2hlZXRzLWppcmEifQ","HWKREPORT-1428")</f>
        <v>HWKREPORT-1428</v>
      </c>
      <c r="C2064" s="1" t="s">
        <v>3333</v>
      </c>
      <c r="D2064" s="1" t="s">
        <v>23</v>
      </c>
      <c r="E2064" s="1" t="s">
        <v>35</v>
      </c>
      <c r="F2064" s="4">
        <v>44761.77127314815</v>
      </c>
      <c r="G2064" s="3" t="str">
        <f>HYPERLINK("https://hawk-eye.atlassian.net/browse/?atlOrigin=eyJpIjoiYzgwYTQ0ZjEyNzQzNGJhN2JmNjEyZTM0NmRhZWZhNjIiLCJwIjoic2hlZXRzLWppcmEifQ","")</f>
        <v/>
      </c>
      <c r="H2064" s="1" t="s">
        <v>1058</v>
      </c>
      <c r="I2064" s="1" t="s">
        <v>1085</v>
      </c>
      <c r="J2064" s="1" t="s">
        <v>26</v>
      </c>
      <c r="K2064" s="1" t="s">
        <v>26</v>
      </c>
      <c r="L2064" s="1" t="s">
        <v>26</v>
      </c>
      <c r="M2064" s="1" t="s">
        <v>27</v>
      </c>
      <c r="N2064" s="1" t="s">
        <v>26</v>
      </c>
      <c r="O2064" s="1" t="s">
        <v>26</v>
      </c>
      <c r="P2064" s="4">
        <v>44776.62887731481</v>
      </c>
    </row>
    <row r="2065" hidden="1">
      <c r="A2065" s="1" t="s">
        <v>21</v>
      </c>
      <c r="B2065" s="3" t="str">
        <f>HYPERLINK("https://hawk-eye.atlassian.net/browse/HWKREPORT-1429?atlOrigin=eyJpIjoiYzgwYTQ0ZjEyNzQzNGJhN2JmNjEyZTM0NmRhZWZhNjIiLCJwIjoic2hlZXRzLWppcmEifQ","HWKREPORT-1429")</f>
        <v>HWKREPORT-1429</v>
      </c>
      <c r="C2065" s="1" t="s">
        <v>3334</v>
      </c>
      <c r="D2065" s="1" t="s">
        <v>34</v>
      </c>
      <c r="E2065" s="1" t="s">
        <v>35</v>
      </c>
      <c r="F2065" s="4">
        <v>44762.93201388889</v>
      </c>
      <c r="G2065" s="3" t="str">
        <f>HYPERLINK("https://hawk-eye.atlassian.net/browse/RTT-5159?atlOrigin=eyJpIjoiYzgwYTQ0ZjEyNzQzNGJhN2JmNjEyZTM0NmRhZWZhNjIiLCJwIjoic2hlZXRzLWppcmEifQ","RTT-5159")</f>
        <v>RTT-5159</v>
      </c>
      <c r="H2065" s="1" t="s">
        <v>1058</v>
      </c>
      <c r="I2065" s="1" t="s">
        <v>1085</v>
      </c>
      <c r="J2065" s="1" t="s">
        <v>26</v>
      </c>
      <c r="K2065" s="1" t="s">
        <v>1072</v>
      </c>
      <c r="L2065" s="1" t="s">
        <v>26</v>
      </c>
      <c r="M2065" s="1" t="s">
        <v>27</v>
      </c>
      <c r="N2065" s="1" t="s">
        <v>26</v>
      </c>
      <c r="O2065" s="1" t="s">
        <v>26</v>
      </c>
      <c r="P2065" s="4">
        <v>44817.669224537036</v>
      </c>
    </row>
    <row r="2066" hidden="1">
      <c r="A2066" s="1" t="s">
        <v>1055</v>
      </c>
      <c r="B2066" s="3" t="str">
        <f>HYPERLINK("https://hawk-eye.atlassian.net/browse/HWKREPORT-1430?atlOrigin=eyJpIjoiYzgwYTQ0ZjEyNzQzNGJhN2JmNjEyZTM0NmRhZWZhNjIiLCJwIjoic2hlZXRzLWppcmEifQ","HWKREPORT-1430")</f>
        <v>HWKREPORT-1430</v>
      </c>
      <c r="C2066" s="1" t="s">
        <v>3335</v>
      </c>
      <c r="D2066" s="1" t="s">
        <v>23</v>
      </c>
      <c r="E2066" s="1" t="s">
        <v>35</v>
      </c>
      <c r="F2066" s="4">
        <v>44764.696863425925</v>
      </c>
      <c r="G2066" s="3" t="str">
        <f>HYPERLINK("https://hawk-eye.atlassian.net/browse/?atlOrigin=eyJpIjoiYzgwYTQ0ZjEyNzQzNGJhN2JmNjEyZTM0NmRhZWZhNjIiLCJwIjoic2hlZXRzLWppcmEifQ","")</f>
        <v/>
      </c>
      <c r="H2066" s="1" t="s">
        <v>1058</v>
      </c>
      <c r="I2066" s="1" t="s">
        <v>1126</v>
      </c>
      <c r="J2066" s="1" t="s">
        <v>26</v>
      </c>
      <c r="K2066" s="1" t="s">
        <v>1116</v>
      </c>
      <c r="L2066" s="1" t="s">
        <v>26</v>
      </c>
      <c r="M2066" s="1" t="s">
        <v>27</v>
      </c>
      <c r="N2066" s="1" t="s">
        <v>26</v>
      </c>
      <c r="O2066" s="1" t="s">
        <v>26</v>
      </c>
      <c r="P2066" s="4">
        <v>45315.486909722225</v>
      </c>
    </row>
    <row r="2067" hidden="1">
      <c r="A2067" s="1" t="s">
        <v>21</v>
      </c>
      <c r="B2067" s="3" t="str">
        <f>HYPERLINK("https://hawk-eye.atlassian.net/browse/HWKREPORT-1431?atlOrigin=eyJpIjoiYzgwYTQ0ZjEyNzQzNGJhN2JmNjEyZTM0NmRhZWZhNjIiLCJwIjoic2hlZXRzLWppcmEifQ","HWKREPORT-1431")</f>
        <v>HWKREPORT-1431</v>
      </c>
      <c r="C2067" s="1" t="s">
        <v>3336</v>
      </c>
      <c r="D2067" s="1" t="s">
        <v>34</v>
      </c>
      <c r="E2067" s="1" t="s">
        <v>35</v>
      </c>
      <c r="F2067" s="4">
        <v>44767.55483796296</v>
      </c>
      <c r="G2067" s="3" t="str">
        <f>HYPERLINK("https://hawk-eye.atlassian.net/browse/GT-482?atlOrigin=eyJpIjoiYzgwYTQ0ZjEyNzQzNGJhN2JmNjEyZTM0NmRhZWZhNjIiLCJwIjoic2hlZXRzLWppcmEifQ","GT-482")</f>
        <v>GT-482</v>
      </c>
      <c r="H2067" s="1" t="s">
        <v>1058</v>
      </c>
      <c r="I2067" s="1" t="s">
        <v>1082</v>
      </c>
      <c r="J2067" s="1" t="s">
        <v>26</v>
      </c>
      <c r="K2067" s="1" t="s">
        <v>1744</v>
      </c>
      <c r="L2067" s="1" t="s">
        <v>26</v>
      </c>
      <c r="M2067" s="1" t="s">
        <v>27</v>
      </c>
      <c r="N2067" s="1" t="s">
        <v>26</v>
      </c>
      <c r="O2067" s="1" t="s">
        <v>26</v>
      </c>
      <c r="P2067" s="4">
        <v>44792.380266203705</v>
      </c>
    </row>
    <row r="2068" hidden="1">
      <c r="A2068" s="1" t="s">
        <v>21</v>
      </c>
      <c r="B2068" s="3" t="str">
        <f>HYPERLINK("https://hawk-eye.atlassian.net/browse/HWKREPORT-1432?atlOrigin=eyJpIjoiYzgwYTQ0ZjEyNzQzNGJhN2JmNjEyZTM0NmRhZWZhNjIiLCJwIjoic2hlZXRzLWppcmEifQ","HWKREPORT-1432")</f>
        <v>HWKREPORT-1432</v>
      </c>
      <c r="C2068" s="1" t="s">
        <v>3337</v>
      </c>
      <c r="D2068" s="1" t="s">
        <v>34</v>
      </c>
      <c r="E2068" s="1" t="s">
        <v>35</v>
      </c>
      <c r="F2068" s="4">
        <v>44767.69978009259</v>
      </c>
      <c r="G2068" s="3" t="str">
        <f>HYPERLINK("https://hawk-eye.atlassian.net/browse/RTT-5166?atlOrigin=eyJpIjoiYzgwYTQ0ZjEyNzQzNGJhN2JmNjEyZTM0NmRhZWZhNjIiLCJwIjoic2hlZXRzLWppcmEifQ","RTT-5166")</f>
        <v>RTT-5166</v>
      </c>
      <c r="H2068" s="1" t="s">
        <v>1058</v>
      </c>
      <c r="I2068" s="1" t="s">
        <v>1085</v>
      </c>
      <c r="J2068" s="1" t="s">
        <v>26</v>
      </c>
      <c r="K2068" s="1" t="s">
        <v>1072</v>
      </c>
      <c r="L2068" s="1" t="s">
        <v>26</v>
      </c>
      <c r="M2068" s="1" t="s">
        <v>27</v>
      </c>
      <c r="N2068" s="1" t="s">
        <v>26</v>
      </c>
      <c r="O2068" s="1" t="s">
        <v>26</v>
      </c>
      <c r="P2068" s="4">
        <v>44846.50795138889</v>
      </c>
    </row>
    <row r="2069" hidden="1">
      <c r="A2069" s="1" t="s">
        <v>21</v>
      </c>
      <c r="B2069" s="3" t="str">
        <f>HYPERLINK("https://hawk-eye.atlassian.net/browse/HWKREPORT-1433?atlOrigin=eyJpIjoiYzgwYTQ0ZjEyNzQzNGJhN2JmNjEyZTM0NmRhZWZhNjIiLCJwIjoic2hlZXRzLWppcmEifQ","HWKREPORT-1433")</f>
        <v>HWKREPORT-1433</v>
      </c>
      <c r="C2069" s="1" t="s">
        <v>3338</v>
      </c>
      <c r="D2069" s="1" t="s">
        <v>23</v>
      </c>
      <c r="E2069" s="1" t="s">
        <v>35</v>
      </c>
      <c r="F2069" s="4">
        <v>44767.73658564815</v>
      </c>
      <c r="G2069" s="3" t="str">
        <f>HYPERLINK("https://hawk-eye.atlassian.net/browse/RTT-5169?atlOrigin=eyJpIjoiYzgwYTQ0ZjEyNzQzNGJhN2JmNjEyZTM0NmRhZWZhNjIiLCJwIjoic2hlZXRzLWppcmEifQ","RTT-5169")</f>
        <v>RTT-5169</v>
      </c>
      <c r="H2069" s="1" t="s">
        <v>1058</v>
      </c>
      <c r="I2069" s="1" t="s">
        <v>1071</v>
      </c>
      <c r="J2069" s="1" t="s">
        <v>26</v>
      </c>
      <c r="K2069" s="1" t="s">
        <v>3216</v>
      </c>
      <c r="L2069" s="1" t="s">
        <v>26</v>
      </c>
      <c r="M2069" s="1" t="s">
        <v>27</v>
      </c>
      <c r="N2069" s="1" t="s">
        <v>26</v>
      </c>
      <c r="O2069" s="1" t="s">
        <v>26</v>
      </c>
      <c r="P2069" s="4">
        <v>44774.69405092593</v>
      </c>
    </row>
    <row r="2070" hidden="1">
      <c r="A2070" s="1" t="s">
        <v>21</v>
      </c>
      <c r="B2070" s="3" t="str">
        <f>HYPERLINK("https://hawk-eye.atlassian.net/browse/HWKREPORT-1434?atlOrigin=eyJpIjoiYzgwYTQ0ZjEyNzQzNGJhN2JmNjEyZTM0NmRhZWZhNjIiLCJwIjoic2hlZXRzLWppcmEifQ","HWKREPORT-1434")</f>
        <v>HWKREPORT-1434</v>
      </c>
      <c r="C2070" s="1" t="s">
        <v>3339</v>
      </c>
      <c r="D2070" s="1" t="s">
        <v>34</v>
      </c>
      <c r="E2070" s="1" t="s">
        <v>35</v>
      </c>
      <c r="F2070" s="4">
        <v>44768.40724537037</v>
      </c>
      <c r="G2070" s="3" t="str">
        <f>HYPERLINK("https://hawk-eye.atlassian.net/browse/GT-481?atlOrigin=eyJpIjoiYzgwYTQ0ZjEyNzQzNGJhN2JmNjEyZTM0NmRhZWZhNjIiLCJwIjoic2hlZXRzLWppcmEifQ","GT-481")</f>
        <v>GT-481</v>
      </c>
      <c r="H2070" s="1" t="s">
        <v>1058</v>
      </c>
      <c r="I2070" s="1" t="s">
        <v>1082</v>
      </c>
      <c r="J2070" s="1" t="s">
        <v>26</v>
      </c>
      <c r="K2070" s="1" t="s">
        <v>1105</v>
      </c>
      <c r="L2070" s="1" t="s">
        <v>26</v>
      </c>
      <c r="M2070" s="1" t="s">
        <v>27</v>
      </c>
      <c r="N2070" s="1" t="s">
        <v>26</v>
      </c>
      <c r="O2070" s="1" t="s">
        <v>26</v>
      </c>
      <c r="P2070" s="4">
        <v>44965.70533564815</v>
      </c>
    </row>
    <row r="2071" hidden="1">
      <c r="A2071" s="1" t="s">
        <v>1055</v>
      </c>
      <c r="B2071" s="3" t="str">
        <f>HYPERLINK("https://hawk-eye.atlassian.net/browse/HWKREPORT-1435?atlOrigin=eyJpIjoiYzgwYTQ0ZjEyNzQzNGJhN2JmNjEyZTM0NmRhZWZhNjIiLCJwIjoic2hlZXRzLWppcmEifQ","HWKREPORT-1435")</f>
        <v>HWKREPORT-1435</v>
      </c>
      <c r="C2071" s="1" t="s">
        <v>3340</v>
      </c>
      <c r="D2071" s="1" t="s">
        <v>23</v>
      </c>
      <c r="E2071" s="1" t="s">
        <v>35</v>
      </c>
      <c r="F2071" s="4">
        <v>44768.73930555556</v>
      </c>
      <c r="G2071" s="3" t="str">
        <f>HYPERLINK("https://hawk-eye.atlassian.net/browse/RTT-5170?atlOrigin=eyJpIjoiYzgwYTQ0ZjEyNzQzNGJhN2JmNjEyZTM0NmRhZWZhNjIiLCJwIjoic2hlZXRzLWppcmEifQ","RTT-5170")</f>
        <v>RTT-5170</v>
      </c>
      <c r="H2071" s="1" t="s">
        <v>1058</v>
      </c>
      <c r="I2071" s="1" t="s">
        <v>1085</v>
      </c>
      <c r="J2071" s="1" t="s">
        <v>26</v>
      </c>
      <c r="K2071" s="1" t="s">
        <v>1072</v>
      </c>
      <c r="L2071" s="1" t="s">
        <v>26</v>
      </c>
      <c r="M2071" s="1" t="s">
        <v>27</v>
      </c>
      <c r="N2071" s="1" t="s">
        <v>26</v>
      </c>
      <c r="O2071" s="1" t="s">
        <v>26</v>
      </c>
      <c r="P2071" s="4">
        <v>44936.462743055556</v>
      </c>
    </row>
    <row r="2072" hidden="1">
      <c r="A2072" s="1" t="s">
        <v>21</v>
      </c>
      <c r="B2072" s="3" t="str">
        <f>HYPERLINK("https://hawk-eye.atlassian.net/browse/HWKREPORT-1436?atlOrigin=eyJpIjoiYzgwYTQ0ZjEyNzQzNGJhN2JmNjEyZTM0NmRhZWZhNjIiLCJwIjoic2hlZXRzLWppcmEifQ","HWKREPORT-1436")</f>
        <v>HWKREPORT-1436</v>
      </c>
      <c r="C2072" s="1" t="s">
        <v>3341</v>
      </c>
      <c r="D2072" s="1" t="s">
        <v>23</v>
      </c>
      <c r="E2072" s="1" t="s">
        <v>35</v>
      </c>
      <c r="F2072" s="4">
        <v>44768.85537037037</v>
      </c>
      <c r="G2072" s="3" t="str">
        <f>HYPERLINK("https://hawk-eye.atlassian.net/browse/TGM-31?atlOrigin=eyJpIjoiYzgwYTQ0ZjEyNzQzNGJhN2JmNjEyZTM0NmRhZWZhNjIiLCJwIjoic2hlZXRzLWppcmEifQ","TGM-31")</f>
        <v>TGM-31</v>
      </c>
      <c r="H2072" s="1" t="s">
        <v>1058</v>
      </c>
      <c r="I2072" s="1" t="s">
        <v>1126</v>
      </c>
      <c r="J2072" s="1" t="s">
        <v>26</v>
      </c>
      <c r="K2072" s="1" t="s">
        <v>2166</v>
      </c>
      <c r="L2072" s="1" t="s">
        <v>26</v>
      </c>
      <c r="M2072" s="1" t="s">
        <v>27</v>
      </c>
      <c r="N2072" s="1" t="s">
        <v>26</v>
      </c>
      <c r="O2072" s="1" t="s">
        <v>26</v>
      </c>
      <c r="P2072" s="4">
        <v>44824.42517361111</v>
      </c>
    </row>
    <row r="2073" hidden="1">
      <c r="A2073" s="1" t="s">
        <v>1055</v>
      </c>
      <c r="B2073" s="3" t="str">
        <f>HYPERLINK("https://hawk-eye.atlassian.net/browse/HWKREPORT-1437?atlOrigin=eyJpIjoiYzgwYTQ0ZjEyNzQzNGJhN2JmNjEyZTM0NmRhZWZhNjIiLCJwIjoic2hlZXRzLWppcmEifQ","HWKREPORT-1437")</f>
        <v>HWKREPORT-1437</v>
      </c>
      <c r="C2073" s="1" t="s">
        <v>3342</v>
      </c>
      <c r="D2073" s="1" t="s">
        <v>23</v>
      </c>
      <c r="E2073" s="1" t="s">
        <v>35</v>
      </c>
      <c r="F2073" s="4">
        <v>44769.59657407407</v>
      </c>
      <c r="G2073" s="3" t="str">
        <f>HYPERLINK("https://hawk-eye.atlassian.net/browse/AL-436?atlOrigin=eyJpIjoiYzgwYTQ0ZjEyNzQzNGJhN2JmNjEyZTM0NmRhZWZhNjIiLCJwIjoic2hlZXRzLWppcmEifQ","AL-436")</f>
        <v>AL-436</v>
      </c>
      <c r="H2073" s="1" t="s">
        <v>1058</v>
      </c>
      <c r="I2073" s="1" t="s">
        <v>1071</v>
      </c>
      <c r="J2073" s="1" t="s">
        <v>26</v>
      </c>
      <c r="K2073" s="1" t="s">
        <v>3343</v>
      </c>
      <c r="L2073" s="1" t="s">
        <v>26</v>
      </c>
      <c r="M2073" s="1" t="s">
        <v>27</v>
      </c>
      <c r="N2073" s="1" t="s">
        <v>26</v>
      </c>
      <c r="O2073" s="1" t="s">
        <v>26</v>
      </c>
      <c r="P2073" s="4">
        <v>45569.57282407407</v>
      </c>
    </row>
    <row r="2074" hidden="1">
      <c r="A2074" s="1" t="s">
        <v>1055</v>
      </c>
      <c r="B2074" s="3" t="str">
        <f>HYPERLINK("https://hawk-eye.atlassian.net/browse/HWKREPORT-1438?atlOrigin=eyJpIjoiYzgwYTQ0ZjEyNzQzNGJhN2JmNjEyZTM0NmRhZWZhNjIiLCJwIjoic2hlZXRzLWppcmEifQ","HWKREPORT-1438")</f>
        <v>HWKREPORT-1438</v>
      </c>
      <c r="C2074" s="1" t="s">
        <v>3344</v>
      </c>
      <c r="D2074" s="1" t="s">
        <v>83</v>
      </c>
      <c r="E2074" s="1" t="s">
        <v>1057</v>
      </c>
      <c r="F2074" s="4">
        <v>44769.64363425926</v>
      </c>
      <c r="G2074" s="3" t="str">
        <f>HYPERLINK("https://hawk-eye.atlassian.net/browse/BR-224?atlOrigin=eyJpIjoiYzgwYTQ0ZjEyNzQzNGJhN2JmNjEyZTM0NmRhZWZhNjIiLCJwIjoic2hlZXRzLWppcmEifQ","BR-224")</f>
        <v>BR-224</v>
      </c>
      <c r="H2074" s="1" t="s">
        <v>1058</v>
      </c>
      <c r="I2074" s="1" t="s">
        <v>1676</v>
      </c>
      <c r="J2074" s="1" t="s">
        <v>26</v>
      </c>
      <c r="K2074" s="1" t="s">
        <v>1116</v>
      </c>
      <c r="L2074" s="1" t="s">
        <v>26</v>
      </c>
      <c r="M2074" s="1" t="s">
        <v>27</v>
      </c>
      <c r="N2074" s="1" t="s">
        <v>26</v>
      </c>
      <c r="O2074" s="1" t="s">
        <v>26</v>
      </c>
      <c r="P2074" s="4">
        <v>44769.643645833334</v>
      </c>
    </row>
    <row r="2075" hidden="1">
      <c r="A2075" s="1" t="s">
        <v>1055</v>
      </c>
      <c r="B2075" s="3" t="str">
        <f>HYPERLINK("https://hawk-eye.atlassian.net/browse/HWKREPORT-1439?atlOrigin=eyJpIjoiYzgwYTQ0ZjEyNzQzNGJhN2JmNjEyZTM0NmRhZWZhNjIiLCJwIjoic2hlZXRzLWppcmEifQ","HWKREPORT-1439")</f>
        <v>HWKREPORT-1439</v>
      </c>
      <c r="C2075" s="1" t="s">
        <v>3345</v>
      </c>
      <c r="D2075" s="1" t="s">
        <v>83</v>
      </c>
      <c r="E2075" s="1" t="s">
        <v>35</v>
      </c>
      <c r="F2075" s="4">
        <v>44769.64533564815</v>
      </c>
      <c r="G2075" s="3" t="str">
        <f>HYPERLINK("https://hawk-eye.atlassian.net/browse/CORE-168?atlOrigin=eyJpIjoiYzgwYTQ0ZjEyNzQzNGJhN2JmNjEyZTM0NmRhZWZhNjIiLCJwIjoic2hlZXRzLWppcmEifQ","CORE-168")</f>
        <v>CORE-168</v>
      </c>
      <c r="H2075" s="1" t="s">
        <v>1058</v>
      </c>
      <c r="I2075" s="1" t="s">
        <v>1676</v>
      </c>
      <c r="J2075" s="1" t="s">
        <v>26</v>
      </c>
      <c r="K2075" s="1" t="s">
        <v>1134</v>
      </c>
      <c r="L2075" s="1" t="s">
        <v>26</v>
      </c>
      <c r="M2075" s="1" t="s">
        <v>27</v>
      </c>
      <c r="N2075" s="1" t="s">
        <v>26</v>
      </c>
      <c r="O2075" s="1" t="s">
        <v>26</v>
      </c>
      <c r="P2075" s="4">
        <v>45238.4171412037</v>
      </c>
    </row>
    <row r="2076" hidden="1">
      <c r="A2076" s="1" t="s">
        <v>1055</v>
      </c>
      <c r="B2076" s="3" t="str">
        <f>HYPERLINK("https://hawk-eye.atlassian.net/browse/HWKREPORT-1440?atlOrigin=eyJpIjoiYzgwYTQ0ZjEyNzQzNGJhN2JmNjEyZTM0NmRhZWZhNjIiLCJwIjoic2hlZXRzLWppcmEifQ","HWKREPORT-1440")</f>
        <v>HWKREPORT-1440</v>
      </c>
      <c r="C2076" s="1" t="s">
        <v>3346</v>
      </c>
      <c r="D2076" s="1" t="s">
        <v>23</v>
      </c>
      <c r="E2076" s="1" t="s">
        <v>1057</v>
      </c>
      <c r="F2076" s="4">
        <v>44769.64728009259</v>
      </c>
      <c r="G2076" s="3" t="str">
        <f>HYPERLINK("https://hawk-eye.atlassian.net/browse/TOOL-30?atlOrigin=eyJpIjoiYzgwYTQ0ZjEyNzQzNGJhN2JmNjEyZTM0NmRhZWZhNjIiLCJwIjoic2hlZXRzLWppcmEifQ","TOOL-30")</f>
        <v>TOOL-30</v>
      </c>
      <c r="H2076" s="1" t="s">
        <v>1058</v>
      </c>
      <c r="I2076" s="1" t="s">
        <v>1676</v>
      </c>
      <c r="J2076" s="1" t="s">
        <v>26</v>
      </c>
      <c r="K2076" s="1" t="s">
        <v>1116</v>
      </c>
      <c r="L2076" s="1" t="s">
        <v>26</v>
      </c>
      <c r="M2076" s="1" t="s">
        <v>27</v>
      </c>
      <c r="N2076" s="1" t="s">
        <v>26</v>
      </c>
      <c r="O2076" s="1" t="s">
        <v>26</v>
      </c>
      <c r="P2076" s="4">
        <v>44769.64729166667</v>
      </c>
    </row>
    <row r="2077" hidden="1">
      <c r="A2077" s="1" t="s">
        <v>1055</v>
      </c>
      <c r="B2077" s="3" t="str">
        <f>HYPERLINK("https://hawk-eye.atlassian.net/browse/HWKREPORT-1441?atlOrigin=eyJpIjoiYzgwYTQ0ZjEyNzQzNGJhN2JmNjEyZTM0NmRhZWZhNjIiLCJwIjoic2hlZXRzLWppcmEifQ","HWKREPORT-1441")</f>
        <v>HWKREPORT-1441</v>
      </c>
      <c r="C2077" s="1" t="s">
        <v>3347</v>
      </c>
      <c r="D2077" s="1" t="s">
        <v>23</v>
      </c>
      <c r="E2077" s="1" t="s">
        <v>1057</v>
      </c>
      <c r="F2077" s="4">
        <v>44770.40167824074</v>
      </c>
      <c r="G2077" s="3" t="str">
        <f t="shared" ref="G2077:G2078" si="157">HYPERLINK("https://hawk-eye.atlassian.net/browse/?atlOrigin=eyJpIjoiYzgwYTQ0ZjEyNzQzNGJhN2JmNjEyZTM0NmRhZWZhNjIiLCJwIjoic2hlZXRzLWppcmEifQ","")</f>
        <v/>
      </c>
      <c r="H2077" s="1" t="s">
        <v>1058</v>
      </c>
      <c r="I2077" s="1" t="s">
        <v>1082</v>
      </c>
      <c r="J2077" s="1" t="s">
        <v>26</v>
      </c>
      <c r="K2077" s="1" t="s">
        <v>1105</v>
      </c>
      <c r="L2077" s="1" t="s">
        <v>26</v>
      </c>
      <c r="M2077" s="1" t="s">
        <v>27</v>
      </c>
      <c r="N2077" s="1" t="s">
        <v>26</v>
      </c>
      <c r="O2077" s="1" t="s">
        <v>26</v>
      </c>
      <c r="P2077" s="4">
        <v>44770.40167824074</v>
      </c>
    </row>
    <row r="2078" hidden="1">
      <c r="A2078" s="1" t="s">
        <v>21</v>
      </c>
      <c r="B2078" s="3" t="str">
        <f>HYPERLINK("https://hawk-eye.atlassian.net/browse/HWKREPORT-1442?atlOrigin=eyJpIjoiYzgwYTQ0ZjEyNzQzNGJhN2JmNjEyZTM0NmRhZWZhNjIiLCJwIjoic2hlZXRzLWppcmEifQ","HWKREPORT-1442")</f>
        <v>HWKREPORT-1442</v>
      </c>
      <c r="C2078" s="1" t="s">
        <v>3348</v>
      </c>
      <c r="D2078" s="1" t="s">
        <v>23</v>
      </c>
      <c r="E2078" s="1" t="s">
        <v>35</v>
      </c>
      <c r="F2078" s="4">
        <v>44770.45586805556</v>
      </c>
      <c r="G2078" s="3" t="str">
        <f t="shared" si="157"/>
        <v/>
      </c>
      <c r="H2078" s="1" t="s">
        <v>1058</v>
      </c>
      <c r="I2078" s="1" t="s">
        <v>1082</v>
      </c>
      <c r="J2078" s="1" t="s">
        <v>26</v>
      </c>
      <c r="K2078" s="1" t="s">
        <v>1744</v>
      </c>
      <c r="L2078" s="1" t="s">
        <v>26</v>
      </c>
      <c r="M2078" s="1" t="s">
        <v>27</v>
      </c>
      <c r="N2078" s="1" t="s">
        <v>26</v>
      </c>
      <c r="O2078" s="1" t="s">
        <v>26</v>
      </c>
      <c r="P2078" s="4">
        <v>44826.47350694444</v>
      </c>
    </row>
    <row r="2079" hidden="1">
      <c r="A2079" s="1" t="s">
        <v>21</v>
      </c>
      <c r="B2079" s="3" t="str">
        <f>HYPERLINK("https://hawk-eye.atlassian.net/browse/HWKREPORT-1443?atlOrigin=eyJpIjoiYzgwYTQ0ZjEyNzQzNGJhN2JmNjEyZTM0NmRhZWZhNjIiLCJwIjoic2hlZXRzLWppcmEifQ","HWKREPORT-1443")</f>
        <v>HWKREPORT-1443</v>
      </c>
      <c r="C2079" s="1" t="s">
        <v>3349</v>
      </c>
      <c r="D2079" s="1" t="s">
        <v>23</v>
      </c>
      <c r="E2079" s="1" t="s">
        <v>35</v>
      </c>
      <c r="F2079" s="4">
        <v>44770.45854166667</v>
      </c>
      <c r="G2079" s="3" t="str">
        <f>HYPERLINK("https://hawk-eye.atlassian.net/browse/AT-585?atlOrigin=eyJpIjoiYzgwYTQ0ZjEyNzQzNGJhN2JmNjEyZTM0NmRhZWZhNjIiLCJwIjoic2hlZXRzLWppcmEifQ","AT-585")</f>
        <v>AT-585</v>
      </c>
      <c r="H2079" s="1" t="s">
        <v>1058</v>
      </c>
      <c r="I2079" s="1" t="s">
        <v>1082</v>
      </c>
      <c r="J2079" s="1" t="s">
        <v>26</v>
      </c>
      <c r="K2079" s="1" t="s">
        <v>1105</v>
      </c>
      <c r="L2079" s="1" t="s">
        <v>26</v>
      </c>
      <c r="M2079" s="1" t="s">
        <v>27</v>
      </c>
      <c r="N2079" s="1" t="s">
        <v>26</v>
      </c>
      <c r="O2079" s="1" t="s">
        <v>26</v>
      </c>
      <c r="P2079" s="4">
        <v>44840.46601851852</v>
      </c>
    </row>
    <row r="2080" hidden="1">
      <c r="A2080" s="1" t="s">
        <v>1055</v>
      </c>
      <c r="B2080" s="3" t="str">
        <f>HYPERLINK("https://hawk-eye.atlassian.net/browse/HWKREPORT-1444?atlOrigin=eyJpIjoiYzgwYTQ0ZjEyNzQzNGJhN2JmNjEyZTM0NmRhZWZhNjIiLCJwIjoic2hlZXRzLWppcmEifQ","HWKREPORT-1444")</f>
        <v>HWKREPORT-1444</v>
      </c>
      <c r="C2080" s="1" t="s">
        <v>3350</v>
      </c>
      <c r="D2080" s="1" t="s">
        <v>23</v>
      </c>
      <c r="E2080" s="1" t="s">
        <v>1057</v>
      </c>
      <c r="F2080" s="4">
        <v>44771.35675925926</v>
      </c>
      <c r="G2080" s="3" t="str">
        <f>HYPERLINK("https://hawk-eye.atlassian.net/browse/?atlOrigin=eyJpIjoiYzgwYTQ0ZjEyNzQzNGJhN2JmNjEyZTM0NmRhZWZhNjIiLCJwIjoic2hlZXRzLWppcmEifQ","")</f>
        <v/>
      </c>
      <c r="H2080" s="1" t="s">
        <v>1058</v>
      </c>
      <c r="I2080" s="1" t="s">
        <v>1126</v>
      </c>
      <c r="J2080" s="1" t="s">
        <v>26</v>
      </c>
      <c r="K2080" s="1" t="s">
        <v>1211</v>
      </c>
      <c r="L2080" s="1" t="s">
        <v>26</v>
      </c>
      <c r="M2080" s="1" t="s">
        <v>27</v>
      </c>
      <c r="N2080" s="1" t="s">
        <v>26</v>
      </c>
      <c r="O2080" s="1" t="s">
        <v>26</v>
      </c>
      <c r="P2080" s="4">
        <v>44771.356770833336</v>
      </c>
    </row>
    <row r="2081" hidden="1">
      <c r="A2081" s="1" t="s">
        <v>21</v>
      </c>
      <c r="B2081" s="3" t="str">
        <f>HYPERLINK("https://hawk-eye.atlassian.net/browse/HWKREPORT-1445?atlOrigin=eyJpIjoiYzgwYTQ0ZjEyNzQzNGJhN2JmNjEyZTM0NmRhZWZhNjIiLCJwIjoic2hlZXRzLWppcmEifQ","HWKREPORT-1445")</f>
        <v>HWKREPORT-1445</v>
      </c>
      <c r="C2081" s="1" t="s">
        <v>3351</v>
      </c>
      <c r="D2081" s="1" t="s">
        <v>23</v>
      </c>
      <c r="E2081" s="1" t="s">
        <v>35</v>
      </c>
      <c r="F2081" s="4">
        <v>44771.521898148145</v>
      </c>
      <c r="G2081" s="3" t="str">
        <f>HYPERLINK("https://hawk-eye.atlassian.net/browse/SO-379?atlOrigin=eyJpIjoiYzgwYTQ0ZjEyNzQzNGJhN2JmNjEyZTM0NmRhZWZhNjIiLCJwIjoic2hlZXRzLWppcmEifQ","SO-379")</f>
        <v>SO-379</v>
      </c>
      <c r="H2081" s="1" t="s">
        <v>1058</v>
      </c>
      <c r="I2081" s="1" t="s">
        <v>1082</v>
      </c>
      <c r="J2081" s="1" t="s">
        <v>26</v>
      </c>
      <c r="K2081" s="1" t="s">
        <v>1247</v>
      </c>
      <c r="L2081" s="1" t="s">
        <v>26</v>
      </c>
      <c r="M2081" s="1" t="s">
        <v>27</v>
      </c>
      <c r="N2081" s="1" t="s">
        <v>26</v>
      </c>
      <c r="O2081" s="1" t="s">
        <v>26</v>
      </c>
      <c r="P2081" s="4">
        <v>44929.61200231482</v>
      </c>
    </row>
    <row r="2082" hidden="1">
      <c r="A2082" s="1" t="s">
        <v>21</v>
      </c>
      <c r="B2082" s="3" t="str">
        <f>HYPERLINK("https://hawk-eye.atlassian.net/browse/HWKREPORT-1446?atlOrigin=eyJpIjoiYzgwYTQ0ZjEyNzQzNGJhN2JmNjEyZTM0NmRhZWZhNjIiLCJwIjoic2hlZXRzLWppcmEifQ","HWKREPORT-1446")</f>
        <v>HWKREPORT-1446</v>
      </c>
      <c r="C2082" s="1" t="s">
        <v>3352</v>
      </c>
      <c r="D2082" s="1" t="s">
        <v>34</v>
      </c>
      <c r="E2082" s="1" t="s">
        <v>1057</v>
      </c>
      <c r="F2082" s="4">
        <v>44771.53912037037</v>
      </c>
      <c r="G2082" s="3" t="str">
        <f t="shared" ref="G2082:G2085" si="158">HYPERLINK("https://hawk-eye.atlassian.net/browse/?atlOrigin=eyJpIjoiYzgwYTQ0ZjEyNzQzNGJhN2JmNjEyZTM0NmRhZWZhNjIiLCJwIjoic2hlZXRzLWppcmEifQ","")</f>
        <v/>
      </c>
      <c r="H2082" s="1" t="s">
        <v>1058</v>
      </c>
      <c r="I2082" s="1" t="s">
        <v>1082</v>
      </c>
      <c r="J2082" s="1" t="s">
        <v>26</v>
      </c>
      <c r="K2082" s="1" t="s">
        <v>1247</v>
      </c>
      <c r="L2082" s="1" t="s">
        <v>26</v>
      </c>
      <c r="M2082" s="1" t="s">
        <v>27</v>
      </c>
      <c r="N2082" s="1" t="s">
        <v>26</v>
      </c>
      <c r="O2082" s="1" t="s">
        <v>26</v>
      </c>
      <c r="P2082" s="4">
        <v>44771.539131944446</v>
      </c>
    </row>
    <row r="2083" hidden="1">
      <c r="A2083" s="1" t="s">
        <v>21</v>
      </c>
      <c r="B2083" s="3" t="str">
        <f>HYPERLINK("https://hawk-eye.atlassian.net/browse/HWKREPORT-1447?atlOrigin=eyJpIjoiYzgwYTQ0ZjEyNzQzNGJhN2JmNjEyZTM0NmRhZWZhNjIiLCJwIjoic2hlZXRzLWppcmEifQ","HWKREPORT-1447")</f>
        <v>HWKREPORT-1447</v>
      </c>
      <c r="C2083" s="1" t="s">
        <v>3353</v>
      </c>
      <c r="D2083" s="1" t="s">
        <v>23</v>
      </c>
      <c r="E2083" s="1" t="s">
        <v>35</v>
      </c>
      <c r="F2083" s="4">
        <v>44771.56017361111</v>
      </c>
      <c r="G2083" s="3" t="str">
        <f t="shared" si="158"/>
        <v/>
      </c>
      <c r="H2083" s="1" t="s">
        <v>1058</v>
      </c>
      <c r="I2083" s="1" t="s">
        <v>1082</v>
      </c>
      <c r="J2083" s="1" t="s">
        <v>26</v>
      </c>
      <c r="K2083" s="1" t="s">
        <v>1247</v>
      </c>
      <c r="L2083" s="1" t="s">
        <v>26</v>
      </c>
      <c r="M2083" s="1" t="s">
        <v>27</v>
      </c>
      <c r="N2083" s="1" t="s">
        <v>26</v>
      </c>
      <c r="O2083" s="1" t="s">
        <v>26</v>
      </c>
      <c r="P2083" s="4">
        <v>45327.59663194444</v>
      </c>
    </row>
    <row r="2084" hidden="1">
      <c r="A2084" s="1" t="s">
        <v>21</v>
      </c>
      <c r="B2084" s="3" t="str">
        <f>HYPERLINK("https://hawk-eye.atlassian.net/browse/HWKREPORT-1448?atlOrigin=eyJpIjoiYzgwYTQ0ZjEyNzQzNGJhN2JmNjEyZTM0NmRhZWZhNjIiLCJwIjoic2hlZXRzLWppcmEifQ","HWKREPORT-1448")</f>
        <v>HWKREPORT-1448</v>
      </c>
      <c r="C2084" s="1" t="s">
        <v>3354</v>
      </c>
      <c r="D2084" s="1" t="s">
        <v>23</v>
      </c>
      <c r="E2084" s="1" t="s">
        <v>1057</v>
      </c>
      <c r="F2084" s="4">
        <v>44771.56690972222</v>
      </c>
      <c r="G2084" s="3" t="str">
        <f t="shared" si="158"/>
        <v/>
      </c>
      <c r="H2084" s="1" t="s">
        <v>1058</v>
      </c>
      <c r="I2084" s="1" t="s">
        <v>1082</v>
      </c>
      <c r="J2084" s="1" t="s">
        <v>26</v>
      </c>
      <c r="K2084" s="1" t="s">
        <v>1247</v>
      </c>
      <c r="L2084" s="1" t="s">
        <v>26</v>
      </c>
      <c r="M2084" s="1" t="s">
        <v>27</v>
      </c>
      <c r="N2084" s="1" t="s">
        <v>26</v>
      </c>
      <c r="O2084" s="1" t="s">
        <v>26</v>
      </c>
      <c r="P2084" s="4">
        <v>44771.56690972222</v>
      </c>
    </row>
    <row r="2085" hidden="1">
      <c r="A2085" s="1" t="s">
        <v>21</v>
      </c>
      <c r="B2085" s="3" t="str">
        <f>HYPERLINK("https://hawk-eye.atlassian.net/browse/HWKREPORT-1449?atlOrigin=eyJpIjoiYzgwYTQ0ZjEyNzQzNGJhN2JmNjEyZTM0NmRhZWZhNjIiLCJwIjoic2hlZXRzLWppcmEifQ","HWKREPORT-1449")</f>
        <v>HWKREPORT-1449</v>
      </c>
      <c r="C2085" s="1" t="s">
        <v>3355</v>
      </c>
      <c r="D2085" s="1" t="s">
        <v>34</v>
      </c>
      <c r="E2085" s="1" t="s">
        <v>1057</v>
      </c>
      <c r="F2085" s="4">
        <v>44774.65896990741</v>
      </c>
      <c r="G2085" s="3" t="str">
        <f t="shared" si="158"/>
        <v/>
      </c>
      <c r="H2085" s="1" t="s">
        <v>1058</v>
      </c>
      <c r="I2085" s="1" t="s">
        <v>1126</v>
      </c>
      <c r="J2085" s="1" t="s">
        <v>26</v>
      </c>
      <c r="K2085" s="1" t="s">
        <v>1211</v>
      </c>
      <c r="L2085" s="1" t="s">
        <v>26</v>
      </c>
      <c r="M2085" s="1" t="s">
        <v>27</v>
      </c>
      <c r="N2085" s="1" t="s">
        <v>26</v>
      </c>
      <c r="O2085" s="1" t="s">
        <v>26</v>
      </c>
      <c r="P2085" s="4">
        <v>44774.65898148148</v>
      </c>
    </row>
    <row r="2086" hidden="1">
      <c r="A2086" s="1" t="s">
        <v>1055</v>
      </c>
      <c r="B2086" s="3" t="str">
        <f>HYPERLINK("https://hawk-eye.atlassian.net/browse/HWKREPORT-1450?atlOrigin=eyJpIjoiYzgwYTQ0ZjEyNzQzNGJhN2JmNjEyZTM0NmRhZWZhNjIiLCJwIjoic2hlZXRzLWppcmEifQ","HWKREPORT-1450")</f>
        <v>HWKREPORT-1450</v>
      </c>
      <c r="C2086" s="1" t="s">
        <v>3356</v>
      </c>
      <c r="D2086" s="1" t="s">
        <v>23</v>
      </c>
      <c r="E2086" s="1" t="s">
        <v>35</v>
      </c>
      <c r="F2086" s="4">
        <v>44774.686203703706</v>
      </c>
      <c r="G2086" s="3" t="str">
        <f>HYPERLINK("https://hawk-eye.atlassian.net/browse/BDS-428?atlOrigin=eyJpIjoiYzgwYTQ0ZjEyNzQzNGJhN2JmNjEyZTM0NmRhZWZhNjIiLCJwIjoic2hlZXRzLWppcmEifQ","BDS-428")</f>
        <v>BDS-428</v>
      </c>
      <c r="H2086" s="1" t="s">
        <v>1058</v>
      </c>
      <c r="I2086" s="1" t="s">
        <v>1071</v>
      </c>
      <c r="J2086" s="1" t="s">
        <v>26</v>
      </c>
      <c r="K2086" s="1" t="s">
        <v>1762</v>
      </c>
      <c r="L2086" s="1" t="s">
        <v>26</v>
      </c>
      <c r="M2086" s="1" t="s">
        <v>27</v>
      </c>
      <c r="N2086" s="1" t="s">
        <v>26</v>
      </c>
      <c r="O2086" s="1" t="s">
        <v>26</v>
      </c>
      <c r="P2086" s="4">
        <v>44827.44363425926</v>
      </c>
    </row>
    <row r="2087" hidden="1">
      <c r="A2087" s="1" t="s">
        <v>21</v>
      </c>
      <c r="B2087" s="3" t="str">
        <f>HYPERLINK("https://hawk-eye.atlassian.net/browse/HWKREPORT-1451?atlOrigin=eyJpIjoiYzgwYTQ0ZjEyNzQzNGJhN2JmNjEyZTM0NmRhZWZhNjIiLCJwIjoic2hlZXRzLWppcmEifQ","HWKREPORT-1451")</f>
        <v>HWKREPORT-1451</v>
      </c>
      <c r="C2087" s="1" t="s">
        <v>3357</v>
      </c>
      <c r="D2087" s="1" t="s">
        <v>40</v>
      </c>
      <c r="E2087" s="1" t="s">
        <v>35</v>
      </c>
      <c r="F2087" s="4">
        <v>44774.70891203704</v>
      </c>
      <c r="G2087" s="3" t="str">
        <f>HYPERLINK("https://hawk-eye.atlassian.net/browse/TDP-1422?atlOrigin=eyJpIjoiYzgwYTQ0ZjEyNzQzNGJhN2JmNjEyZTM0NmRhZWZhNjIiLCJwIjoic2hlZXRzLWppcmEifQ","TDP-1422")</f>
        <v>TDP-1422</v>
      </c>
      <c r="H2087" s="1" t="s">
        <v>1058</v>
      </c>
      <c r="I2087" s="1" t="s">
        <v>1126</v>
      </c>
      <c r="J2087" s="1" t="s">
        <v>26</v>
      </c>
      <c r="K2087" s="1" t="s">
        <v>1211</v>
      </c>
      <c r="L2087" s="1" t="s">
        <v>26</v>
      </c>
      <c r="M2087" s="1" t="s">
        <v>27</v>
      </c>
      <c r="N2087" s="1" t="s">
        <v>26</v>
      </c>
      <c r="O2087" s="1" t="s">
        <v>26</v>
      </c>
      <c r="P2087" s="4">
        <v>44776.71208333333</v>
      </c>
    </row>
    <row r="2088" hidden="1">
      <c r="A2088" s="1" t="s">
        <v>21</v>
      </c>
      <c r="B2088" s="3" t="str">
        <f>HYPERLINK("https://hawk-eye.atlassian.net/browse/HWKREPORT-1452?atlOrigin=eyJpIjoiYzgwYTQ0ZjEyNzQzNGJhN2JmNjEyZTM0NmRhZWZhNjIiLCJwIjoic2hlZXRzLWppcmEifQ","HWKREPORT-1452")</f>
        <v>HWKREPORT-1452</v>
      </c>
      <c r="C2088" s="1" t="s">
        <v>3358</v>
      </c>
      <c r="D2088" s="1" t="s">
        <v>34</v>
      </c>
      <c r="E2088" s="1" t="s">
        <v>35</v>
      </c>
      <c r="F2088" s="4">
        <v>44775.50042824074</v>
      </c>
      <c r="G2088" s="3" t="str">
        <f>HYPERLINK("https://hawk-eye.atlassian.net/browse/?atlOrigin=eyJpIjoiYzgwYTQ0ZjEyNzQzNGJhN2JmNjEyZTM0NmRhZWZhNjIiLCJwIjoic2hlZXRzLWppcmEifQ","")</f>
        <v/>
      </c>
      <c r="H2088" s="1" t="s">
        <v>1058</v>
      </c>
      <c r="I2088" s="1" t="s">
        <v>1082</v>
      </c>
      <c r="J2088" s="1" t="s">
        <v>26</v>
      </c>
      <c r="K2088" s="1" t="s">
        <v>1105</v>
      </c>
      <c r="L2088" s="1" t="s">
        <v>26</v>
      </c>
      <c r="M2088" s="1" t="s">
        <v>27</v>
      </c>
      <c r="N2088" s="1" t="s">
        <v>26</v>
      </c>
      <c r="O2088" s="1" t="s">
        <v>26</v>
      </c>
      <c r="P2088" s="4">
        <v>44784.46487268519</v>
      </c>
    </row>
    <row r="2089" hidden="1">
      <c r="A2089" s="1" t="s">
        <v>21</v>
      </c>
      <c r="B2089" s="3" t="str">
        <f>HYPERLINK("https://hawk-eye.atlassian.net/browse/HWKREPORT-1453?atlOrigin=eyJpIjoiYzgwYTQ0ZjEyNzQzNGJhN2JmNjEyZTM0NmRhZWZhNjIiLCJwIjoic2hlZXRzLWppcmEifQ","HWKREPORT-1453")</f>
        <v>HWKREPORT-1453</v>
      </c>
      <c r="C2089" s="1" t="s">
        <v>3359</v>
      </c>
      <c r="D2089" s="1" t="s">
        <v>23</v>
      </c>
      <c r="E2089" s="1" t="s">
        <v>35</v>
      </c>
      <c r="F2089" s="4">
        <v>44775.663506944446</v>
      </c>
      <c r="G2089" s="3" t="str">
        <f>HYPERLINK("https://hawk-eye.atlassian.net/browse/RTT-5193?atlOrigin=eyJpIjoiYzgwYTQ0ZjEyNzQzNGJhN2JmNjEyZTM0NmRhZWZhNjIiLCJwIjoic2hlZXRzLWppcmEifQ","RTT-5193")</f>
        <v>RTT-5193</v>
      </c>
      <c r="H2089" s="1" t="s">
        <v>1058</v>
      </c>
      <c r="I2089" s="1" t="s">
        <v>1085</v>
      </c>
      <c r="J2089" s="1" t="s">
        <v>26</v>
      </c>
      <c r="K2089" s="1" t="s">
        <v>1196</v>
      </c>
      <c r="L2089" s="1" t="s">
        <v>26</v>
      </c>
      <c r="M2089" s="1" t="s">
        <v>27</v>
      </c>
      <c r="N2089" s="1" t="s">
        <v>26</v>
      </c>
      <c r="O2089" s="1" t="s">
        <v>26</v>
      </c>
      <c r="P2089" s="4">
        <v>45216.38376157408</v>
      </c>
    </row>
    <row r="2090" hidden="1">
      <c r="A2090" s="1" t="s">
        <v>21</v>
      </c>
      <c r="B2090" s="3" t="str">
        <f>HYPERLINK("https://hawk-eye.atlassian.net/browse/HWKREPORT-1454?atlOrigin=eyJpIjoiYzgwYTQ0ZjEyNzQzNGJhN2JmNjEyZTM0NmRhZWZhNjIiLCJwIjoic2hlZXRzLWppcmEifQ","HWKREPORT-1454")</f>
        <v>HWKREPORT-1454</v>
      </c>
      <c r="C2090" s="1" t="s">
        <v>3360</v>
      </c>
      <c r="D2090" s="1" t="s">
        <v>23</v>
      </c>
      <c r="E2090" s="1" t="s">
        <v>1057</v>
      </c>
      <c r="F2090" s="4">
        <v>44777.381689814814</v>
      </c>
      <c r="G2090" s="3" t="str">
        <f>HYPERLINK("https://hawk-eye.atlassian.net/browse/?atlOrigin=eyJpIjoiYzgwYTQ0ZjEyNzQzNGJhN2JmNjEyZTM0NmRhZWZhNjIiLCJwIjoic2hlZXRzLWppcmEifQ","")</f>
        <v/>
      </c>
      <c r="H2090" s="1" t="s">
        <v>1058</v>
      </c>
      <c r="I2090" s="1" t="s">
        <v>1071</v>
      </c>
      <c r="J2090" s="1" t="s">
        <v>26</v>
      </c>
      <c r="K2090" s="1" t="s">
        <v>3361</v>
      </c>
      <c r="L2090" s="1" t="s">
        <v>26</v>
      </c>
      <c r="M2090" s="1" t="s">
        <v>27</v>
      </c>
      <c r="N2090" s="1" t="s">
        <v>26</v>
      </c>
      <c r="O2090" s="1" t="s">
        <v>26</v>
      </c>
      <c r="P2090" s="4">
        <v>44777.38170138889</v>
      </c>
    </row>
    <row r="2091" hidden="1">
      <c r="A2091" s="1" t="s">
        <v>1055</v>
      </c>
      <c r="B2091" s="3" t="str">
        <f>HYPERLINK("https://hawk-eye.atlassian.net/browse/HWKREPORT-1455?atlOrigin=eyJpIjoiYzgwYTQ0ZjEyNzQzNGJhN2JmNjEyZTM0NmRhZWZhNjIiLCJwIjoic2hlZXRzLWppcmEifQ","HWKREPORT-1455")</f>
        <v>HWKREPORT-1455</v>
      </c>
      <c r="C2091" s="1" t="s">
        <v>3362</v>
      </c>
      <c r="D2091" s="1" t="s">
        <v>23</v>
      </c>
      <c r="E2091" s="1" t="s">
        <v>1057</v>
      </c>
      <c r="F2091" s="4">
        <v>44781.47011574074</v>
      </c>
      <c r="G2091" s="3" t="str">
        <f>HYPERLINK("https://hawk-eye.atlassian.net/browse/GT-1057?atlOrigin=eyJpIjoiYzgwYTQ0ZjEyNzQzNGJhN2JmNjEyZTM0NmRhZWZhNjIiLCJwIjoic2hlZXRzLWppcmEifQ","GT-1057")</f>
        <v>GT-1057</v>
      </c>
      <c r="H2091" s="1" t="s">
        <v>1058</v>
      </c>
      <c r="I2091" s="1" t="s">
        <v>1082</v>
      </c>
      <c r="J2091" s="1" t="s">
        <v>26</v>
      </c>
      <c r="K2091" s="1" t="s">
        <v>1105</v>
      </c>
      <c r="L2091" s="1" t="s">
        <v>26</v>
      </c>
      <c r="M2091" s="1" t="s">
        <v>27</v>
      </c>
      <c r="N2091" s="1" t="s">
        <v>26</v>
      </c>
      <c r="O2091" s="1" t="s">
        <v>26</v>
      </c>
      <c r="P2091" s="4">
        <v>44781.47012731482</v>
      </c>
    </row>
    <row r="2092" hidden="1">
      <c r="A2092" s="1" t="s">
        <v>1055</v>
      </c>
      <c r="B2092" s="3" t="str">
        <f>HYPERLINK("https://hawk-eye.atlassian.net/browse/HWKREPORT-1456?atlOrigin=eyJpIjoiYzgwYTQ0ZjEyNzQzNGJhN2JmNjEyZTM0NmRhZWZhNjIiLCJwIjoic2hlZXRzLWppcmEifQ","HWKREPORT-1456")</f>
        <v>HWKREPORT-1456</v>
      </c>
      <c r="C2092" s="1" t="s">
        <v>3363</v>
      </c>
      <c r="D2092" s="1" t="s">
        <v>23</v>
      </c>
      <c r="E2092" s="1" t="s">
        <v>1057</v>
      </c>
      <c r="F2092" s="4">
        <v>44782.706979166665</v>
      </c>
      <c r="G2092" s="3" t="str">
        <f>HYPERLINK("https://hawk-eye.atlassian.net/browse/BR-485?atlOrigin=eyJpIjoiYzgwYTQ0ZjEyNzQzNGJhN2JmNjEyZTM0NmRhZWZhNjIiLCJwIjoic2hlZXRzLWppcmEifQ","BR-485")</f>
        <v>BR-485</v>
      </c>
      <c r="H2092" s="1" t="s">
        <v>1058</v>
      </c>
      <c r="I2092" s="1" t="s">
        <v>1676</v>
      </c>
      <c r="J2092" s="1" t="s">
        <v>26</v>
      </c>
      <c r="K2092" s="1" t="s">
        <v>3364</v>
      </c>
      <c r="L2092" s="1" t="s">
        <v>26</v>
      </c>
      <c r="M2092" s="1" t="s">
        <v>27</v>
      </c>
      <c r="N2092" s="1" t="s">
        <v>26</v>
      </c>
      <c r="O2092" s="1" t="s">
        <v>26</v>
      </c>
      <c r="P2092" s="4">
        <v>44782.70699074074</v>
      </c>
    </row>
    <row r="2093" hidden="1">
      <c r="A2093" s="1" t="s">
        <v>21</v>
      </c>
      <c r="B2093" s="3" t="str">
        <f>HYPERLINK("https://hawk-eye.atlassian.net/browse/HWKREPORT-1457?atlOrigin=eyJpIjoiYzgwYTQ0ZjEyNzQzNGJhN2JmNjEyZTM0NmRhZWZhNjIiLCJwIjoic2hlZXRzLWppcmEifQ","HWKREPORT-1457")</f>
        <v>HWKREPORT-1457</v>
      </c>
      <c r="C2093" s="1" t="s">
        <v>3365</v>
      </c>
      <c r="D2093" s="1" t="s">
        <v>23</v>
      </c>
      <c r="E2093" s="1" t="s">
        <v>1057</v>
      </c>
      <c r="F2093" s="4">
        <v>44783.0796412037</v>
      </c>
      <c r="G2093" s="3" t="str">
        <f>HYPERLINK("https://hawk-eye.atlassian.net/browse/?atlOrigin=eyJpIjoiYzgwYTQ0ZjEyNzQzNGJhN2JmNjEyZTM0NmRhZWZhNjIiLCJwIjoic2hlZXRzLWppcmEifQ","")</f>
        <v/>
      </c>
      <c r="H2093" s="1" t="s">
        <v>1058</v>
      </c>
      <c r="I2093" s="1" t="s">
        <v>1071</v>
      </c>
      <c r="J2093" s="1" t="s">
        <v>26</v>
      </c>
      <c r="K2093" s="1" t="s">
        <v>1130</v>
      </c>
      <c r="L2093" s="1" t="s">
        <v>26</v>
      </c>
      <c r="M2093" s="1" t="s">
        <v>27</v>
      </c>
      <c r="N2093" s="1" t="s">
        <v>26</v>
      </c>
      <c r="O2093" s="1" t="s">
        <v>26</v>
      </c>
      <c r="P2093" s="4">
        <v>44783.07965277778</v>
      </c>
    </row>
    <row r="2094" hidden="1">
      <c r="A2094" s="1" t="s">
        <v>21</v>
      </c>
      <c r="B2094" s="3" t="str">
        <f>HYPERLINK("https://hawk-eye.atlassian.net/browse/HWKREPORT-1458?atlOrigin=eyJpIjoiYzgwYTQ0ZjEyNzQzNGJhN2JmNjEyZTM0NmRhZWZhNjIiLCJwIjoic2hlZXRzLWppcmEifQ","HWKREPORT-1458")</f>
        <v>HWKREPORT-1458</v>
      </c>
      <c r="C2094" s="1" t="s">
        <v>3366</v>
      </c>
      <c r="D2094" s="1" t="s">
        <v>23</v>
      </c>
      <c r="E2094" s="1" t="s">
        <v>35</v>
      </c>
      <c r="F2094" s="4">
        <v>44783.14304398148</v>
      </c>
      <c r="G2094" s="3" t="str">
        <f>HYPERLINK("https://hawk-eye.atlassian.net/browse/RTT-5231?atlOrigin=eyJpIjoiYzgwYTQ0ZjEyNzQzNGJhN2JmNjEyZTM0NmRhZWZhNjIiLCJwIjoic2hlZXRzLWppcmEifQ","RTT-5231")</f>
        <v>RTT-5231</v>
      </c>
      <c r="H2094" s="1" t="s">
        <v>1058</v>
      </c>
      <c r="I2094" s="1" t="s">
        <v>1071</v>
      </c>
      <c r="J2094" s="1" t="s">
        <v>26</v>
      </c>
      <c r="K2094" s="1" t="s">
        <v>1099</v>
      </c>
      <c r="L2094" s="1" t="s">
        <v>26</v>
      </c>
      <c r="M2094" s="1" t="s">
        <v>27</v>
      </c>
      <c r="N2094" s="1" t="s">
        <v>26</v>
      </c>
      <c r="O2094" s="1" t="s">
        <v>26</v>
      </c>
      <c r="P2094" s="4">
        <v>44803.5053587963</v>
      </c>
    </row>
    <row r="2095" hidden="1">
      <c r="A2095" s="1" t="s">
        <v>21</v>
      </c>
      <c r="B2095" s="3" t="str">
        <f>HYPERLINK("https://hawk-eye.atlassian.net/browse/HWKREPORT-1459?atlOrigin=eyJpIjoiYzgwYTQ0ZjEyNzQzNGJhN2JmNjEyZTM0NmRhZWZhNjIiLCJwIjoic2hlZXRzLWppcmEifQ","HWKREPORT-1459")</f>
        <v>HWKREPORT-1459</v>
      </c>
      <c r="C2095" s="1" t="s">
        <v>3367</v>
      </c>
      <c r="D2095" s="1" t="s">
        <v>23</v>
      </c>
      <c r="E2095" s="1" t="s">
        <v>35</v>
      </c>
      <c r="F2095" s="4">
        <v>44783.403344907405</v>
      </c>
      <c r="G2095" s="3" t="str">
        <f>HYPERLINK("https://hawk-eye.atlassian.net/browse/RTT-5339?atlOrigin=eyJpIjoiYzgwYTQ0ZjEyNzQzNGJhN2JmNjEyZTM0NmRhZWZhNjIiLCJwIjoic2hlZXRzLWppcmEifQ","RTT-5339")</f>
        <v>RTT-5339</v>
      </c>
      <c r="H2095" s="1" t="s">
        <v>1058</v>
      </c>
      <c r="I2095" s="1" t="s">
        <v>1071</v>
      </c>
      <c r="J2095" s="1" t="s">
        <v>26</v>
      </c>
      <c r="K2095" s="1" t="s">
        <v>1072</v>
      </c>
      <c r="L2095" s="1" t="s">
        <v>26</v>
      </c>
      <c r="M2095" s="1" t="s">
        <v>27</v>
      </c>
      <c r="N2095" s="1" t="s">
        <v>26</v>
      </c>
      <c r="O2095" s="1" t="s">
        <v>26</v>
      </c>
      <c r="P2095" s="4">
        <v>45091.71061342592</v>
      </c>
    </row>
    <row r="2096" hidden="1">
      <c r="A2096" s="1" t="s">
        <v>21</v>
      </c>
      <c r="B2096" s="3" t="str">
        <f>HYPERLINK("https://hawk-eye.atlassian.net/browse/HWKREPORT-1460?atlOrigin=eyJpIjoiYzgwYTQ0ZjEyNzQzNGJhN2JmNjEyZTM0NmRhZWZhNjIiLCJwIjoic2hlZXRzLWppcmEifQ","HWKREPORT-1460")</f>
        <v>HWKREPORT-1460</v>
      </c>
      <c r="C2096" s="1" t="s">
        <v>3368</v>
      </c>
      <c r="D2096" s="1" t="s">
        <v>23</v>
      </c>
      <c r="E2096" s="1" t="s">
        <v>1091</v>
      </c>
      <c r="F2096" s="4">
        <v>44783.81979166667</v>
      </c>
      <c r="G2096" s="3" t="str">
        <f>HYPERLINK("https://hawk-eye.atlassian.net/browse/RTT-5205?atlOrigin=eyJpIjoiYzgwYTQ0ZjEyNzQzNGJhN2JmNjEyZTM0NmRhZWZhNjIiLCJwIjoic2hlZXRzLWppcmEifQ","RTT-5205")</f>
        <v>RTT-5205</v>
      </c>
      <c r="H2096" s="1" t="s">
        <v>1058</v>
      </c>
      <c r="I2096" s="1" t="s">
        <v>1071</v>
      </c>
      <c r="J2096" s="1" t="s">
        <v>26</v>
      </c>
      <c r="K2096" s="1" t="s">
        <v>1072</v>
      </c>
      <c r="L2096" s="1" t="s">
        <v>26</v>
      </c>
      <c r="M2096" s="1" t="s">
        <v>27</v>
      </c>
      <c r="N2096" s="1" t="s">
        <v>26</v>
      </c>
      <c r="O2096" s="1" t="s">
        <v>26</v>
      </c>
      <c r="P2096" s="4">
        <v>45216.38459490741</v>
      </c>
    </row>
    <row r="2097" hidden="1">
      <c r="A2097" s="1" t="s">
        <v>1055</v>
      </c>
      <c r="B2097" s="3" t="str">
        <f>HYPERLINK("https://hawk-eye.atlassian.net/browse/HWKREPORT-1461?atlOrigin=eyJpIjoiYzgwYTQ0ZjEyNzQzNGJhN2JmNjEyZTM0NmRhZWZhNjIiLCJwIjoic2hlZXRzLWppcmEifQ","HWKREPORT-1461")</f>
        <v>HWKREPORT-1461</v>
      </c>
      <c r="C2097" s="1" t="s">
        <v>3369</v>
      </c>
      <c r="D2097" s="1" t="s">
        <v>23</v>
      </c>
      <c r="E2097" s="1" t="s">
        <v>1207</v>
      </c>
      <c r="F2097" s="4">
        <v>44783.93928240741</v>
      </c>
      <c r="G2097" s="3" t="str">
        <f>HYPERLINK("https://hawk-eye.atlassian.net/browse/RTT-5203?atlOrigin=eyJpIjoiYzgwYTQ0ZjEyNzQzNGJhN2JmNjEyZTM0NmRhZWZhNjIiLCJwIjoic2hlZXRzLWppcmEifQ","RTT-5203")</f>
        <v>RTT-5203</v>
      </c>
      <c r="H2097" s="1" t="s">
        <v>1058</v>
      </c>
      <c r="I2097" s="1" t="s">
        <v>1071</v>
      </c>
      <c r="J2097" s="1" t="s">
        <v>26</v>
      </c>
      <c r="K2097" s="1" t="s">
        <v>1099</v>
      </c>
      <c r="L2097" s="1" t="s">
        <v>26</v>
      </c>
      <c r="M2097" s="1" t="s">
        <v>27</v>
      </c>
      <c r="N2097" s="1" t="s">
        <v>26</v>
      </c>
      <c r="O2097" s="1" t="s">
        <v>26</v>
      </c>
      <c r="P2097" s="4">
        <v>44929.4184837963</v>
      </c>
    </row>
    <row r="2098" hidden="1">
      <c r="A2098" s="1" t="s">
        <v>21</v>
      </c>
      <c r="B2098" s="3" t="str">
        <f>HYPERLINK("https://hawk-eye.atlassian.net/browse/HWKREPORT-1462?atlOrigin=eyJpIjoiYzgwYTQ0ZjEyNzQzNGJhN2JmNjEyZTM0NmRhZWZhNjIiLCJwIjoic2hlZXRzLWppcmEifQ","HWKREPORT-1462")</f>
        <v>HWKREPORT-1462</v>
      </c>
      <c r="C2098" s="1" t="s">
        <v>3370</v>
      </c>
      <c r="D2098" s="1" t="s">
        <v>34</v>
      </c>
      <c r="E2098" s="1" t="s">
        <v>35</v>
      </c>
      <c r="F2098" s="4">
        <v>44784.444861111115</v>
      </c>
      <c r="G2098" s="3" t="str">
        <f>HYPERLINK("https://hawk-eye.atlassian.net/browse/GT-516?atlOrigin=eyJpIjoiYzgwYTQ0ZjEyNzQzNGJhN2JmNjEyZTM0NmRhZWZhNjIiLCJwIjoic2hlZXRzLWppcmEifQ","GT-516")</f>
        <v>GT-516</v>
      </c>
      <c r="H2098" s="1" t="s">
        <v>1058</v>
      </c>
      <c r="I2098" s="1" t="s">
        <v>1082</v>
      </c>
      <c r="J2098" s="1" t="s">
        <v>26</v>
      </c>
      <c r="K2098" s="1" t="s">
        <v>1105</v>
      </c>
      <c r="L2098" s="1" t="s">
        <v>26</v>
      </c>
      <c r="M2098" s="1" t="s">
        <v>27</v>
      </c>
      <c r="N2098" s="1" t="s">
        <v>26</v>
      </c>
      <c r="O2098" s="1" t="s">
        <v>26</v>
      </c>
      <c r="P2098" s="4">
        <v>45029.67737268518</v>
      </c>
    </row>
    <row r="2099" hidden="1">
      <c r="A2099" s="1" t="s">
        <v>21</v>
      </c>
      <c r="B2099" s="3" t="str">
        <f>HYPERLINK("https://hawk-eye.atlassian.net/browse/HWKREPORT-1463?atlOrigin=eyJpIjoiYzgwYTQ0ZjEyNzQzNGJhN2JmNjEyZTM0NmRhZWZhNjIiLCJwIjoic2hlZXRzLWppcmEifQ","HWKREPORT-1463")</f>
        <v>HWKREPORT-1463</v>
      </c>
      <c r="C2099" s="1" t="s">
        <v>3371</v>
      </c>
      <c r="D2099" s="1" t="s">
        <v>23</v>
      </c>
      <c r="E2099" s="1" t="s">
        <v>35</v>
      </c>
      <c r="F2099" s="4">
        <v>44784.704976851855</v>
      </c>
      <c r="G2099" s="3" t="str">
        <f>HYPERLINK("https://hawk-eye.atlassian.net/browse/SO-396?atlOrigin=eyJpIjoiYzgwYTQ0ZjEyNzQzNGJhN2JmNjEyZTM0NmRhZWZhNjIiLCJwIjoic2hlZXRzLWppcmEifQ","SO-396")</f>
        <v>SO-396</v>
      </c>
      <c r="H2099" s="1" t="s">
        <v>1058</v>
      </c>
      <c r="I2099" s="1" t="s">
        <v>1085</v>
      </c>
      <c r="J2099" s="1" t="s">
        <v>26</v>
      </c>
      <c r="K2099" s="1" t="s">
        <v>1116</v>
      </c>
      <c r="L2099" s="1" t="s">
        <v>26</v>
      </c>
      <c r="M2099" s="1" t="s">
        <v>27</v>
      </c>
      <c r="N2099" s="1" t="s">
        <v>26</v>
      </c>
      <c r="O2099" s="1" t="s">
        <v>26</v>
      </c>
      <c r="P2099" s="4">
        <v>44790.504016203704</v>
      </c>
    </row>
    <row r="2100" hidden="1">
      <c r="A2100" s="1" t="s">
        <v>21</v>
      </c>
      <c r="B2100" s="3" t="str">
        <f>HYPERLINK("https://hawk-eye.atlassian.net/browse/HWKREPORT-1464?atlOrigin=eyJpIjoiYzgwYTQ0ZjEyNzQzNGJhN2JmNjEyZTM0NmRhZWZhNjIiLCJwIjoic2hlZXRzLWppcmEifQ","HWKREPORT-1464")</f>
        <v>HWKREPORT-1464</v>
      </c>
      <c r="C2100" s="1" t="s">
        <v>3372</v>
      </c>
      <c r="D2100" s="1" t="s">
        <v>23</v>
      </c>
      <c r="E2100" s="1" t="s">
        <v>1057</v>
      </c>
      <c r="F2100" s="4">
        <v>44784.9003125</v>
      </c>
      <c r="G2100" s="3" t="str">
        <f t="shared" ref="G2100:G2101" si="159">HYPERLINK("https://hawk-eye.atlassian.net/browse/?atlOrigin=eyJpIjoiYzgwYTQ0ZjEyNzQzNGJhN2JmNjEyZTM0NmRhZWZhNjIiLCJwIjoic2hlZXRzLWppcmEifQ","")</f>
        <v/>
      </c>
      <c r="H2100" s="1" t="s">
        <v>1058</v>
      </c>
      <c r="I2100" s="1" t="s">
        <v>1071</v>
      </c>
      <c r="J2100" s="1" t="s">
        <v>26</v>
      </c>
      <c r="K2100" s="1" t="s">
        <v>1335</v>
      </c>
      <c r="L2100" s="1" t="s">
        <v>26</v>
      </c>
      <c r="M2100" s="1" t="s">
        <v>27</v>
      </c>
      <c r="N2100" s="1" t="s">
        <v>26</v>
      </c>
      <c r="O2100" s="1" t="s">
        <v>26</v>
      </c>
      <c r="P2100" s="4">
        <v>44784.9003125</v>
      </c>
    </row>
    <row r="2101" hidden="1">
      <c r="A2101" s="1" t="s">
        <v>1055</v>
      </c>
      <c r="B2101" s="3" t="str">
        <f>HYPERLINK("https://hawk-eye.atlassian.net/browse/HWKREPORT-1465?atlOrigin=eyJpIjoiYzgwYTQ0ZjEyNzQzNGJhN2JmNjEyZTM0NmRhZWZhNjIiLCJwIjoic2hlZXRzLWppcmEifQ","HWKREPORT-1465")</f>
        <v>HWKREPORT-1465</v>
      </c>
      <c r="C2101" s="1" t="s">
        <v>3373</v>
      </c>
      <c r="D2101" s="1" t="s">
        <v>23</v>
      </c>
      <c r="E2101" s="1" t="s">
        <v>35</v>
      </c>
      <c r="F2101" s="4">
        <v>44784.915358796294</v>
      </c>
      <c r="G2101" s="3" t="str">
        <f t="shared" si="159"/>
        <v/>
      </c>
      <c r="H2101" s="1" t="s">
        <v>1058</v>
      </c>
      <c r="I2101" s="1" t="s">
        <v>1071</v>
      </c>
      <c r="J2101" s="1" t="s">
        <v>26</v>
      </c>
      <c r="K2101" s="1" t="s">
        <v>3374</v>
      </c>
      <c r="L2101" s="1" t="s">
        <v>26</v>
      </c>
      <c r="M2101" s="1" t="s">
        <v>27</v>
      </c>
      <c r="N2101" s="1" t="s">
        <v>26</v>
      </c>
      <c r="O2101" s="1" t="s">
        <v>26</v>
      </c>
      <c r="P2101" s="4">
        <v>44851.63068287037</v>
      </c>
    </row>
    <row r="2102" hidden="1">
      <c r="A2102" s="1" t="s">
        <v>21</v>
      </c>
      <c r="B2102" s="3" t="str">
        <f>HYPERLINK("https://hawk-eye.atlassian.net/browse/HWKREPORT-1265?atlOrigin=eyJpIjoiYzgwYTQ0ZjEyNzQzNGJhN2JmNjEyZTM0NmRhZWZhNjIiLCJwIjoic2hlZXRzLWppcmEifQ","HWKREPORT-1265")</f>
        <v>HWKREPORT-1265</v>
      </c>
      <c r="C2102" s="1" t="s">
        <v>3375</v>
      </c>
      <c r="D2102" s="1" t="s">
        <v>23</v>
      </c>
      <c r="E2102" s="1" t="s">
        <v>35</v>
      </c>
      <c r="F2102" s="4">
        <v>44678.72881944444</v>
      </c>
      <c r="G2102" s="3" t="str">
        <f>HYPERLINK("https://hawk-eye.atlassian.net/browse/BDP-749?atlOrigin=eyJpIjoiYzgwYTQ0ZjEyNzQzNGJhN2JmNjEyZTM0NmRhZWZhNjIiLCJwIjoic2hlZXRzLWppcmEifQ","BDP-749")</f>
        <v>BDP-749</v>
      </c>
      <c r="H2102" s="1" t="s">
        <v>1058</v>
      </c>
      <c r="I2102" s="1" t="s">
        <v>1071</v>
      </c>
      <c r="J2102" s="1" t="s">
        <v>26</v>
      </c>
      <c r="K2102" s="1" t="s">
        <v>1130</v>
      </c>
      <c r="L2102" s="1" t="s">
        <v>26</v>
      </c>
      <c r="M2102" s="1" t="s">
        <v>27</v>
      </c>
      <c r="N2102" s="1" t="s">
        <v>26</v>
      </c>
      <c r="O2102" s="1" t="s">
        <v>26</v>
      </c>
      <c r="P2102" s="4">
        <v>44827.44238425926</v>
      </c>
    </row>
    <row r="2103" hidden="1">
      <c r="A2103" s="1" t="s">
        <v>21</v>
      </c>
      <c r="B2103" s="3" t="str">
        <f>HYPERLINK("https://hawk-eye.atlassian.net/browse/HWKREPORT-1266?atlOrigin=eyJpIjoiYzgwYTQ0ZjEyNzQzNGJhN2JmNjEyZTM0NmRhZWZhNjIiLCJwIjoic2hlZXRzLWppcmEifQ","HWKREPORT-1266")</f>
        <v>HWKREPORT-1266</v>
      </c>
      <c r="C2103" s="1" t="s">
        <v>3376</v>
      </c>
      <c r="D2103" s="1" t="s">
        <v>34</v>
      </c>
      <c r="E2103" s="1" t="s">
        <v>35</v>
      </c>
      <c r="F2103" s="4">
        <v>44678.783009259256</v>
      </c>
      <c r="G2103" s="3" t="str">
        <f>HYPERLINK("https://hawk-eye.atlassian.net/issues/?atlOrigin=eyJpIjoiYzgwYTQ0ZjEyNzQzNGJhN2JmNjEyZTM0NmRhZWZhNjIiLCJwIjoic2hlZXRzLWppcmEifQ&amp;jql=key+in+%28RTT-5016%2CRTT-4928%29","RTT-5016;RTT-4928")</f>
        <v>RTT-5016;RTT-4928</v>
      </c>
      <c r="H2103" s="1" t="s">
        <v>1058</v>
      </c>
      <c r="I2103" s="1" t="s">
        <v>1085</v>
      </c>
      <c r="J2103" s="1" t="s">
        <v>26</v>
      </c>
      <c r="K2103" s="1" t="s">
        <v>1312</v>
      </c>
      <c r="L2103" s="1" t="s">
        <v>26</v>
      </c>
      <c r="M2103" s="1" t="s">
        <v>27</v>
      </c>
      <c r="N2103" s="1" t="s">
        <v>26</v>
      </c>
      <c r="O2103" s="1" t="s">
        <v>26</v>
      </c>
      <c r="P2103" s="4">
        <v>44957.71815972222</v>
      </c>
    </row>
    <row r="2104" hidden="1">
      <c r="A2104" s="1" t="s">
        <v>21</v>
      </c>
      <c r="B2104" s="3" t="str">
        <f>HYPERLINK("https://hawk-eye.atlassian.net/browse/HWKREPORT-1267?atlOrigin=eyJpIjoiYzgwYTQ0ZjEyNzQzNGJhN2JmNjEyZTM0NmRhZWZhNjIiLCJwIjoic2hlZXRzLWppcmEifQ","HWKREPORT-1267")</f>
        <v>HWKREPORT-1267</v>
      </c>
      <c r="C2104" s="1" t="s">
        <v>3377</v>
      </c>
      <c r="D2104" s="1" t="s">
        <v>23</v>
      </c>
      <c r="E2104" s="1" t="s">
        <v>35</v>
      </c>
      <c r="F2104" s="4">
        <v>44679.62148148148</v>
      </c>
      <c r="G2104" s="3" t="str">
        <f>HYPERLINK("https://hawk-eye.atlassian.net/browse/RTT-4951?atlOrigin=eyJpIjoiYzgwYTQ0ZjEyNzQzNGJhN2JmNjEyZTM0NmRhZWZhNjIiLCJwIjoic2hlZXRzLWppcmEifQ","RTT-4951")</f>
        <v>RTT-4951</v>
      </c>
      <c r="H2104" s="1" t="s">
        <v>1058</v>
      </c>
      <c r="I2104" s="1" t="s">
        <v>1071</v>
      </c>
      <c r="J2104" s="1" t="s">
        <v>26</v>
      </c>
      <c r="K2104" s="1" t="s">
        <v>1072</v>
      </c>
      <c r="L2104" s="1" t="s">
        <v>26</v>
      </c>
      <c r="M2104" s="1" t="s">
        <v>27</v>
      </c>
      <c r="N2104" s="1" t="s">
        <v>26</v>
      </c>
      <c r="O2104" s="1" t="s">
        <v>26</v>
      </c>
      <c r="P2104" s="4">
        <v>44713.59150462963</v>
      </c>
    </row>
    <row r="2105" hidden="1">
      <c r="A2105" s="1" t="s">
        <v>1055</v>
      </c>
      <c r="B2105" s="3" t="str">
        <f>HYPERLINK("https://hawk-eye.atlassian.net/browse/HWKREPORT-1268?atlOrigin=eyJpIjoiYzgwYTQ0ZjEyNzQzNGJhN2JmNjEyZTM0NmRhZWZhNjIiLCJwIjoic2hlZXRzLWppcmEifQ","HWKREPORT-1268")</f>
        <v>HWKREPORT-1268</v>
      </c>
      <c r="C2105" s="1" t="s">
        <v>3378</v>
      </c>
      <c r="D2105" s="1" t="s">
        <v>23</v>
      </c>
      <c r="E2105" s="1" t="s">
        <v>35</v>
      </c>
      <c r="F2105" s="4">
        <v>44679.80075231481</v>
      </c>
      <c r="G2105" s="3" t="str">
        <f>HYPERLINK("https://hawk-eye.atlassian.net/browse/?atlOrigin=eyJpIjoiYzgwYTQ0ZjEyNzQzNGJhN2JmNjEyZTM0NmRhZWZhNjIiLCJwIjoic2hlZXRzLWppcmEifQ","")</f>
        <v/>
      </c>
      <c r="H2105" s="1" t="s">
        <v>1058</v>
      </c>
      <c r="I2105" s="1" t="s">
        <v>1071</v>
      </c>
      <c r="J2105" s="1" t="s">
        <v>26</v>
      </c>
      <c r="K2105" s="1" t="s">
        <v>1093</v>
      </c>
      <c r="L2105" s="1" t="s">
        <v>26</v>
      </c>
      <c r="M2105" s="1" t="s">
        <v>27</v>
      </c>
      <c r="N2105" s="1" t="s">
        <v>26</v>
      </c>
      <c r="O2105" s="1" t="s">
        <v>26</v>
      </c>
      <c r="P2105" s="4">
        <v>45216.381585648145</v>
      </c>
    </row>
    <row r="2106" hidden="1">
      <c r="A2106" s="1" t="s">
        <v>1055</v>
      </c>
      <c r="B2106" s="3" t="str">
        <f>HYPERLINK("https://hawk-eye.atlassian.net/browse/HWKREPORT-1269?atlOrigin=eyJpIjoiYzgwYTQ0ZjEyNzQzNGJhN2JmNjEyZTM0NmRhZWZhNjIiLCJwIjoic2hlZXRzLWppcmEifQ","HWKREPORT-1269")</f>
        <v>HWKREPORT-1269</v>
      </c>
      <c r="C2106" s="1" t="s">
        <v>3379</v>
      </c>
      <c r="D2106" s="1" t="s">
        <v>23</v>
      </c>
      <c r="E2106" s="1" t="s">
        <v>35</v>
      </c>
      <c r="F2106" s="4">
        <v>44679.84241898148</v>
      </c>
      <c r="G2106" s="3" t="str">
        <f>HYPERLINK("https://hawk-eye.atlassian.net/browse/BDS-426?atlOrigin=eyJpIjoiYzgwYTQ0ZjEyNzQzNGJhN2JmNjEyZTM0NmRhZWZhNjIiLCJwIjoic2hlZXRzLWppcmEifQ","BDS-426")</f>
        <v>BDS-426</v>
      </c>
      <c r="H2106" s="1" t="s">
        <v>1058</v>
      </c>
      <c r="I2106" s="1" t="s">
        <v>1071</v>
      </c>
      <c r="J2106" s="1" t="s">
        <v>26</v>
      </c>
      <c r="K2106" s="1" t="s">
        <v>1762</v>
      </c>
      <c r="L2106" s="1" t="s">
        <v>26</v>
      </c>
      <c r="M2106" s="1" t="s">
        <v>27</v>
      </c>
      <c r="N2106" s="1" t="s">
        <v>26</v>
      </c>
      <c r="O2106" s="1" t="s">
        <v>26</v>
      </c>
      <c r="P2106" s="4">
        <v>44992.48144675926</v>
      </c>
    </row>
    <row r="2107" hidden="1">
      <c r="A2107" s="1" t="s">
        <v>21</v>
      </c>
      <c r="B2107" s="3" t="str">
        <f>HYPERLINK("https://hawk-eye.atlassian.net/browse/HWKREPORT-1270?atlOrigin=eyJpIjoiYzgwYTQ0ZjEyNzQzNGJhN2JmNjEyZTM0NmRhZWZhNjIiLCJwIjoic2hlZXRzLWppcmEifQ","HWKREPORT-1270")</f>
        <v>HWKREPORT-1270</v>
      </c>
      <c r="C2107" s="1" t="s">
        <v>3380</v>
      </c>
      <c r="D2107" s="1" t="s">
        <v>23</v>
      </c>
      <c r="E2107" s="1" t="s">
        <v>35</v>
      </c>
      <c r="F2107" s="4">
        <v>44680.52851851852</v>
      </c>
      <c r="G2107" s="3" t="str">
        <f>HYPERLINK("https://hawk-eye.atlassian.net/browse/VVC-275?atlOrigin=eyJpIjoiYzgwYTQ0ZjEyNzQzNGJhN2JmNjEyZTM0NmRhZWZhNjIiLCJwIjoic2hlZXRzLWppcmEifQ","VVC-275")</f>
        <v>VVC-275</v>
      </c>
      <c r="H2107" s="1" t="s">
        <v>1058</v>
      </c>
      <c r="I2107" s="1" t="s">
        <v>1082</v>
      </c>
      <c r="J2107" s="1" t="s">
        <v>26</v>
      </c>
      <c r="K2107" s="1" t="s">
        <v>1247</v>
      </c>
      <c r="L2107" s="1" t="s">
        <v>26</v>
      </c>
      <c r="M2107" s="1" t="s">
        <v>27</v>
      </c>
      <c r="N2107" s="1" t="s">
        <v>26</v>
      </c>
      <c r="O2107" s="1" t="s">
        <v>26</v>
      </c>
      <c r="P2107" s="4">
        <v>44693.394525462965</v>
      </c>
    </row>
    <row r="2108" hidden="1">
      <c r="A2108" s="1" t="s">
        <v>1055</v>
      </c>
      <c r="B2108" s="3" t="str">
        <f>HYPERLINK("https://hawk-eye.atlassian.net/browse/HWKREPORT-1271?atlOrigin=eyJpIjoiYzgwYTQ0ZjEyNzQzNGJhN2JmNjEyZTM0NmRhZWZhNjIiLCJwIjoic2hlZXRzLWppcmEifQ","HWKREPORT-1271")</f>
        <v>HWKREPORT-1271</v>
      </c>
      <c r="C2108" s="1" t="s">
        <v>3381</v>
      </c>
      <c r="D2108" s="1" t="s">
        <v>23</v>
      </c>
      <c r="E2108" s="1" t="s">
        <v>35</v>
      </c>
      <c r="F2108" s="4">
        <v>44680.60931712963</v>
      </c>
      <c r="G2108" s="3" t="str">
        <f>HYPERLINK("https://hawk-eye.atlassian.net/browse/RTT-4918?atlOrigin=eyJpIjoiYzgwYTQ0ZjEyNzQzNGJhN2JmNjEyZTM0NmRhZWZhNjIiLCJwIjoic2hlZXRzLWppcmEifQ","RTT-4918")</f>
        <v>RTT-4918</v>
      </c>
      <c r="H2108" s="1" t="s">
        <v>1058</v>
      </c>
      <c r="I2108" s="1" t="s">
        <v>28</v>
      </c>
      <c r="J2108" s="1" t="s">
        <v>26</v>
      </c>
      <c r="K2108" s="1" t="s">
        <v>1072</v>
      </c>
      <c r="L2108" s="1" t="s">
        <v>26</v>
      </c>
      <c r="M2108" s="1" t="s">
        <v>27</v>
      </c>
      <c r="N2108" s="1" t="s">
        <v>26</v>
      </c>
      <c r="O2108" s="1" t="s">
        <v>26</v>
      </c>
      <c r="P2108" s="4">
        <v>44739.65689814815</v>
      </c>
    </row>
    <row r="2109" hidden="1">
      <c r="A2109" s="1" t="s">
        <v>21</v>
      </c>
      <c r="B2109" s="3" t="str">
        <f>HYPERLINK("https://hawk-eye.atlassian.net/browse/HWKREPORT-1272?atlOrigin=eyJpIjoiYzgwYTQ0ZjEyNzQzNGJhN2JmNjEyZTM0NmRhZWZhNjIiLCJwIjoic2hlZXRzLWppcmEifQ","HWKREPORT-1272")</f>
        <v>HWKREPORT-1272</v>
      </c>
      <c r="C2109" s="1" t="s">
        <v>3382</v>
      </c>
      <c r="D2109" s="1" t="s">
        <v>23</v>
      </c>
      <c r="E2109" s="1" t="s">
        <v>35</v>
      </c>
      <c r="F2109" s="4">
        <v>44680.69357638889</v>
      </c>
      <c r="G2109" s="3" t="str">
        <f>HYPERLINK("https://hawk-eye.atlassian.net/browse/RTT-5386?atlOrigin=eyJpIjoiYzgwYTQ0ZjEyNzQzNGJhN2JmNjEyZTM0NmRhZWZhNjIiLCJwIjoic2hlZXRzLWppcmEifQ","RTT-5386")</f>
        <v>RTT-5386</v>
      </c>
      <c r="H2109" s="1" t="s">
        <v>1058</v>
      </c>
      <c r="I2109" s="1" t="s">
        <v>1071</v>
      </c>
      <c r="J2109" s="1" t="s">
        <v>26</v>
      </c>
      <c r="K2109" s="1" t="s">
        <v>1072</v>
      </c>
      <c r="L2109" s="1" t="s">
        <v>26</v>
      </c>
      <c r="M2109" s="1" t="s">
        <v>27</v>
      </c>
      <c r="N2109" s="1" t="s">
        <v>26</v>
      </c>
      <c r="O2109" s="1" t="s">
        <v>26</v>
      </c>
      <c r="P2109" s="4">
        <v>44981.612222222226</v>
      </c>
    </row>
    <row r="2110" hidden="1">
      <c r="A2110" s="1" t="s">
        <v>21</v>
      </c>
      <c r="B2110" s="3" t="str">
        <f>HYPERLINK("https://hawk-eye.atlassian.net/browse/HWKREPORT-1273?atlOrigin=eyJpIjoiYzgwYTQ0ZjEyNzQzNGJhN2JmNjEyZTM0NmRhZWZhNjIiLCJwIjoic2hlZXRzLWppcmEifQ","HWKREPORT-1273")</f>
        <v>HWKREPORT-1273</v>
      </c>
      <c r="C2110" s="1" t="s">
        <v>3383</v>
      </c>
      <c r="D2110" s="1" t="s">
        <v>34</v>
      </c>
      <c r="E2110" s="1" t="s">
        <v>35</v>
      </c>
      <c r="F2110" s="4">
        <v>44684.55535879629</v>
      </c>
      <c r="G2110" s="3" t="str">
        <f>HYPERLINK("https://hawk-eye.atlassian.net/browse/RTT-4788?atlOrigin=eyJpIjoiYzgwYTQ0ZjEyNzQzNGJhN2JmNjEyZTM0NmRhZWZhNjIiLCJwIjoic2hlZXRzLWppcmEifQ","RTT-4788")</f>
        <v>RTT-4788</v>
      </c>
      <c r="H2110" s="1" t="s">
        <v>1058</v>
      </c>
      <c r="I2110" s="1" t="s">
        <v>1082</v>
      </c>
      <c r="J2110" s="1" t="s">
        <v>26</v>
      </c>
      <c r="K2110" s="1" t="s">
        <v>1247</v>
      </c>
      <c r="L2110" s="1" t="s">
        <v>26</v>
      </c>
      <c r="M2110" s="1" t="s">
        <v>27</v>
      </c>
      <c r="N2110" s="1" t="s">
        <v>26</v>
      </c>
      <c r="O2110" s="1" t="s">
        <v>26</v>
      </c>
      <c r="P2110" s="4">
        <v>44774.434166666666</v>
      </c>
    </row>
    <row r="2111" hidden="1">
      <c r="A2111" s="1" t="s">
        <v>21</v>
      </c>
      <c r="B2111" s="3" t="str">
        <f>HYPERLINK("https://hawk-eye.atlassian.net/browse/HWKREPORT-1274?atlOrigin=eyJpIjoiYzgwYTQ0ZjEyNzQzNGJhN2JmNjEyZTM0NmRhZWZhNjIiLCJwIjoic2hlZXRzLWppcmEifQ","HWKREPORT-1274")</f>
        <v>HWKREPORT-1274</v>
      </c>
      <c r="C2111" s="1" t="s">
        <v>3384</v>
      </c>
      <c r="D2111" s="1" t="s">
        <v>23</v>
      </c>
      <c r="E2111" s="1" t="s">
        <v>35</v>
      </c>
      <c r="F2111" s="4">
        <v>44684.669016203705</v>
      </c>
      <c r="G2111" s="3" t="str">
        <f>HYPERLINK("https://hawk-eye.atlassian.net/issues/?atlOrigin=eyJpIjoiYzgwYTQ0ZjEyNzQzNGJhN2JmNjEyZTM0NmRhZWZhNjIiLCJwIjoic2hlZXRzLWppcmEifQ&amp;jql=key+in+%28BDP-854%2CBSK-215%29","BDP-854;BSK-215")</f>
        <v>BDP-854;BSK-215</v>
      </c>
      <c r="H2111" s="1" t="s">
        <v>1058</v>
      </c>
      <c r="I2111" s="1" t="s">
        <v>1071</v>
      </c>
      <c r="J2111" s="1" t="s">
        <v>26</v>
      </c>
      <c r="K2111" s="1" t="s">
        <v>1813</v>
      </c>
      <c r="L2111" s="1" t="s">
        <v>26</v>
      </c>
      <c r="M2111" s="1" t="s">
        <v>27</v>
      </c>
      <c r="N2111" s="1" t="s">
        <v>26</v>
      </c>
      <c r="O2111" s="1" t="s">
        <v>26</v>
      </c>
      <c r="P2111" s="4">
        <v>44965.78596064815</v>
      </c>
    </row>
    <row r="2112" hidden="1">
      <c r="A2112" s="1" t="s">
        <v>21</v>
      </c>
      <c r="B2112" s="3" t="str">
        <f>HYPERLINK("https://hawk-eye.atlassian.net/browse/HWKREPORT-1275?atlOrigin=eyJpIjoiYzgwYTQ0ZjEyNzQzNGJhN2JmNjEyZTM0NmRhZWZhNjIiLCJwIjoic2hlZXRzLWppcmEifQ","HWKREPORT-1275")</f>
        <v>HWKREPORT-1275</v>
      </c>
      <c r="C2112" s="1" t="s">
        <v>3385</v>
      </c>
      <c r="D2112" s="1" t="s">
        <v>23</v>
      </c>
      <c r="E2112" s="1" t="s">
        <v>35</v>
      </c>
      <c r="F2112" s="4">
        <v>44684.892800925925</v>
      </c>
      <c r="G2112" s="3" t="str">
        <f>HYPERLINK("https://hawk-eye.atlassian.net/browse/RTT-4949?atlOrigin=eyJpIjoiYzgwYTQ0ZjEyNzQzNGJhN2JmNjEyZTM0NmRhZWZhNjIiLCJwIjoic2hlZXRzLWppcmEifQ","RTT-4949")</f>
        <v>RTT-4949</v>
      </c>
      <c r="H2112" s="1" t="s">
        <v>1058</v>
      </c>
      <c r="I2112" s="1" t="s">
        <v>1071</v>
      </c>
      <c r="J2112" s="1" t="s">
        <v>26</v>
      </c>
      <c r="K2112" s="1" t="s">
        <v>1072</v>
      </c>
      <c r="L2112" s="1" t="s">
        <v>26</v>
      </c>
      <c r="M2112" s="1" t="s">
        <v>27</v>
      </c>
      <c r="N2112" s="1" t="s">
        <v>26</v>
      </c>
      <c r="O2112" s="1" t="s">
        <v>26</v>
      </c>
      <c r="P2112" s="4">
        <v>44712.540659722225</v>
      </c>
    </row>
    <row r="2113" hidden="1">
      <c r="A2113" s="1" t="s">
        <v>21</v>
      </c>
      <c r="B2113" s="3" t="str">
        <f>HYPERLINK("https://hawk-eye.atlassian.net/browse/HWKREPORT-1276?atlOrigin=eyJpIjoiYzgwYTQ0ZjEyNzQzNGJhN2JmNjEyZTM0NmRhZWZhNjIiLCJwIjoic2hlZXRzLWppcmEifQ","HWKREPORT-1276")</f>
        <v>HWKREPORT-1276</v>
      </c>
      <c r="C2113" s="1" t="s">
        <v>3386</v>
      </c>
      <c r="D2113" s="1" t="s">
        <v>23</v>
      </c>
      <c r="E2113" s="1" t="s">
        <v>35</v>
      </c>
      <c r="F2113" s="4">
        <v>44684.94920138889</v>
      </c>
      <c r="G2113" s="3" t="str">
        <f>HYPERLINK("https://hawk-eye.atlassian.net/browse/RTT-4950?atlOrigin=eyJpIjoiYzgwYTQ0ZjEyNzQzNGJhN2JmNjEyZTM0NmRhZWZhNjIiLCJwIjoic2hlZXRzLWppcmEifQ","RTT-4950")</f>
        <v>RTT-4950</v>
      </c>
      <c r="H2113" s="1" t="s">
        <v>1058</v>
      </c>
      <c r="I2113" s="1" t="s">
        <v>1071</v>
      </c>
      <c r="J2113" s="1" t="s">
        <v>26</v>
      </c>
      <c r="K2113" s="1" t="s">
        <v>1072</v>
      </c>
      <c r="L2113" s="1" t="s">
        <v>26</v>
      </c>
      <c r="M2113" s="1" t="s">
        <v>27</v>
      </c>
      <c r="N2113" s="1" t="s">
        <v>26</v>
      </c>
      <c r="O2113" s="1" t="s">
        <v>26</v>
      </c>
      <c r="P2113" s="4">
        <v>45709.64601851852</v>
      </c>
    </row>
    <row r="2114" hidden="1">
      <c r="A2114" s="1" t="s">
        <v>21</v>
      </c>
      <c r="B2114" s="3" t="str">
        <f>HYPERLINK("https://hawk-eye.atlassian.net/browse/HWKREPORT-1277?atlOrigin=eyJpIjoiYzgwYTQ0ZjEyNzQzNGJhN2JmNjEyZTM0NmRhZWZhNjIiLCJwIjoic2hlZXRzLWppcmEifQ","HWKREPORT-1277")</f>
        <v>HWKREPORT-1277</v>
      </c>
      <c r="C2114" s="1" t="s">
        <v>3387</v>
      </c>
      <c r="D2114" s="1" t="s">
        <v>34</v>
      </c>
      <c r="E2114" s="1" t="s">
        <v>1207</v>
      </c>
      <c r="F2114" s="4">
        <v>44685.351956018516</v>
      </c>
      <c r="G2114" s="3" t="str">
        <f>HYPERLINK("https://hawk-eye.atlassian.net/browse/AL-321?atlOrigin=eyJpIjoiYzgwYTQ0ZjEyNzQzNGJhN2JmNjEyZTM0NmRhZWZhNjIiLCJwIjoic2hlZXRzLWppcmEifQ","AL-321")</f>
        <v>AL-321</v>
      </c>
      <c r="H2114" s="1" t="s">
        <v>1058</v>
      </c>
      <c r="I2114" s="1" t="s">
        <v>1071</v>
      </c>
      <c r="J2114" s="1" t="s">
        <v>26</v>
      </c>
      <c r="K2114" s="1" t="s">
        <v>3361</v>
      </c>
      <c r="L2114" s="1" t="s">
        <v>26</v>
      </c>
      <c r="M2114" s="1" t="s">
        <v>27</v>
      </c>
      <c r="N2114" s="1" t="s">
        <v>26</v>
      </c>
      <c r="O2114" s="1" t="s">
        <v>26</v>
      </c>
      <c r="P2114" s="4">
        <v>44929.4184837963</v>
      </c>
    </row>
    <row r="2115" hidden="1">
      <c r="A2115" s="1" t="s">
        <v>1055</v>
      </c>
      <c r="B2115" s="3" t="str">
        <f>HYPERLINK("https://hawk-eye.atlassian.net/browse/HWKREPORT-1278?atlOrigin=eyJpIjoiYzgwYTQ0ZjEyNzQzNGJhN2JmNjEyZTM0NmRhZWZhNjIiLCJwIjoic2hlZXRzLWppcmEifQ","HWKREPORT-1278")</f>
        <v>HWKREPORT-1278</v>
      </c>
      <c r="C2115" s="1" t="s">
        <v>3388</v>
      </c>
      <c r="D2115" s="1" t="s">
        <v>83</v>
      </c>
      <c r="E2115" s="1" t="s">
        <v>35</v>
      </c>
      <c r="F2115" s="4">
        <v>44685.64387731482</v>
      </c>
      <c r="G2115" s="3" t="str">
        <f>HYPERLINK("https://hawk-eye.atlassian.net/browse/CORE-10?atlOrigin=eyJpIjoiYzgwYTQ0ZjEyNzQzNGJhN2JmNjEyZTM0NmRhZWZhNjIiLCJwIjoic2hlZXRzLWppcmEifQ","CORE-10")</f>
        <v>CORE-10</v>
      </c>
      <c r="H2115" s="1" t="s">
        <v>1058</v>
      </c>
      <c r="I2115" s="1" t="s">
        <v>1085</v>
      </c>
      <c r="J2115" s="1" t="s">
        <v>26</v>
      </c>
      <c r="K2115" s="1" t="s">
        <v>3389</v>
      </c>
      <c r="L2115" s="1" t="s">
        <v>26</v>
      </c>
      <c r="M2115" s="1" t="s">
        <v>27</v>
      </c>
      <c r="N2115" s="1" t="s">
        <v>26</v>
      </c>
      <c r="O2115" s="1" t="s">
        <v>26</v>
      </c>
      <c r="P2115" s="4">
        <v>45324.54119212963</v>
      </c>
    </row>
    <row r="2116" hidden="1">
      <c r="A2116" s="1" t="s">
        <v>21</v>
      </c>
      <c r="B2116" s="3" t="str">
        <f>HYPERLINK("https://hawk-eye.atlassian.net/browse/HWKREPORT-1279?atlOrigin=eyJpIjoiYzgwYTQ0ZjEyNzQzNGJhN2JmNjEyZTM0NmRhZWZhNjIiLCJwIjoic2hlZXRzLWppcmEifQ","HWKREPORT-1279")</f>
        <v>HWKREPORT-1279</v>
      </c>
      <c r="C2116" s="1" t="s">
        <v>3390</v>
      </c>
      <c r="D2116" s="1" t="s">
        <v>23</v>
      </c>
      <c r="E2116" s="1" t="s">
        <v>35</v>
      </c>
      <c r="F2116" s="4">
        <v>44685.72891203704</v>
      </c>
      <c r="G2116" s="3" t="str">
        <f>HYPERLINK("https://hawk-eye.atlassian.net/browse/AL-323?atlOrigin=eyJpIjoiYzgwYTQ0ZjEyNzQzNGJhN2JmNjEyZTM0NmRhZWZhNjIiLCJwIjoic2hlZXRzLWppcmEifQ","AL-323")</f>
        <v>AL-323</v>
      </c>
      <c r="H2116" s="1" t="s">
        <v>1058</v>
      </c>
      <c r="I2116" s="1" t="s">
        <v>1071</v>
      </c>
      <c r="J2116" s="1" t="s">
        <v>26</v>
      </c>
      <c r="K2116" s="1" t="s">
        <v>1276</v>
      </c>
      <c r="L2116" s="1" t="s">
        <v>26</v>
      </c>
      <c r="M2116" s="1" t="s">
        <v>27</v>
      </c>
      <c r="N2116" s="1" t="s">
        <v>26</v>
      </c>
      <c r="O2116" s="1" t="s">
        <v>26</v>
      </c>
      <c r="P2116" s="4">
        <v>44697.54802083333</v>
      </c>
    </row>
    <row r="2117" hidden="1">
      <c r="A2117" s="1" t="s">
        <v>21</v>
      </c>
      <c r="B2117" s="3" t="str">
        <f>HYPERLINK("https://hawk-eye.atlassian.net/browse/HWKREPORT-1280?atlOrigin=eyJpIjoiYzgwYTQ0ZjEyNzQzNGJhN2JmNjEyZTM0NmRhZWZhNjIiLCJwIjoic2hlZXRzLWppcmEifQ","HWKREPORT-1280")</f>
        <v>HWKREPORT-1280</v>
      </c>
      <c r="C2117" s="1" t="s">
        <v>3391</v>
      </c>
      <c r="D2117" s="1" t="s">
        <v>23</v>
      </c>
      <c r="E2117" s="1" t="s">
        <v>1207</v>
      </c>
      <c r="F2117" s="4">
        <v>44686.88092592593</v>
      </c>
      <c r="G2117" s="3" t="str">
        <f>HYPERLINK("https://hawk-eye.atlassian.net/browse/RTT-4948?atlOrigin=eyJpIjoiYzgwYTQ0ZjEyNzQzNGJhN2JmNjEyZTM0NmRhZWZhNjIiLCJwIjoic2hlZXRzLWppcmEifQ","RTT-4948")</f>
        <v>RTT-4948</v>
      </c>
      <c r="H2117" s="1" t="s">
        <v>1058</v>
      </c>
      <c r="I2117" s="1" t="s">
        <v>1071</v>
      </c>
      <c r="J2117" s="1" t="s">
        <v>26</v>
      </c>
      <c r="K2117" s="1" t="s">
        <v>1072</v>
      </c>
      <c r="L2117" s="1" t="s">
        <v>26</v>
      </c>
      <c r="M2117" s="1" t="s">
        <v>27</v>
      </c>
      <c r="N2117" s="1" t="s">
        <v>26</v>
      </c>
      <c r="O2117" s="1" t="s">
        <v>26</v>
      </c>
      <c r="P2117" s="4">
        <v>44929.4184837963</v>
      </c>
    </row>
    <row r="2118" hidden="1">
      <c r="A2118" s="1" t="s">
        <v>21</v>
      </c>
      <c r="B2118" s="3" t="str">
        <f>HYPERLINK("https://hawk-eye.atlassian.net/browse/HWKREPORT-1281?atlOrigin=eyJpIjoiYzgwYTQ0ZjEyNzQzNGJhN2JmNjEyZTM0NmRhZWZhNjIiLCJwIjoic2hlZXRzLWppcmEifQ","HWKREPORT-1281")</f>
        <v>HWKREPORT-1281</v>
      </c>
      <c r="C2118" s="1" t="s">
        <v>3392</v>
      </c>
      <c r="D2118" s="1" t="s">
        <v>23</v>
      </c>
      <c r="E2118" s="1" t="s">
        <v>1207</v>
      </c>
      <c r="F2118" s="4">
        <v>44687.286145833335</v>
      </c>
      <c r="G2118" s="3" t="str">
        <f>HYPERLINK("https://hawk-eye.atlassian.net/browse/AL-325?atlOrigin=eyJpIjoiYzgwYTQ0ZjEyNzQzNGJhN2JmNjEyZTM0NmRhZWZhNjIiLCJwIjoic2hlZXRzLWppcmEifQ","AL-325")</f>
        <v>AL-325</v>
      </c>
      <c r="H2118" s="1" t="s">
        <v>1058</v>
      </c>
      <c r="I2118" s="1" t="s">
        <v>1071</v>
      </c>
      <c r="J2118" s="1" t="s">
        <v>26</v>
      </c>
      <c r="K2118" s="1" t="s">
        <v>1898</v>
      </c>
      <c r="L2118" s="1" t="s">
        <v>26</v>
      </c>
      <c r="M2118" s="1" t="s">
        <v>27</v>
      </c>
      <c r="N2118" s="1" t="s">
        <v>26</v>
      </c>
      <c r="O2118" s="1" t="s">
        <v>26</v>
      </c>
      <c r="P2118" s="4">
        <v>44929.4184837963</v>
      </c>
    </row>
    <row r="2119" hidden="1">
      <c r="A2119" s="1" t="s">
        <v>21</v>
      </c>
      <c r="B2119" s="3" t="str">
        <f>HYPERLINK("https://hawk-eye.atlassian.net/browse/HWKREPORT-1282?atlOrigin=eyJpIjoiYzgwYTQ0ZjEyNzQzNGJhN2JmNjEyZTM0NmRhZWZhNjIiLCJwIjoic2hlZXRzLWppcmEifQ","HWKREPORT-1282")</f>
        <v>HWKREPORT-1282</v>
      </c>
      <c r="C2119" s="1" t="s">
        <v>3393</v>
      </c>
      <c r="D2119" s="1" t="s">
        <v>23</v>
      </c>
      <c r="E2119" s="1" t="s">
        <v>1207</v>
      </c>
      <c r="F2119" s="4">
        <v>44687.307708333334</v>
      </c>
      <c r="G2119" s="3" t="str">
        <f>HYPERLINK("https://hawk-eye.atlassian.net/browse/AL-326?atlOrigin=eyJpIjoiYzgwYTQ0ZjEyNzQzNGJhN2JmNjEyZTM0NmRhZWZhNjIiLCJwIjoic2hlZXRzLWppcmEifQ","AL-326")</f>
        <v>AL-326</v>
      </c>
      <c r="H2119" s="1" t="s">
        <v>1058</v>
      </c>
      <c r="I2119" s="1" t="s">
        <v>1071</v>
      </c>
      <c r="J2119" s="1" t="s">
        <v>26</v>
      </c>
      <c r="K2119" s="1" t="s">
        <v>1898</v>
      </c>
      <c r="L2119" s="1" t="s">
        <v>26</v>
      </c>
      <c r="M2119" s="1" t="s">
        <v>27</v>
      </c>
      <c r="N2119" s="1" t="s">
        <v>26</v>
      </c>
      <c r="O2119" s="1" t="s">
        <v>26</v>
      </c>
      <c r="P2119" s="4">
        <v>44929.4184837963</v>
      </c>
    </row>
    <row r="2120" hidden="1">
      <c r="A2120" s="1" t="s">
        <v>21</v>
      </c>
      <c r="B2120" s="3" t="str">
        <f>HYPERLINK("https://hawk-eye.atlassian.net/browse/HWKREPORT-1283?atlOrigin=eyJpIjoiYzgwYTQ0ZjEyNzQzNGJhN2JmNjEyZTM0NmRhZWZhNjIiLCJwIjoic2hlZXRzLWppcmEifQ","HWKREPORT-1283")</f>
        <v>HWKREPORT-1283</v>
      </c>
      <c r="C2120" s="1" t="s">
        <v>3394</v>
      </c>
      <c r="D2120" s="1" t="s">
        <v>23</v>
      </c>
      <c r="E2120" s="1" t="s">
        <v>35</v>
      </c>
      <c r="F2120" s="4">
        <v>44687.57714120371</v>
      </c>
      <c r="G2120" s="3" t="str">
        <f>HYPERLINK("https://hawk-eye.atlassian.net/browse/RTT-4954?atlOrigin=eyJpIjoiYzgwYTQ0ZjEyNzQzNGJhN2JmNjEyZTM0NmRhZWZhNjIiLCJwIjoic2hlZXRzLWppcmEifQ","RTT-4954")</f>
        <v>RTT-4954</v>
      </c>
      <c r="H2120" s="1" t="s">
        <v>1058</v>
      </c>
      <c r="I2120" s="1" t="s">
        <v>1071</v>
      </c>
      <c r="J2120" s="1" t="s">
        <v>26</v>
      </c>
      <c r="K2120" s="1" t="s">
        <v>1072</v>
      </c>
      <c r="L2120" s="1" t="s">
        <v>26</v>
      </c>
      <c r="M2120" s="1" t="s">
        <v>27</v>
      </c>
      <c r="N2120" s="1" t="s">
        <v>26</v>
      </c>
      <c r="O2120" s="1" t="s">
        <v>26</v>
      </c>
      <c r="P2120" s="4">
        <v>44827.443090277775</v>
      </c>
    </row>
    <row r="2121" hidden="1">
      <c r="A2121" s="1" t="s">
        <v>21</v>
      </c>
      <c r="B2121" s="3" t="str">
        <f>HYPERLINK("https://hawk-eye.atlassian.net/browse/HWKREPORT-1284?atlOrigin=eyJpIjoiYzgwYTQ0ZjEyNzQzNGJhN2JmNjEyZTM0NmRhZWZhNjIiLCJwIjoic2hlZXRzLWppcmEifQ","HWKREPORT-1284")</f>
        <v>HWKREPORT-1284</v>
      </c>
      <c r="C2121" s="1" t="s">
        <v>3395</v>
      </c>
      <c r="D2121" s="1" t="s">
        <v>23</v>
      </c>
      <c r="E2121" s="1" t="s">
        <v>35</v>
      </c>
      <c r="F2121" s="4">
        <v>44687.848761574074</v>
      </c>
      <c r="G2121" s="3" t="str">
        <f>HYPERLINK("https://hawk-eye.atlassian.net/browse/BDP-776?atlOrigin=eyJpIjoiYzgwYTQ0ZjEyNzQzNGJhN2JmNjEyZTM0NmRhZWZhNjIiLCJwIjoic2hlZXRzLWppcmEifQ","BDP-776")</f>
        <v>BDP-776</v>
      </c>
      <c r="H2121" s="1" t="s">
        <v>1058</v>
      </c>
      <c r="I2121" s="1" t="s">
        <v>1071</v>
      </c>
      <c r="J2121" s="1" t="s">
        <v>26</v>
      </c>
      <c r="K2121" s="1" t="s">
        <v>1130</v>
      </c>
      <c r="L2121" s="1" t="s">
        <v>26</v>
      </c>
      <c r="M2121" s="1" t="s">
        <v>27</v>
      </c>
      <c r="N2121" s="1" t="s">
        <v>26</v>
      </c>
      <c r="O2121" s="1" t="s">
        <v>26</v>
      </c>
      <c r="P2121" s="4">
        <v>44718.93069444445</v>
      </c>
    </row>
    <row r="2122" hidden="1">
      <c r="A2122" s="1" t="s">
        <v>1055</v>
      </c>
      <c r="B2122" s="3" t="str">
        <f>HYPERLINK("https://hawk-eye.atlassian.net/browse/HWKREPORT-1285?atlOrigin=eyJpIjoiYzgwYTQ0ZjEyNzQzNGJhN2JmNjEyZTM0NmRhZWZhNjIiLCJwIjoic2hlZXRzLWppcmEifQ","HWKREPORT-1285")</f>
        <v>HWKREPORT-1285</v>
      </c>
      <c r="C2122" s="1" t="s">
        <v>3396</v>
      </c>
      <c r="D2122" s="1" t="s">
        <v>23</v>
      </c>
      <c r="E2122" s="1" t="s">
        <v>35</v>
      </c>
      <c r="F2122" s="4">
        <v>44690.396574074075</v>
      </c>
      <c r="G2122" s="3" t="str">
        <f>HYPERLINK("https://hawk-eye.atlassian.net/browse/?atlOrigin=eyJpIjoiYzgwYTQ0ZjEyNzQzNGJhN2JmNjEyZTM0NmRhZWZhNjIiLCJwIjoic2hlZXRzLWppcmEifQ","")</f>
        <v/>
      </c>
      <c r="H2122" s="1" t="s">
        <v>1058</v>
      </c>
      <c r="I2122" s="1" t="s">
        <v>1085</v>
      </c>
      <c r="J2122" s="1" t="s">
        <v>26</v>
      </c>
      <c r="K2122" s="1" t="s">
        <v>1362</v>
      </c>
      <c r="L2122" s="1" t="s">
        <v>26</v>
      </c>
      <c r="M2122" s="1" t="s">
        <v>27</v>
      </c>
      <c r="N2122" s="1" t="s">
        <v>26</v>
      </c>
      <c r="O2122" s="1" t="s">
        <v>26</v>
      </c>
      <c r="P2122" s="4">
        <v>44690.55517361111</v>
      </c>
    </row>
    <row r="2123" hidden="1">
      <c r="A2123" s="1" t="s">
        <v>1055</v>
      </c>
      <c r="B2123" s="3" t="str">
        <f>HYPERLINK("https://hawk-eye.atlassian.net/browse/HWKREPORT-1286?atlOrigin=eyJpIjoiYzgwYTQ0ZjEyNzQzNGJhN2JmNjEyZTM0NmRhZWZhNjIiLCJwIjoic2hlZXRzLWppcmEifQ","HWKREPORT-1286")</f>
        <v>HWKREPORT-1286</v>
      </c>
      <c r="C2123" s="1" t="s">
        <v>3397</v>
      </c>
      <c r="D2123" s="1" t="s">
        <v>23</v>
      </c>
      <c r="E2123" s="1" t="s">
        <v>35</v>
      </c>
      <c r="F2123" s="4">
        <v>44690.651979166665</v>
      </c>
      <c r="G2123" s="3" t="str">
        <f>HYPERLINK("https://hawk-eye.atlassian.net/issues/?atlOrigin=eyJpIjoiYzgwYTQ0ZjEyNzQzNGJhN2JmNjEyZTM0NmRhZWZhNjIiLCJwIjoic2hlZXRzLWppcmEifQ&amp;jql=key+in+%28RTT-5029%2CRTT-4947%29","RTT-5029;RTT-4947")</f>
        <v>RTT-5029;RTT-4947</v>
      </c>
      <c r="H2123" s="1" t="s">
        <v>1058</v>
      </c>
      <c r="I2123" s="1" t="s">
        <v>1126</v>
      </c>
      <c r="J2123" s="1" t="s">
        <v>26</v>
      </c>
      <c r="K2123" s="1" t="s">
        <v>1372</v>
      </c>
      <c r="L2123" s="1" t="s">
        <v>26</v>
      </c>
      <c r="M2123" s="1" t="s">
        <v>27</v>
      </c>
      <c r="N2123" s="1" t="s">
        <v>26</v>
      </c>
      <c r="O2123" s="1" t="s">
        <v>26</v>
      </c>
      <c r="P2123" s="4">
        <v>44753.48484953704</v>
      </c>
    </row>
    <row r="2124" hidden="1">
      <c r="A2124" s="1" t="s">
        <v>1055</v>
      </c>
      <c r="B2124" s="3" t="str">
        <f>HYPERLINK("https://hawk-eye.atlassian.net/browse/HWKREPORT-1287?atlOrigin=eyJpIjoiYzgwYTQ0ZjEyNzQzNGJhN2JmNjEyZTM0NmRhZWZhNjIiLCJwIjoic2hlZXRzLWppcmEifQ","HWKREPORT-1287")</f>
        <v>HWKREPORT-1287</v>
      </c>
      <c r="C2124" s="1" t="s">
        <v>3398</v>
      </c>
      <c r="D2124" s="1" t="s">
        <v>23</v>
      </c>
      <c r="E2124" s="1" t="s">
        <v>1057</v>
      </c>
      <c r="F2124" s="4">
        <v>44690.65436342593</v>
      </c>
      <c r="G2124" s="3" t="str">
        <f>HYPERLINK("https://hawk-eye.atlassian.net/browse/?atlOrigin=eyJpIjoiYzgwYTQ0ZjEyNzQzNGJhN2JmNjEyZTM0NmRhZWZhNjIiLCJwIjoic2hlZXRzLWppcmEifQ","")</f>
        <v/>
      </c>
      <c r="H2124" s="1" t="s">
        <v>1058</v>
      </c>
      <c r="I2124" s="1" t="s">
        <v>1126</v>
      </c>
      <c r="J2124" s="1" t="s">
        <v>26</v>
      </c>
      <c r="K2124" s="1" t="s">
        <v>1134</v>
      </c>
      <c r="L2124" s="1" t="s">
        <v>26</v>
      </c>
      <c r="M2124" s="1" t="s">
        <v>27</v>
      </c>
      <c r="N2124" s="1" t="s">
        <v>26</v>
      </c>
      <c r="O2124" s="1" t="s">
        <v>26</v>
      </c>
      <c r="P2124" s="4">
        <v>44690.65436342593</v>
      </c>
    </row>
    <row r="2125" hidden="1">
      <c r="A2125" s="1" t="s">
        <v>21</v>
      </c>
      <c r="B2125" s="3" t="str">
        <f>HYPERLINK("https://hawk-eye.atlassian.net/browse/HWKREPORT-1288?atlOrigin=eyJpIjoiYzgwYTQ0ZjEyNzQzNGJhN2JmNjEyZTM0NmRhZWZhNjIiLCJwIjoic2hlZXRzLWppcmEifQ","HWKREPORT-1288")</f>
        <v>HWKREPORT-1288</v>
      </c>
      <c r="C2125" s="1" t="s">
        <v>3399</v>
      </c>
      <c r="D2125" s="1" t="s">
        <v>40</v>
      </c>
      <c r="E2125" s="1" t="s">
        <v>35</v>
      </c>
      <c r="F2125" s="4">
        <v>44691.76</v>
      </c>
      <c r="G2125" s="3" t="str">
        <f>HYPERLINK("https://hawk-eye.atlassian.net/browse/RTT-4955?atlOrigin=eyJpIjoiYzgwYTQ0ZjEyNzQzNGJhN2JmNjEyZTM0NmRhZWZhNjIiLCJwIjoic2hlZXRzLWppcmEifQ","RTT-4955")</f>
        <v>RTT-4955</v>
      </c>
      <c r="H2125" s="1" t="s">
        <v>1058</v>
      </c>
      <c r="I2125" s="1" t="s">
        <v>1085</v>
      </c>
      <c r="J2125" s="1" t="s">
        <v>26</v>
      </c>
      <c r="K2125" s="1" t="s">
        <v>1072</v>
      </c>
      <c r="L2125" s="1" t="s">
        <v>26</v>
      </c>
      <c r="M2125" s="1" t="s">
        <v>27</v>
      </c>
      <c r="N2125" s="1" t="s">
        <v>26</v>
      </c>
      <c r="O2125" s="1" t="s">
        <v>26</v>
      </c>
      <c r="P2125" s="4">
        <v>44712.62435185185</v>
      </c>
    </row>
    <row r="2126" hidden="1">
      <c r="A2126" s="1" t="s">
        <v>21</v>
      </c>
      <c r="B2126" s="3" t="str">
        <f>HYPERLINK("https://hawk-eye.atlassian.net/browse/HWKREPORT-1289?atlOrigin=eyJpIjoiYzgwYTQ0ZjEyNzQzNGJhN2JmNjEyZTM0NmRhZWZhNjIiLCJwIjoic2hlZXRzLWppcmEifQ","HWKREPORT-1289")</f>
        <v>HWKREPORT-1289</v>
      </c>
      <c r="C2126" s="1" t="s">
        <v>3400</v>
      </c>
      <c r="D2126" s="1" t="s">
        <v>40</v>
      </c>
      <c r="E2126" s="1" t="s">
        <v>35</v>
      </c>
      <c r="F2126" s="4">
        <v>44691.76378472222</v>
      </c>
      <c r="G2126" s="3" t="str">
        <f>HYPERLINK("https://hawk-eye.atlassian.net/browse/RTT-4956?atlOrigin=eyJpIjoiYzgwYTQ0ZjEyNzQzNGJhN2JmNjEyZTM0NmRhZWZhNjIiLCJwIjoic2hlZXRzLWppcmEifQ","RTT-4956")</f>
        <v>RTT-4956</v>
      </c>
      <c r="H2126" s="1" t="s">
        <v>1058</v>
      </c>
      <c r="I2126" s="1" t="s">
        <v>1085</v>
      </c>
      <c r="J2126" s="1" t="s">
        <v>26</v>
      </c>
      <c r="K2126" s="1" t="s">
        <v>1072</v>
      </c>
      <c r="L2126" s="1" t="s">
        <v>26</v>
      </c>
      <c r="M2126" s="1" t="s">
        <v>27</v>
      </c>
      <c r="N2126" s="1" t="s">
        <v>26</v>
      </c>
      <c r="O2126" s="1" t="s">
        <v>26</v>
      </c>
      <c r="P2126" s="4">
        <v>45341.55820601852</v>
      </c>
    </row>
    <row r="2127" hidden="1">
      <c r="A2127" s="1" t="s">
        <v>21</v>
      </c>
      <c r="B2127" s="3" t="str">
        <f>HYPERLINK("https://hawk-eye.atlassian.net/browse/HWKREPORT-1290?atlOrigin=eyJpIjoiYzgwYTQ0ZjEyNzQzNGJhN2JmNjEyZTM0NmRhZWZhNjIiLCJwIjoic2hlZXRzLWppcmEifQ","HWKREPORT-1290")</f>
        <v>HWKREPORT-1290</v>
      </c>
      <c r="C2127" s="1" t="s">
        <v>3401</v>
      </c>
      <c r="D2127" s="1" t="s">
        <v>40</v>
      </c>
      <c r="E2127" s="1" t="s">
        <v>35</v>
      </c>
      <c r="F2127" s="4">
        <v>44691.768796296295</v>
      </c>
      <c r="G2127" s="3" t="str">
        <f>HYPERLINK("https://hawk-eye.atlassian.net/browse/RTT-4957?atlOrigin=eyJpIjoiYzgwYTQ0ZjEyNzQzNGJhN2JmNjEyZTM0NmRhZWZhNjIiLCJwIjoic2hlZXRzLWppcmEifQ","RTT-4957")</f>
        <v>RTT-4957</v>
      </c>
      <c r="H2127" s="1" t="s">
        <v>1058</v>
      </c>
      <c r="I2127" s="1" t="s">
        <v>1085</v>
      </c>
      <c r="J2127" s="1" t="s">
        <v>26</v>
      </c>
      <c r="K2127" s="1" t="s">
        <v>1072</v>
      </c>
      <c r="L2127" s="1" t="s">
        <v>26</v>
      </c>
      <c r="M2127" s="1" t="s">
        <v>27</v>
      </c>
      <c r="N2127" s="1" t="s">
        <v>26</v>
      </c>
      <c r="O2127" s="1" t="s">
        <v>26</v>
      </c>
      <c r="P2127" s="4">
        <v>45341.558344907404</v>
      </c>
    </row>
    <row r="2128" hidden="1">
      <c r="A2128" s="1" t="s">
        <v>1055</v>
      </c>
      <c r="B2128" s="3" t="str">
        <f>HYPERLINK("https://hawk-eye.atlassian.net/browse/HWKREPORT-1291?atlOrigin=eyJpIjoiYzgwYTQ0ZjEyNzQzNGJhN2JmNjEyZTM0NmRhZWZhNjIiLCJwIjoic2hlZXRzLWppcmEifQ","HWKREPORT-1291")</f>
        <v>HWKREPORT-1291</v>
      </c>
      <c r="C2128" s="1" t="s">
        <v>3402</v>
      </c>
      <c r="D2128" s="1" t="s">
        <v>23</v>
      </c>
      <c r="E2128" s="1" t="s">
        <v>35</v>
      </c>
      <c r="F2128" s="4">
        <v>44691.9396875</v>
      </c>
      <c r="G2128" s="3" t="str">
        <f>HYPERLINK("https://hawk-eye.atlassian.net/browse/AL-329?atlOrigin=eyJpIjoiYzgwYTQ0ZjEyNzQzNGJhN2JmNjEyZTM0NmRhZWZhNjIiLCJwIjoic2hlZXRzLWppcmEifQ","AL-329")</f>
        <v>AL-329</v>
      </c>
      <c r="H2128" s="1" t="s">
        <v>1058</v>
      </c>
      <c r="I2128" s="1" t="s">
        <v>1071</v>
      </c>
      <c r="J2128" s="1" t="s">
        <v>26</v>
      </c>
      <c r="K2128" s="1" t="s">
        <v>1276</v>
      </c>
      <c r="L2128" s="1" t="s">
        <v>26</v>
      </c>
      <c r="M2128" s="1" t="s">
        <v>27</v>
      </c>
      <c r="N2128" s="1" t="s">
        <v>26</v>
      </c>
      <c r="O2128" s="1" t="s">
        <v>26</v>
      </c>
      <c r="P2128" s="4">
        <v>44827.444386574076</v>
      </c>
    </row>
    <row r="2129" hidden="1">
      <c r="A2129" s="1" t="s">
        <v>21</v>
      </c>
      <c r="B2129" s="3" t="str">
        <f>HYPERLINK("https://hawk-eye.atlassian.net/browse/HWKREPORT-1292?atlOrigin=eyJpIjoiYzgwYTQ0ZjEyNzQzNGJhN2JmNjEyZTM0NmRhZWZhNjIiLCJwIjoic2hlZXRzLWppcmEifQ","HWKREPORT-1292")</f>
        <v>HWKREPORT-1292</v>
      </c>
      <c r="C2129" s="1" t="s">
        <v>3403</v>
      </c>
      <c r="D2129" s="1" t="s">
        <v>23</v>
      </c>
      <c r="E2129" s="1" t="s">
        <v>1207</v>
      </c>
      <c r="F2129" s="4">
        <v>44692.97421296296</v>
      </c>
      <c r="G2129" s="3" t="str">
        <f>HYPERLINK("https://hawk-eye.atlassian.net/browse/BDP-816?atlOrigin=eyJpIjoiYzgwYTQ0ZjEyNzQzNGJhN2JmNjEyZTM0NmRhZWZhNjIiLCJwIjoic2hlZXRzLWppcmEifQ","BDP-816")</f>
        <v>BDP-816</v>
      </c>
      <c r="H2129" s="1" t="s">
        <v>1058</v>
      </c>
      <c r="I2129" s="1" t="s">
        <v>1071</v>
      </c>
      <c r="J2129" s="1" t="s">
        <v>26</v>
      </c>
      <c r="K2129" s="1" t="s">
        <v>1130</v>
      </c>
      <c r="L2129" s="1" t="s">
        <v>26</v>
      </c>
      <c r="M2129" s="1" t="s">
        <v>27</v>
      </c>
      <c r="N2129" s="1" t="s">
        <v>26</v>
      </c>
      <c r="O2129" s="1" t="s">
        <v>26</v>
      </c>
      <c r="P2129" s="4">
        <v>44929.4184837963</v>
      </c>
    </row>
    <row r="2130" hidden="1">
      <c r="A2130" s="1" t="s">
        <v>21</v>
      </c>
      <c r="B2130" s="3" t="str">
        <f>HYPERLINK("https://hawk-eye.atlassian.net/browse/HWKREPORT-1293?atlOrigin=eyJpIjoiYzgwYTQ0ZjEyNzQzNGJhN2JmNjEyZTM0NmRhZWZhNjIiLCJwIjoic2hlZXRzLWppcmEifQ","HWKREPORT-1293")</f>
        <v>HWKREPORT-1293</v>
      </c>
      <c r="C2130" s="1" t="s">
        <v>3404</v>
      </c>
      <c r="D2130" s="1" t="s">
        <v>23</v>
      </c>
      <c r="E2130" s="1" t="s">
        <v>35</v>
      </c>
      <c r="F2130" s="4">
        <v>44697.82275462963</v>
      </c>
      <c r="G2130" s="3" t="str">
        <f>HYPERLINK("https://hawk-eye.atlassian.net/browse/BDP-742?atlOrigin=eyJpIjoiYzgwYTQ0ZjEyNzQzNGJhN2JmNjEyZTM0NmRhZWZhNjIiLCJwIjoic2hlZXRzLWppcmEifQ","BDP-742")</f>
        <v>BDP-742</v>
      </c>
      <c r="H2130" s="1" t="s">
        <v>1058</v>
      </c>
      <c r="I2130" s="1" t="s">
        <v>1071</v>
      </c>
      <c r="J2130" s="1" t="s">
        <v>26</v>
      </c>
      <c r="K2130" s="1" t="s">
        <v>1130</v>
      </c>
      <c r="L2130" s="1" t="s">
        <v>26</v>
      </c>
      <c r="M2130" s="1" t="s">
        <v>27</v>
      </c>
      <c r="N2130" s="1" t="s">
        <v>26</v>
      </c>
      <c r="O2130" s="1" t="s">
        <v>26</v>
      </c>
      <c r="P2130" s="4">
        <v>44872.789456018516</v>
      </c>
    </row>
    <row r="2131" hidden="1">
      <c r="A2131" s="1" t="s">
        <v>21</v>
      </c>
      <c r="B2131" s="3" t="str">
        <f>HYPERLINK("https://hawk-eye.atlassian.net/browse/HWKREPORT-1294?atlOrigin=eyJpIjoiYzgwYTQ0ZjEyNzQzNGJhN2JmNjEyZTM0NmRhZWZhNjIiLCJwIjoic2hlZXRzLWppcmEifQ","HWKREPORT-1294")</f>
        <v>HWKREPORT-1294</v>
      </c>
      <c r="C2131" s="1" t="s">
        <v>3405</v>
      </c>
      <c r="D2131" s="1" t="s">
        <v>40</v>
      </c>
      <c r="E2131" s="1" t="s">
        <v>1074</v>
      </c>
      <c r="F2131" s="4">
        <v>44698.43775462963</v>
      </c>
      <c r="G2131" s="3" t="str">
        <f>HYPERLINK("https://hawk-eye.atlassian.net/browse/RTT-4972?atlOrigin=eyJpIjoiYzgwYTQ0ZjEyNzQzNGJhN2JmNjEyZTM0NmRhZWZhNjIiLCJwIjoic2hlZXRzLWppcmEifQ","RTT-4972")</f>
        <v>RTT-4972</v>
      </c>
      <c r="H2131" s="1" t="s">
        <v>1058</v>
      </c>
      <c r="I2131" s="1" t="s">
        <v>1085</v>
      </c>
      <c r="J2131" s="1" t="s">
        <v>26</v>
      </c>
      <c r="K2131" s="1" t="s">
        <v>1072</v>
      </c>
      <c r="L2131" s="1" t="s">
        <v>26</v>
      </c>
      <c r="M2131" s="1" t="s">
        <v>27</v>
      </c>
      <c r="N2131" s="1" t="s">
        <v>26</v>
      </c>
      <c r="O2131" s="1" t="s">
        <v>26</v>
      </c>
      <c r="P2131" s="4">
        <v>44699.65577546296</v>
      </c>
    </row>
    <row r="2132" hidden="1">
      <c r="A2132" s="1" t="s">
        <v>1055</v>
      </c>
      <c r="B2132" s="3" t="str">
        <f>HYPERLINK("https://hawk-eye.atlassian.net/browse/HWKREPORT-1295?atlOrigin=eyJpIjoiYzgwYTQ0ZjEyNzQzNGJhN2JmNjEyZTM0NmRhZWZhNjIiLCJwIjoic2hlZXRzLWppcmEifQ","HWKREPORT-1295")</f>
        <v>HWKREPORT-1295</v>
      </c>
      <c r="C2132" s="1" t="s">
        <v>3406</v>
      </c>
      <c r="D2132" s="1" t="s">
        <v>23</v>
      </c>
      <c r="E2132" s="1" t="s">
        <v>35</v>
      </c>
      <c r="F2132" s="4">
        <v>44698.49673611111</v>
      </c>
      <c r="G2132" s="3" t="str">
        <f>HYPERLINK("https://hawk-eye.atlassian.net/browse/?atlOrigin=eyJpIjoiYzgwYTQ0ZjEyNzQzNGJhN2JmNjEyZTM0NmRhZWZhNjIiLCJwIjoic2hlZXRzLWppcmEifQ","")</f>
        <v/>
      </c>
      <c r="H2132" s="1" t="s">
        <v>1058</v>
      </c>
      <c r="I2132" s="1" t="s">
        <v>1126</v>
      </c>
      <c r="J2132" s="1" t="s">
        <v>26</v>
      </c>
      <c r="K2132" s="1" t="s">
        <v>1247</v>
      </c>
      <c r="L2132" s="1" t="s">
        <v>26</v>
      </c>
      <c r="M2132" s="1" t="s">
        <v>27</v>
      </c>
      <c r="N2132" s="1" t="s">
        <v>26</v>
      </c>
      <c r="O2132" s="1" t="s">
        <v>26</v>
      </c>
      <c r="P2132" s="4">
        <v>44704.52408564815</v>
      </c>
    </row>
    <row r="2133" hidden="1">
      <c r="A2133" s="1" t="s">
        <v>1055</v>
      </c>
      <c r="B2133" s="3" t="str">
        <f>HYPERLINK("https://hawk-eye.atlassian.net/browse/HWKREPORT-1296?atlOrigin=eyJpIjoiYzgwYTQ0ZjEyNzQzNGJhN2JmNjEyZTM0NmRhZWZhNjIiLCJwIjoic2hlZXRzLWppcmEifQ","HWKREPORT-1296")</f>
        <v>HWKREPORT-1296</v>
      </c>
      <c r="C2133" s="1" t="s">
        <v>3407</v>
      </c>
      <c r="D2133" s="1" t="s">
        <v>23</v>
      </c>
      <c r="E2133" s="1" t="s">
        <v>35</v>
      </c>
      <c r="F2133" s="4">
        <v>44698.68232638889</v>
      </c>
      <c r="G2133" s="3" t="str">
        <f>HYPERLINK("https://hawk-eye.atlassian.net/browse/RTT-4973?atlOrigin=eyJpIjoiYzgwYTQ0ZjEyNzQzNGJhN2JmNjEyZTM0NmRhZWZhNjIiLCJwIjoic2hlZXRzLWppcmEifQ","RTT-4973")</f>
        <v>RTT-4973</v>
      </c>
      <c r="H2133" s="1" t="s">
        <v>1058</v>
      </c>
      <c r="I2133" s="1" t="s">
        <v>1085</v>
      </c>
      <c r="J2133" s="1" t="s">
        <v>26</v>
      </c>
      <c r="K2133" s="1" t="s">
        <v>1362</v>
      </c>
      <c r="L2133" s="1" t="s">
        <v>26</v>
      </c>
      <c r="M2133" s="1" t="s">
        <v>27</v>
      </c>
      <c r="N2133" s="1" t="s">
        <v>26</v>
      </c>
      <c r="O2133" s="1" t="s">
        <v>26</v>
      </c>
      <c r="P2133" s="4">
        <v>44719.66747685185</v>
      </c>
    </row>
    <row r="2134" hidden="1">
      <c r="A2134" s="1" t="s">
        <v>1055</v>
      </c>
      <c r="B2134" s="3" t="str">
        <f>HYPERLINK("https://hawk-eye.atlassian.net/browse/HWKREPORT-1297?atlOrigin=eyJpIjoiYzgwYTQ0ZjEyNzQzNGJhN2JmNjEyZTM0NmRhZWZhNjIiLCJwIjoic2hlZXRzLWppcmEifQ","HWKREPORT-1297")</f>
        <v>HWKREPORT-1297</v>
      </c>
      <c r="C2134" s="1" t="s">
        <v>3408</v>
      </c>
      <c r="D2134" s="1" t="s">
        <v>23</v>
      </c>
      <c r="E2134" s="1" t="s">
        <v>35</v>
      </c>
      <c r="F2134" s="4">
        <v>44698.93840277778</v>
      </c>
      <c r="G2134" s="3" t="str">
        <f>HYPERLINK("https://hawk-eye.atlassian.net/browse/RTT-4974?atlOrigin=eyJpIjoiYzgwYTQ0ZjEyNzQzNGJhN2JmNjEyZTM0NmRhZWZhNjIiLCJwIjoic2hlZXRzLWppcmEifQ","RTT-4974")</f>
        <v>RTT-4974</v>
      </c>
      <c r="H2134" s="1" t="s">
        <v>1058</v>
      </c>
      <c r="I2134" s="1" t="s">
        <v>1071</v>
      </c>
      <c r="J2134" s="1" t="s">
        <v>26</v>
      </c>
      <c r="K2134" s="1" t="s">
        <v>1072</v>
      </c>
      <c r="L2134" s="1" t="s">
        <v>26</v>
      </c>
      <c r="M2134" s="1" t="s">
        <v>27</v>
      </c>
      <c r="N2134" s="1" t="s">
        <v>26</v>
      </c>
      <c r="O2134" s="1" t="s">
        <v>26</v>
      </c>
      <c r="P2134" s="4">
        <v>44747.690046296295</v>
      </c>
    </row>
    <row r="2135" hidden="1">
      <c r="A2135" s="1" t="s">
        <v>1055</v>
      </c>
      <c r="B2135" s="3" t="str">
        <f>HYPERLINK("https://hawk-eye.atlassian.net/browse/HWKREPORT-1299?atlOrigin=eyJpIjoiYzgwYTQ0ZjEyNzQzNGJhN2JmNjEyZTM0NmRhZWZhNjIiLCJwIjoic2hlZXRzLWppcmEifQ","HWKREPORT-1299")</f>
        <v>HWKREPORT-1299</v>
      </c>
      <c r="C2135" s="1" t="s">
        <v>3409</v>
      </c>
      <c r="D2135" s="1" t="s">
        <v>23</v>
      </c>
      <c r="E2135" s="1" t="s">
        <v>35</v>
      </c>
      <c r="F2135" s="4">
        <v>44699.678877314815</v>
      </c>
      <c r="G2135" s="3" t="str">
        <f>HYPERLINK("https://hawk-eye.atlassian.net/browse/GT-529?atlOrigin=eyJpIjoiYzgwYTQ0ZjEyNzQzNGJhN2JmNjEyZTM0NmRhZWZhNjIiLCJwIjoic2hlZXRzLWppcmEifQ","GT-529")</f>
        <v>GT-529</v>
      </c>
      <c r="H2135" s="1" t="s">
        <v>1058</v>
      </c>
      <c r="I2135" s="1" t="s">
        <v>1085</v>
      </c>
      <c r="J2135" s="1" t="s">
        <v>26</v>
      </c>
      <c r="K2135" s="1" t="s">
        <v>3410</v>
      </c>
      <c r="L2135" s="1" t="s">
        <v>26</v>
      </c>
      <c r="M2135" s="1" t="s">
        <v>27</v>
      </c>
      <c r="N2135" s="1" t="s">
        <v>26</v>
      </c>
      <c r="O2135" s="1" t="s">
        <v>26</v>
      </c>
      <c r="P2135" s="4">
        <v>44851.71685185185</v>
      </c>
    </row>
    <row r="2136" hidden="1">
      <c r="A2136" s="1" t="s">
        <v>21</v>
      </c>
      <c r="B2136" s="3" t="str">
        <f>HYPERLINK("https://hawk-eye.atlassian.net/browse/HWKREPORT-1300?atlOrigin=eyJpIjoiYzgwYTQ0ZjEyNzQzNGJhN2JmNjEyZTM0NmRhZWZhNjIiLCJwIjoic2hlZXRzLWppcmEifQ","HWKREPORT-1300")</f>
        <v>HWKREPORT-1300</v>
      </c>
      <c r="C2136" s="1" t="s">
        <v>3411</v>
      </c>
      <c r="D2136" s="1" t="s">
        <v>40</v>
      </c>
      <c r="E2136" s="1" t="s">
        <v>35</v>
      </c>
      <c r="F2136" s="4">
        <v>44699.7234837963</v>
      </c>
      <c r="G2136" s="3" t="str">
        <f t="shared" ref="G2136:G2137" si="160">HYPERLINK("https://hawk-eye.atlassian.net/browse/?atlOrigin=eyJpIjoiYzgwYTQ0ZjEyNzQzNGJhN2JmNjEyZTM0NmRhZWZhNjIiLCJwIjoic2hlZXRzLWppcmEifQ","")</f>
        <v/>
      </c>
      <c r="H2136" s="1" t="s">
        <v>1058</v>
      </c>
      <c r="I2136" s="1" t="s">
        <v>1082</v>
      </c>
      <c r="J2136" s="1" t="s">
        <v>26</v>
      </c>
      <c r="K2136" s="1" t="s">
        <v>1148</v>
      </c>
      <c r="L2136" s="1" t="s">
        <v>26</v>
      </c>
      <c r="M2136" s="1" t="s">
        <v>27</v>
      </c>
      <c r="N2136" s="1" t="s">
        <v>26</v>
      </c>
      <c r="O2136" s="1" t="s">
        <v>26</v>
      </c>
      <c r="P2136" s="4">
        <v>44720.715891203705</v>
      </c>
    </row>
    <row r="2137" hidden="1">
      <c r="A2137" s="1" t="s">
        <v>21</v>
      </c>
      <c r="B2137" s="3" t="str">
        <f>HYPERLINK("https://hawk-eye.atlassian.net/browse/HWKREPORT-1301?atlOrigin=eyJpIjoiYzgwYTQ0ZjEyNzQzNGJhN2JmNjEyZTM0NmRhZWZhNjIiLCJwIjoic2hlZXRzLWppcmEifQ","HWKREPORT-1301")</f>
        <v>HWKREPORT-1301</v>
      </c>
      <c r="C2137" s="1" t="s">
        <v>3412</v>
      </c>
      <c r="D2137" s="1" t="s">
        <v>23</v>
      </c>
      <c r="E2137" s="1" t="s">
        <v>35</v>
      </c>
      <c r="F2137" s="4">
        <v>44699.7259837963</v>
      </c>
      <c r="G2137" s="3" t="str">
        <f t="shared" si="160"/>
        <v/>
      </c>
      <c r="H2137" s="1" t="s">
        <v>1058</v>
      </c>
      <c r="I2137" s="1" t="s">
        <v>1082</v>
      </c>
      <c r="J2137" s="1" t="s">
        <v>26</v>
      </c>
      <c r="K2137" s="1" t="s">
        <v>1148</v>
      </c>
      <c r="L2137" s="1" t="s">
        <v>26</v>
      </c>
      <c r="M2137" s="1" t="s">
        <v>27</v>
      </c>
      <c r="N2137" s="1" t="s">
        <v>26</v>
      </c>
      <c r="O2137" s="1" t="s">
        <v>26</v>
      </c>
      <c r="P2137" s="4">
        <v>44720.71366898148</v>
      </c>
    </row>
    <row r="2138" hidden="1">
      <c r="A2138" s="1" t="s">
        <v>1055</v>
      </c>
      <c r="B2138" s="3" t="str">
        <f>HYPERLINK("https://hawk-eye.atlassian.net/browse/HWKREPORT-1302?atlOrigin=eyJpIjoiYzgwYTQ0ZjEyNzQzNGJhN2JmNjEyZTM0NmRhZWZhNjIiLCJwIjoic2hlZXRzLWppcmEifQ","HWKREPORT-1302")</f>
        <v>HWKREPORT-1302</v>
      </c>
      <c r="C2138" s="1" t="s">
        <v>3413</v>
      </c>
      <c r="D2138" s="1" t="s">
        <v>23</v>
      </c>
      <c r="E2138" s="1" t="s">
        <v>35</v>
      </c>
      <c r="F2138" s="4">
        <v>44699.89341435185</v>
      </c>
      <c r="G2138" s="3" t="str">
        <f>HYPERLINK("https://hawk-eye.atlassian.net/browse/AL-337?atlOrigin=eyJpIjoiYzgwYTQ0ZjEyNzQzNGJhN2JmNjEyZTM0NmRhZWZhNjIiLCJwIjoic2hlZXRzLWppcmEifQ","AL-337")</f>
        <v>AL-337</v>
      </c>
      <c r="H2138" s="1" t="s">
        <v>1058</v>
      </c>
      <c r="I2138" s="1" t="s">
        <v>1071</v>
      </c>
      <c r="J2138" s="1" t="s">
        <v>26</v>
      </c>
      <c r="K2138" s="1" t="s">
        <v>1276</v>
      </c>
      <c r="L2138" s="1" t="s">
        <v>26</v>
      </c>
      <c r="M2138" s="1" t="s">
        <v>27</v>
      </c>
      <c r="N2138" s="1" t="s">
        <v>26</v>
      </c>
      <c r="O2138" s="1" t="s">
        <v>26</v>
      </c>
      <c r="P2138" s="4">
        <v>44827.44291666667</v>
      </c>
    </row>
    <row r="2139" hidden="1">
      <c r="A2139" s="1" t="s">
        <v>21</v>
      </c>
      <c r="B2139" s="3" t="str">
        <f>HYPERLINK("https://hawk-eye.atlassian.net/browse/HWKREPORT-1303?atlOrigin=eyJpIjoiYzgwYTQ0ZjEyNzQzNGJhN2JmNjEyZTM0NmRhZWZhNjIiLCJwIjoic2hlZXRzLWppcmEifQ","HWKREPORT-1303")</f>
        <v>HWKREPORT-1303</v>
      </c>
      <c r="C2139" s="1" t="s">
        <v>3414</v>
      </c>
      <c r="D2139" s="1" t="s">
        <v>23</v>
      </c>
      <c r="E2139" s="1" t="s">
        <v>35</v>
      </c>
      <c r="F2139" s="4">
        <v>44699.897893518515</v>
      </c>
      <c r="G2139" s="3" t="str">
        <f>HYPERLINK("https://hawk-eye.atlassian.net/browse/RTT-4975?atlOrigin=eyJpIjoiYzgwYTQ0ZjEyNzQzNGJhN2JmNjEyZTM0NmRhZWZhNjIiLCJwIjoic2hlZXRzLWppcmEifQ","RTT-4975")</f>
        <v>RTT-4975</v>
      </c>
      <c r="H2139" s="1" t="s">
        <v>1058</v>
      </c>
      <c r="I2139" s="1" t="s">
        <v>1071</v>
      </c>
      <c r="J2139" s="1" t="s">
        <v>26</v>
      </c>
      <c r="K2139" s="1" t="s">
        <v>2197</v>
      </c>
      <c r="L2139" s="1" t="s">
        <v>26</v>
      </c>
      <c r="M2139" s="1" t="s">
        <v>27</v>
      </c>
      <c r="N2139" s="1" t="s">
        <v>26</v>
      </c>
      <c r="O2139" s="1" t="s">
        <v>26</v>
      </c>
      <c r="P2139" s="4">
        <v>44712.73112268518</v>
      </c>
    </row>
    <row r="2140" hidden="1">
      <c r="A2140" s="1" t="s">
        <v>21</v>
      </c>
      <c r="B2140" s="3" t="str">
        <f>HYPERLINK("https://hawk-eye.atlassian.net/browse/HWKREPORT-1304?atlOrigin=eyJpIjoiYzgwYTQ0ZjEyNzQzNGJhN2JmNjEyZTM0NmRhZWZhNjIiLCJwIjoic2hlZXRzLWppcmEifQ","HWKREPORT-1304")</f>
        <v>HWKREPORT-1304</v>
      </c>
      <c r="C2140" s="1" t="s">
        <v>3415</v>
      </c>
      <c r="D2140" s="1" t="s">
        <v>23</v>
      </c>
      <c r="E2140" s="1" t="s">
        <v>1207</v>
      </c>
      <c r="F2140" s="4">
        <v>44700.176400462966</v>
      </c>
      <c r="G2140" s="3" t="str">
        <f>HYPERLINK("https://hawk-eye.atlassian.net/browse/BDP-784?atlOrigin=eyJpIjoiYzgwYTQ0ZjEyNzQzNGJhN2JmNjEyZTM0NmRhZWZhNjIiLCJwIjoic2hlZXRzLWppcmEifQ","BDP-784")</f>
        <v>BDP-784</v>
      </c>
      <c r="H2140" s="1" t="s">
        <v>1058</v>
      </c>
      <c r="I2140" s="1" t="s">
        <v>1071</v>
      </c>
      <c r="J2140" s="1" t="s">
        <v>26</v>
      </c>
      <c r="K2140" s="1" t="s">
        <v>1130</v>
      </c>
      <c r="L2140" s="1" t="s">
        <v>26</v>
      </c>
      <c r="M2140" s="1" t="s">
        <v>27</v>
      </c>
      <c r="N2140" s="1" t="s">
        <v>26</v>
      </c>
      <c r="O2140" s="1" t="s">
        <v>26</v>
      </c>
      <c r="P2140" s="4">
        <v>44929.4184837963</v>
      </c>
    </row>
    <row r="2141" hidden="1">
      <c r="A2141" s="1" t="s">
        <v>21</v>
      </c>
      <c r="B2141" s="3" t="str">
        <f>HYPERLINK("https://hawk-eye.atlassian.net/browse/HWKREPORT-1305?atlOrigin=eyJpIjoiYzgwYTQ0ZjEyNzQzNGJhN2JmNjEyZTM0NmRhZWZhNjIiLCJwIjoic2hlZXRzLWppcmEifQ","HWKREPORT-1305")</f>
        <v>HWKREPORT-1305</v>
      </c>
      <c r="C2141" s="1" t="s">
        <v>3416</v>
      </c>
      <c r="D2141" s="1" t="s">
        <v>83</v>
      </c>
      <c r="E2141" s="1" t="s">
        <v>1207</v>
      </c>
      <c r="F2141" s="4">
        <v>44700.50114583333</v>
      </c>
      <c r="G2141" s="3" t="str">
        <f>HYPERLINK("https://hawk-eye.atlassian.net/browse/AL-338?atlOrigin=eyJpIjoiYzgwYTQ0ZjEyNzQzNGJhN2JmNjEyZTM0NmRhZWZhNjIiLCJwIjoic2hlZXRzLWppcmEifQ","AL-338")</f>
        <v>AL-338</v>
      </c>
      <c r="H2141" s="1" t="s">
        <v>1058</v>
      </c>
      <c r="I2141" s="1" t="s">
        <v>1085</v>
      </c>
      <c r="J2141" s="1" t="s">
        <v>26</v>
      </c>
      <c r="K2141" s="1" t="s">
        <v>1219</v>
      </c>
      <c r="L2141" s="1" t="s">
        <v>26</v>
      </c>
      <c r="M2141" s="1" t="s">
        <v>27</v>
      </c>
      <c r="N2141" s="1" t="s">
        <v>26</v>
      </c>
      <c r="O2141" s="1" t="s">
        <v>26</v>
      </c>
      <c r="P2141" s="4">
        <v>44929.4184837963</v>
      </c>
    </row>
    <row r="2142" hidden="1">
      <c r="A2142" s="1" t="s">
        <v>21</v>
      </c>
      <c r="B2142" s="3" t="str">
        <f>HYPERLINK("https://hawk-eye.atlassian.net/browse/HWKREPORT-1306?atlOrigin=eyJpIjoiYzgwYTQ0ZjEyNzQzNGJhN2JmNjEyZTM0NmRhZWZhNjIiLCJwIjoic2hlZXRzLWppcmEifQ","HWKREPORT-1306")</f>
        <v>HWKREPORT-1306</v>
      </c>
      <c r="C2142" s="1" t="s">
        <v>3417</v>
      </c>
      <c r="D2142" s="1" t="s">
        <v>83</v>
      </c>
      <c r="E2142" s="1" t="s">
        <v>1074</v>
      </c>
      <c r="F2142" s="4">
        <v>44700.509722222225</v>
      </c>
      <c r="G2142" s="3" t="str">
        <f>HYPERLINK("https://hawk-eye.atlassian.net/browse/AL-339?atlOrigin=eyJpIjoiYzgwYTQ0ZjEyNzQzNGJhN2JmNjEyZTM0NmRhZWZhNjIiLCJwIjoic2hlZXRzLWppcmEifQ","AL-339")</f>
        <v>AL-339</v>
      </c>
      <c r="H2142" s="1" t="s">
        <v>1058</v>
      </c>
      <c r="I2142" s="1" t="s">
        <v>1085</v>
      </c>
      <c r="J2142" s="1" t="s">
        <v>26</v>
      </c>
      <c r="K2142" s="1" t="s">
        <v>1219</v>
      </c>
      <c r="L2142" s="1" t="s">
        <v>26</v>
      </c>
      <c r="M2142" s="1" t="s">
        <v>27</v>
      </c>
      <c r="N2142" s="1" t="s">
        <v>26</v>
      </c>
      <c r="O2142" s="1" t="s">
        <v>26</v>
      </c>
      <c r="P2142" s="4">
        <v>44705.77422453704</v>
      </c>
    </row>
    <row r="2143" hidden="1">
      <c r="A2143" s="1" t="s">
        <v>21</v>
      </c>
      <c r="B2143" s="3" t="str">
        <f>HYPERLINK("https://hawk-eye.atlassian.net/browse/HWKREPORT-1307?atlOrigin=eyJpIjoiYzgwYTQ0ZjEyNzQzNGJhN2JmNjEyZTM0NmRhZWZhNjIiLCJwIjoic2hlZXRzLWppcmEifQ","HWKREPORT-1307")</f>
        <v>HWKREPORT-1307</v>
      </c>
      <c r="C2143" s="1" t="s">
        <v>3418</v>
      </c>
      <c r="D2143" s="1" t="s">
        <v>40</v>
      </c>
      <c r="E2143" s="1" t="s">
        <v>35</v>
      </c>
      <c r="F2143" s="4">
        <v>44700.5258912037</v>
      </c>
      <c r="G2143" s="3" t="str">
        <f>HYPERLINK("https://hawk-eye.atlassian.net/browse/AL-340?atlOrigin=eyJpIjoiYzgwYTQ0ZjEyNzQzNGJhN2JmNjEyZTM0NmRhZWZhNjIiLCJwIjoic2hlZXRzLWppcmEifQ","AL-340")</f>
        <v>AL-340</v>
      </c>
      <c r="H2143" s="1" t="s">
        <v>1058</v>
      </c>
      <c r="I2143" s="1" t="s">
        <v>1085</v>
      </c>
      <c r="J2143" s="1" t="s">
        <v>26</v>
      </c>
      <c r="K2143" s="1" t="s">
        <v>1219</v>
      </c>
      <c r="L2143" s="1" t="s">
        <v>26</v>
      </c>
      <c r="M2143" s="1" t="s">
        <v>27</v>
      </c>
      <c r="N2143" s="1" t="s">
        <v>26</v>
      </c>
      <c r="O2143" s="1" t="s">
        <v>26</v>
      </c>
      <c r="P2143" s="4">
        <v>44706.722337962965</v>
      </c>
    </row>
    <row r="2144" hidden="1">
      <c r="A2144" s="1" t="s">
        <v>1055</v>
      </c>
      <c r="B2144" s="3" t="str">
        <f>HYPERLINK("https://hawk-eye.atlassian.net/browse/HWKREPORT-1308?atlOrigin=eyJpIjoiYzgwYTQ0ZjEyNzQzNGJhN2JmNjEyZTM0NmRhZWZhNjIiLCJwIjoic2hlZXRzLWppcmEifQ","HWKREPORT-1308")</f>
        <v>HWKREPORT-1308</v>
      </c>
      <c r="C2144" s="1" t="s">
        <v>3419</v>
      </c>
      <c r="D2144" s="1" t="s">
        <v>23</v>
      </c>
      <c r="E2144" s="1" t="s">
        <v>1207</v>
      </c>
      <c r="F2144" s="4">
        <v>44700.7374537037</v>
      </c>
      <c r="G2144" s="3" t="str">
        <f>HYPERLINK("https://hawk-eye.atlassian.net/browse/RTT-4978?atlOrigin=eyJpIjoiYzgwYTQ0ZjEyNzQzNGJhN2JmNjEyZTM0NmRhZWZhNjIiLCJwIjoic2hlZXRzLWppcmEifQ","RTT-4978")</f>
        <v>RTT-4978</v>
      </c>
      <c r="H2144" s="1" t="s">
        <v>1058</v>
      </c>
      <c r="I2144" s="1" t="s">
        <v>1071</v>
      </c>
      <c r="J2144" s="1" t="s">
        <v>26</v>
      </c>
      <c r="K2144" s="1" t="s">
        <v>1072</v>
      </c>
      <c r="L2144" s="1" t="s">
        <v>26</v>
      </c>
      <c r="M2144" s="1" t="s">
        <v>27</v>
      </c>
      <c r="N2144" s="1" t="s">
        <v>26</v>
      </c>
      <c r="O2144" s="1" t="s">
        <v>26</v>
      </c>
      <c r="P2144" s="4">
        <v>44929.4184837963</v>
      </c>
    </row>
    <row r="2145" hidden="1">
      <c r="A2145" s="1" t="s">
        <v>21</v>
      </c>
      <c r="B2145" s="3" t="str">
        <f>HYPERLINK("https://hawk-eye.atlassian.net/browse/HWKREPORT-1309?atlOrigin=eyJpIjoiYzgwYTQ0ZjEyNzQzNGJhN2JmNjEyZTM0NmRhZWZhNjIiLCJwIjoic2hlZXRzLWppcmEifQ","HWKREPORT-1309")</f>
        <v>HWKREPORT-1309</v>
      </c>
      <c r="C2145" s="1" t="s">
        <v>3420</v>
      </c>
      <c r="D2145" s="1" t="s">
        <v>23</v>
      </c>
      <c r="E2145" s="1" t="s">
        <v>1207</v>
      </c>
      <c r="F2145" s="4">
        <v>44705.701527777775</v>
      </c>
      <c r="G2145" s="3" t="str">
        <f>HYPERLINK("https://hawk-eye.atlassian.net/browse/RTT-4983?atlOrigin=eyJpIjoiYzgwYTQ0ZjEyNzQzNGJhN2JmNjEyZTM0NmRhZWZhNjIiLCJwIjoic2hlZXRzLWppcmEifQ","RTT-4983")</f>
        <v>RTT-4983</v>
      </c>
      <c r="H2145" s="1" t="s">
        <v>1058</v>
      </c>
      <c r="I2145" s="1" t="s">
        <v>1071</v>
      </c>
      <c r="J2145" s="1" t="s">
        <v>26</v>
      </c>
      <c r="K2145" s="1" t="s">
        <v>2197</v>
      </c>
      <c r="L2145" s="1" t="s">
        <v>26</v>
      </c>
      <c r="M2145" s="1" t="s">
        <v>27</v>
      </c>
      <c r="N2145" s="1" t="s">
        <v>26</v>
      </c>
      <c r="O2145" s="1" t="s">
        <v>26</v>
      </c>
      <c r="P2145" s="4">
        <v>44929.4184837963</v>
      </c>
    </row>
    <row r="2146" hidden="1">
      <c r="A2146" s="1" t="s">
        <v>21</v>
      </c>
      <c r="B2146" s="3" t="str">
        <f>HYPERLINK("https://hawk-eye.atlassian.net/browse/HWKREPORT-1310?atlOrigin=eyJpIjoiYzgwYTQ0ZjEyNzQzNGJhN2JmNjEyZTM0NmRhZWZhNjIiLCJwIjoic2hlZXRzLWppcmEifQ","HWKREPORT-1310")</f>
        <v>HWKREPORT-1310</v>
      </c>
      <c r="C2146" s="1" t="s">
        <v>3421</v>
      </c>
      <c r="D2146" s="1" t="s">
        <v>34</v>
      </c>
      <c r="E2146" s="1" t="s">
        <v>35</v>
      </c>
      <c r="F2146" s="4">
        <v>44706.74333333333</v>
      </c>
      <c r="G2146" s="3" t="str">
        <f>HYPERLINK("https://hawk-eye.atlassian.net/browse/VIEWER-1844?atlOrigin=eyJpIjoiYzgwYTQ0ZjEyNzQzNGJhN2JmNjEyZTM0NmRhZWZhNjIiLCJwIjoic2hlZXRzLWppcmEifQ","VIEWER-1844")</f>
        <v>VIEWER-1844</v>
      </c>
      <c r="H2146" s="1" t="s">
        <v>1058</v>
      </c>
      <c r="I2146" s="1" t="s">
        <v>1085</v>
      </c>
      <c r="J2146" s="1" t="s">
        <v>26</v>
      </c>
      <c r="K2146" s="1" t="s">
        <v>1116</v>
      </c>
      <c r="L2146" s="1" t="s">
        <v>26</v>
      </c>
      <c r="M2146" s="1" t="s">
        <v>27</v>
      </c>
      <c r="N2146" s="1" t="s">
        <v>26</v>
      </c>
      <c r="O2146" s="1" t="s">
        <v>26</v>
      </c>
      <c r="P2146" s="4">
        <v>44721.77646990741</v>
      </c>
    </row>
    <row r="2147" hidden="1">
      <c r="A2147" s="1" t="s">
        <v>21</v>
      </c>
      <c r="B2147" s="3" t="str">
        <f>HYPERLINK("https://hawk-eye.atlassian.net/browse/HWKREPORT-1311?atlOrigin=eyJpIjoiYzgwYTQ0ZjEyNzQzNGJhN2JmNjEyZTM0NmRhZWZhNjIiLCJwIjoic2hlZXRzLWppcmEifQ","HWKREPORT-1311")</f>
        <v>HWKREPORT-1311</v>
      </c>
      <c r="C2147" s="1" t="s">
        <v>3422</v>
      </c>
      <c r="D2147" s="1" t="s">
        <v>40</v>
      </c>
      <c r="E2147" s="1" t="s">
        <v>1207</v>
      </c>
      <c r="F2147" s="4">
        <v>44707.57714120371</v>
      </c>
      <c r="G2147" s="3" t="str">
        <f>HYPERLINK("https://hawk-eye.atlassian.net/browse/RTT-4997?atlOrigin=eyJpIjoiYzgwYTQ0ZjEyNzQzNGJhN2JmNjEyZTM0NmRhZWZhNjIiLCJwIjoic2hlZXRzLWppcmEifQ","RTT-4997")</f>
        <v>RTT-4997</v>
      </c>
      <c r="H2147" s="1" t="s">
        <v>1058</v>
      </c>
      <c r="I2147" s="1" t="s">
        <v>1085</v>
      </c>
      <c r="J2147" s="1" t="s">
        <v>26</v>
      </c>
      <c r="K2147" s="1" t="s">
        <v>1072</v>
      </c>
      <c r="L2147" s="1" t="s">
        <v>26</v>
      </c>
      <c r="M2147" s="1" t="s">
        <v>27</v>
      </c>
      <c r="N2147" s="1" t="s">
        <v>26</v>
      </c>
      <c r="O2147" s="1" t="s">
        <v>26</v>
      </c>
      <c r="P2147" s="4">
        <v>44929.4184837963</v>
      </c>
    </row>
    <row r="2148" hidden="1">
      <c r="A2148" s="1" t="s">
        <v>21</v>
      </c>
      <c r="B2148" s="3" t="str">
        <f>HYPERLINK("https://hawk-eye.atlassian.net/browse/HWKREPORT-1312?atlOrigin=eyJpIjoiYzgwYTQ0ZjEyNzQzNGJhN2JmNjEyZTM0NmRhZWZhNjIiLCJwIjoic2hlZXRzLWppcmEifQ","HWKREPORT-1312")</f>
        <v>HWKREPORT-1312</v>
      </c>
      <c r="C2148" s="1" t="s">
        <v>3423</v>
      </c>
      <c r="D2148" s="1" t="s">
        <v>40</v>
      </c>
      <c r="E2148" s="1" t="s">
        <v>35</v>
      </c>
      <c r="F2148" s="4">
        <v>44707.586747685185</v>
      </c>
      <c r="G2148" s="3" t="str">
        <f>HYPERLINK("https://hawk-eye.atlassian.net/browse/RTT-4998?atlOrigin=eyJpIjoiYzgwYTQ0ZjEyNzQzNGJhN2JmNjEyZTM0NmRhZWZhNjIiLCJwIjoic2hlZXRzLWppcmEifQ","RTT-4998")</f>
        <v>RTT-4998</v>
      </c>
      <c r="H2148" s="1" t="s">
        <v>1058</v>
      </c>
      <c r="I2148" s="1" t="s">
        <v>1085</v>
      </c>
      <c r="J2148" s="1" t="s">
        <v>26</v>
      </c>
      <c r="K2148" s="1" t="s">
        <v>1804</v>
      </c>
      <c r="L2148" s="1" t="s">
        <v>26</v>
      </c>
      <c r="M2148" s="1" t="s">
        <v>27</v>
      </c>
      <c r="N2148" s="1" t="s">
        <v>26</v>
      </c>
      <c r="O2148" s="1" t="s">
        <v>26</v>
      </c>
      <c r="P2148" s="4">
        <v>44740.3780787037</v>
      </c>
    </row>
    <row r="2149" hidden="1">
      <c r="A2149" s="1" t="s">
        <v>21</v>
      </c>
      <c r="B2149" s="3" t="str">
        <f>HYPERLINK("https://hawk-eye.atlassian.net/browse/HWKREPORT-1313?atlOrigin=eyJpIjoiYzgwYTQ0ZjEyNzQzNGJhN2JmNjEyZTM0NmRhZWZhNjIiLCJwIjoic2hlZXRzLWppcmEifQ","HWKREPORT-1313")</f>
        <v>HWKREPORT-1313</v>
      </c>
      <c r="C2149" s="1" t="s">
        <v>3424</v>
      </c>
      <c r="D2149" s="1" t="s">
        <v>40</v>
      </c>
      <c r="E2149" s="1" t="s">
        <v>35</v>
      </c>
      <c r="F2149" s="4">
        <v>44707.69222222222</v>
      </c>
      <c r="G2149" s="3" t="str">
        <f>HYPERLINK("https://hawk-eye.atlassian.net/browse/VIEWER-1845?atlOrigin=eyJpIjoiYzgwYTQ0ZjEyNzQzNGJhN2JmNjEyZTM0NmRhZWZhNjIiLCJwIjoic2hlZXRzLWppcmEifQ","VIEWER-1845")</f>
        <v>VIEWER-1845</v>
      </c>
      <c r="H2149" s="1" t="s">
        <v>1058</v>
      </c>
      <c r="I2149" s="1" t="s">
        <v>1085</v>
      </c>
      <c r="J2149" s="1" t="s">
        <v>26</v>
      </c>
      <c r="K2149" s="1" t="s">
        <v>1804</v>
      </c>
      <c r="L2149" s="1" t="s">
        <v>26</v>
      </c>
      <c r="M2149" s="1" t="s">
        <v>27</v>
      </c>
      <c r="N2149" s="1" t="s">
        <v>26</v>
      </c>
      <c r="O2149" s="1" t="s">
        <v>26</v>
      </c>
      <c r="P2149" s="4">
        <v>44719.98087962963</v>
      </c>
    </row>
    <row r="2150" hidden="1">
      <c r="A2150" s="1" t="s">
        <v>21</v>
      </c>
      <c r="B2150" s="3" t="str">
        <f>HYPERLINK("https://hawk-eye.atlassian.net/browse/HWKREPORT-1314?atlOrigin=eyJpIjoiYzgwYTQ0ZjEyNzQzNGJhN2JmNjEyZTM0NmRhZWZhNjIiLCJwIjoic2hlZXRzLWppcmEifQ","HWKREPORT-1314")</f>
        <v>HWKREPORT-1314</v>
      </c>
      <c r="C2150" s="1" t="s">
        <v>3425</v>
      </c>
      <c r="D2150" s="1" t="s">
        <v>23</v>
      </c>
      <c r="E2150" s="1" t="s">
        <v>35</v>
      </c>
      <c r="F2150" s="4">
        <v>44707.89797453704</v>
      </c>
      <c r="G2150" s="3" t="str">
        <f>HYPERLINK("https://hawk-eye.atlassian.net/browse/CONFIG-716?atlOrigin=eyJpIjoiYzgwYTQ0ZjEyNzQzNGJhN2JmNjEyZTM0NmRhZWZhNjIiLCJwIjoic2hlZXRzLWppcmEifQ","CONFIG-716")</f>
        <v>CONFIG-716</v>
      </c>
      <c r="H2150" s="1" t="s">
        <v>1058</v>
      </c>
      <c r="I2150" s="1" t="s">
        <v>1071</v>
      </c>
      <c r="J2150" s="1" t="s">
        <v>26</v>
      </c>
      <c r="K2150" s="1" t="s">
        <v>1134</v>
      </c>
      <c r="L2150" s="1" t="s">
        <v>26</v>
      </c>
      <c r="M2150" s="1" t="s">
        <v>27</v>
      </c>
      <c r="N2150" s="1" t="s">
        <v>26</v>
      </c>
      <c r="O2150" s="1" t="s">
        <v>26</v>
      </c>
      <c r="P2150" s="4">
        <v>44728.800671296296</v>
      </c>
    </row>
    <row r="2151" hidden="1">
      <c r="A2151" s="1" t="s">
        <v>21</v>
      </c>
      <c r="B2151" s="3" t="str">
        <f>HYPERLINK("https://hawk-eye.atlassian.net/browse/HWKREPORT-1315?atlOrigin=eyJpIjoiYzgwYTQ0ZjEyNzQzNGJhN2JmNjEyZTM0NmRhZWZhNjIiLCJwIjoic2hlZXRzLWppcmEifQ","HWKREPORT-1315")</f>
        <v>HWKREPORT-1315</v>
      </c>
      <c r="C2151" s="1" t="s">
        <v>3426</v>
      </c>
      <c r="D2151" s="1" t="s">
        <v>40</v>
      </c>
      <c r="E2151" s="1" t="s">
        <v>35</v>
      </c>
      <c r="F2151" s="4">
        <v>44711.59951388889</v>
      </c>
      <c r="G2151" s="3" t="str">
        <f t="shared" ref="G2151:G2152" si="161">HYPERLINK("https://hawk-eye.atlassian.net/browse/VRCONTROL-80?atlOrigin=eyJpIjoiYzgwYTQ0ZjEyNzQzNGJhN2JmNjEyZTM0NmRhZWZhNjIiLCJwIjoic2hlZXRzLWppcmEifQ","VRCONTROL-80")</f>
        <v>VRCONTROL-80</v>
      </c>
      <c r="H2151" s="1" t="s">
        <v>1058</v>
      </c>
      <c r="I2151" s="1" t="s">
        <v>1085</v>
      </c>
      <c r="J2151" s="1" t="s">
        <v>26</v>
      </c>
      <c r="K2151" s="1" t="s">
        <v>1114</v>
      </c>
      <c r="L2151" s="1" t="s">
        <v>26</v>
      </c>
      <c r="M2151" s="1" t="s">
        <v>27</v>
      </c>
      <c r="N2151" s="1" t="s">
        <v>26</v>
      </c>
      <c r="O2151" s="1" t="s">
        <v>26</v>
      </c>
      <c r="P2151" s="4">
        <v>45315.49818287037</v>
      </c>
    </row>
    <row r="2152" hidden="1">
      <c r="A2152" s="1" t="s">
        <v>21</v>
      </c>
      <c r="B2152" s="3" t="str">
        <f>HYPERLINK("https://hawk-eye.atlassian.net/browse/HWKREPORT-1316?atlOrigin=eyJpIjoiYzgwYTQ0ZjEyNzQzNGJhN2JmNjEyZTM0NmRhZWZhNjIiLCJwIjoic2hlZXRzLWppcmEifQ","HWKREPORT-1316")</f>
        <v>HWKREPORT-1316</v>
      </c>
      <c r="C2152" s="1" t="s">
        <v>3427</v>
      </c>
      <c r="D2152" s="1" t="s">
        <v>40</v>
      </c>
      <c r="E2152" s="1" t="s">
        <v>35</v>
      </c>
      <c r="F2152" s="4">
        <v>44711.73467592592</v>
      </c>
      <c r="G2152" s="3" t="str">
        <f t="shared" si="161"/>
        <v>VRCONTROL-80</v>
      </c>
      <c r="H2152" s="1" t="s">
        <v>1058</v>
      </c>
      <c r="I2152" s="1" t="s">
        <v>1085</v>
      </c>
      <c r="J2152" s="1" t="s">
        <v>26</v>
      </c>
      <c r="K2152" s="1" t="s">
        <v>1105</v>
      </c>
      <c r="L2152" s="1" t="s">
        <v>26</v>
      </c>
      <c r="M2152" s="1" t="s">
        <v>27</v>
      </c>
      <c r="N2152" s="1" t="s">
        <v>26</v>
      </c>
      <c r="O2152" s="1" t="s">
        <v>26</v>
      </c>
      <c r="P2152" s="4">
        <v>44756.442395833335</v>
      </c>
    </row>
    <row r="2153" hidden="1">
      <c r="A2153" s="1" t="s">
        <v>1055</v>
      </c>
      <c r="B2153" s="3" t="str">
        <f>HYPERLINK("https://hawk-eye.atlassian.net/browse/HWKREPORT-1317?atlOrigin=eyJpIjoiYzgwYTQ0ZjEyNzQzNGJhN2JmNjEyZTM0NmRhZWZhNjIiLCJwIjoic2hlZXRzLWppcmEifQ","HWKREPORT-1317")</f>
        <v>HWKREPORT-1317</v>
      </c>
      <c r="C2153" s="1" t="s">
        <v>3428</v>
      </c>
      <c r="D2153" s="1" t="s">
        <v>23</v>
      </c>
      <c r="E2153" s="1" t="s">
        <v>1207</v>
      </c>
      <c r="F2153" s="4">
        <v>44712.41291666667</v>
      </c>
      <c r="G2153" s="3" t="str">
        <f>HYPERLINK("https://hawk-eye.atlassian.net/browse/RTT-5007?atlOrigin=eyJpIjoiYzgwYTQ0ZjEyNzQzNGJhN2JmNjEyZTM0NmRhZWZhNjIiLCJwIjoic2hlZXRzLWppcmEifQ","RTT-5007")</f>
        <v>RTT-5007</v>
      </c>
      <c r="H2153" s="1" t="s">
        <v>1058</v>
      </c>
      <c r="I2153" s="1" t="s">
        <v>1085</v>
      </c>
      <c r="J2153" s="1" t="s">
        <v>26</v>
      </c>
      <c r="K2153" s="1" t="s">
        <v>1362</v>
      </c>
      <c r="L2153" s="1" t="s">
        <v>26</v>
      </c>
      <c r="M2153" s="1" t="s">
        <v>27</v>
      </c>
      <c r="N2153" s="1" t="s">
        <v>26</v>
      </c>
      <c r="O2153" s="1" t="s">
        <v>26</v>
      </c>
      <c r="P2153" s="4">
        <v>44929.4184837963</v>
      </c>
    </row>
    <row r="2154" hidden="1">
      <c r="A2154" s="1" t="s">
        <v>1055</v>
      </c>
      <c r="B2154" s="3" t="str">
        <f>HYPERLINK("https://hawk-eye.atlassian.net/browse/HWKREPORT-1318?atlOrigin=eyJpIjoiYzgwYTQ0ZjEyNzQzNGJhN2JmNjEyZTM0NmRhZWZhNjIiLCJwIjoic2hlZXRzLWppcmEifQ","HWKREPORT-1318")</f>
        <v>HWKREPORT-1318</v>
      </c>
      <c r="C2154" s="1" t="s">
        <v>3429</v>
      </c>
      <c r="D2154" s="1" t="s">
        <v>23</v>
      </c>
      <c r="E2154" s="1" t="s">
        <v>1207</v>
      </c>
      <c r="F2154" s="4">
        <v>44712.448796296296</v>
      </c>
      <c r="G2154" s="3" t="str">
        <f>HYPERLINK("https://hawk-eye.atlassian.net/browse/RTT-5008?atlOrigin=eyJpIjoiYzgwYTQ0ZjEyNzQzNGJhN2JmNjEyZTM0NmRhZWZhNjIiLCJwIjoic2hlZXRzLWppcmEifQ","RTT-5008")</f>
        <v>RTT-5008</v>
      </c>
      <c r="H2154" s="1" t="s">
        <v>1058</v>
      </c>
      <c r="I2154" s="1" t="s">
        <v>1085</v>
      </c>
      <c r="J2154" s="1" t="s">
        <v>26</v>
      </c>
      <c r="K2154" s="1" t="s">
        <v>1362</v>
      </c>
      <c r="L2154" s="1" t="s">
        <v>26</v>
      </c>
      <c r="M2154" s="1" t="s">
        <v>27</v>
      </c>
      <c r="N2154" s="1" t="s">
        <v>26</v>
      </c>
      <c r="O2154" s="1" t="s">
        <v>26</v>
      </c>
      <c r="P2154" s="4">
        <v>44929.4184837963</v>
      </c>
    </row>
    <row r="2155" hidden="1">
      <c r="A2155" s="1" t="s">
        <v>1055</v>
      </c>
      <c r="B2155" s="3" t="str">
        <f>HYPERLINK("https://hawk-eye.atlassian.net/browse/HWKREPORT-1319?atlOrigin=eyJpIjoiYzgwYTQ0ZjEyNzQzNGJhN2JmNjEyZTM0NmRhZWZhNjIiLCJwIjoic2hlZXRzLWppcmEifQ","HWKREPORT-1319")</f>
        <v>HWKREPORT-1319</v>
      </c>
      <c r="C2155" s="1" t="s">
        <v>3430</v>
      </c>
      <c r="D2155" s="1" t="s">
        <v>23</v>
      </c>
      <c r="E2155" s="1" t="s">
        <v>1207</v>
      </c>
      <c r="F2155" s="4">
        <v>44712.55163194444</v>
      </c>
      <c r="G2155" s="3" t="str">
        <f>HYPERLINK("https://hawk-eye.atlassian.net/browse/RTT-5009?atlOrigin=eyJpIjoiYzgwYTQ0ZjEyNzQzNGJhN2JmNjEyZTM0NmRhZWZhNjIiLCJwIjoic2hlZXRzLWppcmEifQ","RTT-5009")</f>
        <v>RTT-5009</v>
      </c>
      <c r="H2155" s="1" t="s">
        <v>1058</v>
      </c>
      <c r="I2155" s="1" t="s">
        <v>1085</v>
      </c>
      <c r="J2155" s="1" t="s">
        <v>26</v>
      </c>
      <c r="K2155" s="1" t="s">
        <v>1362</v>
      </c>
      <c r="L2155" s="1" t="s">
        <v>26</v>
      </c>
      <c r="M2155" s="1" t="s">
        <v>27</v>
      </c>
      <c r="N2155" s="1" t="s">
        <v>26</v>
      </c>
      <c r="O2155" s="1" t="s">
        <v>26</v>
      </c>
      <c r="P2155" s="4">
        <v>44929.4184837963</v>
      </c>
    </row>
    <row r="2156" hidden="1">
      <c r="A2156" s="1" t="s">
        <v>1055</v>
      </c>
      <c r="B2156" s="3" t="str">
        <f>HYPERLINK("https://hawk-eye.atlassian.net/browse/HWKREPORT-1320?atlOrigin=eyJpIjoiYzgwYTQ0ZjEyNzQzNGJhN2JmNjEyZTM0NmRhZWZhNjIiLCJwIjoic2hlZXRzLWppcmEifQ","HWKREPORT-1320")</f>
        <v>HWKREPORT-1320</v>
      </c>
      <c r="C2156" s="1" t="s">
        <v>3431</v>
      </c>
      <c r="D2156" s="1" t="s">
        <v>23</v>
      </c>
      <c r="E2156" s="1" t="s">
        <v>1207</v>
      </c>
      <c r="F2156" s="4">
        <v>44712.55506944445</v>
      </c>
      <c r="G2156" s="3" t="str">
        <f>HYPERLINK("https://hawk-eye.atlassian.net/browse/RTT-5010?atlOrigin=eyJpIjoiYzgwYTQ0ZjEyNzQzNGJhN2JmNjEyZTM0NmRhZWZhNjIiLCJwIjoic2hlZXRzLWppcmEifQ","RTT-5010")</f>
        <v>RTT-5010</v>
      </c>
      <c r="H2156" s="1" t="s">
        <v>1058</v>
      </c>
      <c r="I2156" s="1" t="s">
        <v>1085</v>
      </c>
      <c r="J2156" s="1" t="s">
        <v>26</v>
      </c>
      <c r="K2156" s="1" t="s">
        <v>1362</v>
      </c>
      <c r="L2156" s="1" t="s">
        <v>26</v>
      </c>
      <c r="M2156" s="1" t="s">
        <v>27</v>
      </c>
      <c r="N2156" s="1" t="s">
        <v>26</v>
      </c>
      <c r="O2156" s="1" t="s">
        <v>26</v>
      </c>
      <c r="P2156" s="4">
        <v>44929.4184837963</v>
      </c>
    </row>
    <row r="2157" hidden="1">
      <c r="A2157" s="1" t="s">
        <v>1055</v>
      </c>
      <c r="B2157" s="3" t="str">
        <f>HYPERLINK("https://hawk-eye.atlassian.net/browse/HWKREPORT-1321?atlOrigin=eyJpIjoiYzgwYTQ0ZjEyNzQzNGJhN2JmNjEyZTM0NmRhZWZhNjIiLCJwIjoic2hlZXRzLWppcmEifQ","HWKREPORT-1321")</f>
        <v>HWKREPORT-1321</v>
      </c>
      <c r="C2157" s="1" t="s">
        <v>3432</v>
      </c>
      <c r="D2157" s="1" t="s">
        <v>23</v>
      </c>
      <c r="E2157" s="1" t="s">
        <v>1207</v>
      </c>
      <c r="F2157" s="4">
        <v>44712.602627314816</v>
      </c>
      <c r="G2157" s="3" t="str">
        <f>HYPERLINK("https://hawk-eye.atlassian.net/browse/RTT-5011?atlOrigin=eyJpIjoiYzgwYTQ0ZjEyNzQzNGJhN2JmNjEyZTM0NmRhZWZhNjIiLCJwIjoic2hlZXRzLWppcmEifQ","RTT-5011")</f>
        <v>RTT-5011</v>
      </c>
      <c r="H2157" s="1" t="s">
        <v>1058</v>
      </c>
      <c r="I2157" s="1" t="s">
        <v>1085</v>
      </c>
      <c r="J2157" s="1" t="s">
        <v>26</v>
      </c>
      <c r="K2157" s="1" t="s">
        <v>1362</v>
      </c>
      <c r="L2157" s="1" t="s">
        <v>26</v>
      </c>
      <c r="M2157" s="1" t="s">
        <v>27</v>
      </c>
      <c r="N2157" s="1" t="s">
        <v>26</v>
      </c>
      <c r="O2157" s="1" t="s">
        <v>26</v>
      </c>
      <c r="P2157" s="4">
        <v>45028.50678240741</v>
      </c>
    </row>
    <row r="2158" hidden="1">
      <c r="A2158" s="1" t="s">
        <v>21</v>
      </c>
      <c r="B2158" s="3" t="str">
        <f>HYPERLINK("https://hawk-eye.atlassian.net/browse/HWKREPORT-1322?atlOrigin=eyJpIjoiYzgwYTQ0ZjEyNzQzNGJhN2JmNjEyZTM0NmRhZWZhNjIiLCJwIjoic2hlZXRzLWppcmEifQ","HWKREPORT-1322")</f>
        <v>HWKREPORT-1322</v>
      </c>
      <c r="C2158" s="1" t="s">
        <v>3433</v>
      </c>
      <c r="D2158" s="1" t="s">
        <v>34</v>
      </c>
      <c r="E2158" s="1" t="s">
        <v>35</v>
      </c>
      <c r="F2158" s="4">
        <v>44712.80174768518</v>
      </c>
      <c r="G2158" s="3" t="str">
        <f>HYPERLINK("https://hawk-eye.atlassian.net/browse/CORE-75?atlOrigin=eyJpIjoiYzgwYTQ0ZjEyNzQzNGJhN2JmNjEyZTM0NmRhZWZhNjIiLCJwIjoic2hlZXRzLWppcmEifQ","CORE-75")</f>
        <v>CORE-75</v>
      </c>
      <c r="H2158" s="1" t="s">
        <v>1058</v>
      </c>
      <c r="I2158" s="1" t="s">
        <v>1085</v>
      </c>
      <c r="J2158" s="1" t="s">
        <v>26</v>
      </c>
      <c r="K2158" s="1" t="s">
        <v>1355</v>
      </c>
      <c r="L2158" s="1" t="s">
        <v>26</v>
      </c>
      <c r="M2158" s="1" t="s">
        <v>27</v>
      </c>
      <c r="N2158" s="1" t="s">
        <v>26</v>
      </c>
      <c r="O2158" s="1" t="s">
        <v>26</v>
      </c>
      <c r="P2158" s="4">
        <v>44756.712164351855</v>
      </c>
    </row>
    <row r="2159" hidden="1">
      <c r="A2159" s="1" t="s">
        <v>1055</v>
      </c>
      <c r="B2159" s="3" t="str">
        <f>HYPERLINK("https://hawk-eye.atlassian.net/browse/HWKREPORT-1323?atlOrigin=eyJpIjoiYzgwYTQ0ZjEyNzQzNGJhN2JmNjEyZTM0NmRhZWZhNjIiLCJwIjoic2hlZXRzLWppcmEifQ","HWKREPORT-1323")</f>
        <v>HWKREPORT-1323</v>
      </c>
      <c r="C2159" s="1" t="s">
        <v>3434</v>
      </c>
      <c r="D2159" s="1" t="s">
        <v>23</v>
      </c>
      <c r="E2159" s="1" t="s">
        <v>1207</v>
      </c>
      <c r="F2159" s="4">
        <v>44713.50743055555</v>
      </c>
      <c r="G2159" s="3" t="str">
        <f>HYPERLINK("https://hawk-eye.atlassian.net/browse/RTT-5147?atlOrigin=eyJpIjoiYzgwYTQ0ZjEyNzQzNGJhN2JmNjEyZTM0NmRhZWZhNjIiLCJwIjoic2hlZXRzLWppcmEifQ","RTT-5147")</f>
        <v>RTT-5147</v>
      </c>
      <c r="H2159" s="1" t="s">
        <v>1058</v>
      </c>
      <c r="I2159" s="1" t="s">
        <v>1085</v>
      </c>
      <c r="J2159" s="1" t="s">
        <v>26</v>
      </c>
      <c r="K2159" s="1" t="s">
        <v>1362</v>
      </c>
      <c r="L2159" s="1" t="s">
        <v>26</v>
      </c>
      <c r="M2159" s="1" t="s">
        <v>27</v>
      </c>
      <c r="N2159" s="1" t="s">
        <v>26</v>
      </c>
      <c r="O2159" s="1" t="s">
        <v>26</v>
      </c>
      <c r="P2159" s="4">
        <v>44929.4184837963</v>
      </c>
    </row>
    <row r="2160" hidden="1">
      <c r="A2160" s="1" t="s">
        <v>21</v>
      </c>
      <c r="B2160" s="3" t="str">
        <f>HYPERLINK("https://hawk-eye.atlassian.net/browse/HWKREPORT-1324?atlOrigin=eyJpIjoiYzgwYTQ0ZjEyNzQzNGJhN2JmNjEyZTM0NmRhZWZhNjIiLCJwIjoic2hlZXRzLWppcmEifQ","HWKREPORT-1324")</f>
        <v>HWKREPORT-1324</v>
      </c>
      <c r="C2160" s="1" t="s">
        <v>3435</v>
      </c>
      <c r="D2160" s="1" t="s">
        <v>23</v>
      </c>
      <c r="E2160" s="1" t="s">
        <v>1057</v>
      </c>
      <c r="F2160" s="4">
        <v>44713.941666666666</v>
      </c>
      <c r="G2160" s="3" t="str">
        <f>HYPERLINK("https://hawk-eye.atlassian.net/browse/?atlOrigin=eyJpIjoiYzgwYTQ0ZjEyNzQzNGJhN2JmNjEyZTM0NmRhZWZhNjIiLCJwIjoic2hlZXRzLWppcmEifQ","")</f>
        <v/>
      </c>
      <c r="H2160" s="1" t="s">
        <v>1058</v>
      </c>
      <c r="I2160" s="1" t="s">
        <v>1071</v>
      </c>
      <c r="J2160" s="1" t="s">
        <v>26</v>
      </c>
      <c r="K2160" s="1" t="s">
        <v>3436</v>
      </c>
      <c r="L2160" s="1" t="s">
        <v>26</v>
      </c>
      <c r="M2160" s="1" t="s">
        <v>27</v>
      </c>
      <c r="N2160" s="1" t="s">
        <v>26</v>
      </c>
      <c r="O2160" s="1" t="s">
        <v>26</v>
      </c>
      <c r="P2160" s="4">
        <v>44713.94168981481</v>
      </c>
    </row>
    <row r="2161" hidden="1">
      <c r="A2161" s="1" t="s">
        <v>21</v>
      </c>
      <c r="B2161" s="3" t="str">
        <f>HYPERLINK("https://hawk-eye.atlassian.net/browse/HWKREPORT-1325?atlOrigin=eyJpIjoiYzgwYTQ0ZjEyNzQzNGJhN2JmNjEyZTM0NmRhZWZhNjIiLCJwIjoic2hlZXRzLWppcmEifQ","HWKREPORT-1325")</f>
        <v>HWKREPORT-1325</v>
      </c>
      <c r="C2161" s="1" t="s">
        <v>3437</v>
      </c>
      <c r="D2161" s="1" t="s">
        <v>34</v>
      </c>
      <c r="E2161" s="1" t="s">
        <v>1057</v>
      </c>
      <c r="F2161" s="4">
        <v>44714.599583333336</v>
      </c>
      <c r="G2161" s="3" t="str">
        <f>HYPERLINK("https://hawk-eye.atlassian.net/browse/GT-829?atlOrigin=eyJpIjoiYzgwYTQ0ZjEyNzQzNGJhN2JmNjEyZTM0NmRhZWZhNjIiLCJwIjoic2hlZXRzLWppcmEifQ","GT-829")</f>
        <v>GT-829</v>
      </c>
      <c r="H2161" s="1" t="s">
        <v>1058</v>
      </c>
      <c r="I2161" s="1" t="s">
        <v>1082</v>
      </c>
      <c r="J2161" s="1" t="s">
        <v>26</v>
      </c>
      <c r="K2161" s="1" t="s">
        <v>1148</v>
      </c>
      <c r="L2161" s="1" t="s">
        <v>26</v>
      </c>
      <c r="M2161" s="1" t="s">
        <v>27</v>
      </c>
      <c r="N2161" s="1" t="s">
        <v>26</v>
      </c>
      <c r="O2161" s="1" t="s">
        <v>26</v>
      </c>
      <c r="P2161" s="4">
        <v>44714.599594907406</v>
      </c>
    </row>
    <row r="2162" hidden="1">
      <c r="A2162" s="1" t="s">
        <v>1055</v>
      </c>
      <c r="B2162" s="3" t="str">
        <f>HYPERLINK("https://hawk-eye.atlassian.net/browse/HWKREPORT-1326?atlOrigin=eyJpIjoiYzgwYTQ0ZjEyNzQzNGJhN2JmNjEyZTM0NmRhZWZhNjIiLCJwIjoic2hlZXRzLWppcmEifQ","HWKREPORT-1326")</f>
        <v>HWKREPORT-1326</v>
      </c>
      <c r="C2162" s="1" t="s">
        <v>3438</v>
      </c>
      <c r="D2162" s="1" t="s">
        <v>23</v>
      </c>
      <c r="E2162" s="1" t="s">
        <v>35</v>
      </c>
      <c r="F2162" s="4">
        <v>44715.87355324074</v>
      </c>
      <c r="G2162" s="3" t="str">
        <f>HYPERLINK("https://hawk-eye.atlassian.net/browse/RTT-5014?atlOrigin=eyJpIjoiYzgwYTQ0ZjEyNzQzNGJhN2JmNjEyZTM0NmRhZWZhNjIiLCJwIjoic2hlZXRzLWppcmEifQ","RTT-5014")</f>
        <v>RTT-5014</v>
      </c>
      <c r="H2162" s="1" t="s">
        <v>1058</v>
      </c>
      <c r="I2162" s="1" t="s">
        <v>1071</v>
      </c>
      <c r="J2162" s="1" t="s">
        <v>26</v>
      </c>
      <c r="K2162" s="1" t="s">
        <v>1072</v>
      </c>
      <c r="L2162" s="1" t="s">
        <v>26</v>
      </c>
      <c r="M2162" s="1" t="s">
        <v>27</v>
      </c>
      <c r="N2162" s="1" t="s">
        <v>26</v>
      </c>
      <c r="O2162" s="1" t="s">
        <v>26</v>
      </c>
      <c r="P2162" s="4">
        <v>44750.6684837963</v>
      </c>
    </row>
    <row r="2163" hidden="1">
      <c r="A2163" s="1" t="s">
        <v>21</v>
      </c>
      <c r="B2163" s="3" t="str">
        <f>HYPERLINK("https://hawk-eye.atlassian.net/browse/HWKREPORT-1327?atlOrigin=eyJpIjoiYzgwYTQ0ZjEyNzQzNGJhN2JmNjEyZTM0NmRhZWZhNjIiLCJwIjoic2hlZXRzLWppcmEifQ","HWKREPORT-1327")</f>
        <v>HWKREPORT-1327</v>
      </c>
      <c r="C2163" s="1" t="s">
        <v>3439</v>
      </c>
      <c r="D2163" s="1" t="s">
        <v>23</v>
      </c>
      <c r="E2163" s="1" t="s">
        <v>35</v>
      </c>
      <c r="F2163" s="4">
        <v>44718.34625</v>
      </c>
      <c r="G2163" s="3" t="str">
        <f>HYPERLINK("https://hawk-eye.atlassian.net/browse/LVR-11?atlOrigin=eyJpIjoiYzgwYTQ0ZjEyNzQzNGJhN2JmNjEyZTM0NmRhZWZhNjIiLCJwIjoic2hlZXRzLWppcmEifQ","LVR-11")</f>
        <v>LVR-11</v>
      </c>
      <c r="H2163" s="1" t="s">
        <v>1058</v>
      </c>
      <c r="I2163" s="1" t="s">
        <v>1071</v>
      </c>
      <c r="J2163" s="1" t="s">
        <v>26</v>
      </c>
      <c r="K2163" s="1" t="s">
        <v>2674</v>
      </c>
      <c r="L2163" s="1" t="s">
        <v>26</v>
      </c>
      <c r="M2163" s="1" t="s">
        <v>27</v>
      </c>
      <c r="N2163" s="1" t="s">
        <v>26</v>
      </c>
      <c r="O2163" s="1" t="s">
        <v>26</v>
      </c>
      <c r="P2163" s="4">
        <v>44845.75114583333</v>
      </c>
    </row>
    <row r="2164" hidden="1">
      <c r="A2164" s="1" t="s">
        <v>21</v>
      </c>
      <c r="B2164" s="3" t="str">
        <f>HYPERLINK("https://hawk-eye.atlassian.net/browse/HWKREPORT-1328?atlOrigin=eyJpIjoiYzgwYTQ0ZjEyNzQzNGJhN2JmNjEyZTM0NmRhZWZhNjIiLCJwIjoic2hlZXRzLWppcmEifQ","HWKREPORT-1328")</f>
        <v>HWKREPORT-1328</v>
      </c>
      <c r="C2164" s="1" t="s">
        <v>3440</v>
      </c>
      <c r="D2164" s="1" t="s">
        <v>23</v>
      </c>
      <c r="E2164" s="1" t="s">
        <v>1207</v>
      </c>
      <c r="F2164" s="4">
        <v>44718.88114583334</v>
      </c>
      <c r="G2164" s="3" t="str">
        <f>HYPERLINK("https://hawk-eye.atlassian.net/browse/RTT-5018?atlOrigin=eyJpIjoiYzgwYTQ0ZjEyNzQzNGJhN2JmNjEyZTM0NmRhZWZhNjIiLCJwIjoic2hlZXRzLWppcmEifQ","RTT-5018")</f>
        <v>RTT-5018</v>
      </c>
      <c r="H2164" s="1" t="s">
        <v>1058</v>
      </c>
      <c r="I2164" s="1" t="s">
        <v>1071</v>
      </c>
      <c r="J2164" s="1" t="s">
        <v>26</v>
      </c>
      <c r="K2164" s="1" t="s">
        <v>1099</v>
      </c>
      <c r="L2164" s="1" t="s">
        <v>26</v>
      </c>
      <c r="M2164" s="1" t="s">
        <v>27</v>
      </c>
      <c r="N2164" s="1" t="s">
        <v>26</v>
      </c>
      <c r="O2164" s="1" t="s">
        <v>26</v>
      </c>
      <c r="P2164" s="4">
        <v>44929.4184837963</v>
      </c>
    </row>
    <row r="2165" hidden="1">
      <c r="A2165" s="1" t="s">
        <v>21</v>
      </c>
      <c r="B2165" s="3" t="str">
        <f>HYPERLINK("https://hawk-eye.atlassian.net/browse/HWKREPORT-1329?atlOrigin=eyJpIjoiYzgwYTQ0ZjEyNzQzNGJhN2JmNjEyZTM0NmRhZWZhNjIiLCJwIjoic2hlZXRzLWppcmEifQ","HWKREPORT-1329")</f>
        <v>HWKREPORT-1329</v>
      </c>
      <c r="C2165" s="1" t="s">
        <v>3441</v>
      </c>
      <c r="D2165" s="1" t="s">
        <v>23</v>
      </c>
      <c r="E2165" s="1" t="s">
        <v>1207</v>
      </c>
      <c r="F2165" s="4">
        <v>44718.88619212963</v>
      </c>
      <c r="G2165" s="3" t="str">
        <f>HYPERLINK("https://hawk-eye.atlassian.net/browse/RTT-5017?atlOrigin=eyJpIjoiYzgwYTQ0ZjEyNzQzNGJhN2JmNjEyZTM0NmRhZWZhNjIiLCJwIjoic2hlZXRzLWppcmEifQ","RTT-5017")</f>
        <v>RTT-5017</v>
      </c>
      <c r="H2165" s="1" t="s">
        <v>1058</v>
      </c>
      <c r="I2165" s="1" t="s">
        <v>1071</v>
      </c>
      <c r="J2165" s="1" t="s">
        <v>26</v>
      </c>
      <c r="K2165" s="1" t="s">
        <v>1099</v>
      </c>
      <c r="L2165" s="1" t="s">
        <v>26</v>
      </c>
      <c r="M2165" s="1" t="s">
        <v>27</v>
      </c>
      <c r="N2165" s="1" t="s">
        <v>26</v>
      </c>
      <c r="O2165" s="1" t="s">
        <v>26</v>
      </c>
      <c r="P2165" s="4">
        <v>44929.4184837963</v>
      </c>
    </row>
    <row r="2166" hidden="1">
      <c r="A2166" s="1" t="s">
        <v>1055</v>
      </c>
      <c r="B2166" s="3" t="str">
        <f>HYPERLINK("https://hawk-eye.atlassian.net/browse/HWKREPORT-1330?atlOrigin=eyJpIjoiYzgwYTQ0ZjEyNzQzNGJhN2JmNjEyZTM0NmRhZWZhNjIiLCJwIjoic2hlZXRzLWppcmEifQ","HWKREPORT-1330")</f>
        <v>HWKREPORT-1330</v>
      </c>
      <c r="C2166" s="1" t="s">
        <v>3442</v>
      </c>
      <c r="D2166" s="1" t="s">
        <v>23</v>
      </c>
      <c r="E2166" s="1" t="s">
        <v>35</v>
      </c>
      <c r="F2166" s="4">
        <v>44719.51310185185</v>
      </c>
      <c r="G2166" s="3" t="str">
        <f>HYPERLINK("https://hawk-eye.atlassian.net/browse/RTT-5019?atlOrigin=eyJpIjoiYzgwYTQ0ZjEyNzQzNGJhN2JmNjEyZTM0NmRhZWZhNjIiLCJwIjoic2hlZXRzLWppcmEifQ","RTT-5019")</f>
        <v>RTT-5019</v>
      </c>
      <c r="H2166" s="1" t="s">
        <v>1058</v>
      </c>
      <c r="I2166" s="1" t="s">
        <v>1085</v>
      </c>
      <c r="J2166" s="1" t="s">
        <v>26</v>
      </c>
      <c r="K2166" s="1" t="s">
        <v>1362</v>
      </c>
      <c r="L2166" s="1" t="s">
        <v>26</v>
      </c>
      <c r="M2166" s="1" t="s">
        <v>27</v>
      </c>
      <c r="N2166" s="1" t="s">
        <v>26</v>
      </c>
      <c r="O2166" s="1" t="s">
        <v>26</v>
      </c>
      <c r="P2166" s="4">
        <v>44803.392546296294</v>
      </c>
    </row>
    <row r="2167" hidden="1">
      <c r="A2167" s="1" t="s">
        <v>21</v>
      </c>
      <c r="B2167" s="3" t="str">
        <f>HYPERLINK("https://hawk-eye.atlassian.net/browse/HWKREPORT-1331?atlOrigin=eyJpIjoiYzgwYTQ0ZjEyNzQzNGJhN2JmNjEyZTM0NmRhZWZhNjIiLCJwIjoic2hlZXRzLWppcmEifQ","HWKREPORT-1331")</f>
        <v>HWKREPORT-1331</v>
      </c>
      <c r="C2167" s="1" t="s">
        <v>3443</v>
      </c>
      <c r="D2167" s="1" t="s">
        <v>34</v>
      </c>
      <c r="E2167" s="1" t="s">
        <v>35</v>
      </c>
      <c r="F2167" s="4">
        <v>44719.516018518516</v>
      </c>
      <c r="G2167" s="3" t="str">
        <f>HYPERLINK("https://hawk-eye.atlassian.net/browse/RTT-5020?atlOrigin=eyJpIjoiYzgwYTQ0ZjEyNzQzNGJhN2JmNjEyZTM0NmRhZWZhNjIiLCJwIjoic2hlZXRzLWppcmEifQ","RTT-5020")</f>
        <v>RTT-5020</v>
      </c>
      <c r="H2167" s="1" t="s">
        <v>1058</v>
      </c>
      <c r="I2167" s="1" t="s">
        <v>1126</v>
      </c>
      <c r="J2167" s="1" t="s">
        <v>26</v>
      </c>
      <c r="K2167" s="1" t="s">
        <v>1127</v>
      </c>
      <c r="L2167" s="1" t="s">
        <v>26</v>
      </c>
      <c r="M2167" s="1" t="s">
        <v>27</v>
      </c>
      <c r="N2167" s="1" t="s">
        <v>26</v>
      </c>
      <c r="O2167" s="1" t="s">
        <v>26</v>
      </c>
      <c r="P2167" s="4">
        <v>44776.63402777778</v>
      </c>
    </row>
    <row r="2168" hidden="1">
      <c r="A2168" s="1" t="s">
        <v>1055</v>
      </c>
      <c r="B2168" s="3" t="str">
        <f>HYPERLINK("https://hawk-eye.atlassian.net/browse/HWKREPORT-1332?atlOrigin=eyJpIjoiYzgwYTQ0ZjEyNzQzNGJhN2JmNjEyZTM0NmRhZWZhNjIiLCJwIjoic2hlZXRzLWppcmEifQ","HWKREPORT-1332")</f>
        <v>HWKREPORT-1332</v>
      </c>
      <c r="C2168" s="1" t="s">
        <v>3444</v>
      </c>
      <c r="D2168" s="1" t="s">
        <v>23</v>
      </c>
      <c r="E2168" s="1" t="s">
        <v>1207</v>
      </c>
      <c r="F2168" s="4">
        <v>44719.656793981485</v>
      </c>
      <c r="G2168" s="3" t="str">
        <f>HYPERLINK("https://hawk-eye.atlassian.net/browse/RTT-5164?atlOrigin=eyJpIjoiYzgwYTQ0ZjEyNzQzNGJhN2JmNjEyZTM0NmRhZWZhNjIiLCJwIjoic2hlZXRzLWppcmEifQ","RTT-5164")</f>
        <v>RTT-5164</v>
      </c>
      <c r="H2168" s="1" t="s">
        <v>1058</v>
      </c>
      <c r="I2168" s="1" t="s">
        <v>1085</v>
      </c>
      <c r="J2168" s="1" t="s">
        <v>26</v>
      </c>
      <c r="K2168" s="1" t="s">
        <v>1362</v>
      </c>
      <c r="L2168" s="1" t="s">
        <v>26</v>
      </c>
      <c r="M2168" s="1" t="s">
        <v>27</v>
      </c>
      <c r="N2168" s="1" t="s">
        <v>26</v>
      </c>
      <c r="O2168" s="1" t="s">
        <v>26</v>
      </c>
      <c r="P2168" s="4">
        <v>44929.4184837963</v>
      </c>
    </row>
    <row r="2169" hidden="1">
      <c r="A2169" s="1" t="s">
        <v>1055</v>
      </c>
      <c r="B2169" s="3" t="str">
        <f>HYPERLINK("https://hawk-eye.atlassian.net/browse/HWKREPORT-1333?atlOrigin=eyJpIjoiYzgwYTQ0ZjEyNzQzNGJhN2JmNjEyZTM0NmRhZWZhNjIiLCJwIjoic2hlZXRzLWppcmEifQ","HWKREPORT-1333")</f>
        <v>HWKREPORT-1333</v>
      </c>
      <c r="C2169" s="1" t="s">
        <v>3445</v>
      </c>
      <c r="D2169" s="1" t="s">
        <v>23</v>
      </c>
      <c r="E2169" s="1" t="s">
        <v>35</v>
      </c>
      <c r="F2169" s="4">
        <v>44719.65796296296</v>
      </c>
      <c r="G2169" s="3" t="str">
        <f>HYPERLINK("https://hawk-eye.atlassian.net/browse/RTT-5165?atlOrigin=eyJpIjoiYzgwYTQ0ZjEyNzQzNGJhN2JmNjEyZTM0NmRhZWZhNjIiLCJwIjoic2hlZXRzLWppcmEifQ","RTT-5165")</f>
        <v>RTT-5165</v>
      </c>
      <c r="H2169" s="1" t="s">
        <v>1058</v>
      </c>
      <c r="I2169" s="1" t="s">
        <v>1085</v>
      </c>
      <c r="J2169" s="1" t="s">
        <v>26</v>
      </c>
      <c r="K2169" s="1" t="s">
        <v>1362</v>
      </c>
      <c r="L2169" s="1" t="s">
        <v>26</v>
      </c>
      <c r="M2169" s="1" t="s">
        <v>27</v>
      </c>
      <c r="N2169" s="1" t="s">
        <v>26</v>
      </c>
      <c r="O2169" s="1" t="s">
        <v>26</v>
      </c>
      <c r="P2169" s="4">
        <v>44803.393275462964</v>
      </c>
    </row>
    <row r="2170" hidden="1">
      <c r="A2170" s="1" t="s">
        <v>1055</v>
      </c>
      <c r="B2170" s="3" t="str">
        <f>HYPERLINK("https://hawk-eye.atlassian.net/browse/HWKREPORT-1334?atlOrigin=eyJpIjoiYzgwYTQ0ZjEyNzQzNGJhN2JmNjEyZTM0NmRhZWZhNjIiLCJwIjoic2hlZXRzLWppcmEifQ","HWKREPORT-1334")</f>
        <v>HWKREPORT-1334</v>
      </c>
      <c r="C2170" s="1" t="s">
        <v>3446</v>
      </c>
      <c r="D2170" s="1" t="s">
        <v>23</v>
      </c>
      <c r="E2170" s="1" t="s">
        <v>35</v>
      </c>
      <c r="F2170" s="4">
        <v>44719.65896990741</v>
      </c>
      <c r="G2170" s="3" t="str">
        <f>HYPERLINK("https://hawk-eye.atlassian.net/browse/RTT-5081?atlOrigin=eyJpIjoiYzgwYTQ0ZjEyNzQzNGJhN2JmNjEyZTM0NmRhZWZhNjIiLCJwIjoic2hlZXRzLWppcmEifQ","RTT-5081")</f>
        <v>RTT-5081</v>
      </c>
      <c r="H2170" s="1" t="s">
        <v>1058</v>
      </c>
      <c r="I2170" s="1" t="s">
        <v>1085</v>
      </c>
      <c r="J2170" s="1" t="s">
        <v>26</v>
      </c>
      <c r="K2170" s="1" t="s">
        <v>1362</v>
      </c>
      <c r="L2170" s="1" t="s">
        <v>26</v>
      </c>
      <c r="M2170" s="1" t="s">
        <v>27</v>
      </c>
      <c r="N2170" s="1" t="s">
        <v>26</v>
      </c>
      <c r="O2170" s="1" t="s">
        <v>26</v>
      </c>
      <c r="P2170" s="4">
        <v>44803.392743055556</v>
      </c>
    </row>
    <row r="2171" hidden="1">
      <c r="A2171" s="1" t="s">
        <v>21</v>
      </c>
      <c r="B2171" s="3" t="str">
        <f>HYPERLINK("https://hawk-eye.atlassian.net/browse/HWKREPORT-1335?atlOrigin=eyJpIjoiYzgwYTQ0ZjEyNzQzNGJhN2JmNjEyZTM0NmRhZWZhNjIiLCJwIjoic2hlZXRzLWppcmEifQ","HWKREPORT-1335")</f>
        <v>HWKREPORT-1335</v>
      </c>
      <c r="C2171" s="1" t="s">
        <v>3447</v>
      </c>
      <c r="D2171" s="1" t="s">
        <v>23</v>
      </c>
      <c r="E2171" s="1" t="s">
        <v>1057</v>
      </c>
      <c r="F2171" s="4">
        <v>44719.7293287037</v>
      </c>
      <c r="G2171" s="3" t="str">
        <f>HYPERLINK("https://hawk-eye.atlassian.net/browse/?atlOrigin=eyJpIjoiYzgwYTQ0ZjEyNzQzNGJhN2JmNjEyZTM0NmRhZWZhNjIiLCJwIjoic2hlZXRzLWppcmEifQ","")</f>
        <v/>
      </c>
      <c r="H2171" s="1" t="s">
        <v>1058</v>
      </c>
      <c r="I2171" s="1" t="s">
        <v>1071</v>
      </c>
      <c r="J2171" s="1" t="s">
        <v>26</v>
      </c>
      <c r="K2171" s="1" t="s">
        <v>1312</v>
      </c>
      <c r="L2171" s="1" t="s">
        <v>26</v>
      </c>
      <c r="M2171" s="1" t="s">
        <v>27</v>
      </c>
      <c r="N2171" s="1" t="s">
        <v>26</v>
      </c>
      <c r="O2171" s="1" t="s">
        <v>26</v>
      </c>
      <c r="P2171" s="4">
        <v>44719.72934027778</v>
      </c>
    </row>
    <row r="2172" hidden="1">
      <c r="A2172" s="1" t="s">
        <v>1055</v>
      </c>
      <c r="B2172" s="3" t="str">
        <f>HYPERLINK("https://hawk-eye.atlassian.net/browse/HWKREPORT-1336?atlOrigin=eyJpIjoiYzgwYTQ0ZjEyNzQzNGJhN2JmNjEyZTM0NmRhZWZhNjIiLCJwIjoic2hlZXRzLWppcmEifQ","HWKREPORT-1336")</f>
        <v>HWKREPORT-1336</v>
      </c>
      <c r="C2172" s="1" t="s">
        <v>3448</v>
      </c>
      <c r="D2172" s="1" t="s">
        <v>23</v>
      </c>
      <c r="E2172" s="1" t="s">
        <v>35</v>
      </c>
      <c r="F2172" s="4">
        <v>44719.909004629626</v>
      </c>
      <c r="G2172" s="3" t="str">
        <f>HYPERLINK("https://hawk-eye.atlassian.net/browse/RTT-5025?atlOrigin=eyJpIjoiYzgwYTQ0ZjEyNzQzNGJhN2JmNjEyZTM0NmRhZWZhNjIiLCJwIjoic2hlZXRzLWppcmEifQ","RTT-5025")</f>
        <v>RTT-5025</v>
      </c>
      <c r="H2172" s="1" t="s">
        <v>1058</v>
      </c>
      <c r="I2172" s="1" t="s">
        <v>28</v>
      </c>
      <c r="J2172" s="1" t="s">
        <v>26</v>
      </c>
      <c r="K2172" s="1" t="s">
        <v>1072</v>
      </c>
      <c r="L2172" s="1" t="s">
        <v>26</v>
      </c>
      <c r="M2172" s="1" t="s">
        <v>27</v>
      </c>
      <c r="N2172" s="1" t="s">
        <v>26</v>
      </c>
      <c r="O2172" s="1" t="s">
        <v>26</v>
      </c>
      <c r="P2172" s="4">
        <v>45524.732083333336</v>
      </c>
    </row>
    <row r="2173" hidden="1">
      <c r="A2173" s="1" t="s">
        <v>1055</v>
      </c>
      <c r="B2173" s="3" t="str">
        <f>HYPERLINK("https://hawk-eye.atlassian.net/browse/HWKREPORT-1337?atlOrigin=eyJpIjoiYzgwYTQ0ZjEyNzQzNGJhN2JmNjEyZTM0NmRhZWZhNjIiLCJwIjoic2hlZXRzLWppcmEifQ","HWKREPORT-1337")</f>
        <v>HWKREPORT-1337</v>
      </c>
      <c r="C2173" s="1" t="s">
        <v>3449</v>
      </c>
      <c r="D2173" s="1" t="s">
        <v>23</v>
      </c>
      <c r="E2173" s="1" t="s">
        <v>35</v>
      </c>
      <c r="F2173" s="4">
        <v>44719.929456018515</v>
      </c>
      <c r="G2173" s="3" t="str">
        <f>HYPERLINK("https://hawk-eye.atlassian.net/browse/RTT-5031?atlOrigin=eyJpIjoiYzgwYTQ0ZjEyNzQzNGJhN2JmNjEyZTM0NmRhZWZhNjIiLCJwIjoic2hlZXRzLWppcmEifQ","RTT-5031")</f>
        <v>RTT-5031</v>
      </c>
      <c r="H2173" s="1" t="s">
        <v>1058</v>
      </c>
      <c r="I2173" s="1" t="s">
        <v>28</v>
      </c>
      <c r="J2173" s="1" t="s">
        <v>26</v>
      </c>
      <c r="K2173" s="1" t="s">
        <v>1072</v>
      </c>
      <c r="L2173" s="1" t="s">
        <v>26</v>
      </c>
      <c r="M2173" s="1" t="s">
        <v>27</v>
      </c>
      <c r="N2173" s="1" t="s">
        <v>26</v>
      </c>
      <c r="O2173" s="1" t="s">
        <v>26</v>
      </c>
      <c r="P2173" s="4">
        <v>45524.73202546296</v>
      </c>
    </row>
    <row r="2174" hidden="1">
      <c r="A2174" s="1" t="s">
        <v>1055</v>
      </c>
      <c r="B2174" s="3" t="str">
        <f>HYPERLINK("https://hawk-eye.atlassian.net/browse/HWKREPORT-1338?atlOrigin=eyJpIjoiYzgwYTQ0ZjEyNzQzNGJhN2JmNjEyZTM0NmRhZWZhNjIiLCJwIjoic2hlZXRzLWppcmEifQ","HWKREPORT-1338")</f>
        <v>HWKREPORT-1338</v>
      </c>
      <c r="C2174" s="1" t="s">
        <v>3450</v>
      </c>
      <c r="D2174" s="1" t="s">
        <v>23</v>
      </c>
      <c r="E2174" s="1" t="s">
        <v>35</v>
      </c>
      <c r="F2174" s="4">
        <v>44719.94342592593</v>
      </c>
      <c r="G2174" s="3" t="str">
        <f>HYPERLINK("https://hawk-eye.atlassian.net/browse/RTT-5030?atlOrigin=eyJpIjoiYzgwYTQ0ZjEyNzQzNGJhN2JmNjEyZTM0NmRhZWZhNjIiLCJwIjoic2hlZXRzLWppcmEifQ","RTT-5030")</f>
        <v>RTT-5030</v>
      </c>
      <c r="H2174" s="1" t="s">
        <v>1058</v>
      </c>
      <c r="I2174" s="1" t="s">
        <v>28</v>
      </c>
      <c r="J2174" s="1" t="s">
        <v>26</v>
      </c>
      <c r="K2174" s="1" t="s">
        <v>1072</v>
      </c>
      <c r="L2174" s="1" t="s">
        <v>26</v>
      </c>
      <c r="M2174" s="1" t="s">
        <v>27</v>
      </c>
      <c r="N2174" s="1" t="s">
        <v>26</v>
      </c>
      <c r="O2174" s="1" t="s">
        <v>26</v>
      </c>
      <c r="P2174" s="4">
        <v>45524.73195601852</v>
      </c>
    </row>
    <row r="2175" hidden="1">
      <c r="A2175" s="1" t="s">
        <v>1055</v>
      </c>
      <c r="B2175" s="3" t="str">
        <f>HYPERLINK("https://hawk-eye.atlassian.net/browse/HWKREPORT-1339?atlOrigin=eyJpIjoiYzgwYTQ0ZjEyNzQzNGJhN2JmNjEyZTM0NmRhZWZhNjIiLCJwIjoic2hlZXRzLWppcmEifQ","HWKREPORT-1339")</f>
        <v>HWKREPORT-1339</v>
      </c>
      <c r="C2175" s="1" t="s">
        <v>3451</v>
      </c>
      <c r="D2175" s="1" t="s">
        <v>23</v>
      </c>
      <c r="E2175" s="1" t="s">
        <v>35</v>
      </c>
      <c r="F2175" s="4">
        <v>44719.9528587963</v>
      </c>
      <c r="G2175" s="3" t="str">
        <f>HYPERLINK("https://hawk-eye.atlassian.net/issues/?atlOrigin=eyJpIjoiYzgwYTQ0ZjEyNzQzNGJhN2JmNjEyZTM0NmRhZWZhNjIiLCJwIjoic2hlZXRzLWppcmEifQ&amp;jql=key+in+%28RTT-5056%2CRTT-5062%29","RTT-5056;RTT-5062")</f>
        <v>RTT-5056;RTT-5062</v>
      </c>
      <c r="H2175" s="1" t="s">
        <v>1058</v>
      </c>
      <c r="I2175" s="1" t="s">
        <v>28</v>
      </c>
      <c r="J2175" s="1" t="s">
        <v>26</v>
      </c>
      <c r="K2175" s="1" t="s">
        <v>1072</v>
      </c>
      <c r="L2175" s="1" t="s">
        <v>26</v>
      </c>
      <c r="M2175" s="1" t="s">
        <v>27</v>
      </c>
      <c r="N2175" s="1" t="s">
        <v>26</v>
      </c>
      <c r="O2175" s="1" t="s">
        <v>26</v>
      </c>
      <c r="P2175" s="4">
        <v>44761.47032407407</v>
      </c>
    </row>
    <row r="2176" hidden="1">
      <c r="A2176" s="1" t="s">
        <v>1055</v>
      </c>
      <c r="B2176" s="3" t="str">
        <f>HYPERLINK("https://hawk-eye.atlassian.net/browse/HWKREPORT-1340?atlOrigin=eyJpIjoiYzgwYTQ0ZjEyNzQzNGJhN2JmNjEyZTM0NmRhZWZhNjIiLCJwIjoic2hlZXRzLWppcmEifQ","HWKREPORT-1340")</f>
        <v>HWKREPORT-1340</v>
      </c>
      <c r="C2176" s="1" t="s">
        <v>3452</v>
      </c>
      <c r="D2176" s="1" t="s">
        <v>23</v>
      </c>
      <c r="E2176" s="1" t="s">
        <v>35</v>
      </c>
      <c r="F2176" s="4">
        <v>44719.95916666667</v>
      </c>
      <c r="G2176" s="3" t="str">
        <f>HYPERLINK("https://hawk-eye.atlassian.net/browse/RTT-5037?atlOrigin=eyJpIjoiYzgwYTQ0ZjEyNzQzNGJhN2JmNjEyZTM0NmRhZWZhNjIiLCJwIjoic2hlZXRzLWppcmEifQ","RTT-5037")</f>
        <v>RTT-5037</v>
      </c>
      <c r="H2176" s="1" t="s">
        <v>1058</v>
      </c>
      <c r="I2176" s="1" t="s">
        <v>28</v>
      </c>
      <c r="J2176" s="1" t="s">
        <v>26</v>
      </c>
      <c r="K2176" s="1" t="s">
        <v>1072</v>
      </c>
      <c r="L2176" s="1" t="s">
        <v>26</v>
      </c>
      <c r="M2176" s="1" t="s">
        <v>27</v>
      </c>
      <c r="N2176" s="1" t="s">
        <v>26</v>
      </c>
      <c r="O2176" s="1" t="s">
        <v>26</v>
      </c>
      <c r="P2176" s="4">
        <v>45524.731875</v>
      </c>
    </row>
    <row r="2177" hidden="1">
      <c r="A2177" s="1" t="s">
        <v>1055</v>
      </c>
      <c r="B2177" s="3" t="str">
        <f>HYPERLINK("https://hawk-eye.atlassian.net/browse/HWKREPORT-1341?atlOrigin=eyJpIjoiYzgwYTQ0ZjEyNzQzNGJhN2JmNjEyZTM0NmRhZWZhNjIiLCJwIjoic2hlZXRzLWppcmEifQ","HWKREPORT-1341")</f>
        <v>HWKREPORT-1341</v>
      </c>
      <c r="C2177" s="1" t="s">
        <v>3453</v>
      </c>
      <c r="D2177" s="1" t="s">
        <v>23</v>
      </c>
      <c r="E2177" s="1" t="s">
        <v>35</v>
      </c>
      <c r="F2177" s="4">
        <v>44720.666284722225</v>
      </c>
      <c r="G2177" s="3" t="str">
        <f>HYPERLINK("https://hawk-eye.atlassian.net/browse/RTT-5054?atlOrigin=eyJpIjoiYzgwYTQ0ZjEyNzQzNGJhN2JmNjEyZTM0NmRhZWZhNjIiLCJwIjoic2hlZXRzLWppcmEifQ","RTT-5054")</f>
        <v>RTT-5054</v>
      </c>
      <c r="H2177" s="1" t="s">
        <v>1058</v>
      </c>
      <c r="I2177" s="1" t="s">
        <v>28</v>
      </c>
      <c r="J2177" s="1" t="s">
        <v>26</v>
      </c>
      <c r="K2177" s="1" t="s">
        <v>1072</v>
      </c>
      <c r="L2177" s="1" t="s">
        <v>26</v>
      </c>
      <c r="M2177" s="1" t="s">
        <v>27</v>
      </c>
      <c r="N2177" s="1" t="s">
        <v>26</v>
      </c>
      <c r="O2177" s="1" t="s">
        <v>26</v>
      </c>
      <c r="P2177" s="4">
        <v>45524.73179398148</v>
      </c>
    </row>
    <row r="2178" hidden="1">
      <c r="A2178" s="1" t="s">
        <v>1055</v>
      </c>
      <c r="B2178" s="3" t="str">
        <f>HYPERLINK("https://hawk-eye.atlassian.net/browse/HWKREPORT-1342?atlOrigin=eyJpIjoiYzgwYTQ0ZjEyNzQzNGJhN2JmNjEyZTM0NmRhZWZhNjIiLCJwIjoic2hlZXRzLWppcmEifQ","HWKREPORT-1342")</f>
        <v>HWKREPORT-1342</v>
      </c>
      <c r="C2178" s="1" t="s">
        <v>3454</v>
      </c>
      <c r="D2178" s="1" t="s">
        <v>23</v>
      </c>
      <c r="E2178" s="1" t="s">
        <v>35</v>
      </c>
      <c r="F2178" s="4">
        <v>44720.71292824074</v>
      </c>
      <c r="G2178" s="3" t="str">
        <f>HYPERLINK("https://hawk-eye.atlassian.net/browse/RTT-5036?atlOrigin=eyJpIjoiYzgwYTQ0ZjEyNzQzNGJhN2JmNjEyZTM0NmRhZWZhNjIiLCJwIjoic2hlZXRzLWppcmEifQ","RTT-5036")</f>
        <v>RTT-5036</v>
      </c>
      <c r="H2178" s="1" t="s">
        <v>1058</v>
      </c>
      <c r="I2178" s="1" t="s">
        <v>28</v>
      </c>
      <c r="J2178" s="1" t="s">
        <v>26</v>
      </c>
      <c r="K2178" s="1" t="s">
        <v>1072</v>
      </c>
      <c r="L2178" s="1" t="s">
        <v>26</v>
      </c>
      <c r="M2178" s="1" t="s">
        <v>27</v>
      </c>
      <c r="N2178" s="1" t="s">
        <v>26</v>
      </c>
      <c r="O2178" s="1" t="s">
        <v>26</v>
      </c>
      <c r="P2178" s="4">
        <v>45524.731724537036</v>
      </c>
    </row>
    <row r="2179" hidden="1">
      <c r="A2179" s="1" t="s">
        <v>1055</v>
      </c>
      <c r="B2179" s="3" t="str">
        <f>HYPERLINK("https://hawk-eye.atlassian.net/browse/HWKREPORT-1343?atlOrigin=eyJpIjoiYzgwYTQ0ZjEyNzQzNGJhN2JmNjEyZTM0NmRhZWZhNjIiLCJwIjoic2hlZXRzLWppcmEifQ","HWKREPORT-1343")</f>
        <v>HWKREPORT-1343</v>
      </c>
      <c r="C2179" s="1" t="s">
        <v>3455</v>
      </c>
      <c r="D2179" s="1" t="s">
        <v>23</v>
      </c>
      <c r="E2179" s="1" t="s">
        <v>35</v>
      </c>
      <c r="F2179" s="4">
        <v>44721.604317129626</v>
      </c>
      <c r="G2179" s="3" t="str">
        <f>HYPERLINK("https://hawk-eye.atlassian.net/browse/RTT-5053?atlOrigin=eyJpIjoiYzgwYTQ0ZjEyNzQzNGJhN2JmNjEyZTM0NmRhZWZhNjIiLCJwIjoic2hlZXRzLWppcmEifQ","RTT-5053")</f>
        <v>RTT-5053</v>
      </c>
      <c r="H2179" s="1" t="s">
        <v>1058</v>
      </c>
      <c r="I2179" s="1" t="s">
        <v>28</v>
      </c>
      <c r="J2179" s="1" t="s">
        <v>26</v>
      </c>
      <c r="K2179" s="1" t="s">
        <v>1072</v>
      </c>
      <c r="L2179" s="1" t="s">
        <v>26</v>
      </c>
      <c r="M2179" s="1" t="s">
        <v>27</v>
      </c>
      <c r="N2179" s="1" t="s">
        <v>26</v>
      </c>
      <c r="O2179" s="1" t="s">
        <v>26</v>
      </c>
      <c r="P2179" s="4">
        <v>45524.73163194444</v>
      </c>
    </row>
    <row r="2180" hidden="1">
      <c r="A2180" s="1" t="s">
        <v>1055</v>
      </c>
      <c r="B2180" s="3" t="str">
        <f>HYPERLINK("https://hawk-eye.atlassian.net/browse/HWKREPORT-1344?atlOrigin=eyJpIjoiYzgwYTQ0ZjEyNzQzNGJhN2JmNjEyZTM0NmRhZWZhNjIiLCJwIjoic2hlZXRzLWppcmEifQ","HWKREPORT-1344")</f>
        <v>HWKREPORT-1344</v>
      </c>
      <c r="C2180" s="1" t="s">
        <v>3456</v>
      </c>
      <c r="D2180" s="1" t="s">
        <v>23</v>
      </c>
      <c r="E2180" s="1" t="s">
        <v>35</v>
      </c>
      <c r="F2180" s="4">
        <v>44721.60806712963</v>
      </c>
      <c r="G2180" s="3" t="str">
        <f>HYPERLINK("https://hawk-eye.atlassian.net/browse/RTT-5055?atlOrigin=eyJpIjoiYzgwYTQ0ZjEyNzQzNGJhN2JmNjEyZTM0NmRhZWZhNjIiLCJwIjoic2hlZXRzLWppcmEifQ","RTT-5055")</f>
        <v>RTT-5055</v>
      </c>
      <c r="H2180" s="1" t="s">
        <v>1058</v>
      </c>
      <c r="I2180" s="1" t="s">
        <v>28</v>
      </c>
      <c r="J2180" s="1" t="s">
        <v>26</v>
      </c>
      <c r="K2180" s="1" t="s">
        <v>1072</v>
      </c>
      <c r="L2180" s="1" t="s">
        <v>26</v>
      </c>
      <c r="M2180" s="1" t="s">
        <v>27</v>
      </c>
      <c r="N2180" s="1" t="s">
        <v>26</v>
      </c>
      <c r="O2180" s="1" t="s">
        <v>26</v>
      </c>
      <c r="P2180" s="4">
        <v>44818.44579861111</v>
      </c>
    </row>
    <row r="2181" hidden="1">
      <c r="A2181" s="1" t="s">
        <v>1055</v>
      </c>
      <c r="B2181" s="3" t="str">
        <f>HYPERLINK("https://hawk-eye.atlassian.net/browse/HWKREPORT-1345?atlOrigin=eyJpIjoiYzgwYTQ0ZjEyNzQzNGJhN2JmNjEyZTM0NmRhZWZhNjIiLCJwIjoic2hlZXRzLWppcmEifQ","HWKREPORT-1345")</f>
        <v>HWKREPORT-1345</v>
      </c>
      <c r="C2181" s="1" t="s">
        <v>3457</v>
      </c>
      <c r="D2181" s="1" t="s">
        <v>23</v>
      </c>
      <c r="E2181" s="1" t="s">
        <v>35</v>
      </c>
      <c r="F2181" s="4">
        <v>44721.652974537035</v>
      </c>
      <c r="G2181" s="3" t="str">
        <f>HYPERLINK("https://hawk-eye.atlassian.net/browse/AL-371?atlOrigin=eyJpIjoiYzgwYTQ0ZjEyNzQzNGJhN2JmNjEyZTM0NmRhZWZhNjIiLCJwIjoic2hlZXRzLWppcmEifQ","AL-371")</f>
        <v>AL-371</v>
      </c>
      <c r="H2181" s="1" t="s">
        <v>1058</v>
      </c>
      <c r="I2181" s="1" t="s">
        <v>28</v>
      </c>
      <c r="J2181" s="1" t="s">
        <v>26</v>
      </c>
      <c r="K2181" s="1" t="s">
        <v>1219</v>
      </c>
      <c r="L2181" s="1" t="s">
        <v>26</v>
      </c>
      <c r="M2181" s="1" t="s">
        <v>27</v>
      </c>
      <c r="N2181" s="1" t="s">
        <v>26</v>
      </c>
      <c r="O2181" s="1" t="s">
        <v>26</v>
      </c>
      <c r="P2181" s="4">
        <v>44767.48380787037</v>
      </c>
    </row>
    <row r="2182" hidden="1">
      <c r="A2182" s="1" t="s">
        <v>1055</v>
      </c>
      <c r="B2182" s="3" t="str">
        <f>HYPERLINK("https://hawk-eye.atlassian.net/browse/HWKREPORT-1346?atlOrigin=eyJpIjoiYzgwYTQ0ZjEyNzQzNGJhN2JmNjEyZTM0NmRhZWZhNjIiLCJwIjoic2hlZXRzLWppcmEifQ","HWKREPORT-1346")</f>
        <v>HWKREPORT-1346</v>
      </c>
      <c r="C2182" s="1" t="s">
        <v>3458</v>
      </c>
      <c r="D2182" s="1" t="s">
        <v>23</v>
      </c>
      <c r="E2182" s="1" t="s">
        <v>35</v>
      </c>
      <c r="F2182" s="4">
        <v>44721.81208333333</v>
      </c>
      <c r="G2182" s="3" t="str">
        <f>HYPERLINK("https://hawk-eye.atlassian.net/browse/AL-372?atlOrigin=eyJpIjoiYzgwYTQ0ZjEyNzQzNGJhN2JmNjEyZTM0NmRhZWZhNjIiLCJwIjoic2hlZXRzLWppcmEifQ","AL-372")</f>
        <v>AL-372</v>
      </c>
      <c r="H2182" s="1" t="s">
        <v>1058</v>
      </c>
      <c r="I2182" s="1" t="s">
        <v>1071</v>
      </c>
      <c r="J2182" s="1" t="s">
        <v>26</v>
      </c>
      <c r="K2182" s="1" t="s">
        <v>1898</v>
      </c>
      <c r="L2182" s="1" t="s">
        <v>26</v>
      </c>
      <c r="M2182" s="1" t="s">
        <v>27</v>
      </c>
      <c r="N2182" s="1" t="s">
        <v>26</v>
      </c>
      <c r="O2182" s="1" t="s">
        <v>26</v>
      </c>
      <c r="P2182" s="4">
        <v>44827.443240740744</v>
      </c>
    </row>
    <row r="2183" hidden="1">
      <c r="A2183" s="1" t="s">
        <v>1055</v>
      </c>
      <c r="B2183" s="3" t="str">
        <f>HYPERLINK("https://hawk-eye.atlassian.net/browse/HWKREPORT-1347?atlOrigin=eyJpIjoiYzgwYTQ0ZjEyNzQzNGJhN2JmNjEyZTM0NmRhZWZhNjIiLCJwIjoic2hlZXRzLWppcmEifQ","HWKREPORT-1347")</f>
        <v>HWKREPORT-1347</v>
      </c>
      <c r="C2183" s="1" t="s">
        <v>3459</v>
      </c>
      <c r="D2183" s="1" t="s">
        <v>23</v>
      </c>
      <c r="E2183" s="1" t="s">
        <v>35</v>
      </c>
      <c r="F2183" s="4">
        <v>44721.822280092594</v>
      </c>
      <c r="G2183" s="3" t="str">
        <f>HYPERLINK("https://hawk-eye.atlassian.net/browse/AL-373?atlOrigin=eyJpIjoiYzgwYTQ0ZjEyNzQzNGJhN2JmNjEyZTM0NmRhZWZhNjIiLCJwIjoic2hlZXRzLWppcmEifQ","AL-373")</f>
        <v>AL-373</v>
      </c>
      <c r="H2183" s="1" t="s">
        <v>1058</v>
      </c>
      <c r="I2183" s="1" t="s">
        <v>28</v>
      </c>
      <c r="J2183" s="1" t="s">
        <v>26</v>
      </c>
      <c r="K2183" s="1" t="s">
        <v>1219</v>
      </c>
      <c r="L2183" s="1" t="s">
        <v>26</v>
      </c>
      <c r="M2183" s="1" t="s">
        <v>27</v>
      </c>
      <c r="N2183" s="1" t="s">
        <v>26</v>
      </c>
      <c r="O2183" s="1" t="s">
        <v>26</v>
      </c>
      <c r="P2183" s="4">
        <v>45524.49891203704</v>
      </c>
    </row>
    <row r="2184" hidden="1">
      <c r="A2184" s="1" t="s">
        <v>21</v>
      </c>
      <c r="B2184" s="3" t="str">
        <f>HYPERLINK("https://hawk-eye.atlassian.net/browse/HWKREPORT-1348?atlOrigin=eyJpIjoiYzgwYTQ0ZjEyNzQzNGJhN2JmNjEyZTM0NmRhZWZhNjIiLCJwIjoic2hlZXRzLWppcmEifQ","HWKREPORT-1348")</f>
        <v>HWKREPORT-1348</v>
      </c>
      <c r="C2184" s="1" t="s">
        <v>3460</v>
      </c>
      <c r="D2184" s="1" t="s">
        <v>23</v>
      </c>
      <c r="E2184" s="1" t="s">
        <v>1057</v>
      </c>
      <c r="F2184" s="4">
        <v>44725.67747685185</v>
      </c>
      <c r="G2184" s="3" t="str">
        <f>HYPERLINK("https://hawk-eye.atlassian.net/browse/TDP-1396?atlOrigin=eyJpIjoiYzgwYTQ0ZjEyNzQzNGJhN2JmNjEyZTM0NmRhZWZhNjIiLCJwIjoic2hlZXRzLWppcmEifQ","TDP-1396")</f>
        <v>TDP-1396</v>
      </c>
      <c r="H2184" s="1" t="s">
        <v>1058</v>
      </c>
      <c r="I2184" s="1" t="s">
        <v>1126</v>
      </c>
      <c r="J2184" s="1" t="s">
        <v>26</v>
      </c>
      <c r="K2184" s="1" t="s">
        <v>1211</v>
      </c>
      <c r="L2184" s="1" t="s">
        <v>26</v>
      </c>
      <c r="M2184" s="1" t="s">
        <v>27</v>
      </c>
      <c r="N2184" s="1" t="s">
        <v>26</v>
      </c>
      <c r="O2184" s="1" t="s">
        <v>26</v>
      </c>
      <c r="P2184" s="4">
        <v>44725.6775</v>
      </c>
    </row>
    <row r="2185" hidden="1">
      <c r="A2185" s="1" t="s">
        <v>1055</v>
      </c>
      <c r="B2185" s="3" t="str">
        <f>HYPERLINK("https://hawk-eye.atlassian.net/browse/HWKREPORT-1349?atlOrigin=eyJpIjoiYzgwYTQ0ZjEyNzQzNGJhN2JmNjEyZTM0NmRhZWZhNjIiLCJwIjoic2hlZXRzLWppcmEifQ","HWKREPORT-1349")</f>
        <v>HWKREPORT-1349</v>
      </c>
      <c r="C2185" s="1" t="s">
        <v>3461</v>
      </c>
      <c r="D2185" s="1" t="s">
        <v>23</v>
      </c>
      <c r="E2185" s="1" t="s">
        <v>35</v>
      </c>
      <c r="F2185" s="4">
        <v>44725.7434375</v>
      </c>
      <c r="G2185" s="3" t="str">
        <f>HYPERLINK("https://hawk-eye.atlassian.net/browse/SO-155?atlOrigin=eyJpIjoiYzgwYTQ0ZjEyNzQzNGJhN2JmNjEyZTM0NmRhZWZhNjIiLCJwIjoic2hlZXRzLWppcmEifQ","SO-155")</f>
        <v>SO-155</v>
      </c>
      <c r="H2185" s="1" t="s">
        <v>1058</v>
      </c>
      <c r="I2185" s="1" t="s">
        <v>1126</v>
      </c>
      <c r="J2185" s="1" t="s">
        <v>26</v>
      </c>
      <c r="K2185" s="1" t="s">
        <v>1116</v>
      </c>
      <c r="L2185" s="1" t="s">
        <v>26</v>
      </c>
      <c r="M2185" s="1" t="s">
        <v>27</v>
      </c>
      <c r="N2185" s="1" t="s">
        <v>26</v>
      </c>
      <c r="O2185" s="1" t="s">
        <v>26</v>
      </c>
      <c r="P2185" s="4">
        <v>44740.373703703706</v>
      </c>
    </row>
    <row r="2186" hidden="1">
      <c r="A2186" s="1" t="s">
        <v>21</v>
      </c>
      <c r="B2186" s="3" t="str">
        <f>HYPERLINK("https://hawk-eye.atlassian.net/browse/HWKREPORT-1350?atlOrigin=eyJpIjoiYzgwYTQ0ZjEyNzQzNGJhN2JmNjEyZTM0NmRhZWZhNjIiLCJwIjoic2hlZXRzLWppcmEifQ","HWKREPORT-1350")</f>
        <v>HWKREPORT-1350</v>
      </c>
      <c r="C2186" s="1" t="s">
        <v>3462</v>
      </c>
      <c r="D2186" s="1" t="s">
        <v>23</v>
      </c>
      <c r="E2186" s="1" t="s">
        <v>1207</v>
      </c>
      <c r="F2186" s="4">
        <v>44725.799467592595</v>
      </c>
      <c r="G2186" s="3" t="str">
        <f>HYPERLINK("https://hawk-eye.atlassian.net/browse/RTT-5048?atlOrigin=eyJpIjoiYzgwYTQ0ZjEyNzQzNGJhN2JmNjEyZTM0NmRhZWZhNjIiLCJwIjoic2hlZXRzLWppcmEifQ","RTT-5048")</f>
        <v>RTT-5048</v>
      </c>
      <c r="H2186" s="1" t="s">
        <v>1058</v>
      </c>
      <c r="I2186" s="1" t="s">
        <v>1071</v>
      </c>
      <c r="J2186" s="1" t="s">
        <v>26</v>
      </c>
      <c r="K2186" s="1" t="s">
        <v>1072</v>
      </c>
      <c r="L2186" s="1" t="s">
        <v>26</v>
      </c>
      <c r="M2186" s="1" t="s">
        <v>27</v>
      </c>
      <c r="N2186" s="1" t="s">
        <v>26</v>
      </c>
      <c r="O2186" s="1" t="s">
        <v>26</v>
      </c>
      <c r="P2186" s="4">
        <v>44929.4184837963</v>
      </c>
    </row>
    <row r="2187" hidden="1">
      <c r="A2187" s="1" t="s">
        <v>21</v>
      </c>
      <c r="B2187" s="3" t="str">
        <f>HYPERLINK("https://hawk-eye.atlassian.net/browse/HWKREPORT-1351?atlOrigin=eyJpIjoiYzgwYTQ0ZjEyNzQzNGJhN2JmNjEyZTM0NmRhZWZhNjIiLCJwIjoic2hlZXRzLWppcmEifQ","HWKREPORT-1351")</f>
        <v>HWKREPORT-1351</v>
      </c>
      <c r="C2187" s="1" t="s">
        <v>3463</v>
      </c>
      <c r="D2187" s="1" t="s">
        <v>23</v>
      </c>
      <c r="E2187" s="1" t="s">
        <v>35</v>
      </c>
      <c r="F2187" s="4">
        <v>44726.77247685185</v>
      </c>
      <c r="G2187" s="3" t="str">
        <f>HYPERLINK("https://hawk-eye.atlassian.net/browse/BSK-247?atlOrigin=eyJpIjoiYzgwYTQ0ZjEyNzQzNGJhN2JmNjEyZTM0NmRhZWZhNjIiLCJwIjoic2hlZXRzLWppcmEifQ","BSK-247")</f>
        <v>BSK-247</v>
      </c>
      <c r="H2187" s="1" t="s">
        <v>1058</v>
      </c>
      <c r="I2187" s="1" t="s">
        <v>1071</v>
      </c>
      <c r="J2187" s="1" t="s">
        <v>26</v>
      </c>
      <c r="K2187" s="1" t="s">
        <v>1813</v>
      </c>
      <c r="L2187" s="1" t="s">
        <v>26</v>
      </c>
      <c r="M2187" s="1" t="s">
        <v>27</v>
      </c>
      <c r="N2187" s="1" t="s">
        <v>26</v>
      </c>
      <c r="O2187" s="1" t="s">
        <v>26</v>
      </c>
      <c r="P2187" s="4">
        <v>44762.765023148146</v>
      </c>
    </row>
    <row r="2188" hidden="1">
      <c r="A2188" s="1" t="s">
        <v>1055</v>
      </c>
      <c r="B2188" s="3" t="str">
        <f>HYPERLINK("https://hawk-eye.atlassian.net/browse/HWKREPORT-1352?atlOrigin=eyJpIjoiYzgwYTQ0ZjEyNzQzNGJhN2JmNjEyZTM0NmRhZWZhNjIiLCJwIjoic2hlZXRzLWppcmEifQ","HWKREPORT-1352")</f>
        <v>HWKREPORT-1352</v>
      </c>
      <c r="C2188" s="1" t="s">
        <v>3464</v>
      </c>
      <c r="D2188" s="1" t="s">
        <v>23</v>
      </c>
      <c r="E2188" s="1" t="s">
        <v>1207</v>
      </c>
      <c r="F2188" s="4">
        <v>44726.83960648148</v>
      </c>
      <c r="G2188" s="3" t="str">
        <f>HYPERLINK("https://hawk-eye.atlassian.net/browse/RTT-5059?atlOrigin=eyJpIjoiYzgwYTQ0ZjEyNzQzNGJhN2JmNjEyZTM0NmRhZWZhNjIiLCJwIjoic2hlZXRzLWppcmEifQ","RTT-5059")</f>
        <v>RTT-5059</v>
      </c>
      <c r="H2188" s="1" t="s">
        <v>1058</v>
      </c>
      <c r="I2188" s="1" t="s">
        <v>1071</v>
      </c>
      <c r="J2188" s="1" t="s">
        <v>26</v>
      </c>
      <c r="K2188" s="1" t="s">
        <v>1072</v>
      </c>
      <c r="L2188" s="1" t="s">
        <v>26</v>
      </c>
      <c r="M2188" s="1" t="s">
        <v>27</v>
      </c>
      <c r="N2188" s="1" t="s">
        <v>26</v>
      </c>
      <c r="O2188" s="1" t="s">
        <v>26</v>
      </c>
      <c r="P2188" s="4">
        <v>44929.4184837963</v>
      </c>
    </row>
    <row r="2189" hidden="1">
      <c r="A2189" s="1" t="s">
        <v>1055</v>
      </c>
      <c r="B2189" s="3" t="str">
        <f>HYPERLINK("https://hawk-eye.atlassian.net/browse/HWKREPORT-1353?atlOrigin=eyJpIjoiYzgwYTQ0ZjEyNzQzNGJhN2JmNjEyZTM0NmRhZWZhNjIiLCJwIjoic2hlZXRzLWppcmEifQ","HWKREPORT-1353")</f>
        <v>HWKREPORT-1353</v>
      </c>
      <c r="C2189" s="1" t="s">
        <v>3465</v>
      </c>
      <c r="D2189" s="1" t="s">
        <v>23</v>
      </c>
      <c r="E2189" s="1" t="s">
        <v>35</v>
      </c>
      <c r="F2189" s="4">
        <v>44727.76341435185</v>
      </c>
      <c r="G2189" s="3" t="str">
        <f>HYPERLINK("https://hawk-eye.atlassian.net/browse/?atlOrigin=eyJpIjoiYzgwYTQ0ZjEyNzQzNGJhN2JmNjEyZTM0NmRhZWZhNjIiLCJwIjoic2hlZXRzLWppcmEifQ","")</f>
        <v/>
      </c>
      <c r="H2189" s="1" t="s">
        <v>1058</v>
      </c>
      <c r="I2189" s="1" t="s">
        <v>1071</v>
      </c>
      <c r="J2189" s="1" t="s">
        <v>26</v>
      </c>
      <c r="K2189" s="1" t="s">
        <v>26</v>
      </c>
      <c r="L2189" s="1" t="s">
        <v>26</v>
      </c>
      <c r="M2189" s="1" t="s">
        <v>27</v>
      </c>
      <c r="N2189" s="1" t="s">
        <v>26</v>
      </c>
      <c r="O2189" s="1" t="s">
        <v>26</v>
      </c>
      <c r="P2189" s="4">
        <v>44743.374085648145</v>
      </c>
    </row>
    <row r="2190" hidden="1">
      <c r="A2190" s="1" t="s">
        <v>1055</v>
      </c>
      <c r="B2190" s="3" t="str">
        <f>HYPERLINK("https://hawk-eye.atlassian.net/browse/HWKREPORT-1354?atlOrigin=eyJpIjoiYzgwYTQ0ZjEyNzQzNGJhN2JmNjEyZTM0NmRhZWZhNjIiLCJwIjoic2hlZXRzLWppcmEifQ","HWKREPORT-1354")</f>
        <v>HWKREPORT-1354</v>
      </c>
      <c r="C2190" s="1" t="s">
        <v>3466</v>
      </c>
      <c r="D2190" s="1" t="s">
        <v>23</v>
      </c>
      <c r="E2190" s="1" t="s">
        <v>35</v>
      </c>
      <c r="F2190" s="4">
        <v>44727.81371527778</v>
      </c>
      <c r="G2190" s="3" t="str">
        <f>HYPERLINK("https://hawk-eye.atlassian.net/browse/RTT-5836?atlOrigin=eyJpIjoiYzgwYTQ0ZjEyNzQzNGJhN2JmNjEyZTM0NmRhZWZhNjIiLCJwIjoic2hlZXRzLWppcmEifQ","RTT-5836")</f>
        <v>RTT-5836</v>
      </c>
      <c r="H2190" s="1" t="s">
        <v>1058</v>
      </c>
      <c r="I2190" s="1" t="s">
        <v>1071</v>
      </c>
      <c r="J2190" s="1" t="s">
        <v>26</v>
      </c>
      <c r="K2190" s="1" t="s">
        <v>26</v>
      </c>
      <c r="L2190" s="1" t="s">
        <v>26</v>
      </c>
      <c r="M2190" s="1" t="s">
        <v>27</v>
      </c>
      <c r="N2190" s="1" t="s">
        <v>26</v>
      </c>
      <c r="O2190" s="1" t="s">
        <v>26</v>
      </c>
      <c r="P2190" s="4">
        <v>45216.38190972222</v>
      </c>
    </row>
    <row r="2191" hidden="1">
      <c r="A2191" s="1" t="s">
        <v>1055</v>
      </c>
      <c r="B2191" s="3" t="str">
        <f>HYPERLINK("https://hawk-eye.atlassian.net/browse/HWKREPORT-1355?atlOrigin=eyJpIjoiYzgwYTQ0ZjEyNzQzNGJhN2JmNjEyZTM0NmRhZWZhNjIiLCJwIjoic2hlZXRzLWppcmEifQ","HWKREPORT-1355")</f>
        <v>HWKREPORT-1355</v>
      </c>
      <c r="C2191" s="1" t="s">
        <v>3467</v>
      </c>
      <c r="D2191" s="1" t="s">
        <v>23</v>
      </c>
      <c r="E2191" s="1" t="s">
        <v>1057</v>
      </c>
      <c r="F2191" s="4">
        <v>44727.817395833335</v>
      </c>
      <c r="G2191" s="3" t="str">
        <f>HYPERLINK("https://hawk-eye.atlassian.net/browse/RTT-5834?atlOrigin=eyJpIjoiYzgwYTQ0ZjEyNzQzNGJhN2JmNjEyZTM0NmRhZWZhNjIiLCJwIjoic2hlZXRzLWppcmEifQ","RTT-5834")</f>
        <v>RTT-5834</v>
      </c>
      <c r="H2191" s="1" t="s">
        <v>1058</v>
      </c>
      <c r="I2191" s="1" t="s">
        <v>1071</v>
      </c>
      <c r="J2191" s="1" t="s">
        <v>26</v>
      </c>
      <c r="K2191" s="1" t="s">
        <v>26</v>
      </c>
      <c r="L2191" s="1" t="s">
        <v>26</v>
      </c>
      <c r="M2191" s="1" t="s">
        <v>27</v>
      </c>
      <c r="N2191" s="1" t="s">
        <v>26</v>
      </c>
      <c r="O2191" s="1" t="s">
        <v>26</v>
      </c>
      <c r="P2191" s="4">
        <v>45258.40164351852</v>
      </c>
    </row>
    <row r="2192" hidden="1">
      <c r="A2192" s="1" t="s">
        <v>1055</v>
      </c>
      <c r="B2192" s="3" t="str">
        <f>HYPERLINK("https://hawk-eye.atlassian.net/browse/HWKREPORT-1356?atlOrigin=eyJpIjoiYzgwYTQ0ZjEyNzQzNGJhN2JmNjEyZTM0NmRhZWZhNjIiLCJwIjoic2hlZXRzLWppcmEifQ","HWKREPORT-1356")</f>
        <v>HWKREPORT-1356</v>
      </c>
      <c r="C2192" s="1" t="s">
        <v>3468</v>
      </c>
      <c r="D2192" s="1" t="s">
        <v>23</v>
      </c>
      <c r="E2192" s="1" t="s">
        <v>1057</v>
      </c>
      <c r="F2192" s="4">
        <v>44727.89959490741</v>
      </c>
      <c r="G2192" s="3" t="str">
        <f>HYPERLINK("https://hawk-eye.atlassian.net/browse/RTT-5058?atlOrigin=eyJpIjoiYzgwYTQ0ZjEyNzQzNGJhN2JmNjEyZTM0NmRhZWZhNjIiLCJwIjoic2hlZXRzLWppcmEifQ","RTT-5058")</f>
        <v>RTT-5058</v>
      </c>
      <c r="H2192" s="1" t="s">
        <v>1058</v>
      </c>
      <c r="I2192" s="1" t="s">
        <v>1071</v>
      </c>
      <c r="J2192" s="1" t="s">
        <v>26</v>
      </c>
      <c r="K2192" s="1" t="s">
        <v>1072</v>
      </c>
      <c r="L2192" s="1" t="s">
        <v>26</v>
      </c>
      <c r="M2192" s="1" t="s">
        <v>27</v>
      </c>
      <c r="N2192" s="1" t="s">
        <v>26</v>
      </c>
      <c r="O2192" s="1" t="s">
        <v>26</v>
      </c>
      <c r="P2192" s="4">
        <v>44727.89959490741</v>
      </c>
    </row>
    <row r="2193" hidden="1">
      <c r="A2193" s="1" t="s">
        <v>21</v>
      </c>
      <c r="B2193" s="3" t="str">
        <f>HYPERLINK("https://hawk-eye.atlassian.net/browse/HWKREPORT-1357?atlOrigin=eyJpIjoiYzgwYTQ0ZjEyNzQzNGJhN2JmNjEyZTM0NmRhZWZhNjIiLCJwIjoic2hlZXRzLWppcmEifQ","HWKREPORT-1357")</f>
        <v>HWKREPORT-1357</v>
      </c>
      <c r="C2193" s="1" t="s">
        <v>3469</v>
      </c>
      <c r="D2193" s="1" t="s">
        <v>23</v>
      </c>
      <c r="E2193" s="1" t="s">
        <v>35</v>
      </c>
      <c r="F2193" s="4">
        <v>44727.90116898148</v>
      </c>
      <c r="G2193" s="3" t="str">
        <f>HYPERLINK("https://hawk-eye.atlassian.net/browse/RTT-5057?atlOrigin=eyJpIjoiYzgwYTQ0ZjEyNzQzNGJhN2JmNjEyZTM0NmRhZWZhNjIiLCJwIjoic2hlZXRzLWppcmEifQ","RTT-5057")</f>
        <v>RTT-5057</v>
      </c>
      <c r="H2193" s="1" t="s">
        <v>1058</v>
      </c>
      <c r="I2193" s="1" t="s">
        <v>1071</v>
      </c>
      <c r="J2193" s="1" t="s">
        <v>26</v>
      </c>
      <c r="K2193" s="1" t="s">
        <v>1072</v>
      </c>
      <c r="L2193" s="1" t="s">
        <v>26</v>
      </c>
      <c r="M2193" s="1" t="s">
        <v>27</v>
      </c>
      <c r="N2193" s="1" t="s">
        <v>26</v>
      </c>
      <c r="O2193" s="1" t="s">
        <v>26</v>
      </c>
      <c r="P2193" s="4">
        <v>44803.393900462965</v>
      </c>
    </row>
    <row r="2194" hidden="1">
      <c r="A2194" s="1" t="s">
        <v>1055</v>
      </c>
      <c r="B2194" s="3" t="str">
        <f>HYPERLINK("https://hawk-eye.atlassian.net/browse/HWKREPORT-1358?atlOrigin=eyJpIjoiYzgwYTQ0ZjEyNzQzNGJhN2JmNjEyZTM0NmRhZWZhNjIiLCJwIjoic2hlZXRzLWppcmEifQ","HWKREPORT-1358")</f>
        <v>HWKREPORT-1358</v>
      </c>
      <c r="C2194" s="1" t="s">
        <v>3470</v>
      </c>
      <c r="D2194" s="1" t="s">
        <v>23</v>
      </c>
      <c r="E2194" s="1" t="s">
        <v>35</v>
      </c>
      <c r="F2194" s="4">
        <v>44727.90225694444</v>
      </c>
      <c r="G2194" s="3" t="str">
        <f>HYPERLINK("https://hawk-eye.atlassian.net/browse/?atlOrigin=eyJpIjoiYzgwYTQ0ZjEyNzQzNGJhN2JmNjEyZTM0NmRhZWZhNjIiLCJwIjoic2hlZXRzLWppcmEifQ","")</f>
        <v/>
      </c>
      <c r="H2194" s="1" t="s">
        <v>1058</v>
      </c>
      <c r="I2194" s="1" t="s">
        <v>1071</v>
      </c>
      <c r="J2194" s="1" t="s">
        <v>26</v>
      </c>
      <c r="K2194" s="1" t="s">
        <v>1072</v>
      </c>
      <c r="L2194" s="1" t="s">
        <v>26</v>
      </c>
      <c r="M2194" s="1" t="s">
        <v>27</v>
      </c>
      <c r="N2194" s="1" t="s">
        <v>26</v>
      </c>
      <c r="O2194" s="1" t="s">
        <v>26</v>
      </c>
      <c r="P2194" s="4">
        <v>44803.7328125</v>
      </c>
    </row>
    <row r="2195" hidden="1">
      <c r="A2195" s="1" t="s">
        <v>21</v>
      </c>
      <c r="B2195" s="3" t="str">
        <f>HYPERLINK("https://hawk-eye.atlassian.net/browse/HWKREPORT-1359?atlOrigin=eyJpIjoiYzgwYTQ0ZjEyNzQzNGJhN2JmNjEyZTM0NmRhZWZhNjIiLCJwIjoic2hlZXRzLWppcmEifQ","HWKREPORT-1359")</f>
        <v>HWKREPORT-1359</v>
      </c>
      <c r="C2195" s="1" t="s">
        <v>3471</v>
      </c>
      <c r="D2195" s="1" t="s">
        <v>34</v>
      </c>
      <c r="E2195" s="1" t="s">
        <v>35</v>
      </c>
      <c r="F2195" s="4">
        <v>44728.439571759256</v>
      </c>
      <c r="G2195" s="3" t="str">
        <f>HYPERLINK("https://hawk-eye.atlassian.net/browse/RTT-5120?atlOrigin=eyJpIjoiYzgwYTQ0ZjEyNzQzNGJhN2JmNjEyZTM0NmRhZWZhNjIiLCJwIjoic2hlZXRzLWppcmEifQ","RTT-5120")</f>
        <v>RTT-5120</v>
      </c>
      <c r="H2195" s="1" t="s">
        <v>1058</v>
      </c>
      <c r="I2195" s="1" t="s">
        <v>1082</v>
      </c>
      <c r="J2195" s="1" t="s">
        <v>26</v>
      </c>
      <c r="K2195" s="1" t="s">
        <v>1247</v>
      </c>
      <c r="L2195" s="1" t="s">
        <v>26</v>
      </c>
      <c r="M2195" s="1" t="s">
        <v>27</v>
      </c>
      <c r="N2195" s="1" t="s">
        <v>26</v>
      </c>
      <c r="O2195" s="1" t="s">
        <v>26</v>
      </c>
      <c r="P2195" s="4">
        <v>45041.43239583333</v>
      </c>
    </row>
    <row r="2196" hidden="1">
      <c r="A2196" s="1" t="s">
        <v>1055</v>
      </c>
      <c r="B2196" s="3" t="str">
        <f>HYPERLINK("https://hawk-eye.atlassian.net/browse/HWKREPORT-1360?atlOrigin=eyJpIjoiYzgwYTQ0ZjEyNzQzNGJhN2JmNjEyZTM0NmRhZWZhNjIiLCJwIjoic2hlZXRzLWppcmEifQ","HWKREPORT-1360")</f>
        <v>HWKREPORT-1360</v>
      </c>
      <c r="C2196" s="1" t="s">
        <v>3472</v>
      </c>
      <c r="D2196" s="1" t="s">
        <v>23</v>
      </c>
      <c r="E2196" s="1" t="s">
        <v>35</v>
      </c>
      <c r="F2196" s="4">
        <v>44728.673680555556</v>
      </c>
      <c r="G2196" s="3" t="str">
        <f>HYPERLINK("https://hawk-eye.atlassian.net/browse/?atlOrigin=eyJpIjoiYzgwYTQ0ZjEyNzQzNGJhN2JmNjEyZTM0NmRhZWZhNjIiLCJwIjoic2hlZXRzLWppcmEifQ","")</f>
        <v/>
      </c>
      <c r="H2196" s="1" t="s">
        <v>1058</v>
      </c>
      <c r="I2196" s="1" t="s">
        <v>1071</v>
      </c>
      <c r="J2196" s="1" t="s">
        <v>26</v>
      </c>
      <c r="K2196" s="1" t="s">
        <v>1352</v>
      </c>
      <c r="L2196" s="1" t="s">
        <v>26</v>
      </c>
      <c r="M2196" s="1" t="s">
        <v>27</v>
      </c>
      <c r="N2196" s="1" t="s">
        <v>26</v>
      </c>
      <c r="O2196" s="1" t="s">
        <v>26</v>
      </c>
      <c r="P2196" s="4">
        <v>44827.44422453704</v>
      </c>
    </row>
    <row r="2197" hidden="1">
      <c r="A2197" s="1" t="s">
        <v>1055</v>
      </c>
      <c r="B2197" s="3" t="str">
        <f>HYPERLINK("https://hawk-eye.atlassian.net/browse/HWKREPORT-1361?atlOrigin=eyJpIjoiYzgwYTQ0ZjEyNzQzNGJhN2JmNjEyZTM0NmRhZWZhNjIiLCJwIjoic2hlZXRzLWppcmEifQ","HWKREPORT-1361")</f>
        <v>HWKREPORT-1361</v>
      </c>
      <c r="C2197" s="1" t="s">
        <v>3473</v>
      </c>
      <c r="D2197" s="1" t="s">
        <v>23</v>
      </c>
      <c r="E2197" s="1" t="s">
        <v>35</v>
      </c>
      <c r="F2197" s="4">
        <v>44729.89980324074</v>
      </c>
      <c r="G2197" s="3" t="str">
        <f>HYPERLINK("https://hawk-eye.atlassian.net/browse/BSK-246?atlOrigin=eyJpIjoiYzgwYTQ0ZjEyNzQzNGJhN2JmNjEyZTM0NmRhZWZhNjIiLCJwIjoic2hlZXRzLWppcmEifQ","BSK-246")</f>
        <v>BSK-246</v>
      </c>
      <c r="H2197" s="1" t="s">
        <v>1058</v>
      </c>
      <c r="I2197" s="1" t="s">
        <v>1071</v>
      </c>
      <c r="J2197" s="1" t="s">
        <v>26</v>
      </c>
      <c r="K2197" s="1" t="s">
        <v>1813</v>
      </c>
      <c r="L2197" s="1" t="s">
        <v>26</v>
      </c>
      <c r="M2197" s="1" t="s">
        <v>27</v>
      </c>
      <c r="N2197" s="1" t="s">
        <v>26</v>
      </c>
      <c r="O2197" s="1" t="s">
        <v>26</v>
      </c>
      <c r="P2197" s="4">
        <v>44790.63668981481</v>
      </c>
    </row>
    <row r="2198" hidden="1">
      <c r="A2198" s="1" t="s">
        <v>1055</v>
      </c>
      <c r="B2198" s="3" t="str">
        <f>HYPERLINK("https://hawk-eye.atlassian.net/browse/HWKREPORT-1362?atlOrigin=eyJpIjoiYzgwYTQ0ZjEyNzQzNGJhN2JmNjEyZTM0NmRhZWZhNjIiLCJwIjoic2hlZXRzLWppcmEifQ","HWKREPORT-1362")</f>
        <v>HWKREPORT-1362</v>
      </c>
      <c r="C2198" s="1" t="s">
        <v>3474</v>
      </c>
      <c r="D2198" s="1" t="s">
        <v>23</v>
      </c>
      <c r="E2198" s="1" t="s">
        <v>1057</v>
      </c>
      <c r="F2198" s="4">
        <v>44729.90076388889</v>
      </c>
      <c r="G2198" s="3" t="str">
        <f>HYPERLINK("https://hawk-eye.atlassian.net/browse/?atlOrigin=eyJpIjoiYzgwYTQ0ZjEyNzQzNGJhN2JmNjEyZTM0NmRhZWZhNjIiLCJwIjoic2hlZXRzLWppcmEifQ","")</f>
        <v/>
      </c>
      <c r="H2198" s="1" t="s">
        <v>1058</v>
      </c>
      <c r="I2198" s="1" t="s">
        <v>1071</v>
      </c>
      <c r="J2198" s="1" t="s">
        <v>26</v>
      </c>
      <c r="K2198" s="1" t="s">
        <v>1813</v>
      </c>
      <c r="L2198" s="1" t="s">
        <v>26</v>
      </c>
      <c r="M2198" s="1" t="s">
        <v>27</v>
      </c>
      <c r="N2198" s="1" t="s">
        <v>26</v>
      </c>
      <c r="O2198" s="1" t="s">
        <v>26</v>
      </c>
      <c r="P2198" s="4">
        <v>44729.90076388889</v>
      </c>
    </row>
    <row r="2199" hidden="1">
      <c r="A2199" s="1" t="s">
        <v>1055</v>
      </c>
      <c r="B2199" s="3" t="str">
        <f>HYPERLINK("https://hawk-eye.atlassian.net/browse/HWKREPORT-1363?atlOrigin=eyJpIjoiYzgwYTQ0ZjEyNzQzNGJhN2JmNjEyZTM0NmRhZWZhNjIiLCJwIjoic2hlZXRzLWppcmEifQ","HWKREPORT-1363")</f>
        <v>HWKREPORT-1363</v>
      </c>
      <c r="C2199" s="1" t="s">
        <v>3475</v>
      </c>
      <c r="D2199" s="1" t="s">
        <v>48</v>
      </c>
      <c r="E2199" s="1" t="s">
        <v>35</v>
      </c>
      <c r="F2199" s="4">
        <v>44732.76219907407</v>
      </c>
      <c r="G2199" s="3" t="str">
        <f>HYPERLINK("https://hawk-eye.atlassian.net/browse/CORE-159?atlOrigin=eyJpIjoiYzgwYTQ0ZjEyNzQzNGJhN2JmNjEyZTM0NmRhZWZhNjIiLCJwIjoic2hlZXRzLWppcmEifQ","CORE-159")</f>
        <v>CORE-159</v>
      </c>
      <c r="H2199" s="1" t="s">
        <v>1058</v>
      </c>
      <c r="I2199" s="1" t="s">
        <v>1085</v>
      </c>
      <c r="J2199" s="1" t="s">
        <v>26</v>
      </c>
      <c r="K2199" s="1" t="s">
        <v>1134</v>
      </c>
      <c r="L2199" s="1" t="s">
        <v>26</v>
      </c>
      <c r="M2199" s="1" t="s">
        <v>27</v>
      </c>
      <c r="N2199" s="1" t="s">
        <v>26</v>
      </c>
      <c r="O2199" s="1" t="s">
        <v>26</v>
      </c>
      <c r="P2199" s="4">
        <v>45238.41746527778</v>
      </c>
    </row>
    <row r="2200" hidden="1">
      <c r="A2200" s="1" t="s">
        <v>21</v>
      </c>
      <c r="B2200" s="3" t="str">
        <f>HYPERLINK("https://hawk-eye.atlassian.net/browse/HWKREPORT-1364?atlOrigin=eyJpIjoiYzgwYTQ0ZjEyNzQzNGJhN2JmNjEyZTM0NmRhZWZhNjIiLCJwIjoic2hlZXRzLWppcmEifQ","HWKREPORT-1364")</f>
        <v>HWKREPORT-1364</v>
      </c>
      <c r="C2200" s="1" t="s">
        <v>3476</v>
      </c>
      <c r="D2200" s="1" t="s">
        <v>23</v>
      </c>
      <c r="E2200" s="1" t="s">
        <v>35</v>
      </c>
      <c r="F2200" s="4">
        <v>44732.764189814814</v>
      </c>
      <c r="G2200" s="3" t="str">
        <f>HYPERLINK("https://hawk-eye.atlassian.net/browse/?atlOrigin=eyJpIjoiYzgwYTQ0ZjEyNzQzNGJhN2JmNjEyZTM0NmRhZWZhNjIiLCJwIjoic2hlZXRzLWppcmEifQ","")</f>
        <v/>
      </c>
      <c r="H2200" s="1" t="s">
        <v>1058</v>
      </c>
      <c r="I2200" s="1" t="s">
        <v>1085</v>
      </c>
      <c r="J2200" s="1" t="s">
        <v>26</v>
      </c>
      <c r="K2200" s="1" t="s">
        <v>1134</v>
      </c>
      <c r="L2200" s="1" t="s">
        <v>26</v>
      </c>
      <c r="M2200" s="1" t="s">
        <v>27</v>
      </c>
      <c r="N2200" s="1" t="s">
        <v>26</v>
      </c>
      <c r="O2200" s="1" t="s">
        <v>26</v>
      </c>
      <c r="P2200" s="4">
        <v>44733.43740740741</v>
      </c>
    </row>
    <row r="2201" hidden="1">
      <c r="A2201" s="1" t="s">
        <v>1055</v>
      </c>
      <c r="B2201" s="3" t="str">
        <f>HYPERLINK("https://hawk-eye.atlassian.net/browse/HWKREPORT-1365?atlOrigin=eyJpIjoiYzgwYTQ0ZjEyNzQzNGJhN2JmNjEyZTM0NmRhZWZhNjIiLCJwIjoic2hlZXRzLWppcmEifQ","HWKREPORT-1365")</f>
        <v>HWKREPORT-1365</v>
      </c>
      <c r="C2201" s="1" t="s">
        <v>3477</v>
      </c>
      <c r="D2201" s="1" t="s">
        <v>23</v>
      </c>
      <c r="E2201" s="1" t="s">
        <v>35</v>
      </c>
      <c r="F2201" s="4">
        <v>44733.74334490741</v>
      </c>
      <c r="G2201" s="3" t="str">
        <f>HYPERLINK("https://hawk-eye.atlassian.net/browse/RTT-5067?atlOrigin=eyJpIjoiYzgwYTQ0ZjEyNzQzNGJhN2JmNjEyZTM0NmRhZWZhNjIiLCJwIjoic2hlZXRzLWppcmEifQ","RTT-5067")</f>
        <v>RTT-5067</v>
      </c>
      <c r="H2201" s="1" t="s">
        <v>1058</v>
      </c>
      <c r="I2201" s="1" t="s">
        <v>28</v>
      </c>
      <c r="J2201" s="1" t="s">
        <v>26</v>
      </c>
      <c r="K2201" s="1" t="s">
        <v>1072</v>
      </c>
      <c r="L2201" s="1" t="s">
        <v>26</v>
      </c>
      <c r="M2201" s="1" t="s">
        <v>27</v>
      </c>
      <c r="N2201" s="1" t="s">
        <v>26</v>
      </c>
      <c r="O2201" s="1" t="s">
        <v>26</v>
      </c>
      <c r="P2201" s="4">
        <v>44748.472858796296</v>
      </c>
    </row>
    <row r="2202" hidden="1">
      <c r="A2202" s="1" t="s">
        <v>21</v>
      </c>
      <c r="B2202" s="3" t="str">
        <f>HYPERLINK("https://hawk-eye.atlassian.net/browse/HWKREPORT-1164?atlOrigin=eyJpIjoiYzgwYTQ0ZjEyNzQzNGJhN2JmNjEyZTM0NmRhZWZhNjIiLCJwIjoic2hlZXRzLWppcmEifQ","HWKREPORT-1164")</f>
        <v>HWKREPORT-1164</v>
      </c>
      <c r="C2202" s="1" t="s">
        <v>3478</v>
      </c>
      <c r="D2202" s="1" t="s">
        <v>40</v>
      </c>
      <c r="E2202" s="1" t="s">
        <v>35</v>
      </c>
      <c r="F2202" s="4">
        <v>44652.86895833333</v>
      </c>
      <c r="G2202" s="3" t="str">
        <f>HYPERLINK("https://hawk-eye.atlassian.net/browse/TDP-1386?atlOrigin=eyJpIjoiYzgwYTQ0ZjEyNzQzNGJhN2JmNjEyZTM0NmRhZWZhNjIiLCJwIjoic2hlZXRzLWppcmEifQ","TDP-1386")</f>
        <v>TDP-1386</v>
      </c>
      <c r="H2202" s="1" t="s">
        <v>1058</v>
      </c>
      <c r="I2202" s="1" t="s">
        <v>1126</v>
      </c>
      <c r="J2202" s="1" t="s">
        <v>26</v>
      </c>
      <c r="K2202" s="1" t="s">
        <v>1211</v>
      </c>
      <c r="L2202" s="1" t="s">
        <v>26</v>
      </c>
      <c r="M2202" s="1" t="s">
        <v>27</v>
      </c>
      <c r="N2202" s="1" t="s">
        <v>26</v>
      </c>
      <c r="O2202" s="1" t="s">
        <v>26</v>
      </c>
      <c r="P2202" s="4">
        <v>44687.5690625</v>
      </c>
    </row>
    <row r="2203" hidden="1">
      <c r="A2203" s="1" t="s">
        <v>1055</v>
      </c>
      <c r="B2203" s="3" t="str">
        <f>HYPERLINK("https://hawk-eye.atlassian.net/browse/HWKREPORT-1165?atlOrigin=eyJpIjoiYzgwYTQ0ZjEyNzQzNGJhN2JmNjEyZTM0NmRhZWZhNjIiLCJwIjoic2hlZXRzLWppcmEifQ","HWKREPORT-1165")</f>
        <v>HWKREPORT-1165</v>
      </c>
      <c r="C2203" s="1" t="s">
        <v>3479</v>
      </c>
      <c r="D2203" s="1" t="s">
        <v>23</v>
      </c>
      <c r="E2203" s="1" t="s">
        <v>35</v>
      </c>
      <c r="F2203" s="4">
        <v>44655.597708333335</v>
      </c>
      <c r="G2203" s="3" t="str">
        <f>HYPERLINK("https://hawk-eye.atlassian.net/browse/RTT-4857?atlOrigin=eyJpIjoiYzgwYTQ0ZjEyNzQzNGJhN2JmNjEyZTM0NmRhZWZhNjIiLCJwIjoic2hlZXRzLWppcmEifQ","RTT-4857")</f>
        <v>RTT-4857</v>
      </c>
      <c r="H2203" s="1" t="s">
        <v>1058</v>
      </c>
      <c r="I2203" s="1" t="s">
        <v>1085</v>
      </c>
      <c r="J2203" s="1" t="s">
        <v>26</v>
      </c>
      <c r="K2203" s="1" t="s">
        <v>1362</v>
      </c>
      <c r="L2203" s="1" t="s">
        <v>26</v>
      </c>
      <c r="M2203" s="1" t="s">
        <v>27</v>
      </c>
      <c r="N2203" s="1" t="s">
        <v>26</v>
      </c>
      <c r="O2203" s="1" t="s">
        <v>26</v>
      </c>
      <c r="P2203" s="4">
        <v>44712.450740740744</v>
      </c>
    </row>
    <row r="2204" hidden="1">
      <c r="A2204" s="1" t="s">
        <v>1055</v>
      </c>
      <c r="B2204" s="3" t="str">
        <f>HYPERLINK("https://hawk-eye.atlassian.net/browse/HWKREPORT-1166?atlOrigin=eyJpIjoiYzgwYTQ0ZjEyNzQzNGJhN2JmNjEyZTM0NmRhZWZhNjIiLCJwIjoic2hlZXRzLWppcmEifQ","HWKREPORT-1166")</f>
        <v>HWKREPORT-1166</v>
      </c>
      <c r="C2204" s="1" t="s">
        <v>3480</v>
      </c>
      <c r="D2204" s="1" t="s">
        <v>23</v>
      </c>
      <c r="E2204" s="1" t="s">
        <v>35</v>
      </c>
      <c r="F2204" s="4">
        <v>44656.65185185185</v>
      </c>
      <c r="G2204" s="3" t="str">
        <f>HYPERLINK("https://hawk-eye.atlassian.net/browse/?atlOrigin=eyJpIjoiYzgwYTQ0ZjEyNzQzNGJhN2JmNjEyZTM0NmRhZWZhNjIiLCJwIjoic2hlZXRzLWppcmEifQ","")</f>
        <v/>
      </c>
      <c r="H2204" s="1" t="s">
        <v>1058</v>
      </c>
      <c r="I2204" s="1" t="s">
        <v>1071</v>
      </c>
      <c r="J2204" s="1" t="s">
        <v>26</v>
      </c>
      <c r="K2204" s="1" t="s">
        <v>1762</v>
      </c>
      <c r="L2204" s="1" t="s">
        <v>26</v>
      </c>
      <c r="M2204" s="1" t="s">
        <v>27</v>
      </c>
      <c r="N2204" s="1" t="s">
        <v>26</v>
      </c>
      <c r="O2204" s="1" t="s">
        <v>26</v>
      </c>
      <c r="P2204" s="4">
        <v>44992.47849537037</v>
      </c>
    </row>
    <row r="2205" hidden="1">
      <c r="A2205" s="1" t="s">
        <v>21</v>
      </c>
      <c r="B2205" s="3" t="str">
        <f>HYPERLINK("https://hawk-eye.atlassian.net/browse/HWKREPORT-1168?atlOrigin=eyJpIjoiYzgwYTQ0ZjEyNzQzNGJhN2JmNjEyZTM0NmRhZWZhNjIiLCJwIjoic2hlZXRzLWppcmEifQ","HWKREPORT-1168")</f>
        <v>HWKREPORT-1168</v>
      </c>
      <c r="C2205" s="1" t="s">
        <v>3481</v>
      </c>
      <c r="D2205" s="1" t="s">
        <v>34</v>
      </c>
      <c r="E2205" s="1" t="s">
        <v>35</v>
      </c>
      <c r="F2205" s="4">
        <v>44657.67422453704</v>
      </c>
      <c r="G2205" s="3" t="str">
        <f>HYPERLINK("https://hawk-eye.atlassian.net/browse/RTT-4863?atlOrigin=eyJpIjoiYzgwYTQ0ZjEyNzQzNGJhN2JmNjEyZTM0NmRhZWZhNjIiLCJwIjoic2hlZXRzLWppcmEifQ","RTT-4863")</f>
        <v>RTT-4863</v>
      </c>
      <c r="H2205" s="1" t="s">
        <v>1058</v>
      </c>
      <c r="I2205" s="1" t="s">
        <v>1085</v>
      </c>
      <c r="J2205" s="1" t="s">
        <v>26</v>
      </c>
      <c r="K2205" s="1" t="s">
        <v>1072</v>
      </c>
      <c r="L2205" s="1" t="s">
        <v>26</v>
      </c>
      <c r="M2205" s="1" t="s">
        <v>27</v>
      </c>
      <c r="N2205" s="1" t="s">
        <v>26</v>
      </c>
      <c r="O2205" s="1" t="s">
        <v>26</v>
      </c>
      <c r="P2205" s="4">
        <v>44712.34777777778</v>
      </c>
    </row>
    <row r="2206" hidden="1">
      <c r="A2206" s="1" t="s">
        <v>21</v>
      </c>
      <c r="B2206" s="3" t="str">
        <f>HYPERLINK("https://hawk-eye.atlassian.net/browse/HWKREPORT-1169?atlOrigin=eyJpIjoiYzgwYTQ0ZjEyNzQzNGJhN2JmNjEyZTM0NmRhZWZhNjIiLCJwIjoic2hlZXRzLWppcmEifQ","HWKREPORT-1169")</f>
        <v>HWKREPORT-1169</v>
      </c>
      <c r="C2206" s="1" t="s">
        <v>3482</v>
      </c>
      <c r="D2206" s="1" t="s">
        <v>23</v>
      </c>
      <c r="E2206" s="1" t="s">
        <v>35</v>
      </c>
      <c r="F2206" s="4">
        <v>44657.71224537037</v>
      </c>
      <c r="G2206" s="3" t="str">
        <f>HYPERLINK("https://hawk-eye.atlassian.net/browse/RTT-4870?atlOrigin=eyJpIjoiYzgwYTQ0ZjEyNzQzNGJhN2JmNjEyZTM0NmRhZWZhNjIiLCJwIjoic2hlZXRzLWppcmEifQ","RTT-4870")</f>
        <v>RTT-4870</v>
      </c>
      <c r="H2206" s="1" t="s">
        <v>1058</v>
      </c>
      <c r="I2206" s="1" t="s">
        <v>1085</v>
      </c>
      <c r="J2206" s="1" t="s">
        <v>26</v>
      </c>
      <c r="K2206" s="1" t="s">
        <v>1072</v>
      </c>
      <c r="L2206" s="1" t="s">
        <v>26</v>
      </c>
      <c r="M2206" s="1" t="s">
        <v>27</v>
      </c>
      <c r="N2206" s="1" t="s">
        <v>26</v>
      </c>
      <c r="O2206" s="1" t="s">
        <v>26</v>
      </c>
      <c r="P2206" s="4">
        <v>45341.55806712963</v>
      </c>
    </row>
    <row r="2207" hidden="1">
      <c r="A2207" s="1" t="s">
        <v>1055</v>
      </c>
      <c r="B2207" s="3" t="str">
        <f>HYPERLINK("https://hawk-eye.atlassian.net/browse/HWKREPORT-1170?atlOrigin=eyJpIjoiYzgwYTQ0ZjEyNzQzNGJhN2JmNjEyZTM0NmRhZWZhNjIiLCJwIjoic2hlZXRzLWppcmEifQ","HWKREPORT-1170")</f>
        <v>HWKREPORT-1170</v>
      </c>
      <c r="C2207" s="1" t="s">
        <v>3483</v>
      </c>
      <c r="D2207" s="1" t="s">
        <v>23</v>
      </c>
      <c r="E2207" s="1" t="s">
        <v>1207</v>
      </c>
      <c r="F2207" s="4">
        <v>44657.72927083333</v>
      </c>
      <c r="G2207" s="3" t="str">
        <f>HYPERLINK("https://hawk-eye.atlassian.net/browse/AL-285?atlOrigin=eyJpIjoiYzgwYTQ0ZjEyNzQzNGJhN2JmNjEyZTM0NmRhZWZhNjIiLCJwIjoic2hlZXRzLWppcmEifQ","AL-285")</f>
        <v>AL-285</v>
      </c>
      <c r="H2207" s="1" t="s">
        <v>1058</v>
      </c>
      <c r="I2207" s="1" t="s">
        <v>1085</v>
      </c>
      <c r="J2207" s="1" t="s">
        <v>26</v>
      </c>
      <c r="K2207" s="1" t="s">
        <v>1219</v>
      </c>
      <c r="L2207" s="1" t="s">
        <v>26</v>
      </c>
      <c r="M2207" s="1" t="s">
        <v>27</v>
      </c>
      <c r="N2207" s="1" t="s">
        <v>26</v>
      </c>
      <c r="O2207" s="1" t="s">
        <v>26</v>
      </c>
      <c r="P2207" s="4">
        <v>44929.4184837963</v>
      </c>
    </row>
    <row r="2208" hidden="1">
      <c r="A2208" s="1" t="s">
        <v>21</v>
      </c>
      <c r="B2208" s="3" t="str">
        <f>HYPERLINK("https://hawk-eye.atlassian.net/browse/HWKREPORT-1171?atlOrigin=eyJpIjoiYzgwYTQ0ZjEyNzQzNGJhN2JmNjEyZTM0NmRhZWZhNjIiLCJwIjoic2hlZXRzLWppcmEifQ","HWKREPORT-1171")</f>
        <v>HWKREPORT-1171</v>
      </c>
      <c r="C2208" s="1" t="s">
        <v>3484</v>
      </c>
      <c r="D2208" s="1" t="s">
        <v>34</v>
      </c>
      <c r="E2208" s="1" t="s">
        <v>35</v>
      </c>
      <c r="F2208" s="4">
        <v>44657.73164351852</v>
      </c>
      <c r="G2208" s="3" t="str">
        <f>HYPERLINK("https://hawk-eye.atlassian.net/browse/AL-286?atlOrigin=eyJpIjoiYzgwYTQ0ZjEyNzQzNGJhN2JmNjEyZTM0NmRhZWZhNjIiLCJwIjoic2hlZXRzLWppcmEifQ","AL-286")</f>
        <v>AL-286</v>
      </c>
      <c r="H2208" s="1" t="s">
        <v>1058</v>
      </c>
      <c r="I2208" s="1" t="s">
        <v>1085</v>
      </c>
      <c r="J2208" s="1" t="s">
        <v>26</v>
      </c>
      <c r="K2208" s="1" t="s">
        <v>1219</v>
      </c>
      <c r="L2208" s="1" t="s">
        <v>26</v>
      </c>
      <c r="M2208" s="1" t="s">
        <v>27</v>
      </c>
      <c r="N2208" s="1" t="s">
        <v>26</v>
      </c>
      <c r="O2208" s="1" t="s">
        <v>26</v>
      </c>
      <c r="P2208" s="4">
        <v>44676.69611111111</v>
      </c>
    </row>
    <row r="2209" hidden="1">
      <c r="A2209" s="1" t="s">
        <v>1055</v>
      </c>
      <c r="B2209" s="3" t="str">
        <f>HYPERLINK("https://hawk-eye.atlassian.net/browse/HWKREPORT-1172?atlOrigin=eyJpIjoiYzgwYTQ0ZjEyNzQzNGJhN2JmNjEyZTM0NmRhZWZhNjIiLCJwIjoic2hlZXRzLWppcmEifQ","HWKREPORT-1172")</f>
        <v>HWKREPORT-1172</v>
      </c>
      <c r="C2209" s="6" t="s">
        <v>3485</v>
      </c>
      <c r="D2209" s="1" t="s">
        <v>23</v>
      </c>
      <c r="E2209" s="1" t="s">
        <v>1207</v>
      </c>
      <c r="F2209" s="4">
        <v>44657.75209490741</v>
      </c>
      <c r="G2209" s="3" t="str">
        <f>HYPERLINK("https://hawk-eye.atlassian.net/browse/RTT-4868?atlOrigin=eyJpIjoiYzgwYTQ0ZjEyNzQzNGJhN2JmNjEyZTM0NmRhZWZhNjIiLCJwIjoic2hlZXRzLWppcmEifQ","RTT-4868")</f>
        <v>RTT-4868</v>
      </c>
      <c r="H2209" s="1" t="s">
        <v>1058</v>
      </c>
      <c r="I2209" s="1" t="s">
        <v>1085</v>
      </c>
      <c r="J2209" s="1" t="s">
        <v>26</v>
      </c>
      <c r="K2209" s="1" t="s">
        <v>1072</v>
      </c>
      <c r="L2209" s="1" t="s">
        <v>26</v>
      </c>
      <c r="M2209" s="1" t="s">
        <v>27</v>
      </c>
      <c r="N2209" s="1" t="s">
        <v>26</v>
      </c>
      <c r="O2209" s="1" t="s">
        <v>26</v>
      </c>
      <c r="P2209" s="4">
        <v>45301.49665509259</v>
      </c>
    </row>
    <row r="2210" hidden="1">
      <c r="A2210" s="1" t="s">
        <v>1055</v>
      </c>
      <c r="B2210" s="3" t="str">
        <f>HYPERLINK("https://hawk-eye.atlassian.net/browse/HWKREPORT-1173?atlOrigin=eyJpIjoiYzgwYTQ0ZjEyNzQzNGJhN2JmNjEyZTM0NmRhZWZhNjIiLCJwIjoic2hlZXRzLWppcmEifQ","HWKREPORT-1173")</f>
        <v>HWKREPORT-1173</v>
      </c>
      <c r="C2210" s="1" t="s">
        <v>3486</v>
      </c>
      <c r="D2210" s="1" t="s">
        <v>23</v>
      </c>
      <c r="E2210" s="1" t="s">
        <v>35</v>
      </c>
      <c r="F2210" s="4">
        <v>44657.768009259256</v>
      </c>
      <c r="G2210" s="3" t="str">
        <f>HYPERLINK("https://hawk-eye.atlassian.net/browse/RTT-4867?atlOrigin=eyJpIjoiYzgwYTQ0ZjEyNzQzNGJhN2JmNjEyZTM0NmRhZWZhNjIiLCJwIjoic2hlZXRzLWppcmEifQ","RTT-4867")</f>
        <v>RTT-4867</v>
      </c>
      <c r="H2210" s="1" t="s">
        <v>1058</v>
      </c>
      <c r="I2210" s="1" t="s">
        <v>1085</v>
      </c>
      <c r="J2210" s="1" t="s">
        <v>26</v>
      </c>
      <c r="K2210" s="1" t="s">
        <v>1072</v>
      </c>
      <c r="L2210" s="1" t="s">
        <v>26</v>
      </c>
      <c r="M2210" s="1" t="s">
        <v>27</v>
      </c>
      <c r="N2210" s="1" t="s">
        <v>26</v>
      </c>
      <c r="O2210" s="1" t="s">
        <v>26</v>
      </c>
      <c r="P2210" s="4">
        <v>44804.46586805556</v>
      </c>
    </row>
    <row r="2211" hidden="1">
      <c r="A2211" s="1" t="s">
        <v>21</v>
      </c>
      <c r="B2211" s="3" t="str">
        <f>HYPERLINK("https://hawk-eye.atlassian.net/browse/HWKREPORT-1174?atlOrigin=eyJpIjoiYzgwYTQ0ZjEyNzQzNGJhN2JmNjEyZTM0NmRhZWZhNjIiLCJwIjoic2hlZXRzLWppcmEifQ","HWKREPORT-1174")</f>
        <v>HWKREPORT-1174</v>
      </c>
      <c r="C2211" s="1" t="s">
        <v>3487</v>
      </c>
      <c r="D2211" s="1" t="s">
        <v>23</v>
      </c>
      <c r="E2211" s="1" t="s">
        <v>35</v>
      </c>
      <c r="F2211" s="4">
        <v>44658.01107638889</v>
      </c>
      <c r="G2211" s="3" t="str">
        <f>HYPERLINK("https://hawk-eye.atlassian.net/browse/RTT-4866?atlOrigin=eyJpIjoiYzgwYTQ0ZjEyNzQzNGJhN2JmNjEyZTM0NmRhZWZhNjIiLCJwIjoic2hlZXRzLWppcmEifQ","RTT-4866")</f>
        <v>RTT-4866</v>
      </c>
      <c r="H2211" s="1" t="s">
        <v>1058</v>
      </c>
      <c r="I2211" s="1" t="s">
        <v>1071</v>
      </c>
      <c r="J2211" s="1" t="s">
        <v>26</v>
      </c>
      <c r="K2211" s="1" t="s">
        <v>1099</v>
      </c>
      <c r="L2211" s="1" t="s">
        <v>26</v>
      </c>
      <c r="M2211" s="1" t="s">
        <v>27</v>
      </c>
      <c r="N2211" s="1" t="s">
        <v>26</v>
      </c>
      <c r="O2211" s="1" t="s">
        <v>26</v>
      </c>
      <c r="P2211" s="4">
        <v>44678.922060185185</v>
      </c>
    </row>
    <row r="2212" hidden="1">
      <c r="A2212" s="1" t="s">
        <v>21</v>
      </c>
      <c r="B2212" s="3" t="str">
        <f>HYPERLINK("https://hawk-eye.atlassian.net/browse/HWKREPORT-1175?atlOrigin=eyJpIjoiYzgwYTQ0ZjEyNzQzNGJhN2JmNjEyZTM0NmRhZWZhNjIiLCJwIjoic2hlZXRzLWppcmEifQ","HWKREPORT-1175")</f>
        <v>HWKREPORT-1175</v>
      </c>
      <c r="C2212" s="1" t="s">
        <v>3488</v>
      </c>
      <c r="D2212" s="1" t="s">
        <v>23</v>
      </c>
      <c r="E2212" s="1" t="s">
        <v>1057</v>
      </c>
      <c r="F2212" s="4">
        <v>44658.017858796295</v>
      </c>
      <c r="G2212" s="3" t="str">
        <f>HYPERLINK("https://hawk-eye.atlassian.net/browse/?atlOrigin=eyJpIjoiYzgwYTQ0ZjEyNzQzNGJhN2JmNjEyZTM0NmRhZWZhNjIiLCJwIjoic2hlZXRzLWppcmEifQ","")</f>
        <v/>
      </c>
      <c r="H2212" s="1" t="s">
        <v>1058</v>
      </c>
      <c r="I2212" s="1" t="s">
        <v>1071</v>
      </c>
      <c r="J2212" s="1" t="s">
        <v>26</v>
      </c>
      <c r="K2212" s="1" t="s">
        <v>1276</v>
      </c>
      <c r="L2212" s="1" t="s">
        <v>26</v>
      </c>
      <c r="M2212" s="1" t="s">
        <v>27</v>
      </c>
      <c r="N2212" s="1" t="s">
        <v>26</v>
      </c>
      <c r="O2212" s="1" t="s">
        <v>26</v>
      </c>
      <c r="P2212" s="4">
        <v>44658.01787037037</v>
      </c>
    </row>
    <row r="2213" hidden="1">
      <c r="A2213" s="1" t="s">
        <v>21</v>
      </c>
      <c r="B2213" s="3" t="str">
        <f>HYPERLINK("https://hawk-eye.atlassian.net/browse/HWKREPORT-1176?atlOrigin=eyJpIjoiYzgwYTQ0ZjEyNzQzNGJhN2JmNjEyZTM0NmRhZWZhNjIiLCJwIjoic2hlZXRzLWppcmEifQ","HWKREPORT-1176")</f>
        <v>HWKREPORT-1176</v>
      </c>
      <c r="C2213" s="1" t="s">
        <v>3489</v>
      </c>
      <c r="D2213" s="1" t="s">
        <v>23</v>
      </c>
      <c r="E2213" s="1" t="s">
        <v>35</v>
      </c>
      <c r="F2213" s="4">
        <v>44658.02072916667</v>
      </c>
      <c r="G2213" s="3" t="str">
        <f>HYPERLINK("https://hawk-eye.atlassian.net/browse/RTT-4865?atlOrigin=eyJpIjoiYzgwYTQ0ZjEyNzQzNGJhN2JmNjEyZTM0NmRhZWZhNjIiLCJwIjoic2hlZXRzLWppcmEifQ","RTT-4865")</f>
        <v>RTT-4865</v>
      </c>
      <c r="H2213" s="1" t="s">
        <v>1058</v>
      </c>
      <c r="I2213" s="1" t="s">
        <v>1071</v>
      </c>
      <c r="J2213" s="1" t="s">
        <v>26</v>
      </c>
      <c r="K2213" s="1" t="s">
        <v>1072</v>
      </c>
      <c r="L2213" s="1" t="s">
        <v>26</v>
      </c>
      <c r="M2213" s="1" t="s">
        <v>27</v>
      </c>
      <c r="N2213" s="1" t="s">
        <v>26</v>
      </c>
      <c r="O2213" s="1" t="s">
        <v>26</v>
      </c>
      <c r="P2213" s="4">
        <v>44739.643587962964</v>
      </c>
    </row>
    <row r="2214" hidden="1">
      <c r="A2214" s="1" t="s">
        <v>21</v>
      </c>
      <c r="B2214" s="3" t="str">
        <f>HYPERLINK("https://hawk-eye.atlassian.net/browse/HWKREPORT-1177?atlOrigin=eyJpIjoiYzgwYTQ0ZjEyNzQzNGJhN2JmNjEyZTM0NmRhZWZhNjIiLCJwIjoic2hlZXRzLWppcmEifQ","HWKREPORT-1177")</f>
        <v>HWKREPORT-1177</v>
      </c>
      <c r="C2214" s="1" t="s">
        <v>3490</v>
      </c>
      <c r="D2214" s="1" t="s">
        <v>23</v>
      </c>
      <c r="E2214" s="1" t="s">
        <v>35</v>
      </c>
      <c r="F2214" s="4">
        <v>44658.02475694445</v>
      </c>
      <c r="G2214" s="3" t="str">
        <f>HYPERLINK("https://hawk-eye.atlassian.net/browse/RTT-4864?atlOrigin=eyJpIjoiYzgwYTQ0ZjEyNzQzNGJhN2JmNjEyZTM0NmRhZWZhNjIiLCJwIjoic2hlZXRzLWppcmEifQ","RTT-4864")</f>
        <v>RTT-4864</v>
      </c>
      <c r="H2214" s="1" t="s">
        <v>1058</v>
      </c>
      <c r="I2214" s="1" t="s">
        <v>1071</v>
      </c>
      <c r="J2214" s="1" t="s">
        <v>26</v>
      </c>
      <c r="K2214" s="1" t="s">
        <v>1093</v>
      </c>
      <c r="L2214" s="1" t="s">
        <v>26</v>
      </c>
      <c r="M2214" s="1" t="s">
        <v>27</v>
      </c>
      <c r="N2214" s="1" t="s">
        <v>26</v>
      </c>
      <c r="O2214" s="1" t="s">
        <v>26</v>
      </c>
      <c r="P2214" s="4">
        <v>44694.66863425926</v>
      </c>
    </row>
    <row r="2215" hidden="1">
      <c r="A2215" s="1" t="s">
        <v>21</v>
      </c>
      <c r="B2215" s="3" t="str">
        <f>HYPERLINK("https://hawk-eye.atlassian.net/browse/HWKREPORT-1178?atlOrigin=eyJpIjoiYzgwYTQ0ZjEyNzQzNGJhN2JmNjEyZTM0NmRhZWZhNjIiLCJwIjoic2hlZXRzLWppcmEifQ","HWKREPORT-1178")</f>
        <v>HWKREPORT-1178</v>
      </c>
      <c r="C2215" s="1" t="s">
        <v>3491</v>
      </c>
      <c r="D2215" s="1" t="s">
        <v>23</v>
      </c>
      <c r="E2215" s="1" t="s">
        <v>35</v>
      </c>
      <c r="F2215" s="4">
        <v>44658.08295138889</v>
      </c>
      <c r="G2215" s="3" t="str">
        <f>HYPERLINK("https://hawk-eye.atlassian.net/browse/?atlOrigin=eyJpIjoiYzgwYTQ0ZjEyNzQzNGJhN2JmNjEyZTM0NmRhZWZhNjIiLCJwIjoic2hlZXRzLWppcmEifQ","")</f>
        <v/>
      </c>
      <c r="H2215" s="1" t="s">
        <v>1058</v>
      </c>
      <c r="I2215" s="1" t="s">
        <v>1071</v>
      </c>
      <c r="J2215" s="1" t="s">
        <v>26</v>
      </c>
      <c r="K2215" s="1" t="s">
        <v>1130</v>
      </c>
      <c r="L2215" s="1" t="s">
        <v>26</v>
      </c>
      <c r="M2215" s="1" t="s">
        <v>27</v>
      </c>
      <c r="N2215" s="1" t="s">
        <v>26</v>
      </c>
      <c r="O2215" s="1" t="s">
        <v>26</v>
      </c>
      <c r="P2215" s="4">
        <v>44672.97814814815</v>
      </c>
    </row>
    <row r="2216" hidden="1">
      <c r="A2216" s="1" t="s">
        <v>21</v>
      </c>
      <c r="B2216" s="3" t="str">
        <f>HYPERLINK("https://hawk-eye.atlassian.net/browse/HWKREPORT-1179?atlOrigin=eyJpIjoiYzgwYTQ0ZjEyNzQzNGJhN2JmNjEyZTM0NmRhZWZhNjIiLCJwIjoic2hlZXRzLWppcmEifQ","HWKREPORT-1179")</f>
        <v>HWKREPORT-1179</v>
      </c>
      <c r="C2216" s="1" t="s">
        <v>3492</v>
      </c>
      <c r="D2216" s="1" t="s">
        <v>23</v>
      </c>
      <c r="E2216" s="1" t="s">
        <v>35</v>
      </c>
      <c r="F2216" s="4">
        <v>44659.41762731481</v>
      </c>
      <c r="G2216" s="3" t="str">
        <f>HYPERLINK("https://hawk-eye.atlassian.net/browse/AL-288?atlOrigin=eyJpIjoiYzgwYTQ0ZjEyNzQzNGJhN2JmNjEyZTM0NmRhZWZhNjIiLCJwIjoic2hlZXRzLWppcmEifQ","AL-288")</f>
        <v>AL-288</v>
      </c>
      <c r="H2216" s="1" t="s">
        <v>1058</v>
      </c>
      <c r="I2216" s="1" t="s">
        <v>1071</v>
      </c>
      <c r="J2216" s="1" t="s">
        <v>26</v>
      </c>
      <c r="K2216" s="1" t="s">
        <v>1898</v>
      </c>
      <c r="L2216" s="1" t="s">
        <v>26</v>
      </c>
      <c r="M2216" s="1" t="s">
        <v>27</v>
      </c>
      <c r="N2216" s="1" t="s">
        <v>26</v>
      </c>
      <c r="O2216" s="1" t="s">
        <v>26</v>
      </c>
      <c r="P2216" s="4">
        <v>44676.54769675926</v>
      </c>
    </row>
    <row r="2217" hidden="1">
      <c r="A2217" s="1" t="s">
        <v>21</v>
      </c>
      <c r="B2217" s="3" t="str">
        <f>HYPERLINK("https://hawk-eye.atlassian.net/browse/HWKREPORT-1180?atlOrigin=eyJpIjoiYzgwYTQ0ZjEyNzQzNGJhN2JmNjEyZTM0NmRhZWZhNjIiLCJwIjoic2hlZXRzLWppcmEifQ","HWKREPORT-1180")</f>
        <v>HWKREPORT-1180</v>
      </c>
      <c r="C2217" s="1" t="s">
        <v>3493</v>
      </c>
      <c r="D2217" s="1" t="s">
        <v>23</v>
      </c>
      <c r="E2217" s="1" t="s">
        <v>35</v>
      </c>
      <c r="F2217" s="4">
        <v>44659.422534722224</v>
      </c>
      <c r="G2217" s="3" t="str">
        <f>HYPERLINK("https://hawk-eye.atlassian.net/browse/AL-289?atlOrigin=eyJpIjoiYzgwYTQ0ZjEyNzQzNGJhN2JmNjEyZTM0NmRhZWZhNjIiLCJwIjoic2hlZXRzLWppcmEifQ","AL-289")</f>
        <v>AL-289</v>
      </c>
      <c r="H2217" s="1" t="s">
        <v>1058</v>
      </c>
      <c r="I2217" s="1" t="s">
        <v>1071</v>
      </c>
      <c r="J2217" s="1" t="s">
        <v>26</v>
      </c>
      <c r="K2217" s="1" t="s">
        <v>1898</v>
      </c>
      <c r="L2217" s="1" t="s">
        <v>26</v>
      </c>
      <c r="M2217" s="1" t="s">
        <v>27</v>
      </c>
      <c r="N2217" s="1" t="s">
        <v>26</v>
      </c>
      <c r="O2217" s="1" t="s">
        <v>26</v>
      </c>
      <c r="P2217" s="4">
        <v>44690.538402777776</v>
      </c>
    </row>
    <row r="2218" hidden="1">
      <c r="A2218" s="1" t="s">
        <v>21</v>
      </c>
      <c r="B2218" s="3" t="str">
        <f>HYPERLINK("https://hawk-eye.atlassian.net/browse/HWKREPORT-1181?atlOrigin=eyJpIjoiYzgwYTQ0ZjEyNzQzNGJhN2JmNjEyZTM0NmRhZWZhNjIiLCJwIjoic2hlZXRzLWppcmEifQ","HWKREPORT-1181")</f>
        <v>HWKREPORT-1181</v>
      </c>
      <c r="C2218" s="1" t="s">
        <v>3494</v>
      </c>
      <c r="D2218" s="1" t="s">
        <v>40</v>
      </c>
      <c r="E2218" s="1" t="s">
        <v>35</v>
      </c>
      <c r="F2218" s="4">
        <v>44659.673055555555</v>
      </c>
      <c r="G2218" s="3" t="str">
        <f>HYPERLINK("https://hawk-eye.atlassian.net/browse/VVC-272?atlOrigin=eyJpIjoiYzgwYTQ0ZjEyNzQzNGJhN2JmNjEyZTM0NmRhZWZhNjIiLCJwIjoic2hlZXRzLWppcmEifQ","VVC-272")</f>
        <v>VVC-272</v>
      </c>
      <c r="H2218" s="1" t="s">
        <v>1058</v>
      </c>
      <c r="I2218" s="1" t="s">
        <v>1502</v>
      </c>
      <c r="J2218" s="1" t="s">
        <v>26</v>
      </c>
      <c r="K2218" s="1" t="s">
        <v>1247</v>
      </c>
      <c r="L2218" s="1" t="s">
        <v>26</v>
      </c>
      <c r="M2218" s="1" t="s">
        <v>27</v>
      </c>
      <c r="N2218" s="1" t="s">
        <v>26</v>
      </c>
      <c r="O2218" s="1" t="s">
        <v>26</v>
      </c>
      <c r="P2218" s="4">
        <v>44693.39622685185</v>
      </c>
    </row>
    <row r="2219">
      <c r="A2219" s="1" t="s">
        <v>21</v>
      </c>
      <c r="B2219" s="3" t="str">
        <f>HYPERLINK("https://hawk-eye.atlassian.net/browse/HWKREPORT-1182?atlOrigin=eyJpIjoiYzgwYTQ0ZjEyNzQzNGJhN2JmNjEyZTM0NmRhZWZhNjIiLCJwIjoic2hlZXRzLWppcmEifQ","HWKREPORT-1182")</f>
        <v>HWKREPORT-1182</v>
      </c>
      <c r="C2219" s="1" t="s">
        <v>3495</v>
      </c>
      <c r="D2219" s="1" t="s">
        <v>23</v>
      </c>
      <c r="E2219" s="1" t="s">
        <v>35</v>
      </c>
      <c r="F2219" s="4">
        <v>44659.73837962963</v>
      </c>
      <c r="G2219" s="3" t="str">
        <f>HYPERLINK("https://hawk-eye.atlassian.net/browse/RTT-4877?atlOrigin=eyJpIjoiYzgwYTQ0ZjEyNzQzNGJhN2JmNjEyZTM0NmRhZWZhNjIiLCJwIjoic2hlZXRzLWppcmEifQ","RTT-4877")</f>
        <v>RTT-4877</v>
      </c>
      <c r="H2219" s="1" t="s">
        <v>1058</v>
      </c>
      <c r="I2219" s="1" t="s">
        <v>28</v>
      </c>
      <c r="J2219" s="1" t="s">
        <v>26</v>
      </c>
      <c r="K2219" s="1" t="s">
        <v>1072</v>
      </c>
      <c r="L2219" s="1" t="s">
        <v>26</v>
      </c>
      <c r="M2219" s="1" t="s">
        <v>27</v>
      </c>
      <c r="N2219" s="1" t="s">
        <v>26</v>
      </c>
      <c r="O2219" s="1" t="s">
        <v>26</v>
      </c>
      <c r="P2219" s="4">
        <v>44684.63862268518</v>
      </c>
    </row>
    <row r="2220" hidden="1">
      <c r="A2220" s="1" t="s">
        <v>1055</v>
      </c>
      <c r="B2220" s="3" t="str">
        <f>HYPERLINK("https://hawk-eye.atlassian.net/browse/HWKREPORT-1183?atlOrigin=eyJpIjoiYzgwYTQ0ZjEyNzQzNGJhN2JmNjEyZTM0NmRhZWZhNjIiLCJwIjoic2hlZXRzLWppcmEifQ","HWKREPORT-1183")</f>
        <v>HWKREPORT-1183</v>
      </c>
      <c r="C2220" s="1" t="s">
        <v>3496</v>
      </c>
      <c r="D2220" s="1" t="s">
        <v>23</v>
      </c>
      <c r="E2220" s="1" t="s">
        <v>1057</v>
      </c>
      <c r="F2220" s="4">
        <v>44660.83837962963</v>
      </c>
      <c r="G2220" s="3" t="str">
        <f>HYPERLINK("https://hawk-eye.atlassian.net/browse/RTT-4874?atlOrigin=eyJpIjoiYzgwYTQ0ZjEyNzQzNGJhN2JmNjEyZTM0NmRhZWZhNjIiLCJwIjoic2hlZXRzLWppcmEifQ","RTT-4874")</f>
        <v>RTT-4874</v>
      </c>
      <c r="H2220" s="1" t="s">
        <v>1058</v>
      </c>
      <c r="I2220" s="1" t="s">
        <v>1071</v>
      </c>
      <c r="J2220" s="1" t="s">
        <v>26</v>
      </c>
      <c r="K2220" s="1" t="s">
        <v>1312</v>
      </c>
      <c r="L2220" s="1" t="s">
        <v>26</v>
      </c>
      <c r="M2220" s="1" t="s">
        <v>27</v>
      </c>
      <c r="N2220" s="1" t="s">
        <v>26</v>
      </c>
      <c r="O2220" s="1" t="s">
        <v>26</v>
      </c>
      <c r="P2220" s="4">
        <v>44660.8383912037</v>
      </c>
    </row>
    <row r="2221" hidden="1">
      <c r="A2221" s="1" t="s">
        <v>1055</v>
      </c>
      <c r="B2221" s="3" t="str">
        <f>HYPERLINK("https://hawk-eye.atlassian.net/browse/HWKREPORT-1184?atlOrigin=eyJpIjoiYzgwYTQ0ZjEyNzQzNGJhN2JmNjEyZTM0NmRhZWZhNjIiLCJwIjoic2hlZXRzLWppcmEifQ","HWKREPORT-1184")</f>
        <v>HWKREPORT-1184</v>
      </c>
      <c r="C2221" s="1" t="s">
        <v>3497</v>
      </c>
      <c r="D2221" s="1" t="s">
        <v>23</v>
      </c>
      <c r="E2221" s="1" t="s">
        <v>1057</v>
      </c>
      <c r="F2221" s="4">
        <v>44662.576377314814</v>
      </c>
      <c r="G2221" s="3" t="str">
        <f>HYPERLINK("https://hawk-eye.atlassian.net/browse/?atlOrigin=eyJpIjoiYzgwYTQ0ZjEyNzQzNGJhN2JmNjEyZTM0NmRhZWZhNjIiLCJwIjoic2hlZXRzLWppcmEifQ","")</f>
        <v/>
      </c>
      <c r="H2221" s="1" t="s">
        <v>1058</v>
      </c>
      <c r="I2221" s="1" t="s">
        <v>1085</v>
      </c>
      <c r="J2221" s="1" t="s">
        <v>26</v>
      </c>
      <c r="K2221" s="1" t="s">
        <v>1219</v>
      </c>
      <c r="L2221" s="1" t="s">
        <v>26</v>
      </c>
      <c r="M2221" s="1" t="s">
        <v>27</v>
      </c>
      <c r="N2221" s="1" t="s">
        <v>26</v>
      </c>
      <c r="O2221" s="1" t="s">
        <v>26</v>
      </c>
      <c r="P2221" s="4">
        <v>44662.57638888889</v>
      </c>
    </row>
    <row r="2222" hidden="1">
      <c r="A2222" s="1" t="s">
        <v>1055</v>
      </c>
      <c r="B2222" s="3" t="str">
        <f>HYPERLINK("https://hawk-eye.atlassian.net/browse/HWKREPORT-1185?atlOrigin=eyJpIjoiYzgwYTQ0ZjEyNzQzNGJhN2JmNjEyZTM0NmRhZWZhNjIiLCJwIjoic2hlZXRzLWppcmEifQ","HWKREPORT-1185")</f>
        <v>HWKREPORT-1185</v>
      </c>
      <c r="C2222" s="1" t="s">
        <v>3498</v>
      </c>
      <c r="D2222" s="1" t="s">
        <v>23</v>
      </c>
      <c r="E2222" s="1" t="s">
        <v>35</v>
      </c>
      <c r="F2222" s="4">
        <v>44662.57803240741</v>
      </c>
      <c r="G2222" s="3" t="str">
        <f>HYPERLINK("https://hawk-eye.atlassian.net/browse/AL-290?atlOrigin=eyJpIjoiYzgwYTQ0ZjEyNzQzNGJhN2JmNjEyZTM0NmRhZWZhNjIiLCJwIjoic2hlZXRzLWppcmEifQ","AL-290")</f>
        <v>AL-290</v>
      </c>
      <c r="H2222" s="1" t="s">
        <v>1058</v>
      </c>
      <c r="I2222" s="1" t="s">
        <v>1085</v>
      </c>
      <c r="J2222" s="1" t="s">
        <v>26</v>
      </c>
      <c r="K2222" s="1" t="s">
        <v>1219</v>
      </c>
      <c r="L2222" s="1" t="s">
        <v>26</v>
      </c>
      <c r="M2222" s="1" t="s">
        <v>27</v>
      </c>
      <c r="N2222" s="1" t="s">
        <v>26</v>
      </c>
      <c r="O2222" s="1" t="s">
        <v>26</v>
      </c>
      <c r="P2222" s="4">
        <v>44958.35530092593</v>
      </c>
    </row>
    <row r="2223" hidden="1">
      <c r="A2223" s="1" t="s">
        <v>1055</v>
      </c>
      <c r="B2223" s="3" t="str">
        <f>HYPERLINK("https://hawk-eye.atlassian.net/browse/HWKREPORT-1186?atlOrigin=eyJpIjoiYzgwYTQ0ZjEyNzQzNGJhN2JmNjEyZTM0NmRhZWZhNjIiLCJwIjoic2hlZXRzLWppcmEifQ","HWKREPORT-1186")</f>
        <v>HWKREPORT-1186</v>
      </c>
      <c r="C2223" s="6" t="s">
        <v>3499</v>
      </c>
      <c r="D2223" s="1" t="s">
        <v>23</v>
      </c>
      <c r="E2223" s="1" t="s">
        <v>1057</v>
      </c>
      <c r="F2223" s="4">
        <v>44662.581400462965</v>
      </c>
      <c r="G2223" s="3" t="str">
        <f t="shared" ref="G2223:G2224" si="162">HYPERLINK("https://hawk-eye.atlassian.net/browse/?atlOrigin=eyJpIjoiYzgwYTQ0ZjEyNzQzNGJhN2JmNjEyZTM0NmRhZWZhNjIiLCJwIjoic2hlZXRzLWppcmEifQ","")</f>
        <v/>
      </c>
      <c r="H2223" s="1" t="s">
        <v>1058</v>
      </c>
      <c r="I2223" s="1" t="s">
        <v>1085</v>
      </c>
      <c r="J2223" s="1" t="s">
        <v>26</v>
      </c>
      <c r="K2223" s="1" t="s">
        <v>1219</v>
      </c>
      <c r="L2223" s="1" t="s">
        <v>26</v>
      </c>
      <c r="M2223" s="1" t="s">
        <v>27</v>
      </c>
      <c r="N2223" s="1" t="s">
        <v>26</v>
      </c>
      <c r="O2223" s="1" t="s">
        <v>26</v>
      </c>
      <c r="P2223" s="4">
        <v>44662.581400462965</v>
      </c>
    </row>
    <row r="2224" hidden="1">
      <c r="A2224" s="1" t="s">
        <v>1055</v>
      </c>
      <c r="B2224" s="3" t="str">
        <f>HYPERLINK("https://hawk-eye.atlassian.net/browse/HWKREPORT-1187?atlOrigin=eyJpIjoiYzgwYTQ0ZjEyNzQzNGJhN2JmNjEyZTM0NmRhZWZhNjIiLCJwIjoic2hlZXRzLWppcmEifQ","HWKREPORT-1187")</f>
        <v>HWKREPORT-1187</v>
      </c>
      <c r="C2224" s="1" t="s">
        <v>3500</v>
      </c>
      <c r="D2224" s="1" t="s">
        <v>23</v>
      </c>
      <c r="E2224" s="1" t="s">
        <v>1057</v>
      </c>
      <c r="F2224" s="4">
        <v>44662.58560185185</v>
      </c>
      <c r="G2224" s="3" t="str">
        <f t="shared" si="162"/>
        <v/>
      </c>
      <c r="H2224" s="1" t="s">
        <v>1058</v>
      </c>
      <c r="I2224" s="1" t="s">
        <v>1085</v>
      </c>
      <c r="J2224" s="1" t="s">
        <v>26</v>
      </c>
      <c r="K2224" s="1" t="s">
        <v>1219</v>
      </c>
      <c r="L2224" s="1" t="s">
        <v>26</v>
      </c>
      <c r="M2224" s="1" t="s">
        <v>27</v>
      </c>
      <c r="N2224" s="1" t="s">
        <v>26</v>
      </c>
      <c r="O2224" s="1" t="s">
        <v>26</v>
      </c>
      <c r="P2224" s="4">
        <v>44662.58561342592</v>
      </c>
    </row>
    <row r="2225" hidden="1">
      <c r="A2225" s="1" t="s">
        <v>1055</v>
      </c>
      <c r="B2225" s="3" t="str">
        <f>HYPERLINK("https://hawk-eye.atlassian.net/browse/HWKREPORT-1188?atlOrigin=eyJpIjoiYzgwYTQ0ZjEyNzQzNGJhN2JmNjEyZTM0NmRhZWZhNjIiLCJwIjoic2hlZXRzLWppcmEifQ","HWKREPORT-1188")</f>
        <v>HWKREPORT-1188</v>
      </c>
      <c r="C2225" s="1" t="s">
        <v>3501</v>
      </c>
      <c r="D2225" s="1" t="s">
        <v>23</v>
      </c>
      <c r="E2225" s="1" t="s">
        <v>35</v>
      </c>
      <c r="F2225" s="4">
        <v>44662.58828703704</v>
      </c>
      <c r="G2225" s="3" t="str">
        <f>HYPERLINK("https://hawk-eye.atlassian.net/browse/AL-293?atlOrigin=eyJpIjoiYzgwYTQ0ZjEyNzQzNGJhN2JmNjEyZTM0NmRhZWZhNjIiLCJwIjoic2hlZXRzLWppcmEifQ","AL-293")</f>
        <v>AL-293</v>
      </c>
      <c r="H2225" s="1" t="s">
        <v>1058</v>
      </c>
      <c r="I2225" s="1" t="s">
        <v>1085</v>
      </c>
      <c r="J2225" s="1" t="s">
        <v>26</v>
      </c>
      <c r="K2225" s="1" t="s">
        <v>1219</v>
      </c>
      <c r="L2225" s="1" t="s">
        <v>26</v>
      </c>
      <c r="M2225" s="1" t="s">
        <v>27</v>
      </c>
      <c r="N2225" s="1" t="s">
        <v>26</v>
      </c>
      <c r="O2225" s="1" t="s">
        <v>26</v>
      </c>
      <c r="P2225" s="4">
        <v>44712.719930555555</v>
      </c>
    </row>
    <row r="2226" hidden="1">
      <c r="A2226" s="1" t="s">
        <v>1055</v>
      </c>
      <c r="B2226" s="3" t="str">
        <f>HYPERLINK("https://hawk-eye.atlassian.net/browse/HWKREPORT-1189?atlOrigin=eyJpIjoiYzgwYTQ0ZjEyNzQzNGJhN2JmNjEyZTM0NmRhZWZhNjIiLCJwIjoic2hlZXRzLWppcmEifQ","HWKREPORT-1189")</f>
        <v>HWKREPORT-1189</v>
      </c>
      <c r="C2226" s="1" t="s">
        <v>3502</v>
      </c>
      <c r="D2226" s="1" t="s">
        <v>23</v>
      </c>
      <c r="E2226" s="1" t="s">
        <v>1057</v>
      </c>
      <c r="F2226" s="4">
        <v>44662.58997685185</v>
      </c>
      <c r="G2226" s="3" t="str">
        <f t="shared" ref="G2226:G2229" si="163">HYPERLINK("https://hawk-eye.atlassian.net/browse/?atlOrigin=eyJpIjoiYzgwYTQ0ZjEyNzQzNGJhN2JmNjEyZTM0NmRhZWZhNjIiLCJwIjoic2hlZXRzLWppcmEifQ","")</f>
        <v/>
      </c>
      <c r="H2226" s="1" t="s">
        <v>1058</v>
      </c>
      <c r="I2226" s="1" t="s">
        <v>1085</v>
      </c>
      <c r="J2226" s="1" t="s">
        <v>26</v>
      </c>
      <c r="K2226" s="1" t="s">
        <v>1219</v>
      </c>
      <c r="L2226" s="1" t="s">
        <v>26</v>
      </c>
      <c r="M2226" s="1" t="s">
        <v>27</v>
      </c>
      <c r="N2226" s="1" t="s">
        <v>26</v>
      </c>
      <c r="O2226" s="1" t="s">
        <v>26</v>
      </c>
      <c r="P2226" s="4">
        <v>44662.58997685185</v>
      </c>
    </row>
    <row r="2227" hidden="1">
      <c r="A2227" s="1" t="s">
        <v>1055</v>
      </c>
      <c r="B2227" s="3" t="str">
        <f>HYPERLINK("https://hawk-eye.atlassian.net/browse/HWKREPORT-1190?atlOrigin=eyJpIjoiYzgwYTQ0ZjEyNzQzNGJhN2JmNjEyZTM0NmRhZWZhNjIiLCJwIjoic2hlZXRzLWppcmEifQ","HWKREPORT-1190")</f>
        <v>HWKREPORT-1190</v>
      </c>
      <c r="C2227" s="6" t="s">
        <v>3503</v>
      </c>
      <c r="D2227" s="1" t="s">
        <v>23</v>
      </c>
      <c r="E2227" s="1" t="s">
        <v>1057</v>
      </c>
      <c r="F2227" s="4">
        <v>44662.59473379629</v>
      </c>
      <c r="G2227" s="3" t="str">
        <f t="shared" si="163"/>
        <v/>
      </c>
      <c r="H2227" s="1" t="s">
        <v>1058</v>
      </c>
      <c r="I2227" s="1" t="s">
        <v>1085</v>
      </c>
      <c r="J2227" s="1" t="s">
        <v>26</v>
      </c>
      <c r="K2227" s="1" t="s">
        <v>1219</v>
      </c>
      <c r="L2227" s="1" t="s">
        <v>26</v>
      </c>
      <c r="M2227" s="1" t="s">
        <v>27</v>
      </c>
      <c r="N2227" s="1" t="s">
        <v>26</v>
      </c>
      <c r="O2227" s="1" t="s">
        <v>26</v>
      </c>
      <c r="P2227" s="4">
        <v>44662.59474537037</v>
      </c>
    </row>
    <row r="2228" hidden="1">
      <c r="A2228" s="1" t="s">
        <v>21</v>
      </c>
      <c r="B2228" s="3" t="str">
        <f>HYPERLINK("https://hawk-eye.atlassian.net/browse/HWKREPORT-1191?atlOrigin=eyJpIjoiYzgwYTQ0ZjEyNzQzNGJhN2JmNjEyZTM0NmRhZWZhNjIiLCJwIjoic2hlZXRzLWppcmEifQ","HWKREPORT-1191")</f>
        <v>HWKREPORT-1191</v>
      </c>
      <c r="C2228" s="1" t="s">
        <v>3504</v>
      </c>
      <c r="D2228" s="1" t="s">
        <v>34</v>
      </c>
      <c r="E2228" s="1" t="s">
        <v>1057</v>
      </c>
      <c r="F2228" s="4">
        <v>44662.59678240741</v>
      </c>
      <c r="G2228" s="3" t="str">
        <f t="shared" si="163"/>
        <v/>
      </c>
      <c r="H2228" s="1" t="s">
        <v>1058</v>
      </c>
      <c r="I2228" s="1" t="s">
        <v>1085</v>
      </c>
      <c r="J2228" s="1" t="s">
        <v>26</v>
      </c>
      <c r="K2228" s="1" t="s">
        <v>1219</v>
      </c>
      <c r="L2228" s="1" t="s">
        <v>26</v>
      </c>
      <c r="M2228" s="1" t="s">
        <v>27</v>
      </c>
      <c r="N2228" s="1" t="s">
        <v>26</v>
      </c>
      <c r="O2228" s="1" t="s">
        <v>26</v>
      </c>
      <c r="P2228" s="4">
        <v>44662.59678240741</v>
      </c>
    </row>
    <row r="2229" hidden="1">
      <c r="A2229" s="1" t="s">
        <v>21</v>
      </c>
      <c r="B2229" s="3" t="str">
        <f>HYPERLINK("https://hawk-eye.atlassian.net/browse/HWKREPORT-1192?atlOrigin=eyJpIjoiYzgwYTQ0ZjEyNzQzNGJhN2JmNjEyZTM0NmRhZWZhNjIiLCJwIjoic2hlZXRzLWppcmEifQ","HWKREPORT-1192")</f>
        <v>HWKREPORT-1192</v>
      </c>
      <c r="C2229" s="1" t="s">
        <v>3505</v>
      </c>
      <c r="D2229" s="1" t="s">
        <v>40</v>
      </c>
      <c r="E2229" s="1" t="s">
        <v>1057</v>
      </c>
      <c r="F2229" s="4">
        <v>44662.59893518518</v>
      </c>
      <c r="G2229" s="3" t="str">
        <f t="shared" si="163"/>
        <v/>
      </c>
      <c r="H2229" s="1" t="s">
        <v>1058</v>
      </c>
      <c r="I2229" s="1" t="s">
        <v>1085</v>
      </c>
      <c r="J2229" s="1" t="s">
        <v>26</v>
      </c>
      <c r="K2229" s="1" t="s">
        <v>1219</v>
      </c>
      <c r="L2229" s="1" t="s">
        <v>26</v>
      </c>
      <c r="M2229" s="1" t="s">
        <v>27</v>
      </c>
      <c r="N2229" s="1" t="s">
        <v>26</v>
      </c>
      <c r="O2229" s="1" t="s">
        <v>26</v>
      </c>
      <c r="P2229" s="4">
        <v>44662.59893518518</v>
      </c>
    </row>
    <row r="2230" hidden="1">
      <c r="A2230" s="1" t="s">
        <v>21</v>
      </c>
      <c r="B2230" s="3" t="str">
        <f>HYPERLINK("https://hawk-eye.atlassian.net/browse/HWKREPORT-1193?atlOrigin=eyJpIjoiYzgwYTQ0ZjEyNzQzNGJhN2JmNjEyZTM0NmRhZWZhNjIiLCJwIjoic2hlZXRzLWppcmEifQ","HWKREPORT-1193")</f>
        <v>HWKREPORT-1193</v>
      </c>
      <c r="C2230" s="1" t="s">
        <v>3506</v>
      </c>
      <c r="D2230" s="1" t="s">
        <v>40</v>
      </c>
      <c r="E2230" s="1" t="s">
        <v>35</v>
      </c>
      <c r="F2230" s="4">
        <v>44662.61471064815</v>
      </c>
      <c r="G2230" s="3" t="str">
        <f>HYPERLINK("https://hawk-eye.atlassian.net/browse/CONFIG-704?atlOrigin=eyJpIjoiYzgwYTQ0ZjEyNzQzNGJhN2JmNjEyZTM0NmRhZWZhNjIiLCJwIjoic2hlZXRzLWppcmEifQ","CONFIG-704")</f>
        <v>CONFIG-704</v>
      </c>
      <c r="H2230" s="1" t="s">
        <v>1058</v>
      </c>
      <c r="I2230" s="1" t="s">
        <v>1085</v>
      </c>
      <c r="J2230" s="1" t="s">
        <v>26</v>
      </c>
      <c r="K2230" s="1" t="s">
        <v>1134</v>
      </c>
      <c r="L2230" s="1" t="s">
        <v>26</v>
      </c>
      <c r="M2230" s="1" t="s">
        <v>27</v>
      </c>
      <c r="N2230" s="1" t="s">
        <v>26</v>
      </c>
      <c r="O2230" s="1" t="s">
        <v>26</v>
      </c>
      <c r="P2230" s="4">
        <v>44700.41092592593</v>
      </c>
    </row>
    <row r="2231" hidden="1">
      <c r="A2231" s="1" t="s">
        <v>21</v>
      </c>
      <c r="B2231" s="3" t="str">
        <f>HYPERLINK("https://hawk-eye.atlassian.net/browse/HWKREPORT-1194?atlOrigin=eyJpIjoiYzgwYTQ0ZjEyNzQzNGJhN2JmNjEyZTM0NmRhZWZhNjIiLCJwIjoic2hlZXRzLWppcmEifQ","HWKREPORT-1194")</f>
        <v>HWKREPORT-1194</v>
      </c>
      <c r="C2231" s="1" t="s">
        <v>3507</v>
      </c>
      <c r="D2231" s="1" t="s">
        <v>23</v>
      </c>
      <c r="E2231" s="1" t="s">
        <v>35</v>
      </c>
      <c r="F2231" s="4">
        <v>44662.621296296296</v>
      </c>
      <c r="G2231" s="3" t="str">
        <f>HYPERLINK("https://hawk-eye.atlassian.net/browse/RTT-4873?atlOrigin=eyJpIjoiYzgwYTQ0ZjEyNzQzNGJhN2JmNjEyZTM0NmRhZWZhNjIiLCJwIjoic2hlZXRzLWppcmEifQ","RTT-4873")</f>
        <v>RTT-4873</v>
      </c>
      <c r="H2231" s="1" t="s">
        <v>1058</v>
      </c>
      <c r="I2231" s="1" t="s">
        <v>1071</v>
      </c>
      <c r="J2231" s="1" t="s">
        <v>26</v>
      </c>
      <c r="K2231" s="1" t="s">
        <v>1072</v>
      </c>
      <c r="L2231" s="1" t="s">
        <v>26</v>
      </c>
      <c r="M2231" s="1" t="s">
        <v>27</v>
      </c>
      <c r="N2231" s="1" t="s">
        <v>26</v>
      </c>
      <c r="O2231" s="1" t="s">
        <v>26</v>
      </c>
      <c r="P2231" s="4">
        <v>44739.64375</v>
      </c>
    </row>
    <row r="2232">
      <c r="A2232" s="1" t="s">
        <v>21</v>
      </c>
      <c r="B2232" s="3" t="str">
        <f>HYPERLINK("https://hawk-eye.atlassian.net/browse/HWKREPORT-1195?atlOrigin=eyJpIjoiYzgwYTQ0ZjEyNzQzNGJhN2JmNjEyZTM0NmRhZWZhNjIiLCJwIjoic2hlZXRzLWppcmEifQ","HWKREPORT-1195")</f>
        <v>HWKREPORT-1195</v>
      </c>
      <c r="C2232" s="1" t="s">
        <v>3508</v>
      </c>
      <c r="D2232" s="1" t="s">
        <v>83</v>
      </c>
      <c r="E2232" s="1" t="s">
        <v>35</v>
      </c>
      <c r="F2232" s="4">
        <v>44662.67824074074</v>
      </c>
      <c r="G2232" s="3" t="str">
        <f>HYPERLINK("https://hawk-eye.atlassian.net/browse/?atlOrigin=eyJpIjoiYzgwYTQ0ZjEyNzQzNGJhN2JmNjEyZTM0NmRhZWZhNjIiLCJwIjoic2hlZXRzLWppcmEifQ","")</f>
        <v/>
      </c>
      <c r="H2232" s="1" t="s">
        <v>1058</v>
      </c>
      <c r="I2232" s="1" t="s">
        <v>28</v>
      </c>
      <c r="J2232" s="1" t="s">
        <v>26</v>
      </c>
      <c r="K2232" s="1" t="s">
        <v>2050</v>
      </c>
      <c r="L2232" s="1" t="s">
        <v>26</v>
      </c>
      <c r="M2232" s="1" t="s">
        <v>27</v>
      </c>
      <c r="N2232" s="1" t="s">
        <v>26</v>
      </c>
      <c r="O2232" s="1" t="s">
        <v>26</v>
      </c>
      <c r="P2232" s="4">
        <v>45084.414247685185</v>
      </c>
    </row>
    <row r="2233" hidden="1">
      <c r="A2233" s="1" t="s">
        <v>21</v>
      </c>
      <c r="B2233" s="3" t="str">
        <f>HYPERLINK("https://hawk-eye.atlassian.net/browse/HWKREPORT-1196?atlOrigin=eyJpIjoiYzgwYTQ0ZjEyNzQzNGJhN2JmNjEyZTM0NmRhZWZhNjIiLCJwIjoic2hlZXRzLWppcmEifQ","HWKREPORT-1196")</f>
        <v>HWKREPORT-1196</v>
      </c>
      <c r="C2233" s="1" t="s">
        <v>3509</v>
      </c>
      <c r="D2233" s="1" t="s">
        <v>34</v>
      </c>
      <c r="E2233" s="1" t="s">
        <v>35</v>
      </c>
      <c r="F2233" s="4">
        <v>44662.68021990741</v>
      </c>
      <c r="G2233" s="3" t="str">
        <f>HYPERLINK("https://hawk-eye.atlassian.net/browse/CONFIG-708?atlOrigin=eyJpIjoiYzgwYTQ0ZjEyNzQzNGJhN2JmNjEyZTM0NmRhZWZhNjIiLCJwIjoic2hlZXRzLWppcmEifQ","CONFIG-708")</f>
        <v>CONFIG-708</v>
      </c>
      <c r="H2233" s="1" t="s">
        <v>1058</v>
      </c>
      <c r="I2233" s="1" t="s">
        <v>1085</v>
      </c>
      <c r="J2233" s="1" t="s">
        <v>26</v>
      </c>
      <c r="K2233" s="1" t="s">
        <v>1134</v>
      </c>
      <c r="L2233" s="1" t="s">
        <v>26</v>
      </c>
      <c r="M2233" s="1" t="s">
        <v>27</v>
      </c>
      <c r="N2233" s="1" t="s">
        <v>26</v>
      </c>
      <c r="O2233" s="1" t="s">
        <v>26</v>
      </c>
      <c r="P2233" s="4">
        <v>44700.411099537036</v>
      </c>
    </row>
    <row r="2234" hidden="1">
      <c r="A2234" s="1" t="s">
        <v>21</v>
      </c>
      <c r="B2234" s="3" t="str">
        <f>HYPERLINK("https://hawk-eye.atlassian.net/browse/HWKREPORT-1197?atlOrigin=eyJpIjoiYzgwYTQ0ZjEyNzQzNGJhN2JmNjEyZTM0NmRhZWZhNjIiLCJwIjoic2hlZXRzLWppcmEifQ","HWKREPORT-1197")</f>
        <v>HWKREPORT-1197</v>
      </c>
      <c r="C2234" s="1" t="s">
        <v>3510</v>
      </c>
      <c r="D2234" s="1" t="s">
        <v>34</v>
      </c>
      <c r="E2234" s="1" t="s">
        <v>35</v>
      </c>
      <c r="F2234" s="4">
        <v>44662.74482638889</v>
      </c>
      <c r="G2234" s="3" t="str">
        <f t="shared" ref="G2234:G2236" si="164">HYPERLINK("https://hawk-eye.atlassian.net/browse/?atlOrigin=eyJpIjoiYzgwYTQ0ZjEyNzQzNGJhN2JmNjEyZTM0NmRhZWZhNjIiLCJwIjoic2hlZXRzLWppcmEifQ","")</f>
        <v/>
      </c>
      <c r="H2234" s="1" t="s">
        <v>1058</v>
      </c>
      <c r="I2234" s="1" t="s">
        <v>1085</v>
      </c>
      <c r="J2234" s="1" t="s">
        <v>26</v>
      </c>
      <c r="K2234" s="1" t="s">
        <v>1134</v>
      </c>
      <c r="L2234" s="1" t="s">
        <v>26</v>
      </c>
      <c r="M2234" s="1" t="s">
        <v>27</v>
      </c>
      <c r="N2234" s="1" t="s">
        <v>26</v>
      </c>
      <c r="O2234" s="1" t="s">
        <v>26</v>
      </c>
      <c r="P2234" s="4">
        <v>45315.51950231481</v>
      </c>
    </row>
    <row r="2235" hidden="1">
      <c r="A2235" s="1" t="s">
        <v>1055</v>
      </c>
      <c r="B2235" s="3" t="str">
        <f>HYPERLINK("https://hawk-eye.atlassian.net/browse/HWKREPORT-1198?atlOrigin=eyJpIjoiYzgwYTQ0ZjEyNzQzNGJhN2JmNjEyZTM0NmRhZWZhNjIiLCJwIjoic2hlZXRzLWppcmEifQ","HWKREPORT-1198")</f>
        <v>HWKREPORT-1198</v>
      </c>
      <c r="C2235" s="1" t="s">
        <v>3511</v>
      </c>
      <c r="D2235" s="1" t="s">
        <v>23</v>
      </c>
      <c r="E2235" s="1" t="s">
        <v>35</v>
      </c>
      <c r="F2235" s="4">
        <v>44662.74762731481</v>
      </c>
      <c r="G2235" s="3" t="str">
        <f t="shared" si="164"/>
        <v/>
      </c>
      <c r="H2235" s="1" t="s">
        <v>1058</v>
      </c>
      <c r="I2235" s="1" t="s">
        <v>1085</v>
      </c>
      <c r="J2235" s="1" t="s">
        <v>26</v>
      </c>
      <c r="K2235" s="1" t="s">
        <v>1102</v>
      </c>
      <c r="L2235" s="1" t="s">
        <v>26</v>
      </c>
      <c r="M2235" s="1" t="s">
        <v>27</v>
      </c>
      <c r="N2235" s="1" t="s">
        <v>26</v>
      </c>
      <c r="O2235" s="1" t="s">
        <v>26</v>
      </c>
      <c r="P2235" s="4">
        <v>44756.57554398148</v>
      </c>
    </row>
    <row r="2236" hidden="1">
      <c r="A2236" s="1" t="s">
        <v>1055</v>
      </c>
      <c r="B2236" s="3" t="str">
        <f>HYPERLINK("https://hawk-eye.atlassian.net/browse/HWKREPORT-1199?atlOrigin=eyJpIjoiYzgwYTQ0ZjEyNzQzNGJhN2JmNjEyZTM0NmRhZWZhNjIiLCJwIjoic2hlZXRzLWppcmEifQ","HWKREPORT-1199")</f>
        <v>HWKREPORT-1199</v>
      </c>
      <c r="C2236" s="1" t="s">
        <v>3512</v>
      </c>
      <c r="D2236" s="1" t="s">
        <v>23</v>
      </c>
      <c r="E2236" s="1" t="s">
        <v>35</v>
      </c>
      <c r="F2236" s="4">
        <v>44662.75077546296</v>
      </c>
      <c r="G2236" s="3" t="str">
        <f t="shared" si="164"/>
        <v/>
      </c>
      <c r="H2236" s="1" t="s">
        <v>1058</v>
      </c>
      <c r="I2236" s="1" t="s">
        <v>1085</v>
      </c>
      <c r="J2236" s="1" t="s">
        <v>26</v>
      </c>
      <c r="K2236" s="1" t="s">
        <v>1116</v>
      </c>
      <c r="L2236" s="1" t="s">
        <v>26</v>
      </c>
      <c r="M2236" s="1" t="s">
        <v>27</v>
      </c>
      <c r="N2236" s="1" t="s">
        <v>26</v>
      </c>
      <c r="O2236" s="1" t="s">
        <v>26</v>
      </c>
      <c r="P2236" s="4">
        <v>44704.590046296296</v>
      </c>
    </row>
    <row r="2237" hidden="1">
      <c r="A2237" s="1" t="s">
        <v>1055</v>
      </c>
      <c r="B2237" s="3" t="str">
        <f>HYPERLINK("https://hawk-eye.atlassian.net/browse/HWKREPORT-1200?atlOrigin=eyJpIjoiYzgwYTQ0ZjEyNzQzNGJhN2JmNjEyZTM0NmRhZWZhNjIiLCJwIjoic2hlZXRzLWppcmEifQ","HWKREPORT-1200")</f>
        <v>HWKREPORT-1200</v>
      </c>
      <c r="C2237" s="1" t="s">
        <v>3513</v>
      </c>
      <c r="D2237" s="1" t="s">
        <v>23</v>
      </c>
      <c r="E2237" s="1" t="s">
        <v>35</v>
      </c>
      <c r="F2237" s="4">
        <v>44662.75335648148</v>
      </c>
      <c r="G2237" s="3" t="str">
        <f>HYPERLINK("https://hawk-eye.atlassian.net/browse/SO-156?atlOrigin=eyJpIjoiYzgwYTQ0ZjEyNzQzNGJhN2JmNjEyZTM0NmRhZWZhNjIiLCJwIjoic2hlZXRzLWppcmEifQ","SO-156")</f>
        <v>SO-156</v>
      </c>
      <c r="H2237" s="1" t="s">
        <v>1058</v>
      </c>
      <c r="I2237" s="1" t="s">
        <v>1085</v>
      </c>
      <c r="J2237" s="1" t="s">
        <v>26</v>
      </c>
      <c r="K2237" s="1" t="s">
        <v>1102</v>
      </c>
      <c r="L2237" s="1" t="s">
        <v>26</v>
      </c>
      <c r="M2237" s="1" t="s">
        <v>27</v>
      </c>
      <c r="N2237" s="1" t="s">
        <v>26</v>
      </c>
      <c r="O2237" s="1" t="s">
        <v>26</v>
      </c>
      <c r="P2237" s="4">
        <v>44935.70892361111</v>
      </c>
    </row>
    <row r="2238">
      <c r="A2238" s="1" t="s">
        <v>21</v>
      </c>
      <c r="B2238" s="3" t="str">
        <f>HYPERLINK("https://hawk-eye.atlassian.net/browse/HWKREPORT-1201?atlOrigin=eyJpIjoiYzgwYTQ0ZjEyNzQzNGJhN2JmNjEyZTM0NmRhZWZhNjIiLCJwIjoic2hlZXRzLWppcmEifQ","HWKREPORT-1201")</f>
        <v>HWKREPORT-1201</v>
      </c>
      <c r="C2238" s="1" t="s">
        <v>3514</v>
      </c>
      <c r="D2238" s="1" t="s">
        <v>23</v>
      </c>
      <c r="E2238" s="1" t="s">
        <v>35</v>
      </c>
      <c r="F2238" s="4">
        <v>44662.75361111111</v>
      </c>
      <c r="G2238" s="3" t="str">
        <f>HYPERLINK("https://hawk-eye.atlassian.net/browse/RTT-4875?atlOrigin=eyJpIjoiYzgwYTQ0ZjEyNzQzNGJhN2JmNjEyZTM0NmRhZWZhNjIiLCJwIjoic2hlZXRzLWppcmEifQ","RTT-4875")</f>
        <v>RTT-4875</v>
      </c>
      <c r="H2238" s="1" t="s">
        <v>1058</v>
      </c>
      <c r="I2238" s="1" t="s">
        <v>28</v>
      </c>
      <c r="J2238" s="1" t="s">
        <v>26</v>
      </c>
      <c r="K2238" s="1" t="s">
        <v>1072</v>
      </c>
      <c r="L2238" s="1" t="s">
        <v>26</v>
      </c>
      <c r="M2238" s="1" t="s">
        <v>27</v>
      </c>
      <c r="N2238" s="1" t="s">
        <v>26</v>
      </c>
      <c r="O2238" s="1" t="s">
        <v>26</v>
      </c>
      <c r="P2238" s="4">
        <v>44678.61991898148</v>
      </c>
    </row>
    <row r="2239" hidden="1">
      <c r="A2239" s="1" t="s">
        <v>1055</v>
      </c>
      <c r="B2239" s="3" t="str">
        <f>HYPERLINK("https://hawk-eye.atlassian.net/browse/HWKREPORT-1202?atlOrigin=eyJpIjoiYzgwYTQ0ZjEyNzQzNGJhN2JmNjEyZTM0NmRhZWZhNjIiLCJwIjoic2hlZXRzLWppcmEifQ","HWKREPORT-1202")</f>
        <v>HWKREPORT-1202</v>
      </c>
      <c r="C2239" s="1" t="s">
        <v>3515</v>
      </c>
      <c r="D2239" s="1" t="s">
        <v>23</v>
      </c>
      <c r="E2239" s="1" t="s">
        <v>35</v>
      </c>
      <c r="F2239" s="4">
        <v>44662.75599537037</v>
      </c>
      <c r="G2239" s="3" t="str">
        <f>HYPERLINK("https://hawk-eye.atlassian.net/browse/SO-209?atlOrigin=eyJpIjoiYzgwYTQ0ZjEyNzQzNGJhN2JmNjEyZTM0NmRhZWZhNjIiLCJwIjoic2hlZXRzLWppcmEifQ","SO-209")</f>
        <v>SO-209</v>
      </c>
      <c r="H2239" s="1" t="s">
        <v>1058</v>
      </c>
      <c r="I2239" s="1" t="s">
        <v>1085</v>
      </c>
      <c r="J2239" s="1" t="s">
        <v>26</v>
      </c>
      <c r="K2239" s="1" t="s">
        <v>1102</v>
      </c>
      <c r="L2239" s="1" t="s">
        <v>26</v>
      </c>
      <c r="M2239" s="1" t="s">
        <v>27</v>
      </c>
      <c r="N2239" s="1" t="s">
        <v>26</v>
      </c>
      <c r="O2239" s="1" t="s">
        <v>26</v>
      </c>
      <c r="P2239" s="4">
        <v>44845.750763888886</v>
      </c>
    </row>
    <row r="2240" hidden="1">
      <c r="A2240" s="1" t="s">
        <v>1055</v>
      </c>
      <c r="B2240" s="3" t="str">
        <f>HYPERLINK("https://hawk-eye.atlassian.net/browse/HWKREPORT-1203?atlOrigin=eyJpIjoiYzgwYTQ0ZjEyNzQzNGJhN2JmNjEyZTM0NmRhZWZhNjIiLCJwIjoic2hlZXRzLWppcmEifQ","HWKREPORT-1203")</f>
        <v>HWKREPORT-1203</v>
      </c>
      <c r="C2240" s="1" t="s">
        <v>3516</v>
      </c>
      <c r="D2240" s="1" t="s">
        <v>23</v>
      </c>
      <c r="E2240" s="1" t="s">
        <v>1207</v>
      </c>
      <c r="F2240" s="4">
        <v>44662.75982638889</v>
      </c>
      <c r="G2240" s="3" t="str">
        <f t="shared" ref="G2240:G2241" si="165">HYPERLINK("https://hawk-eye.atlassian.net/browse/?atlOrigin=eyJpIjoiYzgwYTQ0ZjEyNzQzNGJhN2JmNjEyZTM0NmRhZWZhNjIiLCJwIjoic2hlZXRzLWppcmEifQ","")</f>
        <v/>
      </c>
      <c r="H2240" s="1" t="s">
        <v>1058</v>
      </c>
      <c r="I2240" s="1" t="s">
        <v>1085</v>
      </c>
      <c r="J2240" s="1" t="s">
        <v>26</v>
      </c>
      <c r="K2240" s="1" t="s">
        <v>3111</v>
      </c>
      <c r="L2240" s="1" t="s">
        <v>26</v>
      </c>
      <c r="M2240" s="1" t="s">
        <v>27</v>
      </c>
      <c r="N2240" s="1" t="s">
        <v>26</v>
      </c>
      <c r="O2240" s="1" t="s">
        <v>26</v>
      </c>
      <c r="P2240" s="4">
        <v>44929.4184837963</v>
      </c>
    </row>
    <row r="2241" hidden="1">
      <c r="A2241" s="1" t="s">
        <v>21</v>
      </c>
      <c r="B2241" s="3" t="str">
        <f>HYPERLINK("https://hawk-eye.atlassian.net/browse/HWKREPORT-1204?atlOrigin=eyJpIjoiYzgwYTQ0ZjEyNzQzNGJhN2JmNjEyZTM0NmRhZWZhNjIiLCJwIjoic2hlZXRzLWppcmEifQ","HWKREPORT-1204")</f>
        <v>HWKREPORT-1204</v>
      </c>
      <c r="C2241" s="1" t="s">
        <v>3517</v>
      </c>
      <c r="D2241" s="1" t="s">
        <v>40</v>
      </c>
      <c r="E2241" s="1" t="s">
        <v>1207</v>
      </c>
      <c r="F2241" s="4">
        <v>44662.78037037037</v>
      </c>
      <c r="G2241" s="3" t="str">
        <f t="shared" si="165"/>
        <v/>
      </c>
      <c r="H2241" s="1" t="s">
        <v>1058</v>
      </c>
      <c r="I2241" s="1" t="s">
        <v>1085</v>
      </c>
      <c r="J2241" s="1" t="s">
        <v>26</v>
      </c>
      <c r="K2241" s="1" t="s">
        <v>1072</v>
      </c>
      <c r="L2241" s="1" t="s">
        <v>26</v>
      </c>
      <c r="M2241" s="1" t="s">
        <v>27</v>
      </c>
      <c r="N2241" s="1" t="s">
        <v>26</v>
      </c>
      <c r="O2241" s="1" t="s">
        <v>26</v>
      </c>
      <c r="P2241" s="4">
        <v>44929.4184837963</v>
      </c>
    </row>
    <row r="2242" hidden="1">
      <c r="A2242" s="1" t="s">
        <v>21</v>
      </c>
      <c r="B2242" s="3" t="str">
        <f>HYPERLINK("https://hawk-eye.atlassian.net/browse/HWKREPORT-1205?atlOrigin=eyJpIjoiYzgwYTQ0ZjEyNzQzNGJhN2JmNjEyZTM0NmRhZWZhNjIiLCJwIjoic2hlZXRzLWppcmEifQ","HWKREPORT-1205")</f>
        <v>HWKREPORT-1205</v>
      </c>
      <c r="C2242" s="1" t="s">
        <v>3518</v>
      </c>
      <c r="D2242" s="1" t="s">
        <v>34</v>
      </c>
      <c r="E2242" s="1" t="s">
        <v>1541</v>
      </c>
      <c r="F2242" s="4">
        <v>44663.415925925925</v>
      </c>
      <c r="G2242" s="3" t="str">
        <f>HYPERLINK("https://hawk-eye.atlassian.net/issues/?atlOrigin=eyJpIjoiYzgwYTQ0ZjEyNzQzNGJhN2JmNjEyZTM0NmRhZWZhNjIiLCJwIjoic2hlZXRzLWppcmEifQ&amp;jql=key+in+%28RTT-5015%2CRTT-4876%29","RTT-5015;RTT-4876")</f>
        <v>RTT-5015;RTT-4876</v>
      </c>
      <c r="H2242" s="1" t="s">
        <v>1058</v>
      </c>
      <c r="I2242" s="1" t="s">
        <v>1085</v>
      </c>
      <c r="J2242" s="1" t="s">
        <v>26</v>
      </c>
      <c r="K2242" s="1" t="s">
        <v>1545</v>
      </c>
      <c r="L2242" s="1" t="s">
        <v>26</v>
      </c>
      <c r="M2242" s="1" t="s">
        <v>27</v>
      </c>
      <c r="N2242" s="1" t="s">
        <v>26</v>
      </c>
      <c r="O2242" s="1" t="s">
        <v>26</v>
      </c>
      <c r="P2242" s="4">
        <v>44995.42123842592</v>
      </c>
    </row>
    <row r="2243" hidden="1">
      <c r="A2243" s="1" t="s">
        <v>21</v>
      </c>
      <c r="B2243" s="3" t="str">
        <f>HYPERLINK("https://hawk-eye.atlassian.net/browse/HWKREPORT-1206?atlOrigin=eyJpIjoiYzgwYTQ0ZjEyNzQzNGJhN2JmNjEyZTM0NmRhZWZhNjIiLCJwIjoic2hlZXRzLWppcmEifQ","HWKREPORT-1206")</f>
        <v>HWKREPORT-1206</v>
      </c>
      <c r="C2243" s="1" t="s">
        <v>3519</v>
      </c>
      <c r="D2243" s="1" t="s">
        <v>23</v>
      </c>
      <c r="E2243" s="1" t="s">
        <v>35</v>
      </c>
      <c r="F2243" s="4">
        <v>44663.586435185185</v>
      </c>
      <c r="G2243" s="3" t="str">
        <f>HYPERLINK("https://hawk-eye.atlassian.net/browse/?atlOrigin=eyJpIjoiYzgwYTQ0ZjEyNzQzNGJhN2JmNjEyZTM0NmRhZWZhNjIiLCJwIjoic2hlZXRzLWppcmEifQ","")</f>
        <v/>
      </c>
      <c r="H2243" s="1" t="s">
        <v>1058</v>
      </c>
      <c r="I2243" s="1" t="s">
        <v>1085</v>
      </c>
      <c r="J2243" s="1" t="s">
        <v>26</v>
      </c>
      <c r="K2243" s="1" t="s">
        <v>1105</v>
      </c>
      <c r="L2243" s="1" t="s">
        <v>26</v>
      </c>
      <c r="M2243" s="1" t="s">
        <v>27</v>
      </c>
      <c r="N2243" s="1" t="s">
        <v>26</v>
      </c>
      <c r="O2243" s="1" t="s">
        <v>26</v>
      </c>
      <c r="P2243" s="4">
        <v>44840.464212962965</v>
      </c>
    </row>
    <row r="2244" hidden="1">
      <c r="A2244" s="1" t="s">
        <v>1055</v>
      </c>
      <c r="B2244" s="3" t="str">
        <f>HYPERLINK("https://hawk-eye.atlassian.net/browse/HWKREPORT-1207?atlOrigin=eyJpIjoiYzgwYTQ0ZjEyNzQzNGJhN2JmNjEyZTM0NmRhZWZhNjIiLCJwIjoic2hlZXRzLWppcmEifQ","HWKREPORT-1207")</f>
        <v>HWKREPORT-1207</v>
      </c>
      <c r="C2244" s="1" t="s">
        <v>3520</v>
      </c>
      <c r="D2244" s="1" t="s">
        <v>23</v>
      </c>
      <c r="E2244" s="1" t="s">
        <v>35</v>
      </c>
      <c r="F2244" s="4">
        <v>44663.75853009259</v>
      </c>
      <c r="G2244" s="3" t="str">
        <f>HYPERLINK("https://hawk-eye.atlassian.net/browse/RTT-4884?atlOrigin=eyJpIjoiYzgwYTQ0ZjEyNzQzNGJhN2JmNjEyZTM0NmRhZWZhNjIiLCJwIjoic2hlZXRzLWppcmEifQ","RTT-4884")</f>
        <v>RTT-4884</v>
      </c>
      <c r="H2244" s="1" t="s">
        <v>1058</v>
      </c>
      <c r="I2244" s="1" t="s">
        <v>1085</v>
      </c>
      <c r="J2244" s="1" t="s">
        <v>26</v>
      </c>
      <c r="K2244" s="1" t="s">
        <v>1362</v>
      </c>
      <c r="L2244" s="1" t="s">
        <v>26</v>
      </c>
      <c r="M2244" s="1" t="s">
        <v>27</v>
      </c>
      <c r="N2244" s="1" t="s">
        <v>26</v>
      </c>
      <c r="O2244" s="1" t="s">
        <v>26</v>
      </c>
      <c r="P2244" s="4">
        <v>44712.450590277775</v>
      </c>
    </row>
    <row r="2245" hidden="1">
      <c r="A2245" s="1" t="s">
        <v>1055</v>
      </c>
      <c r="B2245" s="3" t="str">
        <f>HYPERLINK("https://hawk-eye.atlassian.net/browse/HWKREPORT-1208?atlOrigin=eyJpIjoiYzgwYTQ0ZjEyNzQzNGJhN2JmNjEyZTM0NmRhZWZhNjIiLCJwIjoic2hlZXRzLWppcmEifQ","HWKREPORT-1208")</f>
        <v>HWKREPORT-1208</v>
      </c>
      <c r="C2245" s="1" t="s">
        <v>3521</v>
      </c>
      <c r="D2245" s="1" t="s">
        <v>23</v>
      </c>
      <c r="E2245" s="1" t="s">
        <v>35</v>
      </c>
      <c r="F2245" s="4">
        <v>44663.80936342593</v>
      </c>
      <c r="G2245" s="3" t="str">
        <f>HYPERLINK("https://hawk-eye.atlassian.net/browse/RTT-4882?atlOrigin=eyJpIjoiYzgwYTQ0ZjEyNzQzNGJhN2JmNjEyZTM0NmRhZWZhNjIiLCJwIjoic2hlZXRzLWppcmEifQ","RTT-4882")</f>
        <v>RTT-4882</v>
      </c>
      <c r="H2245" s="1" t="s">
        <v>1058</v>
      </c>
      <c r="I2245" s="1" t="s">
        <v>28</v>
      </c>
      <c r="J2245" s="1" t="s">
        <v>26</v>
      </c>
      <c r="K2245" s="1" t="s">
        <v>1072</v>
      </c>
      <c r="L2245" s="1" t="s">
        <v>26</v>
      </c>
      <c r="M2245" s="1" t="s">
        <v>27</v>
      </c>
      <c r="N2245" s="1" t="s">
        <v>26</v>
      </c>
      <c r="O2245" s="1" t="s">
        <v>26</v>
      </c>
      <c r="P2245" s="4">
        <v>44694.399409722224</v>
      </c>
    </row>
    <row r="2246" hidden="1">
      <c r="A2246" s="1" t="s">
        <v>1055</v>
      </c>
      <c r="B2246" s="3" t="str">
        <f>HYPERLINK("https://hawk-eye.atlassian.net/browse/HWKREPORT-1209?atlOrigin=eyJpIjoiYzgwYTQ0ZjEyNzQzNGJhN2JmNjEyZTM0NmRhZWZhNjIiLCJwIjoic2hlZXRzLWppcmEifQ","HWKREPORT-1209")</f>
        <v>HWKREPORT-1209</v>
      </c>
      <c r="C2246" s="1" t="s">
        <v>3522</v>
      </c>
      <c r="D2246" s="1" t="s">
        <v>23</v>
      </c>
      <c r="E2246" s="1" t="s">
        <v>35</v>
      </c>
      <c r="F2246" s="4">
        <v>44663.81361111111</v>
      </c>
      <c r="G2246" s="3" t="str">
        <f>HYPERLINK("https://hawk-eye.atlassian.net/browse/RTT-4881?atlOrigin=eyJpIjoiYzgwYTQ0ZjEyNzQzNGJhN2JmNjEyZTM0NmRhZWZhNjIiLCJwIjoic2hlZXRzLWppcmEifQ","RTT-4881")</f>
        <v>RTT-4881</v>
      </c>
      <c r="H2246" s="1" t="s">
        <v>1058</v>
      </c>
      <c r="I2246" s="1" t="s">
        <v>28</v>
      </c>
      <c r="J2246" s="1" t="s">
        <v>26</v>
      </c>
      <c r="K2246" s="1" t="s">
        <v>1072</v>
      </c>
      <c r="L2246" s="1" t="s">
        <v>26</v>
      </c>
      <c r="M2246" s="1" t="s">
        <v>27</v>
      </c>
      <c r="N2246" s="1" t="s">
        <v>26</v>
      </c>
      <c r="O2246" s="1" t="s">
        <v>26</v>
      </c>
      <c r="P2246" s="4">
        <v>45524.732152777775</v>
      </c>
    </row>
    <row r="2247" hidden="1">
      <c r="A2247" s="1" t="s">
        <v>1055</v>
      </c>
      <c r="B2247" s="3" t="str">
        <f>HYPERLINK("https://hawk-eye.atlassian.net/browse/HWKREPORT-1210?atlOrigin=eyJpIjoiYzgwYTQ0ZjEyNzQzNGJhN2JmNjEyZTM0NmRhZWZhNjIiLCJwIjoic2hlZXRzLWppcmEifQ","HWKREPORT-1210")</f>
        <v>HWKREPORT-1210</v>
      </c>
      <c r="C2247" s="1" t="s">
        <v>3523</v>
      </c>
      <c r="D2247" s="1" t="s">
        <v>23</v>
      </c>
      <c r="E2247" s="1" t="s">
        <v>35</v>
      </c>
      <c r="F2247" s="4">
        <v>44663.999131944445</v>
      </c>
      <c r="G2247" s="3" t="str">
        <f>HYPERLINK("https://hawk-eye.atlassian.net/browse/RTT-4758?atlOrigin=eyJpIjoiYzgwYTQ0ZjEyNzQzNGJhN2JmNjEyZTM0NmRhZWZhNjIiLCJwIjoic2hlZXRzLWppcmEifQ","RTT-4758")</f>
        <v>RTT-4758</v>
      </c>
      <c r="H2247" s="1" t="s">
        <v>1058</v>
      </c>
      <c r="I2247" s="1" t="s">
        <v>1071</v>
      </c>
      <c r="J2247" s="1" t="s">
        <v>26</v>
      </c>
      <c r="K2247" s="1" t="s">
        <v>3524</v>
      </c>
      <c r="L2247" s="1" t="s">
        <v>26</v>
      </c>
      <c r="M2247" s="1" t="s">
        <v>27</v>
      </c>
      <c r="N2247" s="1" t="s">
        <v>26</v>
      </c>
      <c r="O2247" s="1" t="s">
        <v>26</v>
      </c>
      <c r="P2247" s="4">
        <v>44783.36662037037</v>
      </c>
    </row>
    <row r="2248" hidden="1">
      <c r="A2248" s="1" t="s">
        <v>21</v>
      </c>
      <c r="B2248" s="3" t="str">
        <f>HYPERLINK("https://hawk-eye.atlassian.net/browse/HWKREPORT-1211?atlOrigin=eyJpIjoiYzgwYTQ0ZjEyNzQzNGJhN2JmNjEyZTM0NmRhZWZhNjIiLCJwIjoic2hlZXRzLWppcmEifQ","HWKREPORT-1211")</f>
        <v>HWKREPORT-1211</v>
      </c>
      <c r="C2248" s="1" t="s">
        <v>3525</v>
      </c>
      <c r="D2248" s="1" t="s">
        <v>34</v>
      </c>
      <c r="E2248" s="1" t="s">
        <v>35</v>
      </c>
      <c r="F2248" s="4">
        <v>44664.431180555555</v>
      </c>
      <c r="G2248" s="3" t="str">
        <f>HYPERLINK("https://hawk-eye.atlassian.net/browse/ST-2608?atlOrigin=eyJpIjoiYzgwYTQ0ZjEyNzQzNGJhN2JmNjEyZTM0NmRhZWZhNjIiLCJwIjoic2hlZXRzLWppcmEifQ","ST-2608")</f>
        <v>ST-2608</v>
      </c>
      <c r="H2248" s="1" t="s">
        <v>1058</v>
      </c>
      <c r="I2248" s="1" t="s">
        <v>1126</v>
      </c>
      <c r="J2248" s="1" t="s">
        <v>26</v>
      </c>
      <c r="K2248" s="1" t="s">
        <v>1241</v>
      </c>
      <c r="L2248" s="1" t="s">
        <v>26</v>
      </c>
      <c r="M2248" s="1" t="s">
        <v>27</v>
      </c>
      <c r="N2248" s="1" t="s">
        <v>26</v>
      </c>
      <c r="O2248" s="1" t="s">
        <v>26</v>
      </c>
      <c r="P2248" s="4">
        <v>44693.39569444444</v>
      </c>
    </row>
    <row r="2249" hidden="1">
      <c r="A2249" s="1" t="s">
        <v>21</v>
      </c>
      <c r="B2249" s="3" t="str">
        <f>HYPERLINK("https://hawk-eye.atlassian.net/browse/HWKREPORT-1212?atlOrigin=eyJpIjoiYzgwYTQ0ZjEyNzQzNGJhN2JmNjEyZTM0NmRhZWZhNjIiLCJwIjoic2hlZXRzLWppcmEifQ","HWKREPORT-1212")</f>
        <v>HWKREPORT-1212</v>
      </c>
      <c r="C2249" s="1" t="s">
        <v>3526</v>
      </c>
      <c r="D2249" s="1" t="s">
        <v>23</v>
      </c>
      <c r="E2249" s="1" t="s">
        <v>35</v>
      </c>
      <c r="F2249" s="4">
        <v>44664.45990740741</v>
      </c>
      <c r="G2249" s="3" t="str">
        <f>HYPERLINK("https://hawk-eye.atlassian.net/browse/ST-2609?atlOrigin=eyJpIjoiYzgwYTQ0ZjEyNzQzNGJhN2JmNjEyZTM0NmRhZWZhNjIiLCJwIjoic2hlZXRzLWppcmEifQ","ST-2609")</f>
        <v>ST-2609</v>
      </c>
      <c r="H2249" s="1" t="s">
        <v>1058</v>
      </c>
      <c r="I2249" s="1" t="s">
        <v>1126</v>
      </c>
      <c r="J2249" s="1" t="s">
        <v>26</v>
      </c>
      <c r="K2249" s="1" t="s">
        <v>1241</v>
      </c>
      <c r="L2249" s="1" t="s">
        <v>26</v>
      </c>
      <c r="M2249" s="1" t="s">
        <v>27</v>
      </c>
      <c r="N2249" s="1" t="s">
        <v>26</v>
      </c>
      <c r="O2249" s="1" t="s">
        <v>26</v>
      </c>
      <c r="P2249" s="4">
        <v>44684.59216435185</v>
      </c>
    </row>
    <row r="2250" hidden="1">
      <c r="A2250" s="1" t="s">
        <v>21</v>
      </c>
      <c r="B2250" s="3" t="str">
        <f>HYPERLINK("https://hawk-eye.atlassian.net/browse/HWKREPORT-1213?atlOrigin=eyJpIjoiYzgwYTQ0ZjEyNzQzNGJhN2JmNjEyZTM0NmRhZWZhNjIiLCJwIjoic2hlZXRzLWppcmEifQ","HWKREPORT-1213")</f>
        <v>HWKREPORT-1213</v>
      </c>
      <c r="C2250" s="1" t="s">
        <v>3527</v>
      </c>
      <c r="D2250" s="1" t="s">
        <v>40</v>
      </c>
      <c r="E2250" s="1" t="s">
        <v>35</v>
      </c>
      <c r="F2250" s="4">
        <v>44664.51267361111</v>
      </c>
      <c r="G2250" s="3" t="str">
        <f>HYPERLINK("https://hawk-eye.atlassian.net/browse/?atlOrigin=eyJpIjoiYzgwYTQ0ZjEyNzQzNGJhN2JmNjEyZTM0NmRhZWZhNjIiLCJwIjoic2hlZXRzLWppcmEifQ","")</f>
        <v/>
      </c>
      <c r="H2250" s="1" t="s">
        <v>1058</v>
      </c>
      <c r="I2250" s="1" t="s">
        <v>1085</v>
      </c>
      <c r="J2250" s="1" t="s">
        <v>26</v>
      </c>
      <c r="K2250" s="1" t="s">
        <v>1080</v>
      </c>
      <c r="L2250" s="1" t="s">
        <v>26</v>
      </c>
      <c r="M2250" s="1" t="s">
        <v>27</v>
      </c>
      <c r="N2250" s="1" t="s">
        <v>26</v>
      </c>
      <c r="O2250" s="1" t="s">
        <v>26</v>
      </c>
      <c r="P2250" s="4">
        <v>44665.57361111111</v>
      </c>
    </row>
    <row r="2251" hidden="1">
      <c r="A2251" s="1" t="s">
        <v>1055</v>
      </c>
      <c r="B2251" s="3" t="str">
        <f>HYPERLINK("https://hawk-eye.atlassian.net/browse/HWKREPORT-1214?atlOrigin=eyJpIjoiYzgwYTQ0ZjEyNzQzNGJhN2JmNjEyZTM0NmRhZWZhNjIiLCJwIjoic2hlZXRzLWppcmEifQ","HWKREPORT-1214")</f>
        <v>HWKREPORT-1214</v>
      </c>
      <c r="C2251" s="1" t="s">
        <v>3528</v>
      </c>
      <c r="D2251" s="1" t="s">
        <v>23</v>
      </c>
      <c r="E2251" s="1" t="s">
        <v>35</v>
      </c>
      <c r="F2251" s="4">
        <v>44664.53103009259</v>
      </c>
      <c r="G2251" s="3" t="str">
        <f>HYPERLINK("https://hawk-eye.atlassian.net/browse/VVC-274?atlOrigin=eyJpIjoiYzgwYTQ0ZjEyNzQzNGJhN2JmNjEyZTM0NmRhZWZhNjIiLCJwIjoic2hlZXRzLWppcmEifQ","VVC-274")</f>
        <v>VVC-274</v>
      </c>
      <c r="H2251" s="1" t="s">
        <v>1058</v>
      </c>
      <c r="I2251" s="1" t="s">
        <v>1082</v>
      </c>
      <c r="J2251" s="1" t="s">
        <v>26</v>
      </c>
      <c r="K2251" s="1" t="s">
        <v>1247</v>
      </c>
      <c r="L2251" s="1" t="s">
        <v>26</v>
      </c>
      <c r="M2251" s="1" t="s">
        <v>27</v>
      </c>
      <c r="N2251" s="1" t="s">
        <v>26</v>
      </c>
      <c r="O2251" s="1" t="s">
        <v>26</v>
      </c>
      <c r="P2251" s="4">
        <v>44679.42915509259</v>
      </c>
    </row>
    <row r="2252">
      <c r="A2252" s="1" t="s">
        <v>21</v>
      </c>
      <c r="B2252" s="3" t="str">
        <f>HYPERLINK("https://hawk-eye.atlassian.net/browse/HWKREPORT-1215?atlOrigin=eyJpIjoiYzgwYTQ0ZjEyNzQzNGJhN2JmNjEyZTM0NmRhZWZhNjIiLCJwIjoic2hlZXRzLWppcmEifQ","HWKREPORT-1215")</f>
        <v>HWKREPORT-1215</v>
      </c>
      <c r="C2252" s="1" t="s">
        <v>3529</v>
      </c>
      <c r="D2252" s="1" t="s">
        <v>23</v>
      </c>
      <c r="E2252" s="1" t="s">
        <v>35</v>
      </c>
      <c r="F2252" s="4">
        <v>44664.61516203704</v>
      </c>
      <c r="G2252" s="3" t="str">
        <f>HYPERLINK("https://hawk-eye.atlassian.net/browse/RTT-4888?atlOrigin=eyJpIjoiYzgwYTQ0ZjEyNzQzNGJhN2JmNjEyZTM0NmRhZWZhNjIiLCJwIjoic2hlZXRzLWppcmEifQ","RTT-4888")</f>
        <v>RTT-4888</v>
      </c>
      <c r="H2252" s="1" t="s">
        <v>1058</v>
      </c>
      <c r="I2252" s="1" t="s">
        <v>28</v>
      </c>
      <c r="J2252" s="1" t="s">
        <v>26</v>
      </c>
      <c r="K2252" s="1" t="s">
        <v>1072</v>
      </c>
      <c r="L2252" s="1" t="s">
        <v>26</v>
      </c>
      <c r="M2252" s="1" t="s">
        <v>27</v>
      </c>
      <c r="N2252" s="1" t="s">
        <v>26</v>
      </c>
      <c r="O2252" s="1" t="s">
        <v>26</v>
      </c>
      <c r="P2252" s="4">
        <v>44678.463854166665</v>
      </c>
    </row>
    <row r="2253" hidden="1">
      <c r="A2253" s="1" t="s">
        <v>1055</v>
      </c>
      <c r="B2253" s="3" t="str">
        <f>HYPERLINK("https://hawk-eye.atlassian.net/browse/HWKREPORT-1216?atlOrigin=eyJpIjoiYzgwYTQ0ZjEyNzQzNGJhN2JmNjEyZTM0NmRhZWZhNjIiLCJwIjoic2hlZXRzLWppcmEifQ","HWKREPORT-1216")</f>
        <v>HWKREPORT-1216</v>
      </c>
      <c r="C2253" s="1" t="s">
        <v>3530</v>
      </c>
      <c r="D2253" s="1" t="s">
        <v>23</v>
      </c>
      <c r="E2253" s="1" t="s">
        <v>1057</v>
      </c>
      <c r="F2253" s="4">
        <v>44664.7784375</v>
      </c>
      <c r="G2253" s="3" t="str">
        <f>HYPERLINK("https://hawk-eye.atlassian.net/browse/?atlOrigin=eyJpIjoiYzgwYTQ0ZjEyNzQzNGJhN2JmNjEyZTM0NmRhZWZhNjIiLCJwIjoic2hlZXRzLWppcmEifQ","")</f>
        <v/>
      </c>
      <c r="H2253" s="1" t="s">
        <v>1058</v>
      </c>
      <c r="I2253" s="1" t="s">
        <v>1071</v>
      </c>
      <c r="J2253" s="1" t="s">
        <v>26</v>
      </c>
      <c r="K2253" s="1" t="s">
        <v>1276</v>
      </c>
      <c r="L2253" s="1" t="s">
        <v>26</v>
      </c>
      <c r="M2253" s="1" t="s">
        <v>27</v>
      </c>
      <c r="N2253" s="1" t="s">
        <v>26</v>
      </c>
      <c r="O2253" s="1" t="s">
        <v>26</v>
      </c>
      <c r="P2253" s="4">
        <v>44664.778449074074</v>
      </c>
    </row>
    <row r="2254" hidden="1">
      <c r="A2254" s="1" t="s">
        <v>1055</v>
      </c>
      <c r="B2254" s="3" t="str">
        <f>HYPERLINK("https://hawk-eye.atlassian.net/browse/HWKREPORT-1217?atlOrigin=eyJpIjoiYzgwYTQ0ZjEyNzQzNGJhN2JmNjEyZTM0NmRhZWZhNjIiLCJwIjoic2hlZXRzLWppcmEifQ","HWKREPORT-1217")</f>
        <v>HWKREPORT-1217</v>
      </c>
      <c r="C2254" s="1" t="s">
        <v>3531</v>
      </c>
      <c r="D2254" s="1" t="s">
        <v>23</v>
      </c>
      <c r="E2254" s="1" t="s">
        <v>35</v>
      </c>
      <c r="F2254" s="4">
        <v>44664.779131944444</v>
      </c>
      <c r="G2254" s="3" t="str">
        <f>HYPERLINK("https://hawk-eye.atlassian.net/issues/?atlOrigin=eyJpIjoiYzgwYTQ0ZjEyNzQzNGJhN2JmNjEyZTM0NmRhZWZhNjIiLCJwIjoic2hlZXRzLWppcmEifQ&amp;jql=key+in+%28RTT-5001%2CRTT-4889%29","RTT-5001;RTT-4889")</f>
        <v>RTT-5001;RTT-4889</v>
      </c>
      <c r="H2254" s="1" t="s">
        <v>1058</v>
      </c>
      <c r="I2254" s="1" t="s">
        <v>1071</v>
      </c>
      <c r="J2254" s="1" t="s">
        <v>26</v>
      </c>
      <c r="K2254" s="1" t="s">
        <v>1072</v>
      </c>
      <c r="L2254" s="1" t="s">
        <v>26</v>
      </c>
      <c r="M2254" s="1" t="s">
        <v>27</v>
      </c>
      <c r="N2254" s="1" t="s">
        <v>26</v>
      </c>
      <c r="O2254" s="1" t="s">
        <v>26</v>
      </c>
      <c r="P2254" s="4">
        <v>44712.52989583334</v>
      </c>
    </row>
    <row r="2255" hidden="1">
      <c r="A2255" s="1" t="s">
        <v>21</v>
      </c>
      <c r="B2255" s="3" t="str">
        <f>HYPERLINK("https://hawk-eye.atlassian.net/browse/HWKREPORT-1218?atlOrigin=eyJpIjoiYzgwYTQ0ZjEyNzQzNGJhN2JmNjEyZTM0NmRhZWZhNjIiLCJwIjoic2hlZXRzLWppcmEifQ","HWKREPORT-1218")</f>
        <v>HWKREPORT-1218</v>
      </c>
      <c r="C2255" s="1" t="s">
        <v>3532</v>
      </c>
      <c r="D2255" s="1" t="s">
        <v>23</v>
      </c>
      <c r="E2255" s="1" t="s">
        <v>1207</v>
      </c>
      <c r="F2255" s="4">
        <v>44664.784050925926</v>
      </c>
      <c r="G2255" s="3" t="str">
        <f>HYPERLINK("https://hawk-eye.atlassian.net/browse/RTT-4890?atlOrigin=eyJpIjoiYzgwYTQ0ZjEyNzQzNGJhN2JmNjEyZTM0NmRhZWZhNjIiLCJwIjoic2hlZXRzLWppcmEifQ","RTT-4890")</f>
        <v>RTT-4890</v>
      </c>
      <c r="H2255" s="1" t="s">
        <v>1058</v>
      </c>
      <c r="I2255" s="1" t="s">
        <v>1071</v>
      </c>
      <c r="J2255" s="1" t="s">
        <v>26</v>
      </c>
      <c r="K2255" s="1" t="s">
        <v>1072</v>
      </c>
      <c r="L2255" s="1" t="s">
        <v>26</v>
      </c>
      <c r="M2255" s="1" t="s">
        <v>27</v>
      </c>
      <c r="N2255" s="1" t="s">
        <v>26</v>
      </c>
      <c r="O2255" s="1" t="s">
        <v>26</v>
      </c>
      <c r="P2255" s="4">
        <v>44929.4184837963</v>
      </c>
    </row>
    <row r="2256" hidden="1">
      <c r="A2256" s="1" t="s">
        <v>21</v>
      </c>
      <c r="B2256" s="3" t="str">
        <f>HYPERLINK("https://hawk-eye.atlassian.net/browse/HWKREPORT-1219?atlOrigin=eyJpIjoiYzgwYTQ0ZjEyNzQzNGJhN2JmNjEyZTM0NmRhZWZhNjIiLCJwIjoic2hlZXRzLWppcmEifQ","HWKREPORT-1219")</f>
        <v>HWKREPORT-1219</v>
      </c>
      <c r="C2256" s="1" t="s">
        <v>3533</v>
      </c>
      <c r="D2256" s="1" t="s">
        <v>23</v>
      </c>
      <c r="E2256" s="1" t="s">
        <v>35</v>
      </c>
      <c r="F2256" s="4">
        <v>44665.51495370371</v>
      </c>
      <c r="G2256" s="3" t="str">
        <f>HYPERLINK("https://hawk-eye.atlassian.net/browse/?atlOrigin=eyJpIjoiYzgwYTQ0ZjEyNzQzNGJhN2JmNjEyZTM0NmRhZWZhNjIiLCJwIjoic2hlZXRzLWppcmEifQ","")</f>
        <v/>
      </c>
      <c r="H2256" s="1" t="s">
        <v>1058</v>
      </c>
      <c r="I2256" s="1" t="s">
        <v>1085</v>
      </c>
      <c r="J2256" s="1" t="s">
        <v>26</v>
      </c>
      <c r="K2256" s="1" t="s">
        <v>1134</v>
      </c>
      <c r="L2256" s="1" t="s">
        <v>26</v>
      </c>
      <c r="M2256" s="1" t="s">
        <v>27</v>
      </c>
      <c r="N2256" s="1" t="s">
        <v>26</v>
      </c>
      <c r="O2256" s="1" t="s">
        <v>26</v>
      </c>
      <c r="P2256" s="4">
        <v>44704.588368055556</v>
      </c>
    </row>
    <row r="2257" hidden="1">
      <c r="A2257" s="1" t="s">
        <v>1055</v>
      </c>
      <c r="B2257" s="3" t="str">
        <f>HYPERLINK("https://hawk-eye.atlassian.net/browse/HWKREPORT-1220?atlOrigin=eyJpIjoiYzgwYTQ0ZjEyNzQzNGJhN2JmNjEyZTM0NmRhZWZhNjIiLCJwIjoic2hlZXRzLWppcmEifQ","HWKREPORT-1220")</f>
        <v>HWKREPORT-1220</v>
      </c>
      <c r="C2257" s="1" t="s">
        <v>3534</v>
      </c>
      <c r="D2257" s="1" t="s">
        <v>23</v>
      </c>
      <c r="E2257" s="1" t="s">
        <v>35</v>
      </c>
      <c r="F2257" s="4">
        <v>44665.63925925926</v>
      </c>
      <c r="G2257" s="3" t="str">
        <f>HYPERLINK("https://hawk-eye.atlassian.net/browse/CONFIG-705?atlOrigin=eyJpIjoiYzgwYTQ0ZjEyNzQzNGJhN2JmNjEyZTM0NmRhZWZhNjIiLCJwIjoic2hlZXRzLWppcmEifQ","CONFIG-705")</f>
        <v>CONFIG-705</v>
      </c>
      <c r="H2257" s="1" t="s">
        <v>1058</v>
      </c>
      <c r="I2257" s="1" t="s">
        <v>1071</v>
      </c>
      <c r="J2257" s="1" t="s">
        <v>26</v>
      </c>
      <c r="K2257" s="1" t="s">
        <v>2952</v>
      </c>
      <c r="L2257" s="1" t="s">
        <v>26</v>
      </c>
      <c r="M2257" s="1" t="s">
        <v>27</v>
      </c>
      <c r="N2257" s="1" t="s">
        <v>26</v>
      </c>
      <c r="O2257" s="1" t="s">
        <v>26</v>
      </c>
      <c r="P2257" s="4">
        <v>44700.41127314815</v>
      </c>
    </row>
    <row r="2258" hidden="1">
      <c r="A2258" s="1" t="s">
        <v>21</v>
      </c>
      <c r="B2258" s="3" t="str">
        <f>HYPERLINK("https://hawk-eye.atlassian.net/browse/HWKREPORT-1221?atlOrigin=eyJpIjoiYzgwYTQ0ZjEyNzQzNGJhN2JmNjEyZTM0NmRhZWZhNjIiLCJwIjoic2hlZXRzLWppcmEifQ","HWKREPORT-1221")</f>
        <v>HWKREPORT-1221</v>
      </c>
      <c r="C2258" s="6" t="s">
        <v>3535</v>
      </c>
      <c r="D2258" s="1" t="s">
        <v>40</v>
      </c>
      <c r="E2258" s="1" t="s">
        <v>35</v>
      </c>
      <c r="F2258" s="4">
        <v>44665.64310185185</v>
      </c>
      <c r="G2258" s="3" t="str">
        <f>HYPERLINK("https://hawk-eye.atlassian.net/browse/RTT-4891?atlOrigin=eyJpIjoiYzgwYTQ0ZjEyNzQzNGJhN2JmNjEyZTM0NmRhZWZhNjIiLCJwIjoic2hlZXRzLWppcmEifQ","RTT-4891")</f>
        <v>RTT-4891</v>
      </c>
      <c r="H2258" s="1" t="s">
        <v>1058</v>
      </c>
      <c r="I2258" s="1" t="s">
        <v>1085</v>
      </c>
      <c r="J2258" s="1" t="s">
        <v>26</v>
      </c>
      <c r="K2258" s="1" t="s">
        <v>1072</v>
      </c>
      <c r="L2258" s="1" t="s">
        <v>26</v>
      </c>
      <c r="M2258" s="1" t="s">
        <v>27</v>
      </c>
      <c r="N2258" s="1" t="s">
        <v>26</v>
      </c>
      <c r="O2258" s="1" t="s">
        <v>26</v>
      </c>
      <c r="P2258" s="4">
        <v>45341.55814814815</v>
      </c>
    </row>
    <row r="2259" hidden="1">
      <c r="A2259" s="1" t="s">
        <v>21</v>
      </c>
      <c r="B2259" s="3" t="str">
        <f>HYPERLINK("https://hawk-eye.atlassian.net/browse/HWKREPORT-1222?atlOrigin=eyJpIjoiYzgwYTQ0ZjEyNzQzNGJhN2JmNjEyZTM0NmRhZWZhNjIiLCJwIjoic2hlZXRzLWppcmEifQ","HWKREPORT-1222")</f>
        <v>HWKREPORT-1222</v>
      </c>
      <c r="C2259" s="1" t="s">
        <v>3536</v>
      </c>
      <c r="D2259" s="1" t="s">
        <v>40</v>
      </c>
      <c r="E2259" s="1" t="s">
        <v>35</v>
      </c>
      <c r="F2259" s="4">
        <v>44665.717569444445</v>
      </c>
      <c r="G2259" s="3" t="str">
        <f>HYPERLINK("https://hawk-eye.atlassian.net/browse/GT-393?atlOrigin=eyJpIjoiYzgwYTQ0ZjEyNzQzNGJhN2JmNjEyZTM0NmRhZWZhNjIiLCJwIjoic2hlZXRzLWppcmEifQ","GT-393")</f>
        <v>GT-393</v>
      </c>
      <c r="H2259" s="1" t="s">
        <v>1058</v>
      </c>
      <c r="I2259" s="1" t="s">
        <v>1082</v>
      </c>
      <c r="J2259" s="1" t="s">
        <v>26</v>
      </c>
      <c r="K2259" s="1" t="s">
        <v>1744</v>
      </c>
      <c r="L2259" s="1" t="s">
        <v>26</v>
      </c>
      <c r="M2259" s="1" t="s">
        <v>27</v>
      </c>
      <c r="N2259" s="1" t="s">
        <v>26</v>
      </c>
      <c r="O2259" s="1" t="s">
        <v>26</v>
      </c>
      <c r="P2259" s="4">
        <v>44700.55521990741</v>
      </c>
    </row>
    <row r="2260" hidden="1">
      <c r="A2260" s="1" t="s">
        <v>21</v>
      </c>
      <c r="B2260" s="3" t="str">
        <f>HYPERLINK("https://hawk-eye.atlassian.net/browse/HWKREPORT-1223?atlOrigin=eyJpIjoiYzgwYTQ0ZjEyNzQzNGJhN2JmNjEyZTM0NmRhZWZhNjIiLCJwIjoic2hlZXRzLWppcmEifQ","HWKREPORT-1223")</f>
        <v>HWKREPORT-1223</v>
      </c>
      <c r="C2260" s="1" t="s">
        <v>3537</v>
      </c>
      <c r="D2260" s="1" t="s">
        <v>23</v>
      </c>
      <c r="E2260" s="1" t="s">
        <v>35</v>
      </c>
      <c r="F2260" s="4">
        <v>44666.678935185184</v>
      </c>
      <c r="G2260" s="3" t="str">
        <f>HYPERLINK("https://hawk-eye.atlassian.net/browse/?atlOrigin=eyJpIjoiYzgwYTQ0ZjEyNzQzNGJhN2JmNjEyZTM0NmRhZWZhNjIiLCJwIjoic2hlZXRzLWppcmEifQ","")</f>
        <v/>
      </c>
      <c r="H2260" s="1" t="s">
        <v>1058</v>
      </c>
      <c r="I2260" s="1" t="s">
        <v>1071</v>
      </c>
      <c r="J2260" s="1" t="s">
        <v>26</v>
      </c>
      <c r="K2260" s="1" t="s">
        <v>1093</v>
      </c>
      <c r="L2260" s="1" t="s">
        <v>26</v>
      </c>
      <c r="M2260" s="1" t="s">
        <v>27</v>
      </c>
      <c r="N2260" s="1" t="s">
        <v>26</v>
      </c>
      <c r="O2260" s="1" t="s">
        <v>26</v>
      </c>
      <c r="P2260" s="4">
        <v>44739.64340277778</v>
      </c>
    </row>
    <row r="2261" hidden="1">
      <c r="A2261" s="1" t="s">
        <v>21</v>
      </c>
      <c r="B2261" s="3" t="str">
        <f>HYPERLINK("https://hawk-eye.atlassian.net/browse/HWKREPORT-1224?atlOrigin=eyJpIjoiYzgwYTQ0ZjEyNzQzNGJhN2JmNjEyZTM0NmRhZWZhNjIiLCJwIjoic2hlZXRzLWppcmEifQ","HWKREPORT-1224")</f>
        <v>HWKREPORT-1224</v>
      </c>
      <c r="C2261" s="1" t="s">
        <v>3538</v>
      </c>
      <c r="D2261" s="1" t="s">
        <v>23</v>
      </c>
      <c r="E2261" s="1" t="s">
        <v>1057</v>
      </c>
      <c r="F2261" s="4">
        <v>44666.686875</v>
      </c>
      <c r="G2261" s="3" t="str">
        <f>HYPERLINK("https://hawk-eye.atlassian.net/browse/RTT-4909?atlOrigin=eyJpIjoiYzgwYTQ0ZjEyNzQzNGJhN2JmNjEyZTM0NmRhZWZhNjIiLCJwIjoic2hlZXRzLWppcmEifQ","RTT-4909")</f>
        <v>RTT-4909</v>
      </c>
      <c r="H2261" s="1" t="s">
        <v>1058</v>
      </c>
      <c r="I2261" s="1" t="s">
        <v>1071</v>
      </c>
      <c r="J2261" s="1" t="s">
        <v>26</v>
      </c>
      <c r="K2261" s="1" t="s">
        <v>1072</v>
      </c>
      <c r="L2261" s="1" t="s">
        <v>26</v>
      </c>
      <c r="M2261" s="1" t="s">
        <v>27</v>
      </c>
      <c r="N2261" s="1" t="s">
        <v>26</v>
      </c>
      <c r="O2261" s="1" t="s">
        <v>26</v>
      </c>
      <c r="P2261" s="4">
        <v>44666.686875</v>
      </c>
    </row>
    <row r="2262" hidden="1">
      <c r="A2262" s="1" t="s">
        <v>1055</v>
      </c>
      <c r="B2262" s="3" t="str">
        <f>HYPERLINK("https://hawk-eye.atlassian.net/browse/HWKREPORT-1225?atlOrigin=eyJpIjoiYzgwYTQ0ZjEyNzQzNGJhN2JmNjEyZTM0NmRhZWZhNjIiLCJwIjoic2hlZXRzLWppcmEifQ","HWKREPORT-1225")</f>
        <v>HWKREPORT-1225</v>
      </c>
      <c r="C2262" s="1" t="s">
        <v>3539</v>
      </c>
      <c r="D2262" s="1" t="s">
        <v>23</v>
      </c>
      <c r="E2262" s="1" t="s">
        <v>35</v>
      </c>
      <c r="F2262" s="4">
        <v>44666.71655092593</v>
      </c>
      <c r="G2262" s="3" t="str">
        <f>HYPERLINK("https://hawk-eye.atlassian.net/browse/?atlOrigin=eyJpIjoiYzgwYTQ0ZjEyNzQzNGJhN2JmNjEyZTM0NmRhZWZhNjIiLCJwIjoic2hlZXRzLWppcmEifQ","")</f>
        <v/>
      </c>
      <c r="H2262" s="1" t="s">
        <v>1058</v>
      </c>
      <c r="I2262" s="1" t="s">
        <v>1071</v>
      </c>
      <c r="J2262" s="1" t="s">
        <v>26</v>
      </c>
      <c r="K2262" s="1" t="s">
        <v>1072</v>
      </c>
      <c r="L2262" s="1" t="s">
        <v>26</v>
      </c>
      <c r="M2262" s="1" t="s">
        <v>27</v>
      </c>
      <c r="N2262" s="1" t="s">
        <v>26</v>
      </c>
      <c r="O2262" s="1" t="s">
        <v>26</v>
      </c>
      <c r="P2262" s="4">
        <v>44670.414664351854</v>
      </c>
    </row>
    <row r="2263" hidden="1">
      <c r="A2263" s="1" t="s">
        <v>21</v>
      </c>
      <c r="B2263" s="3" t="str">
        <f>HYPERLINK("https://hawk-eye.atlassian.net/browse/HWKREPORT-1226?atlOrigin=eyJpIjoiYzgwYTQ0ZjEyNzQzNGJhN2JmNjEyZTM0NmRhZWZhNjIiLCJwIjoic2hlZXRzLWppcmEifQ","HWKREPORT-1226")</f>
        <v>HWKREPORT-1226</v>
      </c>
      <c r="C2263" s="1" t="s">
        <v>3540</v>
      </c>
      <c r="D2263" s="1" t="s">
        <v>23</v>
      </c>
      <c r="E2263" s="1" t="s">
        <v>1207</v>
      </c>
      <c r="F2263" s="4">
        <v>44666.7287037037</v>
      </c>
      <c r="G2263" s="3" t="str">
        <f>HYPERLINK("https://hawk-eye.atlassian.net/browse/RTT-4896?atlOrigin=eyJpIjoiYzgwYTQ0ZjEyNzQzNGJhN2JmNjEyZTM0NmRhZWZhNjIiLCJwIjoic2hlZXRzLWppcmEifQ","RTT-4896")</f>
        <v>RTT-4896</v>
      </c>
      <c r="H2263" s="1" t="s">
        <v>1058</v>
      </c>
      <c r="I2263" s="1" t="s">
        <v>1071</v>
      </c>
      <c r="J2263" s="1" t="s">
        <v>26</v>
      </c>
      <c r="K2263" s="1" t="s">
        <v>1072</v>
      </c>
      <c r="L2263" s="1" t="s">
        <v>26</v>
      </c>
      <c r="M2263" s="1" t="s">
        <v>27</v>
      </c>
      <c r="N2263" s="1" t="s">
        <v>26</v>
      </c>
      <c r="O2263" s="1" t="s">
        <v>26</v>
      </c>
      <c r="P2263" s="4">
        <v>44929.4184837963</v>
      </c>
    </row>
    <row r="2264" hidden="1">
      <c r="A2264" s="1" t="s">
        <v>21</v>
      </c>
      <c r="B2264" s="3" t="str">
        <f>HYPERLINK("https://hawk-eye.atlassian.net/browse/HWKREPORT-1227?atlOrigin=eyJpIjoiYzgwYTQ0ZjEyNzQzNGJhN2JmNjEyZTM0NmRhZWZhNjIiLCJwIjoic2hlZXRzLWppcmEifQ","HWKREPORT-1227")</f>
        <v>HWKREPORT-1227</v>
      </c>
      <c r="C2264" s="1" t="s">
        <v>3541</v>
      </c>
      <c r="D2264" s="1" t="s">
        <v>23</v>
      </c>
      <c r="E2264" s="1" t="s">
        <v>35</v>
      </c>
      <c r="F2264" s="4">
        <v>44666.73202546296</v>
      </c>
      <c r="G2264" s="3" t="str">
        <f>HYPERLINK("https://hawk-eye.atlassian.net/browse/BDP-724?atlOrigin=eyJpIjoiYzgwYTQ0ZjEyNzQzNGJhN2JmNjEyZTM0NmRhZWZhNjIiLCJwIjoic2hlZXRzLWppcmEifQ","BDP-724")</f>
        <v>BDP-724</v>
      </c>
      <c r="H2264" s="1" t="s">
        <v>1058</v>
      </c>
      <c r="I2264" s="1" t="s">
        <v>1071</v>
      </c>
      <c r="J2264" s="1" t="s">
        <v>26</v>
      </c>
      <c r="K2264" s="1" t="s">
        <v>1130</v>
      </c>
      <c r="L2264" s="1" t="s">
        <v>26</v>
      </c>
      <c r="M2264" s="1" t="s">
        <v>27</v>
      </c>
      <c r="N2264" s="1" t="s">
        <v>26</v>
      </c>
      <c r="O2264" s="1" t="s">
        <v>26</v>
      </c>
      <c r="P2264" s="4">
        <v>44728.6802662037</v>
      </c>
    </row>
    <row r="2265" hidden="1">
      <c r="A2265" s="1" t="s">
        <v>21</v>
      </c>
      <c r="B2265" s="3" t="str">
        <f>HYPERLINK("https://hawk-eye.atlassian.net/browse/HWKREPORT-1228?atlOrigin=eyJpIjoiYzgwYTQ0ZjEyNzQzNGJhN2JmNjEyZTM0NmRhZWZhNjIiLCJwIjoic2hlZXRzLWppcmEifQ","HWKREPORT-1228")</f>
        <v>HWKREPORT-1228</v>
      </c>
      <c r="C2265" s="1" t="s">
        <v>3542</v>
      </c>
      <c r="D2265" s="1" t="s">
        <v>23</v>
      </c>
      <c r="E2265" s="1" t="s">
        <v>35</v>
      </c>
      <c r="F2265" s="4">
        <v>44666.73537037037</v>
      </c>
      <c r="G2265" s="3" t="str">
        <f>HYPERLINK("https://hawk-eye.atlassian.net/issues/?atlOrigin=eyJpIjoiYzgwYTQ0ZjEyNzQzNGJhN2JmNjEyZTM0NmRhZWZhNjIiLCJwIjoic2hlZXRzLWppcmEifQ&amp;jql=key+in+%28RTT-4898%2CRTT-4897%29","RTT-4898;RTT-4897")</f>
        <v>RTT-4898;RTT-4897</v>
      </c>
      <c r="H2265" s="1" t="s">
        <v>1058</v>
      </c>
      <c r="I2265" s="1" t="s">
        <v>1071</v>
      </c>
      <c r="J2265" s="1" t="s">
        <v>26</v>
      </c>
      <c r="K2265" s="1" t="s">
        <v>1099</v>
      </c>
      <c r="L2265" s="1" t="s">
        <v>26</v>
      </c>
      <c r="M2265" s="1" t="s">
        <v>27</v>
      </c>
      <c r="N2265" s="1" t="s">
        <v>26</v>
      </c>
      <c r="O2265" s="1" t="s">
        <v>26</v>
      </c>
      <c r="P2265" s="4">
        <v>44676.414351851854</v>
      </c>
    </row>
    <row r="2266" hidden="1">
      <c r="A2266" s="1" t="s">
        <v>21</v>
      </c>
      <c r="B2266" s="3" t="str">
        <f>HYPERLINK("https://hawk-eye.atlassian.net/browse/HWKREPORT-1229?atlOrigin=eyJpIjoiYzgwYTQ0ZjEyNzQzNGJhN2JmNjEyZTM0NmRhZWZhNjIiLCJwIjoic2hlZXRzLWppcmEifQ","HWKREPORT-1229")</f>
        <v>HWKREPORT-1229</v>
      </c>
      <c r="C2266" s="1" t="s">
        <v>3543</v>
      </c>
      <c r="D2266" s="1" t="s">
        <v>23</v>
      </c>
      <c r="E2266" s="1" t="s">
        <v>35</v>
      </c>
      <c r="F2266" s="4">
        <v>44666.81814814815</v>
      </c>
      <c r="G2266" s="3" t="str">
        <f>HYPERLINK("https://hawk-eye.atlassian.net/browse/RTT-4892?atlOrigin=eyJpIjoiYzgwYTQ0ZjEyNzQzNGJhN2JmNjEyZTM0NmRhZWZhNjIiLCJwIjoic2hlZXRzLWppcmEifQ","RTT-4892")</f>
        <v>RTT-4892</v>
      </c>
      <c r="H2266" s="1" t="s">
        <v>1058</v>
      </c>
      <c r="I2266" s="1" t="s">
        <v>1071</v>
      </c>
      <c r="J2266" s="1" t="s">
        <v>26</v>
      </c>
      <c r="K2266" s="1" t="s">
        <v>1072</v>
      </c>
      <c r="L2266" s="1" t="s">
        <v>26</v>
      </c>
      <c r="M2266" s="1" t="s">
        <v>27</v>
      </c>
      <c r="N2266" s="1" t="s">
        <v>26</v>
      </c>
      <c r="O2266" s="1" t="s">
        <v>26</v>
      </c>
      <c r="P2266" s="4">
        <v>44847.68953703704</v>
      </c>
    </row>
    <row r="2267" hidden="1">
      <c r="A2267" s="1" t="s">
        <v>21</v>
      </c>
      <c r="B2267" s="3" t="str">
        <f>HYPERLINK("https://hawk-eye.atlassian.net/browse/HWKREPORT-1230?atlOrigin=eyJpIjoiYzgwYTQ0ZjEyNzQzNGJhN2JmNjEyZTM0NmRhZWZhNjIiLCJwIjoic2hlZXRzLWppcmEifQ","HWKREPORT-1230")</f>
        <v>HWKREPORT-1230</v>
      </c>
      <c r="C2267" s="1" t="s">
        <v>3544</v>
      </c>
      <c r="D2267" s="1" t="s">
        <v>23</v>
      </c>
      <c r="E2267" s="1" t="s">
        <v>35</v>
      </c>
      <c r="F2267" s="4">
        <v>44668.04649305555</v>
      </c>
      <c r="G2267" s="3" t="str">
        <f>HYPERLINK("https://hawk-eye.atlassian.net/browse/?atlOrigin=eyJpIjoiYzgwYTQ0ZjEyNzQzNGJhN2JmNjEyZTM0NmRhZWZhNjIiLCJwIjoic2hlZXRzLWppcmEifQ","")</f>
        <v/>
      </c>
      <c r="H2267" s="1" t="s">
        <v>1058</v>
      </c>
      <c r="I2267" s="1" t="s">
        <v>1071</v>
      </c>
      <c r="J2267" s="1" t="s">
        <v>26</v>
      </c>
      <c r="K2267" s="1" t="s">
        <v>1072</v>
      </c>
      <c r="L2267" s="1" t="s">
        <v>26</v>
      </c>
      <c r="M2267" s="1" t="s">
        <v>27</v>
      </c>
      <c r="N2267" s="1" t="s">
        <v>26</v>
      </c>
      <c r="O2267" s="1" t="s">
        <v>26</v>
      </c>
      <c r="P2267" s="4">
        <v>44670.44032407407</v>
      </c>
    </row>
    <row r="2268" hidden="1">
      <c r="A2268" s="1" t="s">
        <v>21</v>
      </c>
      <c r="B2268" s="3" t="str">
        <f>HYPERLINK("https://hawk-eye.atlassian.net/browse/HWKREPORT-1231?atlOrigin=eyJpIjoiYzgwYTQ0ZjEyNzQzNGJhN2JmNjEyZTM0NmRhZWZhNjIiLCJwIjoic2hlZXRzLWppcmEifQ","HWKREPORT-1231")</f>
        <v>HWKREPORT-1231</v>
      </c>
      <c r="C2268" s="1" t="s">
        <v>3545</v>
      </c>
      <c r="D2268" s="1" t="s">
        <v>23</v>
      </c>
      <c r="E2268" s="1" t="s">
        <v>1207</v>
      </c>
      <c r="F2268" s="4">
        <v>44668.050104166665</v>
      </c>
      <c r="G2268" s="3" t="str">
        <f>HYPERLINK("https://hawk-eye.atlassian.net/browse/RTT-4907?atlOrigin=eyJpIjoiYzgwYTQ0ZjEyNzQzNGJhN2JmNjEyZTM0NmRhZWZhNjIiLCJwIjoic2hlZXRzLWppcmEifQ","RTT-4907")</f>
        <v>RTT-4907</v>
      </c>
      <c r="H2268" s="1" t="s">
        <v>1058</v>
      </c>
      <c r="I2268" s="1" t="s">
        <v>1071</v>
      </c>
      <c r="J2268" s="1" t="s">
        <v>26</v>
      </c>
      <c r="K2268" s="1" t="s">
        <v>1072</v>
      </c>
      <c r="L2268" s="1" t="s">
        <v>26</v>
      </c>
      <c r="M2268" s="1" t="s">
        <v>27</v>
      </c>
      <c r="N2268" s="1" t="s">
        <v>26</v>
      </c>
      <c r="O2268" s="1" t="s">
        <v>26</v>
      </c>
      <c r="P2268" s="4">
        <v>44929.4184837963</v>
      </c>
    </row>
    <row r="2269" hidden="1">
      <c r="A2269" s="1" t="s">
        <v>1055</v>
      </c>
      <c r="B2269" s="3" t="str">
        <f>HYPERLINK("https://hawk-eye.atlassian.net/browse/HWKREPORT-1232?atlOrigin=eyJpIjoiYzgwYTQ0ZjEyNzQzNGJhN2JmNjEyZTM0NmRhZWZhNjIiLCJwIjoic2hlZXRzLWppcmEifQ","HWKREPORT-1232")</f>
        <v>HWKREPORT-1232</v>
      </c>
      <c r="C2269" s="1" t="s">
        <v>3546</v>
      </c>
      <c r="D2269" s="1" t="s">
        <v>23</v>
      </c>
      <c r="E2269" s="1" t="s">
        <v>35</v>
      </c>
      <c r="F2269" s="4">
        <v>44668.88140046296</v>
      </c>
      <c r="G2269" s="3" t="str">
        <f>HYPERLINK("https://hawk-eye.atlassian.net/browse/RTT-4908?atlOrigin=eyJpIjoiYzgwYTQ0ZjEyNzQzNGJhN2JmNjEyZTM0NmRhZWZhNjIiLCJwIjoic2hlZXRzLWppcmEifQ","RTT-4908")</f>
        <v>RTT-4908</v>
      </c>
      <c r="H2269" s="1" t="s">
        <v>1058</v>
      </c>
      <c r="I2269" s="1" t="s">
        <v>1071</v>
      </c>
      <c r="J2269" s="1" t="s">
        <v>26</v>
      </c>
      <c r="K2269" s="1" t="s">
        <v>1072</v>
      </c>
      <c r="L2269" s="1" t="s">
        <v>26</v>
      </c>
      <c r="M2269" s="1" t="s">
        <v>27</v>
      </c>
      <c r="N2269" s="1" t="s">
        <v>26</v>
      </c>
      <c r="O2269" s="1" t="s">
        <v>26</v>
      </c>
      <c r="P2269" s="4">
        <v>45068.72189814815</v>
      </c>
    </row>
    <row r="2270" hidden="1">
      <c r="A2270" s="1" t="s">
        <v>21</v>
      </c>
      <c r="B2270" s="3" t="str">
        <f>HYPERLINK("https://hawk-eye.atlassian.net/browse/HWKREPORT-1233?atlOrigin=eyJpIjoiYzgwYTQ0ZjEyNzQzNGJhN2JmNjEyZTM0NmRhZWZhNjIiLCJwIjoic2hlZXRzLWppcmEifQ","HWKREPORT-1233")</f>
        <v>HWKREPORT-1233</v>
      </c>
      <c r="C2270" s="1" t="s">
        <v>3547</v>
      </c>
      <c r="D2270" s="1" t="s">
        <v>23</v>
      </c>
      <c r="E2270" s="1" t="s">
        <v>35</v>
      </c>
      <c r="F2270" s="4">
        <v>44669.68232638889</v>
      </c>
      <c r="G2270" s="3" t="str">
        <f>HYPERLINK("https://hawk-eye.atlassian.net/browse/BDP-725?atlOrigin=eyJpIjoiYzgwYTQ0ZjEyNzQzNGJhN2JmNjEyZTM0NmRhZWZhNjIiLCJwIjoic2hlZXRzLWppcmEifQ","BDP-725")</f>
        <v>BDP-725</v>
      </c>
      <c r="H2270" s="1" t="s">
        <v>1058</v>
      </c>
      <c r="I2270" s="1" t="s">
        <v>1071</v>
      </c>
      <c r="J2270" s="1" t="s">
        <v>26</v>
      </c>
      <c r="K2270" s="1" t="s">
        <v>1130</v>
      </c>
      <c r="L2270" s="1" t="s">
        <v>26</v>
      </c>
      <c r="M2270" s="1" t="s">
        <v>27</v>
      </c>
      <c r="N2270" s="1" t="s">
        <v>26</v>
      </c>
      <c r="O2270" s="1" t="s">
        <v>26</v>
      </c>
      <c r="P2270" s="4">
        <v>44671.85009259259</v>
      </c>
    </row>
    <row r="2271" hidden="1">
      <c r="A2271" s="1" t="s">
        <v>21</v>
      </c>
      <c r="B2271" s="3" t="str">
        <f>HYPERLINK("https://hawk-eye.atlassian.net/browse/HWKREPORT-1234?atlOrigin=eyJpIjoiYzgwYTQ0ZjEyNzQzNGJhN2JmNjEyZTM0NmRhZWZhNjIiLCJwIjoic2hlZXRzLWppcmEifQ","HWKREPORT-1234")</f>
        <v>HWKREPORT-1234</v>
      </c>
      <c r="C2271" s="1" t="s">
        <v>3548</v>
      </c>
      <c r="D2271" s="1" t="s">
        <v>40</v>
      </c>
      <c r="E2271" s="1" t="s">
        <v>35</v>
      </c>
      <c r="F2271" s="4">
        <v>44669.796944444446</v>
      </c>
      <c r="G2271" s="3" t="str">
        <f>HYPERLINK("https://hawk-eye.atlassian.net/browse/BDP-723?atlOrigin=eyJpIjoiYzgwYTQ0ZjEyNzQzNGJhN2JmNjEyZTM0NmRhZWZhNjIiLCJwIjoic2hlZXRzLWppcmEifQ","BDP-723")</f>
        <v>BDP-723</v>
      </c>
      <c r="H2271" s="1" t="s">
        <v>1058</v>
      </c>
      <c r="I2271" s="1" t="s">
        <v>1071</v>
      </c>
      <c r="J2271" s="1" t="s">
        <v>26</v>
      </c>
      <c r="K2271" s="1" t="s">
        <v>1130</v>
      </c>
      <c r="L2271" s="1" t="s">
        <v>26</v>
      </c>
      <c r="M2271" s="1" t="s">
        <v>27</v>
      </c>
      <c r="N2271" s="1" t="s">
        <v>26</v>
      </c>
      <c r="O2271" s="1" t="s">
        <v>26</v>
      </c>
      <c r="P2271" s="4">
        <v>44676.89927083333</v>
      </c>
    </row>
    <row r="2272" hidden="1">
      <c r="A2272" s="1" t="s">
        <v>1055</v>
      </c>
      <c r="B2272" s="3" t="str">
        <f>HYPERLINK("https://hawk-eye.atlassian.net/browse/HWKREPORT-1235?atlOrigin=eyJpIjoiYzgwYTQ0ZjEyNzQzNGJhN2JmNjEyZTM0NmRhZWZhNjIiLCJwIjoic2hlZXRzLWppcmEifQ","HWKREPORT-1235")</f>
        <v>HWKREPORT-1235</v>
      </c>
      <c r="C2272" s="1" t="s">
        <v>3549</v>
      </c>
      <c r="D2272" s="1" t="s">
        <v>23</v>
      </c>
      <c r="E2272" s="1" t="s">
        <v>1074</v>
      </c>
      <c r="F2272" s="4">
        <v>44670.853842592594</v>
      </c>
      <c r="G2272" s="3" t="str">
        <f>HYPERLINK("https://hawk-eye.atlassian.net/browse/NWV-2?atlOrigin=eyJpIjoiYzgwYTQ0ZjEyNzQzNGJhN2JmNjEyZTM0NmRhZWZhNjIiLCJwIjoic2hlZXRzLWppcmEifQ","NWV-2")</f>
        <v>NWV-2</v>
      </c>
      <c r="H2272" s="1" t="s">
        <v>1058</v>
      </c>
      <c r="I2272" s="1" t="s">
        <v>3550</v>
      </c>
      <c r="J2272" s="1" t="s">
        <v>26</v>
      </c>
      <c r="K2272" s="1" t="s">
        <v>3551</v>
      </c>
      <c r="L2272" s="1" t="s">
        <v>26</v>
      </c>
      <c r="M2272" s="1" t="s">
        <v>27</v>
      </c>
      <c r="N2272" s="1" t="s">
        <v>26</v>
      </c>
      <c r="O2272" s="1" t="s">
        <v>26</v>
      </c>
      <c r="P2272" s="4">
        <v>44918.40079861111</v>
      </c>
    </row>
    <row r="2273" hidden="1">
      <c r="A2273" s="1" t="s">
        <v>21</v>
      </c>
      <c r="B2273" s="3" t="str">
        <f>HYPERLINK("https://hawk-eye.atlassian.net/browse/HWKREPORT-1236?atlOrigin=eyJpIjoiYzgwYTQ0ZjEyNzQzNGJhN2JmNjEyZTM0NmRhZWZhNjIiLCJwIjoic2hlZXRzLWppcmEifQ","HWKREPORT-1236")</f>
        <v>HWKREPORT-1236</v>
      </c>
      <c r="C2273" s="1" t="s">
        <v>3552</v>
      </c>
      <c r="D2273" s="1" t="s">
        <v>23</v>
      </c>
      <c r="E2273" s="1" t="s">
        <v>35</v>
      </c>
      <c r="F2273" s="4">
        <v>44671.48451388889</v>
      </c>
      <c r="G2273" s="3" t="str">
        <f>HYPERLINK("https://hawk-eye.atlassian.net/issues/?atlOrigin=eyJpIjoiYzgwYTQ0ZjEyNzQzNGJhN2JmNjEyZTM0NmRhZWZhNjIiLCJwIjoic2hlZXRzLWppcmEifQ&amp;jql=key+in+%28RTT-4900%2CRTT-5104%29","RTT-4900;RTT-5104")</f>
        <v>RTT-4900;RTT-5104</v>
      </c>
      <c r="H2273" s="1" t="s">
        <v>1058</v>
      </c>
      <c r="I2273" s="1" t="s">
        <v>1085</v>
      </c>
      <c r="J2273" s="1" t="s">
        <v>26</v>
      </c>
      <c r="K2273" s="1" t="s">
        <v>1372</v>
      </c>
      <c r="L2273" s="1" t="s">
        <v>26</v>
      </c>
      <c r="M2273" s="1" t="s">
        <v>27</v>
      </c>
      <c r="N2273" s="1" t="s">
        <v>26</v>
      </c>
      <c r="O2273" s="1" t="s">
        <v>26</v>
      </c>
      <c r="P2273" s="4">
        <v>44775.42054398148</v>
      </c>
    </row>
    <row r="2274" hidden="1">
      <c r="A2274" s="1" t="s">
        <v>1055</v>
      </c>
      <c r="B2274" s="3" t="str">
        <f>HYPERLINK("https://hawk-eye.atlassian.net/browse/HWKREPORT-1237?atlOrigin=eyJpIjoiYzgwYTQ0ZjEyNzQzNGJhN2JmNjEyZTM0NmRhZWZhNjIiLCJwIjoic2hlZXRzLWppcmEifQ","HWKREPORT-1237")</f>
        <v>HWKREPORT-1237</v>
      </c>
      <c r="C2274" s="1" t="s">
        <v>3553</v>
      </c>
      <c r="D2274" s="1" t="s">
        <v>23</v>
      </c>
      <c r="E2274" s="1" t="s">
        <v>1207</v>
      </c>
      <c r="F2274" s="4">
        <v>44671.63768518518</v>
      </c>
      <c r="G2274" s="3" t="str">
        <f>HYPERLINK("https://hawk-eye.atlassian.net/browse/AL-299?atlOrigin=eyJpIjoiYzgwYTQ0ZjEyNzQzNGJhN2JmNjEyZTM0NmRhZWZhNjIiLCJwIjoic2hlZXRzLWppcmEifQ","AL-299")</f>
        <v>AL-299</v>
      </c>
      <c r="H2274" s="1" t="s">
        <v>1058</v>
      </c>
      <c r="I2274" s="1" t="s">
        <v>1085</v>
      </c>
      <c r="J2274" s="1" t="s">
        <v>26</v>
      </c>
      <c r="K2274" s="1" t="s">
        <v>1717</v>
      </c>
      <c r="L2274" s="1" t="s">
        <v>26</v>
      </c>
      <c r="M2274" s="1" t="s">
        <v>27</v>
      </c>
      <c r="N2274" s="1" t="s">
        <v>26</v>
      </c>
      <c r="O2274" s="1" t="s">
        <v>26</v>
      </c>
      <c r="P2274" s="4">
        <v>44929.4184837963</v>
      </c>
    </row>
    <row r="2275">
      <c r="A2275" s="1" t="s">
        <v>21</v>
      </c>
      <c r="B2275" s="3" t="str">
        <f>HYPERLINK("https://hawk-eye.atlassian.net/browse/HWKREPORT-1238?atlOrigin=eyJpIjoiYzgwYTQ0ZjEyNzQzNGJhN2JmNjEyZTM0NmRhZWZhNjIiLCJwIjoic2hlZXRzLWppcmEifQ","HWKREPORT-1238")</f>
        <v>HWKREPORT-1238</v>
      </c>
      <c r="C2275" s="1" t="s">
        <v>3554</v>
      </c>
      <c r="D2275" s="1" t="s">
        <v>23</v>
      </c>
      <c r="E2275" s="1" t="s">
        <v>35</v>
      </c>
      <c r="F2275" s="4">
        <v>44672.67190972222</v>
      </c>
      <c r="G2275" s="3" t="str">
        <f>HYPERLINK("https://hawk-eye.atlassian.net/browse/RTT-4903?atlOrigin=eyJpIjoiYzgwYTQ0ZjEyNzQzNGJhN2JmNjEyZTM0NmRhZWZhNjIiLCJwIjoic2hlZXRzLWppcmEifQ","RTT-4903")</f>
        <v>RTT-4903</v>
      </c>
      <c r="H2275" s="1" t="s">
        <v>1058</v>
      </c>
      <c r="I2275" s="1" t="s">
        <v>28</v>
      </c>
      <c r="J2275" s="1" t="s">
        <v>26</v>
      </c>
      <c r="K2275" s="1" t="s">
        <v>1072</v>
      </c>
      <c r="L2275" s="1" t="s">
        <v>26</v>
      </c>
      <c r="M2275" s="1" t="s">
        <v>27</v>
      </c>
      <c r="N2275" s="1" t="s">
        <v>26</v>
      </c>
      <c r="O2275" s="1" t="s">
        <v>26</v>
      </c>
      <c r="P2275" s="4">
        <v>44687.45017361111</v>
      </c>
    </row>
    <row r="2276">
      <c r="A2276" s="1" t="s">
        <v>21</v>
      </c>
      <c r="B2276" s="3" t="str">
        <f>HYPERLINK("https://hawk-eye.atlassian.net/browse/HWKREPORT-1239?atlOrigin=eyJpIjoiYzgwYTQ0ZjEyNzQzNGJhN2JmNjEyZTM0NmRhZWZhNjIiLCJwIjoic2hlZXRzLWppcmEifQ","HWKREPORT-1239")</f>
        <v>HWKREPORT-1239</v>
      </c>
      <c r="C2276" s="1" t="s">
        <v>3555</v>
      </c>
      <c r="D2276" s="1" t="s">
        <v>23</v>
      </c>
      <c r="E2276" s="1" t="s">
        <v>35</v>
      </c>
      <c r="F2276" s="4">
        <v>44672.672488425924</v>
      </c>
      <c r="G2276" s="3" t="str">
        <f>HYPERLINK("https://hawk-eye.atlassian.net/browse/RTT-4902?atlOrigin=eyJpIjoiYzgwYTQ0ZjEyNzQzNGJhN2JmNjEyZTM0NmRhZWZhNjIiLCJwIjoic2hlZXRzLWppcmEifQ","RTT-4902")</f>
        <v>RTT-4902</v>
      </c>
      <c r="H2276" s="1" t="s">
        <v>1058</v>
      </c>
      <c r="I2276" s="1" t="s">
        <v>28</v>
      </c>
      <c r="J2276" s="1" t="s">
        <v>26</v>
      </c>
      <c r="K2276" s="1" t="s">
        <v>1072</v>
      </c>
      <c r="L2276" s="1" t="s">
        <v>26</v>
      </c>
      <c r="M2276" s="1" t="s">
        <v>27</v>
      </c>
      <c r="N2276" s="1" t="s">
        <v>26</v>
      </c>
      <c r="O2276" s="1" t="s">
        <v>26</v>
      </c>
      <c r="P2276" s="4">
        <v>44712.62537037037</v>
      </c>
    </row>
    <row r="2277" hidden="1">
      <c r="A2277" s="1" t="s">
        <v>21</v>
      </c>
      <c r="B2277" s="3" t="str">
        <f>HYPERLINK("https://hawk-eye.atlassian.net/browse/HWKREPORT-1240?atlOrigin=eyJpIjoiYzgwYTQ0ZjEyNzQzNGJhN2JmNjEyZTM0NmRhZWZhNjIiLCJwIjoic2hlZXRzLWppcmEifQ","HWKREPORT-1240")</f>
        <v>HWKREPORT-1240</v>
      </c>
      <c r="C2277" s="1" t="s">
        <v>3556</v>
      </c>
      <c r="D2277" s="1" t="s">
        <v>23</v>
      </c>
      <c r="E2277" s="1" t="s">
        <v>35</v>
      </c>
      <c r="F2277" s="4">
        <v>44673.12898148148</v>
      </c>
      <c r="G2277" s="3" t="str">
        <f>HYPERLINK("https://hawk-eye.atlassian.net/browse/BDP-741?atlOrigin=eyJpIjoiYzgwYTQ0ZjEyNzQzNGJhN2JmNjEyZTM0NmRhZWZhNjIiLCJwIjoic2hlZXRzLWppcmEifQ","BDP-741")</f>
        <v>BDP-741</v>
      </c>
      <c r="H2277" s="1" t="s">
        <v>1058</v>
      </c>
      <c r="I2277" s="1" t="s">
        <v>1071</v>
      </c>
      <c r="J2277" s="1" t="s">
        <v>26</v>
      </c>
      <c r="K2277" s="1" t="s">
        <v>1130</v>
      </c>
      <c r="L2277" s="1" t="s">
        <v>26</v>
      </c>
      <c r="M2277" s="1" t="s">
        <v>27</v>
      </c>
      <c r="N2277" s="1" t="s">
        <v>26</v>
      </c>
      <c r="O2277" s="1" t="s">
        <v>26</v>
      </c>
      <c r="P2277" s="4">
        <v>44789.59945601852</v>
      </c>
    </row>
    <row r="2278" hidden="1">
      <c r="A2278" s="1" t="s">
        <v>21</v>
      </c>
      <c r="B2278" s="3" t="str">
        <f>HYPERLINK("https://hawk-eye.atlassian.net/browse/HWKREPORT-1241?atlOrigin=eyJpIjoiYzgwYTQ0ZjEyNzQzNGJhN2JmNjEyZTM0NmRhZWZhNjIiLCJwIjoic2hlZXRzLWppcmEifQ","HWKREPORT-1241")</f>
        <v>HWKREPORT-1241</v>
      </c>
      <c r="C2278" s="1" t="s">
        <v>3557</v>
      </c>
      <c r="D2278" s="1" t="s">
        <v>23</v>
      </c>
      <c r="E2278" s="1" t="s">
        <v>35</v>
      </c>
      <c r="F2278" s="4">
        <v>44674.065625</v>
      </c>
      <c r="G2278" s="3" t="str">
        <f>HYPERLINK("https://hawk-eye.atlassian.net/browse/RTT-4905?atlOrigin=eyJpIjoiYzgwYTQ0ZjEyNzQzNGJhN2JmNjEyZTM0NmRhZWZhNjIiLCJwIjoic2hlZXRzLWppcmEifQ","RTT-4905")</f>
        <v>RTT-4905</v>
      </c>
      <c r="H2278" s="1" t="s">
        <v>1058</v>
      </c>
      <c r="I2278" s="1" t="s">
        <v>1071</v>
      </c>
      <c r="J2278" s="1" t="s">
        <v>26</v>
      </c>
      <c r="K2278" s="1" t="s">
        <v>1099</v>
      </c>
      <c r="L2278" s="1" t="s">
        <v>26</v>
      </c>
      <c r="M2278" s="1" t="s">
        <v>27</v>
      </c>
      <c r="N2278" s="1" t="s">
        <v>26</v>
      </c>
      <c r="O2278" s="1" t="s">
        <v>26</v>
      </c>
      <c r="P2278" s="4">
        <v>45706.6034375</v>
      </c>
    </row>
    <row r="2279" hidden="1">
      <c r="A2279" s="1" t="s">
        <v>21</v>
      </c>
      <c r="B2279" s="3" t="str">
        <f>HYPERLINK("https://hawk-eye.atlassian.net/browse/HWKREPORT-1242?atlOrigin=eyJpIjoiYzgwYTQ0ZjEyNzQzNGJhN2JmNjEyZTM0NmRhZWZhNjIiLCJwIjoic2hlZXRzLWppcmEifQ","HWKREPORT-1242")</f>
        <v>HWKREPORT-1242</v>
      </c>
      <c r="C2279" s="1" t="s">
        <v>3558</v>
      </c>
      <c r="D2279" s="1" t="s">
        <v>23</v>
      </c>
      <c r="E2279" s="1" t="s">
        <v>35</v>
      </c>
      <c r="F2279" s="4">
        <v>44676.53359953704</v>
      </c>
      <c r="G2279" s="3" t="str">
        <f>HYPERLINK("https://hawk-eye.atlassian.net/browse/RTT-4912?atlOrigin=eyJpIjoiYzgwYTQ0ZjEyNzQzNGJhN2JmNjEyZTM0NmRhZWZhNjIiLCJwIjoic2hlZXRzLWppcmEifQ","RTT-4912")</f>
        <v>RTT-4912</v>
      </c>
      <c r="H2279" s="1" t="s">
        <v>1058</v>
      </c>
      <c r="I2279" s="1" t="s">
        <v>1085</v>
      </c>
      <c r="J2279" s="1" t="s">
        <v>26</v>
      </c>
      <c r="K2279" s="1" t="s">
        <v>1072</v>
      </c>
      <c r="L2279" s="1" t="s">
        <v>26</v>
      </c>
      <c r="M2279" s="1" t="s">
        <v>27</v>
      </c>
      <c r="N2279" s="1" t="s">
        <v>26</v>
      </c>
      <c r="O2279" s="1" t="s">
        <v>26</v>
      </c>
      <c r="P2279" s="4">
        <v>44692.40284722222</v>
      </c>
    </row>
    <row r="2280" hidden="1">
      <c r="A2280" s="1" t="s">
        <v>1055</v>
      </c>
      <c r="B2280" s="3" t="str">
        <f>HYPERLINK("https://hawk-eye.atlassian.net/browse/HWKREPORT-1243?atlOrigin=eyJpIjoiYzgwYTQ0ZjEyNzQzNGJhN2JmNjEyZTM0NmRhZWZhNjIiLCJwIjoic2hlZXRzLWppcmEifQ","HWKREPORT-1243")</f>
        <v>HWKREPORT-1243</v>
      </c>
      <c r="C2280" s="1" t="s">
        <v>3559</v>
      </c>
      <c r="D2280" s="1" t="s">
        <v>23</v>
      </c>
      <c r="E2280" s="1" t="s">
        <v>35</v>
      </c>
      <c r="F2280" s="4">
        <v>44676.55255787037</v>
      </c>
      <c r="G2280" s="3" t="str">
        <f>HYPERLINK("https://hawk-eye.atlassian.net/browse/RTT-5213?atlOrigin=eyJpIjoiYzgwYTQ0ZjEyNzQzNGJhN2JmNjEyZTM0NmRhZWZhNjIiLCJwIjoic2hlZXRzLWppcmEifQ","RTT-5213")</f>
        <v>RTT-5213</v>
      </c>
      <c r="H2280" s="1" t="s">
        <v>1058</v>
      </c>
      <c r="I2280" s="1" t="s">
        <v>1085</v>
      </c>
      <c r="J2280" s="1" t="s">
        <v>26</v>
      </c>
      <c r="K2280" s="1" t="s">
        <v>1072</v>
      </c>
      <c r="L2280" s="1" t="s">
        <v>26</v>
      </c>
      <c r="M2280" s="1" t="s">
        <v>27</v>
      </c>
      <c r="N2280" s="1" t="s">
        <v>26</v>
      </c>
      <c r="O2280" s="1" t="s">
        <v>26</v>
      </c>
      <c r="P2280" s="4">
        <v>44855.37269675926</v>
      </c>
    </row>
    <row r="2281" hidden="1">
      <c r="A2281" s="1" t="s">
        <v>21</v>
      </c>
      <c r="B2281" s="3" t="str">
        <f>HYPERLINK("https://hawk-eye.atlassian.net/browse/HWKREPORT-1244?atlOrigin=eyJpIjoiYzgwYTQ0ZjEyNzQzNGJhN2JmNjEyZTM0NmRhZWZhNjIiLCJwIjoic2hlZXRzLWppcmEifQ","HWKREPORT-1244")</f>
        <v>HWKREPORT-1244</v>
      </c>
      <c r="C2281" s="1" t="s">
        <v>3560</v>
      </c>
      <c r="D2281" s="1" t="s">
        <v>23</v>
      </c>
      <c r="E2281" s="1" t="s">
        <v>35</v>
      </c>
      <c r="F2281" s="4">
        <v>44676.55542824074</v>
      </c>
      <c r="G2281" s="3" t="str">
        <f>HYPERLINK("https://hawk-eye.atlassian.net/browse/RTT-4911?atlOrigin=eyJpIjoiYzgwYTQ0ZjEyNzQzNGJhN2JmNjEyZTM0NmRhZWZhNjIiLCJwIjoic2hlZXRzLWppcmEifQ","RTT-4911")</f>
        <v>RTT-4911</v>
      </c>
      <c r="H2281" s="1" t="s">
        <v>1058</v>
      </c>
      <c r="I2281" s="1" t="s">
        <v>1085</v>
      </c>
      <c r="J2281" s="1" t="s">
        <v>26</v>
      </c>
      <c r="K2281" s="1" t="s">
        <v>1072</v>
      </c>
      <c r="L2281" s="1" t="s">
        <v>26</v>
      </c>
      <c r="M2281" s="1" t="s">
        <v>27</v>
      </c>
      <c r="N2281" s="1" t="s">
        <v>26</v>
      </c>
      <c r="O2281" s="1" t="s">
        <v>26</v>
      </c>
      <c r="P2281" s="4">
        <v>44692.533784722225</v>
      </c>
    </row>
    <row r="2282" hidden="1">
      <c r="A2282" s="1" t="s">
        <v>21</v>
      </c>
      <c r="B2282" s="3" t="str">
        <f>HYPERLINK("https://hawk-eye.atlassian.net/browse/HWKREPORT-1245?atlOrigin=eyJpIjoiYzgwYTQ0ZjEyNzQzNGJhN2JmNjEyZTM0NmRhZWZhNjIiLCJwIjoic2hlZXRzLWppcmEifQ","HWKREPORT-1245")</f>
        <v>HWKREPORT-1245</v>
      </c>
      <c r="C2282" s="1" t="s">
        <v>3561</v>
      </c>
      <c r="D2282" s="1" t="s">
        <v>23</v>
      </c>
      <c r="E2282" s="1" t="s">
        <v>35</v>
      </c>
      <c r="F2282" s="4">
        <v>44676.55577546296</v>
      </c>
      <c r="G2282" s="3" t="str">
        <f>HYPERLINK("https://hawk-eye.atlassian.net/browse/AL-308?atlOrigin=eyJpIjoiYzgwYTQ0ZjEyNzQzNGJhN2JmNjEyZTM0NmRhZWZhNjIiLCJwIjoic2hlZXRzLWppcmEifQ","AL-308")</f>
        <v>AL-308</v>
      </c>
      <c r="H2282" s="1" t="s">
        <v>1058</v>
      </c>
      <c r="I2282" s="1" t="s">
        <v>1071</v>
      </c>
      <c r="J2282" s="1" t="s">
        <v>26</v>
      </c>
      <c r="K2282" s="1" t="s">
        <v>1898</v>
      </c>
      <c r="L2282" s="1" t="s">
        <v>26</v>
      </c>
      <c r="M2282" s="1" t="s">
        <v>27</v>
      </c>
      <c r="N2282" s="1" t="s">
        <v>26</v>
      </c>
      <c r="O2282" s="1" t="s">
        <v>26</v>
      </c>
      <c r="P2282" s="4">
        <v>44690.53561342593</v>
      </c>
    </row>
    <row r="2283" hidden="1">
      <c r="A2283" s="1" t="s">
        <v>21</v>
      </c>
      <c r="B2283" s="3" t="str">
        <f>HYPERLINK("https://hawk-eye.atlassian.net/browse/HWKREPORT-1246?atlOrigin=eyJpIjoiYzgwYTQ0ZjEyNzQzNGJhN2JmNjEyZTM0NmRhZWZhNjIiLCJwIjoic2hlZXRzLWppcmEifQ","HWKREPORT-1246")</f>
        <v>HWKREPORT-1246</v>
      </c>
      <c r="C2283" s="1" t="s">
        <v>3562</v>
      </c>
      <c r="D2283" s="1" t="s">
        <v>83</v>
      </c>
      <c r="E2283" s="1" t="s">
        <v>35</v>
      </c>
      <c r="F2283" s="4">
        <v>44676.55944444444</v>
      </c>
      <c r="G2283" s="3" t="str">
        <f>HYPERLINK("https://hawk-eye.atlassian.net/browse/?atlOrigin=eyJpIjoiYzgwYTQ0ZjEyNzQzNGJhN2JmNjEyZTM0NmRhZWZhNjIiLCJwIjoic2hlZXRzLWppcmEifQ","")</f>
        <v/>
      </c>
      <c r="H2283" s="1" t="s">
        <v>1058</v>
      </c>
      <c r="I2283" s="1" t="s">
        <v>1085</v>
      </c>
      <c r="J2283" s="1" t="s">
        <v>26</v>
      </c>
      <c r="K2283" s="1" t="s">
        <v>1247</v>
      </c>
      <c r="L2283" s="1" t="s">
        <v>26</v>
      </c>
      <c r="M2283" s="1" t="s">
        <v>27</v>
      </c>
      <c r="N2283" s="1" t="s">
        <v>26</v>
      </c>
      <c r="O2283" s="1" t="s">
        <v>26</v>
      </c>
      <c r="P2283" s="4">
        <v>44936.42089120371</v>
      </c>
    </row>
    <row r="2284" hidden="1">
      <c r="A2284" s="1" t="s">
        <v>21</v>
      </c>
      <c r="B2284" s="3" t="str">
        <f>HYPERLINK("https://hawk-eye.atlassian.net/browse/HWKREPORT-1247?atlOrigin=eyJpIjoiYzgwYTQ0ZjEyNzQzNGJhN2JmNjEyZTM0NmRhZWZhNjIiLCJwIjoic2hlZXRzLWppcmEifQ","HWKREPORT-1247")</f>
        <v>HWKREPORT-1247</v>
      </c>
      <c r="C2284" s="1" t="s">
        <v>3563</v>
      </c>
      <c r="D2284" s="1" t="s">
        <v>23</v>
      </c>
      <c r="E2284" s="1" t="s">
        <v>35</v>
      </c>
      <c r="F2284" s="4">
        <v>44676.561736111114</v>
      </c>
      <c r="G2284" s="3" t="str">
        <f>HYPERLINK("https://hawk-eye.atlassian.net/browse/WEBRENDER-48?atlOrigin=eyJpIjoiYzgwYTQ0ZjEyNzQzNGJhN2JmNjEyZTM0NmRhZWZhNjIiLCJwIjoic2hlZXRzLWppcmEifQ","WEBRENDER-48")</f>
        <v>WEBRENDER-48</v>
      </c>
      <c r="H2284" s="1" t="s">
        <v>1058</v>
      </c>
      <c r="I2284" s="1" t="s">
        <v>1085</v>
      </c>
      <c r="J2284" s="1" t="s">
        <v>26</v>
      </c>
      <c r="K2284" s="1" t="s">
        <v>3564</v>
      </c>
      <c r="L2284" s="1" t="s">
        <v>26</v>
      </c>
      <c r="M2284" s="1" t="s">
        <v>27</v>
      </c>
      <c r="N2284" s="1" t="s">
        <v>26</v>
      </c>
      <c r="O2284" s="1" t="s">
        <v>26</v>
      </c>
      <c r="P2284" s="4">
        <v>44727.512083333335</v>
      </c>
    </row>
    <row r="2285" hidden="1">
      <c r="A2285" s="1" t="s">
        <v>1055</v>
      </c>
      <c r="B2285" s="3" t="str">
        <f>HYPERLINK("https://hawk-eye.atlassian.net/browse/HWKREPORT-1248?atlOrigin=eyJpIjoiYzgwYTQ0ZjEyNzQzNGJhN2JmNjEyZTM0NmRhZWZhNjIiLCJwIjoic2hlZXRzLWppcmEifQ","HWKREPORT-1248")</f>
        <v>HWKREPORT-1248</v>
      </c>
      <c r="C2285" s="1" t="s">
        <v>3565</v>
      </c>
      <c r="D2285" s="1" t="s">
        <v>23</v>
      </c>
      <c r="E2285" s="1" t="s">
        <v>1057</v>
      </c>
      <c r="F2285" s="4">
        <v>44676.69520833333</v>
      </c>
      <c r="G2285" s="3" t="str">
        <f>HYPERLINK("https://hawk-eye.atlassian.net/browse/?atlOrigin=eyJpIjoiYzgwYTQ0ZjEyNzQzNGJhN2JmNjEyZTM0NmRhZWZhNjIiLCJwIjoic2hlZXRzLWppcmEifQ","")</f>
        <v/>
      </c>
      <c r="H2285" s="1" t="s">
        <v>1058</v>
      </c>
      <c r="I2285" s="1" t="s">
        <v>1085</v>
      </c>
      <c r="J2285" s="1" t="s">
        <v>26</v>
      </c>
      <c r="K2285" s="1" t="s">
        <v>1312</v>
      </c>
      <c r="L2285" s="1" t="s">
        <v>26</v>
      </c>
      <c r="M2285" s="1" t="s">
        <v>27</v>
      </c>
      <c r="N2285" s="1" t="s">
        <v>26</v>
      </c>
      <c r="O2285" s="1" t="s">
        <v>26</v>
      </c>
      <c r="P2285" s="4">
        <v>44676.69521990741</v>
      </c>
    </row>
    <row r="2286" hidden="1">
      <c r="A2286" s="1" t="s">
        <v>1055</v>
      </c>
      <c r="B2286" s="3" t="str">
        <f>HYPERLINK("https://hawk-eye.atlassian.net/browse/HWKREPORT-1249?atlOrigin=eyJpIjoiYzgwYTQ0ZjEyNzQzNGJhN2JmNjEyZTM0NmRhZWZhNjIiLCJwIjoic2hlZXRzLWppcmEifQ","HWKREPORT-1249")</f>
        <v>HWKREPORT-1249</v>
      </c>
      <c r="C2286" s="1" t="s">
        <v>3566</v>
      </c>
      <c r="D2286" s="1" t="s">
        <v>23</v>
      </c>
      <c r="E2286" s="1" t="s">
        <v>35</v>
      </c>
      <c r="F2286" s="4">
        <v>44676.69648148148</v>
      </c>
      <c r="G2286" s="3" t="str">
        <f>HYPERLINK("https://hawk-eye.atlassian.net/browse/SO-417?atlOrigin=eyJpIjoiYzgwYTQ0ZjEyNzQzNGJhN2JmNjEyZTM0NmRhZWZhNjIiLCJwIjoic2hlZXRzLWppcmEifQ","SO-417")</f>
        <v>SO-417</v>
      </c>
      <c r="H2286" s="1" t="s">
        <v>1058</v>
      </c>
      <c r="I2286" s="1" t="s">
        <v>1085</v>
      </c>
      <c r="J2286" s="1" t="s">
        <v>26</v>
      </c>
      <c r="K2286" s="1" t="s">
        <v>1116</v>
      </c>
      <c r="L2286" s="1" t="s">
        <v>26</v>
      </c>
      <c r="M2286" s="1" t="s">
        <v>27</v>
      </c>
      <c r="N2286" s="1" t="s">
        <v>26</v>
      </c>
      <c r="O2286" s="1" t="s">
        <v>26</v>
      </c>
      <c r="P2286" s="4">
        <v>45315.49982638889</v>
      </c>
    </row>
    <row r="2287" hidden="1">
      <c r="A2287" s="1" t="s">
        <v>21</v>
      </c>
      <c r="B2287" s="3" t="str">
        <f>HYPERLINK("https://hawk-eye.atlassian.net/browse/HWKREPORT-1250?atlOrigin=eyJpIjoiYzgwYTQ0ZjEyNzQzNGJhN2JmNjEyZTM0NmRhZWZhNjIiLCJwIjoic2hlZXRzLWppcmEifQ","HWKREPORT-1250")</f>
        <v>HWKREPORT-1250</v>
      </c>
      <c r="C2287" s="1" t="s">
        <v>3567</v>
      </c>
      <c r="D2287" s="1" t="s">
        <v>40</v>
      </c>
      <c r="E2287" s="1" t="s">
        <v>35</v>
      </c>
      <c r="F2287" s="4">
        <v>44676.81266203704</v>
      </c>
      <c r="G2287" s="3" t="str">
        <f>HYPERLINK("https://hawk-eye.atlassian.net/browse/AL-309?atlOrigin=eyJpIjoiYzgwYTQ0ZjEyNzQzNGJhN2JmNjEyZTM0NmRhZWZhNjIiLCJwIjoic2hlZXRzLWppcmEifQ","AL-309")</f>
        <v>AL-309</v>
      </c>
      <c r="H2287" s="1" t="s">
        <v>1058</v>
      </c>
      <c r="I2287" s="1" t="s">
        <v>1085</v>
      </c>
      <c r="J2287" s="1" t="s">
        <v>26</v>
      </c>
      <c r="K2287" s="1" t="s">
        <v>1219</v>
      </c>
      <c r="L2287" s="1" t="s">
        <v>26</v>
      </c>
      <c r="M2287" s="1" t="s">
        <v>27</v>
      </c>
      <c r="N2287" s="1" t="s">
        <v>26</v>
      </c>
      <c r="O2287" s="1" t="s">
        <v>26</v>
      </c>
      <c r="P2287" s="4">
        <v>44685.59357638889</v>
      </c>
    </row>
    <row r="2288" hidden="1">
      <c r="A2288" s="1" t="s">
        <v>1055</v>
      </c>
      <c r="B2288" s="3" t="str">
        <f>HYPERLINK("https://hawk-eye.atlassian.net/browse/HWKREPORT-1251?atlOrigin=eyJpIjoiYzgwYTQ0ZjEyNzQzNGJhN2JmNjEyZTM0NmRhZWZhNjIiLCJwIjoic2hlZXRzLWppcmEifQ","HWKREPORT-1251")</f>
        <v>HWKREPORT-1251</v>
      </c>
      <c r="C2288" s="1" t="s">
        <v>3568</v>
      </c>
      <c r="D2288" s="1" t="s">
        <v>23</v>
      </c>
      <c r="E2288" s="1" t="s">
        <v>35</v>
      </c>
      <c r="F2288" s="4">
        <v>44676.81726851852</v>
      </c>
      <c r="G2288" s="3" t="str">
        <f>HYPERLINK("https://hawk-eye.atlassian.net/browse/AL-310?atlOrigin=eyJpIjoiYzgwYTQ0ZjEyNzQzNGJhN2JmNjEyZTM0NmRhZWZhNjIiLCJwIjoic2hlZXRzLWppcmEifQ","AL-310")</f>
        <v>AL-310</v>
      </c>
      <c r="H2288" s="1" t="s">
        <v>1058</v>
      </c>
      <c r="I2288" s="1" t="s">
        <v>1085</v>
      </c>
      <c r="J2288" s="1" t="s">
        <v>26</v>
      </c>
      <c r="K2288" s="1" t="s">
        <v>1219</v>
      </c>
      <c r="L2288" s="1" t="s">
        <v>26</v>
      </c>
      <c r="M2288" s="1" t="s">
        <v>27</v>
      </c>
      <c r="N2288" s="1" t="s">
        <v>26</v>
      </c>
      <c r="O2288" s="1" t="s">
        <v>26</v>
      </c>
      <c r="P2288" s="4">
        <v>44685.594375</v>
      </c>
    </row>
    <row r="2289" hidden="1">
      <c r="A2289" s="1" t="s">
        <v>21</v>
      </c>
      <c r="B2289" s="3" t="str">
        <f>HYPERLINK("https://hawk-eye.atlassian.net/browse/HWKREPORT-1252?atlOrigin=eyJpIjoiYzgwYTQ0ZjEyNzQzNGJhN2JmNjEyZTM0NmRhZWZhNjIiLCJwIjoic2hlZXRzLWppcmEifQ","HWKREPORT-1252")</f>
        <v>HWKREPORT-1252</v>
      </c>
      <c r="C2289" s="1" t="s">
        <v>3569</v>
      </c>
      <c r="D2289" s="1" t="s">
        <v>23</v>
      </c>
      <c r="E2289" s="1" t="s">
        <v>35</v>
      </c>
      <c r="F2289" s="4">
        <v>44676.90630787037</v>
      </c>
      <c r="G2289" s="3" t="str">
        <f>HYPERLINK("https://hawk-eye.atlassian.net/browse/AL-311?atlOrigin=eyJpIjoiYzgwYTQ0ZjEyNzQzNGJhN2JmNjEyZTM0NmRhZWZhNjIiLCJwIjoic2hlZXRzLWppcmEifQ","AL-311")</f>
        <v>AL-311</v>
      </c>
      <c r="H2289" s="1" t="s">
        <v>1058</v>
      </c>
      <c r="I2289" s="1" t="s">
        <v>1071</v>
      </c>
      <c r="J2289" s="1" t="s">
        <v>26</v>
      </c>
      <c r="K2289" s="1" t="s">
        <v>1276</v>
      </c>
      <c r="L2289" s="1" t="s">
        <v>26</v>
      </c>
      <c r="M2289" s="1" t="s">
        <v>27</v>
      </c>
      <c r="N2289" s="1" t="s">
        <v>26</v>
      </c>
      <c r="O2289" s="1" t="s">
        <v>26</v>
      </c>
      <c r="P2289" s="4">
        <v>44690.545439814814</v>
      </c>
    </row>
    <row r="2290" hidden="1">
      <c r="A2290" s="1" t="s">
        <v>1055</v>
      </c>
      <c r="B2290" s="3" t="str">
        <f>HYPERLINK("https://hawk-eye.atlassian.net/browse/HWKREPORT-1253?atlOrigin=eyJpIjoiYzgwYTQ0ZjEyNzQzNGJhN2JmNjEyZTM0NmRhZWZhNjIiLCJwIjoic2hlZXRzLWppcmEifQ","HWKREPORT-1253")</f>
        <v>HWKREPORT-1253</v>
      </c>
      <c r="C2290" s="1" t="s">
        <v>3570</v>
      </c>
      <c r="D2290" s="1" t="s">
        <v>23</v>
      </c>
      <c r="E2290" s="1" t="s">
        <v>35</v>
      </c>
      <c r="F2290" s="4">
        <v>44676.91609953704</v>
      </c>
      <c r="G2290" s="3" t="str">
        <f>HYPERLINK("https://hawk-eye.atlassian.net/browse/RTT-4914?atlOrigin=eyJpIjoiYzgwYTQ0ZjEyNzQzNGJhN2JmNjEyZTM0NmRhZWZhNjIiLCJwIjoic2hlZXRzLWppcmEifQ","RTT-4914")</f>
        <v>RTT-4914</v>
      </c>
      <c r="H2290" s="1" t="s">
        <v>1058</v>
      </c>
      <c r="I2290" s="1" t="s">
        <v>1071</v>
      </c>
      <c r="J2290" s="1" t="s">
        <v>26</v>
      </c>
      <c r="K2290" s="1" t="s">
        <v>1072</v>
      </c>
      <c r="L2290" s="1" t="s">
        <v>26</v>
      </c>
      <c r="M2290" s="1" t="s">
        <v>27</v>
      </c>
      <c r="N2290" s="1" t="s">
        <v>26</v>
      </c>
      <c r="O2290" s="1" t="s">
        <v>26</v>
      </c>
      <c r="P2290" s="4">
        <v>45216.381261574075</v>
      </c>
    </row>
    <row r="2291" hidden="1">
      <c r="A2291" s="1" t="s">
        <v>21</v>
      </c>
      <c r="B2291" s="3" t="str">
        <f>HYPERLINK("https://hawk-eye.atlassian.net/browse/HWKREPORT-1254?atlOrigin=eyJpIjoiYzgwYTQ0ZjEyNzQzNGJhN2JmNjEyZTM0NmRhZWZhNjIiLCJwIjoic2hlZXRzLWppcmEifQ","HWKREPORT-1254")</f>
        <v>HWKREPORT-1254</v>
      </c>
      <c r="C2291" s="1" t="s">
        <v>3571</v>
      </c>
      <c r="D2291" s="1" t="s">
        <v>23</v>
      </c>
      <c r="E2291" s="1" t="s">
        <v>1057</v>
      </c>
      <c r="F2291" s="4">
        <v>44676.920752314814</v>
      </c>
      <c r="G2291" s="3" t="str">
        <f>HYPERLINK("https://hawk-eye.atlassian.net/browse/?atlOrigin=eyJpIjoiYzgwYTQ0ZjEyNzQzNGJhN2JmNjEyZTM0NmRhZWZhNjIiLCJwIjoic2hlZXRzLWppcmEifQ","")</f>
        <v/>
      </c>
      <c r="H2291" s="1" t="s">
        <v>1058</v>
      </c>
      <c r="I2291" s="1" t="s">
        <v>1071</v>
      </c>
      <c r="J2291" s="1" t="s">
        <v>26</v>
      </c>
      <c r="K2291" s="1" t="s">
        <v>1130</v>
      </c>
      <c r="L2291" s="1" t="s">
        <v>26</v>
      </c>
      <c r="M2291" s="1" t="s">
        <v>27</v>
      </c>
      <c r="N2291" s="1" t="s">
        <v>26</v>
      </c>
      <c r="O2291" s="1" t="s">
        <v>26</v>
      </c>
      <c r="P2291" s="4">
        <v>44676.920752314814</v>
      </c>
    </row>
    <row r="2292" hidden="1">
      <c r="A2292" s="1" t="s">
        <v>21</v>
      </c>
      <c r="B2292" s="3" t="str">
        <f>HYPERLINK("https://hawk-eye.atlassian.net/browse/HWKREPORT-1255?atlOrigin=eyJpIjoiYzgwYTQ0ZjEyNzQzNGJhN2JmNjEyZTM0NmRhZWZhNjIiLCJwIjoic2hlZXRzLWppcmEifQ","HWKREPORT-1255")</f>
        <v>HWKREPORT-1255</v>
      </c>
      <c r="C2292" s="1" t="s">
        <v>3572</v>
      </c>
      <c r="D2292" s="1" t="s">
        <v>34</v>
      </c>
      <c r="E2292" s="1" t="s">
        <v>35</v>
      </c>
      <c r="F2292" s="4">
        <v>44676.93170138889</v>
      </c>
      <c r="G2292" s="3" t="str">
        <f>HYPERLINK("https://hawk-eye.atlassian.net/browse/RTT-4913?atlOrigin=eyJpIjoiYzgwYTQ0ZjEyNzQzNGJhN2JmNjEyZTM0NmRhZWZhNjIiLCJwIjoic2hlZXRzLWppcmEifQ","RTT-4913")</f>
        <v>RTT-4913</v>
      </c>
      <c r="H2292" s="1" t="s">
        <v>1058</v>
      </c>
      <c r="I2292" s="1" t="s">
        <v>1071</v>
      </c>
      <c r="J2292" s="1" t="s">
        <v>26</v>
      </c>
      <c r="K2292" s="1" t="s">
        <v>1072</v>
      </c>
      <c r="L2292" s="1" t="s">
        <v>26</v>
      </c>
      <c r="M2292" s="1" t="s">
        <v>27</v>
      </c>
      <c r="N2292" s="1" t="s">
        <v>26</v>
      </c>
      <c r="O2292" s="1" t="s">
        <v>26</v>
      </c>
      <c r="P2292" s="4">
        <v>44684.41075231481</v>
      </c>
    </row>
    <row r="2293" hidden="1">
      <c r="A2293" s="1" t="s">
        <v>1055</v>
      </c>
      <c r="B2293" s="3" t="str">
        <f>HYPERLINK("https://hawk-eye.atlassian.net/browse/HWKREPORT-1256?atlOrigin=eyJpIjoiYzgwYTQ0ZjEyNzQzNGJhN2JmNjEyZTM0NmRhZWZhNjIiLCJwIjoic2hlZXRzLWppcmEifQ","HWKREPORT-1256")</f>
        <v>HWKREPORT-1256</v>
      </c>
      <c r="C2293" s="1" t="s">
        <v>3573</v>
      </c>
      <c r="D2293" s="1" t="s">
        <v>23</v>
      </c>
      <c r="E2293" s="1" t="s">
        <v>35</v>
      </c>
      <c r="F2293" s="4">
        <v>44676.93974537037</v>
      </c>
      <c r="G2293" s="3" t="str">
        <f>HYPERLINK("https://hawk-eye.atlassian.net/browse/AL-312?atlOrigin=eyJpIjoiYzgwYTQ0ZjEyNzQzNGJhN2JmNjEyZTM0NmRhZWZhNjIiLCJwIjoic2hlZXRzLWppcmEifQ","AL-312")</f>
        <v>AL-312</v>
      </c>
      <c r="H2293" s="1" t="s">
        <v>1058</v>
      </c>
      <c r="I2293" s="1" t="s">
        <v>1071</v>
      </c>
      <c r="J2293" s="1" t="s">
        <v>26</v>
      </c>
      <c r="K2293" s="1" t="s">
        <v>1276</v>
      </c>
      <c r="L2293" s="1" t="s">
        <v>26</v>
      </c>
      <c r="M2293" s="1" t="s">
        <v>27</v>
      </c>
      <c r="N2293" s="1" t="s">
        <v>26</v>
      </c>
      <c r="O2293" s="1" t="s">
        <v>26</v>
      </c>
      <c r="P2293" s="4">
        <v>44690.54565972222</v>
      </c>
    </row>
    <row r="2294" hidden="1">
      <c r="A2294" s="1" t="s">
        <v>21</v>
      </c>
      <c r="B2294" s="3" t="str">
        <f>HYPERLINK("https://hawk-eye.atlassian.net/browse/HWKREPORT-1257?atlOrigin=eyJpIjoiYzgwYTQ0ZjEyNzQzNGJhN2JmNjEyZTM0NmRhZWZhNjIiLCJwIjoic2hlZXRzLWppcmEifQ","HWKREPORT-1257")</f>
        <v>HWKREPORT-1257</v>
      </c>
      <c r="C2294" s="1" t="s">
        <v>3574</v>
      </c>
      <c r="D2294" s="1" t="s">
        <v>23</v>
      </c>
      <c r="E2294" s="1" t="s">
        <v>35</v>
      </c>
      <c r="F2294" s="4">
        <v>44677.63050925926</v>
      </c>
      <c r="G2294" s="3" t="str">
        <f>HYPERLINK("https://hawk-eye.atlassian.net/browse/RTT-5049?atlOrigin=eyJpIjoiYzgwYTQ0ZjEyNzQzNGJhN2JmNjEyZTM0NmRhZWZhNjIiLCJwIjoic2hlZXRzLWppcmEifQ","RTT-5049")</f>
        <v>RTT-5049</v>
      </c>
      <c r="H2294" s="1" t="s">
        <v>1058</v>
      </c>
      <c r="I2294" s="1" t="s">
        <v>1071</v>
      </c>
      <c r="J2294" s="1" t="s">
        <v>26</v>
      </c>
      <c r="K2294" s="1" t="s">
        <v>1072</v>
      </c>
      <c r="L2294" s="1" t="s">
        <v>26</v>
      </c>
      <c r="M2294" s="1" t="s">
        <v>27</v>
      </c>
      <c r="N2294" s="1" t="s">
        <v>26</v>
      </c>
      <c r="O2294" s="1" t="s">
        <v>26</v>
      </c>
      <c r="P2294" s="4">
        <v>44803.39376157407</v>
      </c>
    </row>
    <row r="2295">
      <c r="A2295" s="1" t="s">
        <v>21</v>
      </c>
      <c r="B2295" s="3" t="str">
        <f>HYPERLINK("https://hawk-eye.atlassian.net/browse/HWKREPORT-1258?atlOrigin=eyJpIjoiYzgwYTQ0ZjEyNzQzNGJhN2JmNjEyZTM0NmRhZWZhNjIiLCJwIjoic2hlZXRzLWppcmEifQ","HWKREPORT-1258")</f>
        <v>HWKREPORT-1258</v>
      </c>
      <c r="C2295" s="1" t="s">
        <v>3575</v>
      </c>
      <c r="D2295" s="1" t="s">
        <v>23</v>
      </c>
      <c r="E2295" s="1" t="s">
        <v>35</v>
      </c>
      <c r="F2295" s="4">
        <v>44677.68650462963</v>
      </c>
      <c r="G2295" s="3" t="str">
        <f>HYPERLINK("https://hawk-eye.atlassian.net/browse/RTT-4917?atlOrigin=eyJpIjoiYzgwYTQ0ZjEyNzQzNGJhN2JmNjEyZTM0NmRhZWZhNjIiLCJwIjoic2hlZXRzLWppcmEifQ","RTT-4917")</f>
        <v>RTT-4917</v>
      </c>
      <c r="H2295" s="1" t="s">
        <v>1058</v>
      </c>
      <c r="I2295" s="1" t="s">
        <v>28</v>
      </c>
      <c r="J2295" s="1" t="s">
        <v>26</v>
      </c>
      <c r="K2295" s="1" t="s">
        <v>1072</v>
      </c>
      <c r="L2295" s="1" t="s">
        <v>26</v>
      </c>
      <c r="M2295" s="1" t="s">
        <v>27</v>
      </c>
      <c r="N2295" s="1" t="s">
        <v>26</v>
      </c>
      <c r="O2295" s="1" t="s">
        <v>26</v>
      </c>
      <c r="P2295" s="4">
        <v>44691.58188657407</v>
      </c>
    </row>
    <row r="2296" hidden="1">
      <c r="A2296" s="1" t="s">
        <v>1055</v>
      </c>
      <c r="B2296" s="3" t="str">
        <f>HYPERLINK("https://hawk-eye.atlassian.net/browse/HWKREPORT-1259?atlOrigin=eyJpIjoiYzgwYTQ0ZjEyNzQzNGJhN2JmNjEyZTM0NmRhZWZhNjIiLCJwIjoic2hlZXRzLWppcmEifQ","HWKREPORT-1259")</f>
        <v>HWKREPORT-1259</v>
      </c>
      <c r="C2296" s="1" t="s">
        <v>3576</v>
      </c>
      <c r="D2296" s="1" t="s">
        <v>23</v>
      </c>
      <c r="E2296" s="1" t="s">
        <v>35</v>
      </c>
      <c r="F2296" s="4">
        <v>44677.81375</v>
      </c>
      <c r="G2296" s="3" t="str">
        <f>HYPERLINK("https://hawk-eye.atlassian.net/browse/RTT-4921?atlOrigin=eyJpIjoiYzgwYTQ0ZjEyNzQzNGJhN2JmNjEyZTM0NmRhZWZhNjIiLCJwIjoic2hlZXRzLWppcmEifQ","RTT-4921")</f>
        <v>RTT-4921</v>
      </c>
      <c r="H2296" s="1" t="s">
        <v>1058</v>
      </c>
      <c r="I2296" s="1" t="s">
        <v>28</v>
      </c>
      <c r="J2296" s="1" t="s">
        <v>26</v>
      </c>
      <c r="K2296" s="1" t="s">
        <v>1072</v>
      </c>
      <c r="L2296" s="1" t="s">
        <v>26</v>
      </c>
      <c r="M2296" s="1" t="s">
        <v>27</v>
      </c>
      <c r="N2296" s="1" t="s">
        <v>26</v>
      </c>
      <c r="O2296" s="1" t="s">
        <v>26</v>
      </c>
      <c r="P2296" s="4">
        <v>44690.73224537037</v>
      </c>
    </row>
    <row r="2297" hidden="1">
      <c r="A2297" s="1" t="s">
        <v>1055</v>
      </c>
      <c r="B2297" s="3" t="str">
        <f>HYPERLINK("https://hawk-eye.atlassian.net/browse/HWKREPORT-1260?atlOrigin=eyJpIjoiYzgwYTQ0ZjEyNzQzNGJhN2JmNjEyZTM0NmRhZWZhNjIiLCJwIjoic2hlZXRzLWppcmEifQ","HWKREPORT-1260")</f>
        <v>HWKREPORT-1260</v>
      </c>
      <c r="C2297" s="1" t="s">
        <v>3577</v>
      </c>
      <c r="D2297" s="1" t="s">
        <v>23</v>
      </c>
      <c r="E2297" s="1" t="s">
        <v>35</v>
      </c>
      <c r="F2297" s="4">
        <v>44677.81806712963</v>
      </c>
      <c r="G2297" s="3" t="str">
        <f>HYPERLINK("https://hawk-eye.atlassian.net/browse/RTT-4920?atlOrigin=eyJpIjoiYzgwYTQ0ZjEyNzQzNGJhN2JmNjEyZTM0NmRhZWZhNjIiLCJwIjoic2hlZXRzLWppcmEifQ","RTT-4920")</f>
        <v>RTT-4920</v>
      </c>
      <c r="H2297" s="1" t="s">
        <v>1058</v>
      </c>
      <c r="I2297" s="1" t="s">
        <v>28</v>
      </c>
      <c r="J2297" s="1" t="s">
        <v>26</v>
      </c>
      <c r="K2297" s="1" t="s">
        <v>1072</v>
      </c>
      <c r="L2297" s="1" t="s">
        <v>26</v>
      </c>
      <c r="M2297" s="1" t="s">
        <v>27</v>
      </c>
      <c r="N2297" s="1" t="s">
        <v>26</v>
      </c>
      <c r="O2297" s="1" t="s">
        <v>26</v>
      </c>
      <c r="P2297" s="4">
        <v>44739.64298611111</v>
      </c>
    </row>
    <row r="2298" hidden="1">
      <c r="A2298" s="1" t="s">
        <v>21</v>
      </c>
      <c r="B2298" s="3" t="str">
        <f>HYPERLINK("https://hawk-eye.atlassian.net/browse/HWKREPORT-1261?atlOrigin=eyJpIjoiYzgwYTQ0ZjEyNzQzNGJhN2JmNjEyZTM0NmRhZWZhNjIiLCJwIjoic2hlZXRzLWppcmEifQ","HWKREPORT-1261")</f>
        <v>HWKREPORT-1261</v>
      </c>
      <c r="C2298" s="1" t="s">
        <v>3578</v>
      </c>
      <c r="D2298" s="1" t="s">
        <v>34</v>
      </c>
      <c r="E2298" s="1" t="s">
        <v>35</v>
      </c>
      <c r="F2298" s="4">
        <v>44678.485138888886</v>
      </c>
      <c r="G2298" s="3" t="str">
        <f>HYPERLINK("https://hawk-eye.atlassian.net/browse/RTT-4932?atlOrigin=eyJpIjoiYzgwYTQ0ZjEyNzQzNGJhN2JmNjEyZTM0NmRhZWZhNjIiLCJwIjoic2hlZXRzLWppcmEifQ","RTT-4932")</f>
        <v>RTT-4932</v>
      </c>
      <c r="H2298" s="1" t="s">
        <v>1058</v>
      </c>
      <c r="I2298" s="1" t="s">
        <v>1085</v>
      </c>
      <c r="J2298" s="1" t="s">
        <v>26</v>
      </c>
      <c r="K2298" s="1" t="s">
        <v>1080</v>
      </c>
      <c r="L2298" s="1" t="s">
        <v>26</v>
      </c>
      <c r="M2298" s="1" t="s">
        <v>27</v>
      </c>
      <c r="N2298" s="1" t="s">
        <v>26</v>
      </c>
      <c r="O2298" s="1" t="s">
        <v>26</v>
      </c>
      <c r="P2298" s="4">
        <v>45341.55818287037</v>
      </c>
    </row>
    <row r="2299" hidden="1">
      <c r="A2299" s="1" t="s">
        <v>1055</v>
      </c>
      <c r="B2299" s="3" t="str">
        <f>HYPERLINK("https://hawk-eye.atlassian.net/browse/HWKREPORT-1262?atlOrigin=eyJpIjoiYzgwYTQ0ZjEyNzQzNGJhN2JmNjEyZTM0NmRhZWZhNjIiLCJwIjoic2hlZXRzLWppcmEifQ","HWKREPORT-1262")</f>
        <v>HWKREPORT-1262</v>
      </c>
      <c r="C2299" s="1" t="s">
        <v>3579</v>
      </c>
      <c r="D2299" s="1" t="s">
        <v>23</v>
      </c>
      <c r="E2299" s="1" t="s">
        <v>35</v>
      </c>
      <c r="F2299" s="4">
        <v>44678.48947916667</v>
      </c>
      <c r="G2299" s="3" t="str">
        <f>HYPERLINK("https://hawk-eye.atlassian.net/browse/?atlOrigin=eyJpIjoiYzgwYTQ0ZjEyNzQzNGJhN2JmNjEyZTM0NmRhZWZhNjIiLCJwIjoic2hlZXRzLWppcmEifQ","")</f>
        <v/>
      </c>
      <c r="H2299" s="1" t="s">
        <v>1058</v>
      </c>
      <c r="I2299" s="1" t="s">
        <v>1085</v>
      </c>
      <c r="J2299" s="1" t="s">
        <v>26</v>
      </c>
      <c r="K2299" s="1" t="s">
        <v>1072</v>
      </c>
      <c r="L2299" s="1" t="s">
        <v>26</v>
      </c>
      <c r="M2299" s="1" t="s">
        <v>27</v>
      </c>
      <c r="N2299" s="1" t="s">
        <v>26</v>
      </c>
      <c r="O2299" s="1" t="s">
        <v>26</v>
      </c>
      <c r="P2299" s="4">
        <v>44693.625555555554</v>
      </c>
    </row>
    <row r="2300" hidden="1">
      <c r="A2300" s="1" t="s">
        <v>21</v>
      </c>
      <c r="B2300" s="3" t="str">
        <f>HYPERLINK("https://hawk-eye.atlassian.net/browse/HWKREPORT-1263?atlOrigin=eyJpIjoiYzgwYTQ0ZjEyNzQzNGJhN2JmNjEyZTM0NmRhZWZhNjIiLCJwIjoic2hlZXRzLWppcmEifQ","HWKREPORT-1263")</f>
        <v>HWKREPORT-1263</v>
      </c>
      <c r="C2300" s="1" t="s">
        <v>3580</v>
      </c>
      <c r="D2300" s="1" t="s">
        <v>23</v>
      </c>
      <c r="E2300" s="1" t="s">
        <v>35</v>
      </c>
      <c r="F2300" s="4">
        <v>44678.6196412037</v>
      </c>
      <c r="G2300" s="3" t="str">
        <f>HYPERLINK("https://hawk-eye.atlassian.net/browse/AL-314?atlOrigin=eyJpIjoiYzgwYTQ0ZjEyNzQzNGJhN2JmNjEyZTM0NmRhZWZhNjIiLCJwIjoic2hlZXRzLWppcmEifQ","AL-314")</f>
        <v>AL-314</v>
      </c>
      <c r="H2300" s="1" t="s">
        <v>1058</v>
      </c>
      <c r="I2300" s="1" t="s">
        <v>1071</v>
      </c>
      <c r="J2300" s="1" t="s">
        <v>26</v>
      </c>
      <c r="K2300" s="1" t="s">
        <v>1276</v>
      </c>
      <c r="L2300" s="1" t="s">
        <v>26</v>
      </c>
      <c r="M2300" s="1" t="s">
        <v>27</v>
      </c>
      <c r="N2300" s="1" t="s">
        <v>26</v>
      </c>
      <c r="O2300" s="1" t="s">
        <v>26</v>
      </c>
      <c r="P2300" s="4">
        <v>44704.55412037037</v>
      </c>
    </row>
    <row r="2301" hidden="1">
      <c r="A2301" s="1" t="s">
        <v>21</v>
      </c>
      <c r="B2301" s="3" t="str">
        <f>HYPERLINK("https://hawk-eye.atlassian.net/browse/HWKREPORT-1264?atlOrigin=eyJpIjoiYzgwYTQ0ZjEyNzQzNGJhN2JmNjEyZTM0NmRhZWZhNjIiLCJwIjoic2hlZXRzLWppcmEifQ","HWKREPORT-1264")</f>
        <v>HWKREPORT-1264</v>
      </c>
      <c r="C2301" s="1" t="s">
        <v>3581</v>
      </c>
      <c r="D2301" s="1" t="s">
        <v>23</v>
      </c>
      <c r="E2301" s="1" t="s">
        <v>1207</v>
      </c>
      <c r="F2301" s="4">
        <v>44678.701157407406</v>
      </c>
      <c r="G2301" s="3" t="str">
        <f>HYPERLINK("https://hawk-eye.atlassian.net/browse/RTT-4931?atlOrigin=eyJpIjoiYzgwYTQ0ZjEyNzQzNGJhN2JmNjEyZTM0NmRhZWZhNjIiLCJwIjoic2hlZXRzLWppcmEifQ","RTT-4931")</f>
        <v>RTT-4931</v>
      </c>
      <c r="H2301" s="1" t="s">
        <v>1058</v>
      </c>
      <c r="I2301" s="1" t="s">
        <v>1071</v>
      </c>
      <c r="J2301" s="1" t="s">
        <v>26</v>
      </c>
      <c r="K2301" s="1" t="s">
        <v>1072</v>
      </c>
      <c r="L2301" s="1" t="s">
        <v>26</v>
      </c>
      <c r="M2301" s="1" t="s">
        <v>27</v>
      </c>
      <c r="N2301" s="1" t="s">
        <v>26</v>
      </c>
      <c r="O2301" s="1" t="s">
        <v>26</v>
      </c>
      <c r="P2301" s="4">
        <v>44929.4184837963</v>
      </c>
    </row>
    <row r="2302" hidden="1">
      <c r="A2302" s="1" t="s">
        <v>21</v>
      </c>
      <c r="B2302" s="3" t="str">
        <f>HYPERLINK("https://hawk-eye.atlassian.net/browse/HWKREPORT-1064?atlOrigin=eyJpIjoiYzgwYTQ0ZjEyNzQzNGJhN2JmNjEyZTM0NmRhZWZhNjIiLCJwIjoic2hlZXRzLWppcmEifQ","HWKREPORT-1064")</f>
        <v>HWKREPORT-1064</v>
      </c>
      <c r="C2302" s="1" t="s">
        <v>3582</v>
      </c>
      <c r="D2302" s="1" t="s">
        <v>34</v>
      </c>
      <c r="E2302" s="1" t="s">
        <v>35</v>
      </c>
      <c r="F2302" s="4">
        <v>44593.59637731482</v>
      </c>
      <c r="G2302" s="3" t="str">
        <f>HYPERLINK("https://hawk-eye.atlassian.net/browse/RTT-4688?atlOrigin=eyJpIjoiYzgwYTQ0ZjEyNzQzNGJhN2JmNjEyZTM0NmRhZWZhNjIiLCJwIjoic2hlZXRzLWppcmEifQ","RTT-4688")</f>
        <v>RTT-4688</v>
      </c>
      <c r="H2302" s="1" t="s">
        <v>1058</v>
      </c>
      <c r="I2302" s="1" t="s">
        <v>1071</v>
      </c>
      <c r="J2302" s="1" t="s">
        <v>26</v>
      </c>
      <c r="K2302" s="1" t="s">
        <v>1072</v>
      </c>
      <c r="L2302" s="1" t="s">
        <v>26</v>
      </c>
      <c r="M2302" s="1" t="s">
        <v>27</v>
      </c>
      <c r="N2302" s="1" t="s">
        <v>26</v>
      </c>
      <c r="O2302" s="1" t="s">
        <v>26</v>
      </c>
      <c r="P2302" s="4">
        <v>44739.66091435185</v>
      </c>
    </row>
    <row r="2303" hidden="1">
      <c r="A2303" s="1" t="s">
        <v>21</v>
      </c>
      <c r="B2303" s="3" t="str">
        <f>HYPERLINK("https://hawk-eye.atlassian.net/browse/HWKREPORT-1065?atlOrigin=eyJpIjoiYzgwYTQ0ZjEyNzQzNGJhN2JmNjEyZTM0NmRhZWZhNjIiLCJwIjoic2hlZXRzLWppcmEifQ","HWKREPORT-1065")</f>
        <v>HWKREPORT-1065</v>
      </c>
      <c r="C2303" s="1" t="s">
        <v>3583</v>
      </c>
      <c r="D2303" s="1" t="s">
        <v>23</v>
      </c>
      <c r="E2303" s="1" t="s">
        <v>35</v>
      </c>
      <c r="F2303" s="4">
        <v>44593.85105324074</v>
      </c>
      <c r="G2303" s="3" t="str">
        <f>HYPERLINK("https://hawk-eye.atlassian.net/browse/RTT-4697?atlOrigin=eyJpIjoiYzgwYTQ0ZjEyNzQzNGJhN2JmNjEyZTM0NmRhZWZhNjIiLCJwIjoic2hlZXRzLWppcmEifQ","RTT-4697")</f>
        <v>RTT-4697</v>
      </c>
      <c r="H2303" s="1" t="s">
        <v>1058</v>
      </c>
      <c r="I2303" s="1" t="s">
        <v>1071</v>
      </c>
      <c r="J2303" s="1" t="s">
        <v>26</v>
      </c>
      <c r="K2303" s="1" t="s">
        <v>1099</v>
      </c>
      <c r="L2303" s="1" t="s">
        <v>26</v>
      </c>
      <c r="M2303" s="1" t="s">
        <v>27</v>
      </c>
      <c r="N2303" s="1" t="s">
        <v>26</v>
      </c>
      <c r="O2303" s="1" t="s">
        <v>26</v>
      </c>
      <c r="P2303" s="4">
        <v>44644.604097222225</v>
      </c>
    </row>
    <row r="2304" hidden="1">
      <c r="A2304" s="1" t="s">
        <v>21</v>
      </c>
      <c r="B2304" s="3" t="str">
        <f>HYPERLINK("https://hawk-eye.atlassian.net/browse/HWKREPORT-1066?atlOrigin=eyJpIjoiYzgwYTQ0ZjEyNzQzNGJhN2JmNjEyZTM0NmRhZWZhNjIiLCJwIjoic2hlZXRzLWppcmEifQ","HWKREPORT-1066")</f>
        <v>HWKREPORT-1066</v>
      </c>
      <c r="C2304" s="1" t="s">
        <v>3584</v>
      </c>
      <c r="D2304" s="1" t="s">
        <v>23</v>
      </c>
      <c r="E2304" s="1" t="s">
        <v>35</v>
      </c>
      <c r="F2304" s="4">
        <v>44593.87269675926</v>
      </c>
      <c r="G2304" s="3" t="str">
        <f>HYPERLINK("https://hawk-eye.atlassian.net/browse/?atlOrigin=eyJpIjoiYzgwYTQ0ZjEyNzQzNGJhN2JmNjEyZTM0NmRhZWZhNjIiLCJwIjoic2hlZXRzLWppcmEifQ","")</f>
        <v/>
      </c>
      <c r="H2304" s="1" t="s">
        <v>1058</v>
      </c>
      <c r="I2304" s="1" t="s">
        <v>1071</v>
      </c>
      <c r="J2304" s="1" t="s">
        <v>26</v>
      </c>
      <c r="K2304" s="1" t="s">
        <v>1312</v>
      </c>
      <c r="L2304" s="1" t="s">
        <v>26</v>
      </c>
      <c r="M2304" s="1" t="s">
        <v>27</v>
      </c>
      <c r="N2304" s="1" t="s">
        <v>26</v>
      </c>
      <c r="O2304" s="1" t="s">
        <v>26</v>
      </c>
      <c r="P2304" s="4">
        <v>44607.67050925926</v>
      </c>
    </row>
    <row r="2305" hidden="1">
      <c r="A2305" s="1" t="s">
        <v>21</v>
      </c>
      <c r="B2305" s="3" t="str">
        <f>HYPERLINK("https://hawk-eye.atlassian.net/browse/HWKREPORT-1067?atlOrigin=eyJpIjoiYzgwYTQ0ZjEyNzQzNGJhN2JmNjEyZTM0NmRhZWZhNjIiLCJwIjoic2hlZXRzLWppcmEifQ","HWKREPORT-1067")</f>
        <v>HWKREPORT-1067</v>
      </c>
      <c r="C2305" s="1" t="s">
        <v>3585</v>
      </c>
      <c r="D2305" s="1" t="s">
        <v>23</v>
      </c>
      <c r="E2305" s="1" t="s">
        <v>35</v>
      </c>
      <c r="F2305" s="4">
        <v>44593.89512731481</v>
      </c>
      <c r="G2305" s="3" t="str">
        <f>HYPERLINK("https://hawk-eye.atlassian.net/browse/BDS-423?atlOrigin=eyJpIjoiYzgwYTQ0ZjEyNzQzNGJhN2JmNjEyZTM0NmRhZWZhNjIiLCJwIjoic2hlZXRzLWppcmEifQ","BDS-423")</f>
        <v>BDS-423</v>
      </c>
      <c r="H2305" s="1" t="s">
        <v>1058</v>
      </c>
      <c r="I2305" s="1" t="s">
        <v>1071</v>
      </c>
      <c r="J2305" s="1" t="s">
        <v>26</v>
      </c>
      <c r="K2305" s="1" t="s">
        <v>1762</v>
      </c>
      <c r="L2305" s="1" t="s">
        <v>26</v>
      </c>
      <c r="M2305" s="1" t="s">
        <v>27</v>
      </c>
      <c r="N2305" s="1" t="s">
        <v>26</v>
      </c>
      <c r="O2305" s="1" t="s">
        <v>26</v>
      </c>
      <c r="P2305" s="4">
        <v>44796.018472222226</v>
      </c>
    </row>
    <row r="2306" hidden="1">
      <c r="A2306" s="1" t="s">
        <v>1055</v>
      </c>
      <c r="B2306" s="3" t="str">
        <f>HYPERLINK("https://hawk-eye.atlassian.net/browse/HWKREPORT-1068?atlOrigin=eyJpIjoiYzgwYTQ0ZjEyNzQzNGJhN2JmNjEyZTM0NmRhZWZhNjIiLCJwIjoic2hlZXRzLWppcmEifQ","HWKREPORT-1068")</f>
        <v>HWKREPORT-1068</v>
      </c>
      <c r="C2306" s="1" t="s">
        <v>3586</v>
      </c>
      <c r="D2306" s="1" t="s">
        <v>23</v>
      </c>
      <c r="E2306" s="1" t="s">
        <v>1057</v>
      </c>
      <c r="F2306" s="4">
        <v>44595.65269675926</v>
      </c>
      <c r="G2306" s="3" t="str">
        <f>HYPERLINK("https://hawk-eye.atlassian.net/browse/SO-188?atlOrigin=eyJpIjoiYzgwYTQ0ZjEyNzQzNGJhN2JmNjEyZTM0NmRhZWZhNjIiLCJwIjoic2hlZXRzLWppcmEifQ","SO-188")</f>
        <v>SO-188</v>
      </c>
      <c r="H2306" s="1" t="s">
        <v>1058</v>
      </c>
      <c r="I2306" s="1" t="s">
        <v>3587</v>
      </c>
      <c r="J2306" s="1" t="s">
        <v>26</v>
      </c>
      <c r="K2306" s="1" t="s">
        <v>1116</v>
      </c>
      <c r="L2306" s="1" t="s">
        <v>26</v>
      </c>
      <c r="M2306" s="1" t="s">
        <v>27</v>
      </c>
      <c r="N2306" s="1" t="s">
        <v>26</v>
      </c>
      <c r="O2306" s="1" t="s">
        <v>26</v>
      </c>
      <c r="P2306" s="4">
        <v>44595.65269675926</v>
      </c>
    </row>
    <row r="2307" hidden="1">
      <c r="A2307" s="1" t="s">
        <v>21</v>
      </c>
      <c r="B2307" s="3" t="str">
        <f>HYPERLINK("https://hawk-eye.atlassian.net/browse/HWKREPORT-1069?atlOrigin=eyJpIjoiYzgwYTQ0ZjEyNzQzNGJhN2JmNjEyZTM0NmRhZWZhNjIiLCJwIjoic2hlZXRzLWppcmEifQ","HWKREPORT-1069")</f>
        <v>HWKREPORT-1069</v>
      </c>
      <c r="C2307" s="1" t="s">
        <v>3588</v>
      </c>
      <c r="D2307" s="1" t="s">
        <v>23</v>
      </c>
      <c r="E2307" s="1" t="s">
        <v>1207</v>
      </c>
      <c r="F2307" s="4">
        <v>44596.97614583333</v>
      </c>
      <c r="G2307" s="3" t="str">
        <f>HYPERLINK("https://hawk-eye.atlassian.net/browse/RTT-4721?atlOrigin=eyJpIjoiYzgwYTQ0ZjEyNzQzNGJhN2JmNjEyZTM0NmRhZWZhNjIiLCJwIjoic2hlZXRzLWppcmEifQ","RTT-4721")</f>
        <v>RTT-4721</v>
      </c>
      <c r="H2307" s="1" t="s">
        <v>1058</v>
      </c>
      <c r="I2307" s="1" t="s">
        <v>1071</v>
      </c>
      <c r="J2307" s="1" t="s">
        <v>26</v>
      </c>
      <c r="K2307" s="1" t="s">
        <v>1072</v>
      </c>
      <c r="L2307" s="1" t="s">
        <v>26</v>
      </c>
      <c r="M2307" s="1" t="s">
        <v>27</v>
      </c>
      <c r="N2307" s="1" t="s">
        <v>26</v>
      </c>
      <c r="O2307" s="1" t="s">
        <v>26</v>
      </c>
      <c r="P2307" s="4">
        <v>44929.4184837963</v>
      </c>
    </row>
    <row r="2308" hidden="1">
      <c r="A2308" s="1" t="s">
        <v>21</v>
      </c>
      <c r="B2308" s="3" t="str">
        <f>HYPERLINK("https://hawk-eye.atlassian.net/browse/HWKREPORT-1070?atlOrigin=eyJpIjoiYzgwYTQ0ZjEyNzQzNGJhN2JmNjEyZTM0NmRhZWZhNjIiLCJwIjoic2hlZXRzLWppcmEifQ","HWKREPORT-1070")</f>
        <v>HWKREPORT-1070</v>
      </c>
      <c r="C2308" s="1" t="s">
        <v>3589</v>
      </c>
      <c r="D2308" s="1" t="s">
        <v>23</v>
      </c>
      <c r="E2308" s="1" t="s">
        <v>35</v>
      </c>
      <c r="F2308" s="4">
        <v>44599.317708333336</v>
      </c>
      <c r="G2308" s="3" t="str">
        <f>HYPERLINK("https://hawk-eye.atlassian.net/browse/RTT-4722?atlOrigin=eyJpIjoiYzgwYTQ0ZjEyNzQzNGJhN2JmNjEyZTM0NmRhZWZhNjIiLCJwIjoic2hlZXRzLWppcmEifQ","RTT-4722")</f>
        <v>RTT-4722</v>
      </c>
      <c r="H2308" s="1" t="s">
        <v>1058</v>
      </c>
      <c r="I2308" s="1" t="s">
        <v>1085</v>
      </c>
      <c r="J2308" s="1" t="s">
        <v>26</v>
      </c>
      <c r="K2308" s="1" t="s">
        <v>3590</v>
      </c>
      <c r="L2308" s="1" t="s">
        <v>26</v>
      </c>
      <c r="M2308" s="1" t="s">
        <v>27</v>
      </c>
      <c r="N2308" s="1" t="s">
        <v>26</v>
      </c>
      <c r="O2308" s="1" t="s">
        <v>26</v>
      </c>
      <c r="P2308" s="4">
        <v>44690.587222222224</v>
      </c>
    </row>
    <row r="2309" hidden="1">
      <c r="A2309" s="1" t="s">
        <v>1055</v>
      </c>
      <c r="B2309" s="3" t="str">
        <f>HYPERLINK("https://hawk-eye.atlassian.net/browse/HWKREPORT-1071?atlOrigin=eyJpIjoiYzgwYTQ0ZjEyNzQzNGJhN2JmNjEyZTM0NmRhZWZhNjIiLCJwIjoic2hlZXRzLWppcmEifQ","HWKREPORT-1071")</f>
        <v>HWKREPORT-1071</v>
      </c>
      <c r="C2309" s="1" t="s">
        <v>3591</v>
      </c>
      <c r="D2309" s="1" t="s">
        <v>23</v>
      </c>
      <c r="E2309" s="1" t="s">
        <v>35</v>
      </c>
      <c r="F2309" s="4">
        <v>44599.928715277776</v>
      </c>
      <c r="G2309" s="3" t="str">
        <f>HYPERLINK("https://hawk-eye.atlassian.net/browse/RTT-4894?atlOrigin=eyJpIjoiYzgwYTQ0ZjEyNzQzNGJhN2JmNjEyZTM0NmRhZWZhNjIiLCJwIjoic2hlZXRzLWppcmEifQ","RTT-4894")</f>
        <v>RTT-4894</v>
      </c>
      <c r="H2309" s="1" t="s">
        <v>1058</v>
      </c>
      <c r="I2309" s="1" t="s">
        <v>1071</v>
      </c>
      <c r="J2309" s="1" t="s">
        <v>26</v>
      </c>
      <c r="K2309" s="1" t="s">
        <v>1093</v>
      </c>
      <c r="L2309" s="1" t="s">
        <v>26</v>
      </c>
      <c r="M2309" s="1" t="s">
        <v>27</v>
      </c>
      <c r="N2309" s="1" t="s">
        <v>26</v>
      </c>
      <c r="O2309" s="1" t="s">
        <v>26</v>
      </c>
      <c r="P2309" s="4">
        <v>44676.50114583333</v>
      </c>
    </row>
    <row r="2310" hidden="1">
      <c r="A2310" s="1" t="s">
        <v>21</v>
      </c>
      <c r="B2310" s="3" t="str">
        <f>HYPERLINK("https://hawk-eye.atlassian.net/browse/HWKREPORT-1072?atlOrigin=eyJpIjoiYzgwYTQ0ZjEyNzQzNGJhN2JmNjEyZTM0NmRhZWZhNjIiLCJwIjoic2hlZXRzLWppcmEifQ","HWKREPORT-1072")</f>
        <v>HWKREPORT-1072</v>
      </c>
      <c r="C2310" s="1" t="s">
        <v>3592</v>
      </c>
      <c r="D2310" s="1" t="s">
        <v>23</v>
      </c>
      <c r="E2310" s="1" t="s">
        <v>35</v>
      </c>
      <c r="F2310" s="4">
        <v>44600.00475694444</v>
      </c>
      <c r="G2310" s="3" t="str">
        <f>HYPERLINK("https://hawk-eye.atlassian.net/browse/RTT-4746?atlOrigin=eyJpIjoiYzgwYTQ0ZjEyNzQzNGJhN2JmNjEyZTM0NmRhZWZhNjIiLCJwIjoic2hlZXRzLWppcmEifQ","RTT-4746")</f>
        <v>RTT-4746</v>
      </c>
      <c r="H2310" s="1" t="s">
        <v>1058</v>
      </c>
      <c r="I2310" s="1" t="s">
        <v>1071</v>
      </c>
      <c r="J2310" s="1" t="s">
        <v>26</v>
      </c>
      <c r="K2310" s="1" t="s">
        <v>1099</v>
      </c>
      <c r="L2310" s="1" t="s">
        <v>26</v>
      </c>
      <c r="M2310" s="1" t="s">
        <v>27</v>
      </c>
      <c r="N2310" s="1" t="s">
        <v>26</v>
      </c>
      <c r="O2310" s="1" t="s">
        <v>26</v>
      </c>
      <c r="P2310" s="4">
        <v>44666.80395833333</v>
      </c>
    </row>
    <row r="2311" hidden="1">
      <c r="A2311" s="1" t="s">
        <v>1055</v>
      </c>
      <c r="B2311" s="3" t="str">
        <f>HYPERLINK("https://hawk-eye.atlassian.net/browse/HWKREPORT-1073?atlOrigin=eyJpIjoiYzgwYTQ0ZjEyNzQzNGJhN2JmNjEyZTM0NmRhZWZhNjIiLCJwIjoic2hlZXRzLWppcmEifQ","HWKREPORT-1073")</f>
        <v>HWKREPORT-1073</v>
      </c>
      <c r="C2311" s="1" t="s">
        <v>3593</v>
      </c>
      <c r="D2311" s="1" t="s">
        <v>23</v>
      </c>
      <c r="E2311" s="1" t="s">
        <v>35</v>
      </c>
      <c r="F2311" s="4">
        <v>44600.7371875</v>
      </c>
      <c r="G2311" s="3" t="str">
        <f>HYPERLINK("https://hawk-eye.atlassian.net/browse/RTT-4727?atlOrigin=eyJpIjoiYzgwYTQ0ZjEyNzQzNGJhN2JmNjEyZTM0NmRhZWZhNjIiLCJwIjoic2hlZXRzLWppcmEifQ","RTT-4727")</f>
        <v>RTT-4727</v>
      </c>
      <c r="H2311" s="1" t="s">
        <v>1058</v>
      </c>
      <c r="I2311" s="1" t="s">
        <v>1126</v>
      </c>
      <c r="J2311" s="1" t="s">
        <v>26</v>
      </c>
      <c r="K2311" s="1" t="s">
        <v>1072</v>
      </c>
      <c r="L2311" s="1" t="s">
        <v>26</v>
      </c>
      <c r="M2311" s="1" t="s">
        <v>27</v>
      </c>
      <c r="N2311" s="1" t="s">
        <v>26</v>
      </c>
      <c r="O2311" s="1" t="s">
        <v>26</v>
      </c>
      <c r="P2311" s="4">
        <v>44957.71759259259</v>
      </c>
    </row>
    <row r="2312" hidden="1">
      <c r="A2312" s="1" t="s">
        <v>21</v>
      </c>
      <c r="B2312" s="3" t="str">
        <f>HYPERLINK("https://hawk-eye.atlassian.net/browse/HWKREPORT-1074?atlOrigin=eyJpIjoiYzgwYTQ0ZjEyNzQzNGJhN2JmNjEyZTM0NmRhZWZhNjIiLCJwIjoic2hlZXRzLWppcmEifQ","HWKREPORT-1074")</f>
        <v>HWKREPORT-1074</v>
      </c>
      <c r="C2312" s="1" t="s">
        <v>3594</v>
      </c>
      <c r="D2312" s="1" t="s">
        <v>34</v>
      </c>
      <c r="E2312" s="1" t="s">
        <v>35</v>
      </c>
      <c r="F2312" s="4">
        <v>44601.5562037037</v>
      </c>
      <c r="G2312" s="3" t="str">
        <f>HYPERLINK("https://hawk-eye.atlassian.net/browse/RTT-4728?atlOrigin=eyJpIjoiYzgwYTQ0ZjEyNzQzNGJhN2JmNjEyZTM0NmRhZWZhNjIiLCJwIjoic2hlZXRzLWppcmEifQ","RTT-4728")</f>
        <v>RTT-4728</v>
      </c>
      <c r="H2312" s="1" t="s">
        <v>1058</v>
      </c>
      <c r="I2312" s="1" t="s">
        <v>1085</v>
      </c>
      <c r="J2312" s="1" t="s">
        <v>26</v>
      </c>
      <c r="K2312" s="1" t="s">
        <v>1072</v>
      </c>
      <c r="L2312" s="1" t="s">
        <v>26</v>
      </c>
      <c r="M2312" s="1" t="s">
        <v>27</v>
      </c>
      <c r="N2312" s="1" t="s">
        <v>26</v>
      </c>
      <c r="O2312" s="1" t="s">
        <v>26</v>
      </c>
      <c r="P2312" s="4">
        <v>44658.61523148148</v>
      </c>
    </row>
    <row r="2313" hidden="1">
      <c r="A2313" s="1" t="s">
        <v>21</v>
      </c>
      <c r="B2313" s="3" t="str">
        <f>HYPERLINK("https://hawk-eye.atlassian.net/browse/HWKREPORT-1075?atlOrigin=eyJpIjoiYzgwYTQ0ZjEyNzQzNGJhN2JmNjEyZTM0NmRhZWZhNjIiLCJwIjoic2hlZXRzLWppcmEifQ","HWKREPORT-1075")</f>
        <v>HWKREPORT-1075</v>
      </c>
      <c r="C2313" s="1" t="s">
        <v>3595</v>
      </c>
      <c r="D2313" s="1" t="s">
        <v>23</v>
      </c>
      <c r="E2313" s="1" t="s">
        <v>35</v>
      </c>
      <c r="F2313" s="4">
        <v>44602.91850694444</v>
      </c>
      <c r="G2313" s="3" t="str">
        <f>HYPERLINK("https://hawk-eye.atlassian.net/browse/?atlOrigin=eyJpIjoiYzgwYTQ0ZjEyNzQzNGJhN2JmNjEyZTM0NmRhZWZhNjIiLCJwIjoic2hlZXRzLWppcmEifQ","")</f>
        <v/>
      </c>
      <c r="H2313" s="1" t="s">
        <v>1058</v>
      </c>
      <c r="I2313" s="1" t="s">
        <v>1071</v>
      </c>
      <c r="J2313" s="1" t="s">
        <v>26</v>
      </c>
      <c r="K2313" s="1" t="s">
        <v>1130</v>
      </c>
      <c r="L2313" s="1" t="s">
        <v>26</v>
      </c>
      <c r="M2313" s="1" t="s">
        <v>27</v>
      </c>
      <c r="N2313" s="1" t="s">
        <v>26</v>
      </c>
      <c r="O2313" s="1" t="s">
        <v>26</v>
      </c>
      <c r="P2313" s="4">
        <v>44615.18383101852</v>
      </c>
    </row>
    <row r="2314" hidden="1">
      <c r="A2314" s="1" t="s">
        <v>21</v>
      </c>
      <c r="B2314" s="3" t="str">
        <f>HYPERLINK("https://hawk-eye.atlassian.net/browse/HWKREPORT-1076?atlOrigin=eyJpIjoiYzgwYTQ0ZjEyNzQzNGJhN2JmNjEyZTM0NmRhZWZhNjIiLCJwIjoic2hlZXRzLWppcmEifQ","HWKREPORT-1076")</f>
        <v>HWKREPORT-1076</v>
      </c>
      <c r="C2314" s="1" t="s">
        <v>3596</v>
      </c>
      <c r="D2314" s="1" t="s">
        <v>23</v>
      </c>
      <c r="E2314" s="1" t="s">
        <v>35</v>
      </c>
      <c r="F2314" s="4">
        <v>44605.68479166667</v>
      </c>
      <c r="G2314" s="3" t="str">
        <f>HYPERLINK("https://hawk-eye.atlassian.net/browse/RTT-4742?atlOrigin=eyJpIjoiYzgwYTQ0ZjEyNzQzNGJhN2JmNjEyZTM0NmRhZWZhNjIiLCJwIjoic2hlZXRzLWppcmEifQ","RTT-4742")</f>
        <v>RTT-4742</v>
      </c>
      <c r="H2314" s="1" t="s">
        <v>1058</v>
      </c>
      <c r="I2314" s="1" t="s">
        <v>1071</v>
      </c>
      <c r="J2314" s="1" t="s">
        <v>26</v>
      </c>
      <c r="K2314" s="1" t="s">
        <v>1312</v>
      </c>
      <c r="L2314" s="1" t="s">
        <v>26</v>
      </c>
      <c r="M2314" s="1" t="s">
        <v>27</v>
      </c>
      <c r="N2314" s="1" t="s">
        <v>26</v>
      </c>
      <c r="O2314" s="1" t="s">
        <v>26</v>
      </c>
      <c r="P2314" s="4">
        <v>44671.90289351852</v>
      </c>
    </row>
    <row r="2315" hidden="1">
      <c r="A2315" s="1" t="s">
        <v>21</v>
      </c>
      <c r="B2315" s="3" t="str">
        <f>HYPERLINK("https://hawk-eye.atlassian.net/browse/HWKREPORT-1077?atlOrigin=eyJpIjoiYzgwYTQ0ZjEyNzQzNGJhN2JmNjEyZTM0NmRhZWZhNjIiLCJwIjoic2hlZXRzLWppcmEifQ","HWKREPORT-1077")</f>
        <v>HWKREPORT-1077</v>
      </c>
      <c r="C2315" s="1" t="s">
        <v>3597</v>
      </c>
      <c r="D2315" s="1" t="s">
        <v>23</v>
      </c>
      <c r="E2315" s="1" t="s">
        <v>35</v>
      </c>
      <c r="F2315" s="4">
        <v>44605.687523148146</v>
      </c>
      <c r="G2315" s="3" t="str">
        <f>HYPERLINK("https://hawk-eye.atlassian.net/browse/RTT-4743?atlOrigin=eyJpIjoiYzgwYTQ0ZjEyNzQzNGJhN2JmNjEyZTM0NmRhZWZhNjIiLCJwIjoic2hlZXRzLWppcmEifQ","RTT-4743")</f>
        <v>RTT-4743</v>
      </c>
      <c r="H2315" s="1" t="s">
        <v>1058</v>
      </c>
      <c r="I2315" s="1" t="s">
        <v>1071</v>
      </c>
      <c r="J2315" s="1" t="s">
        <v>26</v>
      </c>
      <c r="K2315" s="1" t="s">
        <v>1093</v>
      </c>
      <c r="L2315" s="1" t="s">
        <v>26</v>
      </c>
      <c r="M2315" s="1" t="s">
        <v>27</v>
      </c>
      <c r="N2315" s="1" t="s">
        <v>26</v>
      </c>
      <c r="O2315" s="1" t="s">
        <v>26</v>
      </c>
      <c r="P2315" s="4">
        <v>44627.67511574074</v>
      </c>
    </row>
    <row r="2316" hidden="1">
      <c r="A2316" s="1" t="s">
        <v>21</v>
      </c>
      <c r="B2316" s="3" t="str">
        <f>HYPERLINK("https://hawk-eye.atlassian.net/browse/HWKREPORT-1078?atlOrigin=eyJpIjoiYzgwYTQ0ZjEyNzQzNGJhN2JmNjEyZTM0NmRhZWZhNjIiLCJwIjoic2hlZXRzLWppcmEifQ","HWKREPORT-1078")</f>
        <v>HWKREPORT-1078</v>
      </c>
      <c r="C2316" s="1" t="s">
        <v>3598</v>
      </c>
      <c r="D2316" s="1" t="s">
        <v>23</v>
      </c>
      <c r="E2316" s="1" t="s">
        <v>35</v>
      </c>
      <c r="F2316" s="4">
        <v>44605.689375</v>
      </c>
      <c r="G2316" s="3" t="str">
        <f>HYPERLINK("https://hawk-eye.atlassian.net/browse/RTT-4741?atlOrigin=eyJpIjoiYzgwYTQ0ZjEyNzQzNGJhN2JmNjEyZTM0NmRhZWZhNjIiLCJwIjoic2hlZXRzLWppcmEifQ","RTT-4741")</f>
        <v>RTT-4741</v>
      </c>
      <c r="H2316" s="1" t="s">
        <v>1058</v>
      </c>
      <c r="I2316" s="1" t="s">
        <v>1071</v>
      </c>
      <c r="J2316" s="1" t="s">
        <v>26</v>
      </c>
      <c r="K2316" s="1" t="s">
        <v>1072</v>
      </c>
      <c r="L2316" s="1" t="s">
        <v>26</v>
      </c>
      <c r="M2316" s="1" t="s">
        <v>27</v>
      </c>
      <c r="N2316" s="1" t="s">
        <v>26</v>
      </c>
      <c r="O2316" s="1" t="s">
        <v>26</v>
      </c>
      <c r="P2316" s="4">
        <v>44623.82181712963</v>
      </c>
    </row>
    <row r="2317" hidden="1">
      <c r="A2317" s="1" t="s">
        <v>1055</v>
      </c>
      <c r="B2317" s="3" t="str">
        <f>HYPERLINK("https://hawk-eye.atlassian.net/browse/HWKREPORT-1079?atlOrigin=eyJpIjoiYzgwYTQ0ZjEyNzQzNGJhN2JmNjEyZTM0NmRhZWZhNjIiLCJwIjoic2hlZXRzLWppcmEifQ","HWKREPORT-1079")</f>
        <v>HWKREPORT-1079</v>
      </c>
      <c r="C2317" s="1" t="s">
        <v>3599</v>
      </c>
      <c r="D2317" s="1" t="s">
        <v>23</v>
      </c>
      <c r="E2317" s="1" t="s">
        <v>35</v>
      </c>
      <c r="F2317" s="4">
        <v>44605.70011574074</v>
      </c>
      <c r="G2317" s="3" t="str">
        <f>HYPERLINK("https://hawk-eye.atlassian.net/browse/?atlOrigin=eyJpIjoiYzgwYTQ0ZjEyNzQzNGJhN2JmNjEyZTM0NmRhZWZhNjIiLCJwIjoic2hlZXRzLWppcmEifQ","")</f>
        <v/>
      </c>
      <c r="H2317" s="1" t="s">
        <v>1058</v>
      </c>
      <c r="I2317" s="1" t="s">
        <v>1071</v>
      </c>
      <c r="J2317" s="1" t="s">
        <v>26</v>
      </c>
      <c r="K2317" s="1" t="s">
        <v>1072</v>
      </c>
      <c r="L2317" s="1" t="s">
        <v>26</v>
      </c>
      <c r="M2317" s="1" t="s">
        <v>27</v>
      </c>
      <c r="N2317" s="1" t="s">
        <v>26</v>
      </c>
      <c r="O2317" s="1" t="s">
        <v>26</v>
      </c>
      <c r="P2317" s="4">
        <v>44606.70688657407</v>
      </c>
    </row>
    <row r="2318" hidden="1">
      <c r="A2318" s="1" t="s">
        <v>21</v>
      </c>
      <c r="B2318" s="3" t="str">
        <f>HYPERLINK("https://hawk-eye.atlassian.net/browse/HWKREPORT-1080?atlOrigin=eyJpIjoiYzgwYTQ0ZjEyNzQzNGJhN2JmNjEyZTM0NmRhZWZhNjIiLCJwIjoic2hlZXRzLWppcmEifQ","HWKREPORT-1080")</f>
        <v>HWKREPORT-1080</v>
      </c>
      <c r="C2318" s="1" t="s">
        <v>3600</v>
      </c>
      <c r="D2318" s="1" t="s">
        <v>23</v>
      </c>
      <c r="E2318" s="1" t="s">
        <v>35</v>
      </c>
      <c r="F2318" s="4">
        <v>44607.60361111111</v>
      </c>
      <c r="G2318" s="3" t="str">
        <f>HYPERLINK("https://hawk-eye.atlassian.net/issues/?atlOrigin=eyJpIjoiYzgwYTQ0ZjEyNzQzNGJhN2JmNjEyZTM0NmRhZWZhNjIiLCJwIjoic2hlZXRzLWppcmEifQ&amp;jql=key+in+%28RTT-4752%2CAL-227%29","RTT-4752;AL-227")</f>
        <v>RTT-4752;AL-227</v>
      </c>
      <c r="H2318" s="1" t="s">
        <v>1058</v>
      </c>
      <c r="I2318" s="1" t="s">
        <v>1071</v>
      </c>
      <c r="J2318" s="1" t="s">
        <v>26</v>
      </c>
      <c r="K2318" s="1" t="s">
        <v>1276</v>
      </c>
      <c r="L2318" s="1" t="s">
        <v>26</v>
      </c>
      <c r="M2318" s="1" t="s">
        <v>27</v>
      </c>
      <c r="N2318" s="1" t="s">
        <v>26</v>
      </c>
      <c r="O2318" s="1" t="s">
        <v>26</v>
      </c>
      <c r="P2318" s="4">
        <v>44642.46840277778</v>
      </c>
    </row>
    <row r="2319">
      <c r="A2319" s="1" t="s">
        <v>21</v>
      </c>
      <c r="B2319" s="3" t="str">
        <f>HYPERLINK("https://hawk-eye.atlassian.net/browse/HWKREPORT-1081?atlOrigin=eyJpIjoiYzgwYTQ0ZjEyNzQzNGJhN2JmNjEyZTM0NmRhZWZhNjIiLCJwIjoic2hlZXRzLWppcmEifQ","HWKREPORT-1081")</f>
        <v>HWKREPORT-1081</v>
      </c>
      <c r="C2319" s="1" t="s">
        <v>3601</v>
      </c>
      <c r="D2319" s="1" t="s">
        <v>23</v>
      </c>
      <c r="E2319" s="1" t="s">
        <v>35</v>
      </c>
      <c r="F2319" s="4">
        <v>44608.01409722222</v>
      </c>
      <c r="G2319" s="3" t="str">
        <f>HYPERLINK("https://hawk-eye.atlassian.net/browse/RTT-4771?atlOrigin=eyJpIjoiYzgwYTQ0ZjEyNzQzNGJhN2JmNjEyZTM0NmRhZWZhNjIiLCJwIjoic2hlZXRzLWppcmEifQ","RTT-4771")</f>
        <v>RTT-4771</v>
      </c>
      <c r="H2319" s="1" t="s">
        <v>1058</v>
      </c>
      <c r="I2319" s="1" t="s">
        <v>28</v>
      </c>
      <c r="J2319" s="1" t="s">
        <v>26</v>
      </c>
      <c r="K2319" s="1" t="s">
        <v>1309</v>
      </c>
      <c r="L2319" s="1" t="s">
        <v>26</v>
      </c>
      <c r="M2319" s="1" t="s">
        <v>27</v>
      </c>
      <c r="N2319" s="1" t="s">
        <v>26</v>
      </c>
      <c r="O2319" s="1" t="s">
        <v>26</v>
      </c>
      <c r="P2319" s="4">
        <v>45699.70612268519</v>
      </c>
    </row>
    <row r="2320" hidden="1">
      <c r="A2320" s="1" t="s">
        <v>21</v>
      </c>
      <c r="B2320" s="3" t="str">
        <f>HYPERLINK("https://hawk-eye.atlassian.net/browse/HWKREPORT-1082?atlOrigin=eyJpIjoiYzgwYTQ0ZjEyNzQzNGJhN2JmNjEyZTM0NmRhZWZhNjIiLCJwIjoic2hlZXRzLWppcmEifQ","HWKREPORT-1082")</f>
        <v>HWKREPORT-1082</v>
      </c>
      <c r="C2320" s="1" t="s">
        <v>3602</v>
      </c>
      <c r="D2320" s="1" t="s">
        <v>83</v>
      </c>
      <c r="E2320" s="1" t="s">
        <v>1074</v>
      </c>
      <c r="F2320" s="4">
        <v>44608.46273148148</v>
      </c>
      <c r="G2320" s="3" t="str">
        <f>HYPERLINK("https://hawk-eye.atlassian.net/browse/TOOL-210?atlOrigin=eyJpIjoiYzgwYTQ0ZjEyNzQzNGJhN2JmNjEyZTM0NmRhZWZhNjIiLCJwIjoic2hlZXRzLWppcmEifQ","TOOL-210")</f>
        <v>TOOL-210</v>
      </c>
      <c r="H2320" s="1" t="s">
        <v>1058</v>
      </c>
      <c r="I2320" s="1" t="s">
        <v>1126</v>
      </c>
      <c r="J2320" s="1" t="s">
        <v>26</v>
      </c>
      <c r="K2320" s="1" t="s">
        <v>3603</v>
      </c>
      <c r="L2320" s="1" t="s">
        <v>26</v>
      </c>
      <c r="M2320" s="1" t="s">
        <v>27</v>
      </c>
      <c r="N2320" s="1" t="s">
        <v>26</v>
      </c>
      <c r="O2320" s="1" t="s">
        <v>26</v>
      </c>
      <c r="P2320" s="4">
        <v>45776.60015046296</v>
      </c>
    </row>
    <row r="2321" hidden="1">
      <c r="A2321" s="1" t="s">
        <v>1055</v>
      </c>
      <c r="B2321" s="3" t="str">
        <f>HYPERLINK("https://hawk-eye.atlassian.net/browse/HWKREPORT-1083?atlOrigin=eyJpIjoiYzgwYTQ0ZjEyNzQzNGJhN2JmNjEyZTM0NmRhZWZhNjIiLCJwIjoic2hlZXRzLWppcmEifQ","HWKREPORT-1083")</f>
        <v>HWKREPORT-1083</v>
      </c>
      <c r="C2321" s="1" t="s">
        <v>3604</v>
      </c>
      <c r="D2321" s="1" t="s">
        <v>23</v>
      </c>
      <c r="E2321" s="1" t="s">
        <v>35</v>
      </c>
      <c r="F2321" s="4">
        <v>44608.777962962966</v>
      </c>
      <c r="G2321" s="3" t="str">
        <f t="shared" ref="G2321:G2322" si="166">HYPERLINK("https://hawk-eye.atlassian.net/browse/?atlOrigin=eyJpIjoiYzgwYTQ0ZjEyNzQzNGJhN2JmNjEyZTM0NmRhZWZhNjIiLCJwIjoic2hlZXRzLWppcmEifQ","")</f>
        <v/>
      </c>
      <c r="H2321" s="1" t="s">
        <v>1058</v>
      </c>
      <c r="I2321" s="1" t="s">
        <v>1071</v>
      </c>
      <c r="J2321" s="1" t="s">
        <v>26</v>
      </c>
      <c r="K2321" s="1" t="s">
        <v>1143</v>
      </c>
      <c r="L2321" s="1" t="s">
        <v>26</v>
      </c>
      <c r="M2321" s="1" t="s">
        <v>27</v>
      </c>
      <c r="N2321" s="1" t="s">
        <v>26</v>
      </c>
      <c r="O2321" s="1" t="s">
        <v>26</v>
      </c>
      <c r="P2321" s="4">
        <v>44827.44394675926</v>
      </c>
    </row>
    <row r="2322" hidden="1">
      <c r="A2322" s="1" t="s">
        <v>1055</v>
      </c>
      <c r="B2322" s="3" t="str">
        <f>HYPERLINK("https://hawk-eye.atlassian.net/browse/HWKREPORT-1084?atlOrigin=eyJpIjoiYzgwYTQ0ZjEyNzQzNGJhN2JmNjEyZTM0NmRhZWZhNjIiLCJwIjoic2hlZXRzLWppcmEifQ","HWKREPORT-1084")</f>
        <v>HWKREPORT-1084</v>
      </c>
      <c r="C2322" s="1" t="s">
        <v>3605</v>
      </c>
      <c r="D2322" s="1" t="s">
        <v>23</v>
      </c>
      <c r="E2322" s="1" t="s">
        <v>35</v>
      </c>
      <c r="F2322" s="4">
        <v>44608.77979166667</v>
      </c>
      <c r="G2322" s="3" t="str">
        <f t="shared" si="166"/>
        <v/>
      </c>
      <c r="H2322" s="1" t="s">
        <v>1058</v>
      </c>
      <c r="I2322" s="1" t="s">
        <v>1071</v>
      </c>
      <c r="J2322" s="1" t="s">
        <v>26</v>
      </c>
      <c r="K2322" s="1" t="s">
        <v>1143</v>
      </c>
      <c r="L2322" s="1" t="s">
        <v>26</v>
      </c>
      <c r="M2322" s="1" t="s">
        <v>27</v>
      </c>
      <c r="N2322" s="1" t="s">
        <v>26</v>
      </c>
      <c r="O2322" s="1" t="s">
        <v>26</v>
      </c>
      <c r="P2322" s="4">
        <v>44827.444085648145</v>
      </c>
    </row>
    <row r="2323" hidden="1">
      <c r="A2323" s="1" t="s">
        <v>1055</v>
      </c>
      <c r="B2323" s="3" t="str">
        <f>HYPERLINK("https://hawk-eye.atlassian.net/browse/HWKREPORT-1085?atlOrigin=eyJpIjoiYzgwYTQ0ZjEyNzQzNGJhN2JmNjEyZTM0NmRhZWZhNjIiLCJwIjoic2hlZXRzLWppcmEifQ","HWKREPORT-1085")</f>
        <v>HWKREPORT-1085</v>
      </c>
      <c r="C2323" s="1" t="s">
        <v>3606</v>
      </c>
      <c r="D2323" s="1" t="s">
        <v>23</v>
      </c>
      <c r="E2323" s="1" t="s">
        <v>35</v>
      </c>
      <c r="F2323" s="4">
        <v>44609.850381944445</v>
      </c>
      <c r="G2323" s="3" t="str">
        <f>HYPERLINK("https://hawk-eye.atlassian.net/issues/?atlOrigin=eyJpIjoiYzgwYTQ0ZjEyNzQzNGJhN2JmNjEyZTM0NmRhZWZhNjIiLCJwIjoic2hlZXRzLWppcmEifQ&amp;jql=key+in+%28HWKREPORT-1008%2CCONFIG-683%29","HWKREPORT-1008;CONFIG-683")</f>
        <v>HWKREPORT-1008;CONFIG-683</v>
      </c>
      <c r="H2323" s="1" t="s">
        <v>1058</v>
      </c>
      <c r="I2323" s="1" t="s">
        <v>1071</v>
      </c>
      <c r="J2323" s="1" t="s">
        <v>26</v>
      </c>
      <c r="K2323" s="1" t="s">
        <v>2952</v>
      </c>
      <c r="L2323" s="1" t="s">
        <v>26</v>
      </c>
      <c r="M2323" s="1" t="s">
        <v>27</v>
      </c>
      <c r="N2323" s="1" t="s">
        <v>26</v>
      </c>
      <c r="O2323" s="1" t="s">
        <v>26</v>
      </c>
      <c r="P2323" s="4">
        <v>44714.48063657407</v>
      </c>
    </row>
    <row r="2324" hidden="1">
      <c r="A2324" s="1" t="s">
        <v>21</v>
      </c>
      <c r="B2324" s="3" t="str">
        <f>HYPERLINK("https://hawk-eye.atlassian.net/browse/HWKREPORT-1086?atlOrigin=eyJpIjoiYzgwYTQ0ZjEyNzQzNGJhN2JmNjEyZTM0NmRhZWZhNjIiLCJwIjoic2hlZXRzLWppcmEifQ","HWKREPORT-1086")</f>
        <v>HWKREPORT-1086</v>
      </c>
      <c r="C2324" s="1" t="s">
        <v>3607</v>
      </c>
      <c r="D2324" s="1" t="s">
        <v>23</v>
      </c>
      <c r="E2324" s="1" t="s">
        <v>35</v>
      </c>
      <c r="F2324" s="4">
        <v>44610.98663194444</v>
      </c>
      <c r="G2324" s="3" t="str">
        <f>HYPERLINK("https://hawk-eye.atlassian.net/browse/RTT-4754?atlOrigin=eyJpIjoiYzgwYTQ0ZjEyNzQzNGJhN2JmNjEyZTM0NmRhZWZhNjIiLCJwIjoic2hlZXRzLWppcmEifQ","RTT-4754")</f>
        <v>RTT-4754</v>
      </c>
      <c r="H2324" s="1" t="s">
        <v>1058</v>
      </c>
      <c r="I2324" s="1" t="s">
        <v>1071</v>
      </c>
      <c r="J2324" s="1" t="s">
        <v>26</v>
      </c>
      <c r="K2324" s="1" t="s">
        <v>1072</v>
      </c>
      <c r="L2324" s="1" t="s">
        <v>26</v>
      </c>
      <c r="M2324" s="1" t="s">
        <v>27</v>
      </c>
      <c r="N2324" s="1" t="s">
        <v>26</v>
      </c>
      <c r="O2324" s="1" t="s">
        <v>26</v>
      </c>
      <c r="P2324" s="4">
        <v>44621.56288194445</v>
      </c>
    </row>
    <row r="2325" hidden="1">
      <c r="A2325" s="1" t="s">
        <v>1055</v>
      </c>
      <c r="B2325" s="3" t="str">
        <f>HYPERLINK("https://hawk-eye.atlassian.net/browse/HWKREPORT-1087?atlOrigin=eyJpIjoiYzgwYTQ0ZjEyNzQzNGJhN2JmNjEyZTM0NmRhZWZhNjIiLCJwIjoic2hlZXRzLWppcmEifQ","HWKREPORT-1087")</f>
        <v>HWKREPORT-1087</v>
      </c>
      <c r="C2325" s="1" t="s">
        <v>3608</v>
      </c>
      <c r="D2325" s="1" t="s">
        <v>23</v>
      </c>
      <c r="E2325" s="1" t="s">
        <v>35</v>
      </c>
      <c r="F2325" s="4">
        <v>44612.69332175926</v>
      </c>
      <c r="G2325" s="3" t="str">
        <f>HYPERLINK("https://hawk-eye.atlassian.net/browse/RTT-4755?atlOrigin=eyJpIjoiYzgwYTQ0ZjEyNzQzNGJhN2JmNjEyZTM0NmRhZWZhNjIiLCJwIjoic2hlZXRzLWppcmEifQ","RTT-4755")</f>
        <v>RTT-4755</v>
      </c>
      <c r="H2325" s="1" t="s">
        <v>1058</v>
      </c>
      <c r="I2325" s="1" t="s">
        <v>1071</v>
      </c>
      <c r="J2325" s="1" t="s">
        <v>26</v>
      </c>
      <c r="K2325" s="1" t="s">
        <v>1072</v>
      </c>
      <c r="L2325" s="1" t="s">
        <v>26</v>
      </c>
      <c r="M2325" s="1" t="s">
        <v>27</v>
      </c>
      <c r="N2325" s="1" t="s">
        <v>26</v>
      </c>
      <c r="O2325" s="1" t="s">
        <v>26</v>
      </c>
      <c r="P2325" s="4">
        <v>44644.65577546296</v>
      </c>
    </row>
    <row r="2326" hidden="1">
      <c r="A2326" s="1" t="s">
        <v>21</v>
      </c>
      <c r="B2326" s="3" t="str">
        <f>HYPERLINK("https://hawk-eye.atlassian.net/browse/HWKREPORT-1088?atlOrigin=eyJpIjoiYzgwYTQ0ZjEyNzQzNGJhN2JmNjEyZTM0NmRhZWZhNjIiLCJwIjoic2hlZXRzLWppcmEifQ","HWKREPORT-1088")</f>
        <v>HWKREPORT-1088</v>
      </c>
      <c r="C2326" s="1" t="s">
        <v>3609</v>
      </c>
      <c r="D2326" s="1" t="s">
        <v>23</v>
      </c>
      <c r="E2326" s="1" t="s">
        <v>35</v>
      </c>
      <c r="F2326" s="4">
        <v>44613.74765046296</v>
      </c>
      <c r="G2326" s="3" t="str">
        <f t="shared" ref="G2326:G2327" si="167">HYPERLINK("https://hawk-eye.atlassian.net/browse/?atlOrigin=eyJpIjoiYzgwYTQ0ZjEyNzQzNGJhN2JmNjEyZTM0NmRhZWZhNjIiLCJwIjoic2hlZXRzLWppcmEifQ","")</f>
        <v/>
      </c>
      <c r="H2326" s="1" t="s">
        <v>1058</v>
      </c>
      <c r="I2326" s="1" t="s">
        <v>1085</v>
      </c>
      <c r="J2326" s="1" t="s">
        <v>26</v>
      </c>
      <c r="K2326" s="1" t="s">
        <v>1196</v>
      </c>
      <c r="L2326" s="1" t="s">
        <v>26</v>
      </c>
      <c r="M2326" s="1" t="s">
        <v>27</v>
      </c>
      <c r="N2326" s="1" t="s">
        <v>26</v>
      </c>
      <c r="O2326" s="1" t="s">
        <v>26</v>
      </c>
      <c r="P2326" s="4">
        <v>44614.39878472222</v>
      </c>
    </row>
    <row r="2327" hidden="1">
      <c r="A2327" s="1" t="s">
        <v>21</v>
      </c>
      <c r="B2327" s="3" t="str">
        <f>HYPERLINK("https://hawk-eye.atlassian.net/browse/HWKREPORT-1089?atlOrigin=eyJpIjoiYzgwYTQ0ZjEyNzQzNGJhN2JmNjEyZTM0NmRhZWZhNjIiLCJwIjoic2hlZXRzLWppcmEifQ","HWKREPORT-1089")</f>
        <v>HWKREPORT-1089</v>
      </c>
      <c r="C2327" s="1" t="s">
        <v>3610</v>
      </c>
      <c r="D2327" s="1" t="s">
        <v>23</v>
      </c>
      <c r="E2327" s="1" t="s">
        <v>35</v>
      </c>
      <c r="F2327" s="4">
        <v>44614.95447916666</v>
      </c>
      <c r="G2327" s="3" t="str">
        <f t="shared" si="167"/>
        <v/>
      </c>
      <c r="H2327" s="1" t="s">
        <v>1058</v>
      </c>
      <c r="I2327" s="1" t="s">
        <v>1071</v>
      </c>
      <c r="J2327" s="1" t="s">
        <v>26</v>
      </c>
      <c r="K2327" s="1" t="s">
        <v>1130</v>
      </c>
      <c r="L2327" s="1" t="s">
        <v>26</v>
      </c>
      <c r="M2327" s="1" t="s">
        <v>27</v>
      </c>
      <c r="N2327" s="1" t="s">
        <v>26</v>
      </c>
      <c r="O2327" s="1" t="s">
        <v>26</v>
      </c>
      <c r="P2327" s="4">
        <v>44789.14480324074</v>
      </c>
    </row>
    <row r="2328" hidden="1">
      <c r="A2328" s="1" t="s">
        <v>21</v>
      </c>
      <c r="B2328" s="3" t="str">
        <f>HYPERLINK("https://hawk-eye.atlassian.net/browse/HWKREPORT-1090?atlOrigin=eyJpIjoiYzgwYTQ0ZjEyNzQzNGJhN2JmNjEyZTM0NmRhZWZhNjIiLCJwIjoic2hlZXRzLWppcmEifQ","HWKREPORT-1090")</f>
        <v>HWKREPORT-1090</v>
      </c>
      <c r="C2328" s="1" t="s">
        <v>3611</v>
      </c>
      <c r="D2328" s="1" t="s">
        <v>83</v>
      </c>
      <c r="E2328" s="1" t="s">
        <v>35</v>
      </c>
      <c r="F2328" s="4">
        <v>44615.719513888886</v>
      </c>
      <c r="G2328" s="3" t="str">
        <f>HYPERLINK("https://hawk-eye.atlassian.net/browse/RTT-4790?atlOrigin=eyJpIjoiYzgwYTQ0ZjEyNzQzNGJhN2JmNjEyZTM0NmRhZWZhNjIiLCJwIjoic2hlZXRzLWppcmEifQ","RTT-4790")</f>
        <v>RTT-4790</v>
      </c>
      <c r="H2328" s="1" t="s">
        <v>1058</v>
      </c>
      <c r="I2328" s="1" t="s">
        <v>1126</v>
      </c>
      <c r="J2328" s="1" t="s">
        <v>26</v>
      </c>
      <c r="K2328" s="1" t="s">
        <v>3612</v>
      </c>
      <c r="L2328" s="1" t="s">
        <v>26</v>
      </c>
      <c r="M2328" s="1" t="s">
        <v>27</v>
      </c>
      <c r="N2328" s="1" t="s">
        <v>26</v>
      </c>
      <c r="O2328" s="1" t="s">
        <v>26</v>
      </c>
      <c r="P2328" s="4">
        <v>45239.65467592593</v>
      </c>
    </row>
    <row r="2329" hidden="1">
      <c r="A2329" s="1" t="s">
        <v>1055</v>
      </c>
      <c r="B2329" s="3" t="str">
        <f>HYPERLINK("https://hawk-eye.atlassian.net/browse/HWKREPORT-1091?atlOrigin=eyJpIjoiYzgwYTQ0ZjEyNzQzNGJhN2JmNjEyZTM0NmRhZWZhNjIiLCJwIjoic2hlZXRzLWppcmEifQ","HWKREPORT-1091")</f>
        <v>HWKREPORT-1091</v>
      </c>
      <c r="C2329" s="1" t="s">
        <v>3613</v>
      </c>
      <c r="D2329" s="1" t="s">
        <v>23</v>
      </c>
      <c r="E2329" s="1" t="s">
        <v>1057</v>
      </c>
      <c r="F2329" s="4">
        <v>44616.66601851852</v>
      </c>
      <c r="G2329" s="3" t="str">
        <f>HYPERLINK("https://hawk-eye.atlassian.net/browse/GFXPAKS-322?atlOrigin=eyJpIjoiYzgwYTQ0ZjEyNzQzNGJhN2JmNjEyZTM0NmRhZWZhNjIiLCJwIjoic2hlZXRzLWppcmEifQ","GFXPAKS-322")</f>
        <v>GFXPAKS-322</v>
      </c>
      <c r="H2329" s="1" t="s">
        <v>1058</v>
      </c>
      <c r="I2329" s="1" t="s">
        <v>1085</v>
      </c>
      <c r="J2329" s="1" t="s">
        <v>26</v>
      </c>
      <c r="K2329" s="1" t="s">
        <v>2937</v>
      </c>
      <c r="L2329" s="1" t="s">
        <v>26</v>
      </c>
      <c r="M2329" s="1" t="s">
        <v>27</v>
      </c>
      <c r="N2329" s="1" t="s">
        <v>26</v>
      </c>
      <c r="O2329" s="1" t="s">
        <v>26</v>
      </c>
      <c r="P2329" s="4">
        <v>44616.666030092594</v>
      </c>
    </row>
    <row r="2330" hidden="1">
      <c r="A2330" s="1" t="s">
        <v>21</v>
      </c>
      <c r="B2330" s="3" t="str">
        <f>HYPERLINK("https://hawk-eye.atlassian.net/browse/HWKREPORT-1092?atlOrigin=eyJpIjoiYzgwYTQ0ZjEyNzQzNGJhN2JmNjEyZTM0NmRhZWZhNjIiLCJwIjoic2hlZXRzLWppcmEifQ","HWKREPORT-1092")</f>
        <v>HWKREPORT-1092</v>
      </c>
      <c r="C2330" s="1" t="s">
        <v>3614</v>
      </c>
      <c r="D2330" s="1" t="s">
        <v>23</v>
      </c>
      <c r="E2330" s="1" t="s">
        <v>35</v>
      </c>
      <c r="F2330" s="4">
        <v>44616.81717592593</v>
      </c>
      <c r="G2330" s="3" t="str">
        <f>HYPERLINK("https://hawk-eye.atlassian.net/browse/AL-241?atlOrigin=eyJpIjoiYzgwYTQ0ZjEyNzQzNGJhN2JmNjEyZTM0NmRhZWZhNjIiLCJwIjoic2hlZXRzLWppcmEifQ","AL-241")</f>
        <v>AL-241</v>
      </c>
      <c r="H2330" s="1" t="s">
        <v>1058</v>
      </c>
      <c r="I2330" s="1" t="s">
        <v>1071</v>
      </c>
      <c r="J2330" s="1" t="s">
        <v>26</v>
      </c>
      <c r="K2330" s="1" t="s">
        <v>1276</v>
      </c>
      <c r="L2330" s="1" t="s">
        <v>26</v>
      </c>
      <c r="M2330" s="1" t="s">
        <v>27</v>
      </c>
      <c r="N2330" s="1" t="s">
        <v>26</v>
      </c>
      <c r="O2330" s="1" t="s">
        <v>26</v>
      </c>
      <c r="P2330" s="4">
        <v>44827.44349537037</v>
      </c>
    </row>
    <row r="2331" hidden="1">
      <c r="A2331" s="1" t="s">
        <v>21</v>
      </c>
      <c r="B2331" s="3" t="str">
        <f>HYPERLINK("https://hawk-eye.atlassian.net/browse/HWKREPORT-1093?atlOrigin=eyJpIjoiYzgwYTQ0ZjEyNzQzNGJhN2JmNjEyZTM0NmRhZWZhNjIiLCJwIjoic2hlZXRzLWppcmEifQ","HWKREPORT-1093")</f>
        <v>HWKREPORT-1093</v>
      </c>
      <c r="C2331" s="1" t="s">
        <v>3615</v>
      </c>
      <c r="D2331" s="1" t="s">
        <v>23</v>
      </c>
      <c r="E2331" s="1" t="s">
        <v>35</v>
      </c>
      <c r="F2331" s="4">
        <v>44617.80626157407</v>
      </c>
      <c r="G2331" s="3" t="str">
        <f>HYPERLINK("https://hawk-eye.atlassian.net/browse/RTT-4787?atlOrigin=eyJpIjoiYzgwYTQ0ZjEyNzQzNGJhN2JmNjEyZTM0NmRhZWZhNjIiLCJwIjoic2hlZXRzLWppcmEifQ","RTT-4787")</f>
        <v>RTT-4787</v>
      </c>
      <c r="H2331" s="1" t="s">
        <v>1058</v>
      </c>
      <c r="I2331" s="1" t="s">
        <v>1071</v>
      </c>
      <c r="J2331" s="1" t="s">
        <v>26</v>
      </c>
      <c r="K2331" s="1" t="s">
        <v>1072</v>
      </c>
      <c r="L2331" s="1" t="s">
        <v>26</v>
      </c>
      <c r="M2331" s="1" t="s">
        <v>27</v>
      </c>
      <c r="N2331" s="1" t="s">
        <v>26</v>
      </c>
      <c r="O2331" s="1" t="s">
        <v>26</v>
      </c>
      <c r="P2331" s="4">
        <v>44656.5841087963</v>
      </c>
    </row>
    <row r="2332" hidden="1">
      <c r="A2332" s="1" t="s">
        <v>21</v>
      </c>
      <c r="B2332" s="3" t="str">
        <f>HYPERLINK("https://hawk-eye.atlassian.net/browse/HWKREPORT-1094?atlOrigin=eyJpIjoiYzgwYTQ0ZjEyNzQzNGJhN2JmNjEyZTM0NmRhZWZhNjIiLCJwIjoic2hlZXRzLWppcmEifQ","HWKREPORT-1094")</f>
        <v>HWKREPORT-1094</v>
      </c>
      <c r="C2332" s="1" t="s">
        <v>3616</v>
      </c>
      <c r="D2332" s="1" t="s">
        <v>23</v>
      </c>
      <c r="E2332" s="1" t="s">
        <v>35</v>
      </c>
      <c r="F2332" s="4">
        <v>44620.01730324074</v>
      </c>
      <c r="G2332" s="3" t="str">
        <f>HYPERLINK("https://hawk-eye.atlassian.net/browse/RTT-4773?atlOrigin=eyJpIjoiYzgwYTQ0ZjEyNzQzNGJhN2JmNjEyZTM0NmRhZWZhNjIiLCJwIjoic2hlZXRzLWppcmEifQ","RTT-4773")</f>
        <v>RTT-4773</v>
      </c>
      <c r="H2332" s="1" t="s">
        <v>1058</v>
      </c>
      <c r="I2332" s="1" t="s">
        <v>1071</v>
      </c>
      <c r="J2332" s="1" t="s">
        <v>26</v>
      </c>
      <c r="K2332" s="1" t="s">
        <v>1072</v>
      </c>
      <c r="L2332" s="1" t="s">
        <v>26</v>
      </c>
      <c r="M2332" s="1" t="s">
        <v>27</v>
      </c>
      <c r="N2332" s="1" t="s">
        <v>26</v>
      </c>
      <c r="O2332" s="1" t="s">
        <v>26</v>
      </c>
      <c r="P2332" s="4">
        <v>44642.09059027778</v>
      </c>
    </row>
    <row r="2333" hidden="1">
      <c r="A2333" s="1" t="s">
        <v>21</v>
      </c>
      <c r="B2333" s="3" t="str">
        <f>HYPERLINK("https://hawk-eye.atlassian.net/browse/HWKREPORT-1095?atlOrigin=eyJpIjoiYzgwYTQ0ZjEyNzQzNGJhN2JmNjEyZTM0NmRhZWZhNjIiLCJwIjoic2hlZXRzLWppcmEifQ","HWKREPORT-1095")</f>
        <v>HWKREPORT-1095</v>
      </c>
      <c r="C2333" s="1" t="s">
        <v>3617</v>
      </c>
      <c r="D2333" s="1" t="s">
        <v>23</v>
      </c>
      <c r="E2333" s="1" t="s">
        <v>35</v>
      </c>
      <c r="F2333" s="4">
        <v>44620.77820601852</v>
      </c>
      <c r="G2333" s="3" t="str">
        <f t="shared" ref="G2333:G2335" si="168">HYPERLINK("https://hawk-eye.atlassian.net/browse/?atlOrigin=eyJpIjoiYzgwYTQ0ZjEyNzQzNGJhN2JmNjEyZTM0NmRhZWZhNjIiLCJwIjoic2hlZXRzLWppcmEifQ","")</f>
        <v/>
      </c>
      <c r="H2333" s="1" t="s">
        <v>1058</v>
      </c>
      <c r="I2333" s="1" t="s">
        <v>1071</v>
      </c>
      <c r="J2333" s="1" t="s">
        <v>26</v>
      </c>
      <c r="K2333" s="1" t="s">
        <v>1130</v>
      </c>
      <c r="L2333" s="1" t="s">
        <v>26</v>
      </c>
      <c r="M2333" s="1" t="s">
        <v>27</v>
      </c>
      <c r="N2333" s="1" t="s">
        <v>26</v>
      </c>
      <c r="O2333" s="1" t="s">
        <v>26</v>
      </c>
      <c r="P2333" s="4">
        <v>44669.67957175926</v>
      </c>
    </row>
    <row r="2334" hidden="1">
      <c r="A2334" s="1" t="s">
        <v>21</v>
      </c>
      <c r="B2334" s="3" t="str">
        <f>HYPERLINK("https://hawk-eye.atlassian.net/browse/HWKREPORT-1096?atlOrigin=eyJpIjoiYzgwYTQ0ZjEyNzQzNGJhN2JmNjEyZTM0NmRhZWZhNjIiLCJwIjoic2hlZXRzLWppcmEifQ","HWKREPORT-1096")</f>
        <v>HWKREPORT-1096</v>
      </c>
      <c r="C2334" s="1" t="s">
        <v>3618</v>
      </c>
      <c r="D2334" s="1" t="s">
        <v>23</v>
      </c>
      <c r="E2334" s="1" t="s">
        <v>35</v>
      </c>
      <c r="F2334" s="4">
        <v>44620.86545138889</v>
      </c>
      <c r="G2334" s="3" t="str">
        <f t="shared" si="168"/>
        <v/>
      </c>
      <c r="H2334" s="1" t="s">
        <v>1058</v>
      </c>
      <c r="I2334" s="1" t="s">
        <v>1071</v>
      </c>
      <c r="J2334" s="1" t="s">
        <v>26</v>
      </c>
      <c r="K2334" s="1" t="s">
        <v>1130</v>
      </c>
      <c r="L2334" s="1" t="s">
        <v>26</v>
      </c>
      <c r="M2334" s="1" t="s">
        <v>27</v>
      </c>
      <c r="N2334" s="1" t="s">
        <v>26</v>
      </c>
      <c r="O2334" s="1" t="s">
        <v>26</v>
      </c>
      <c r="P2334" s="4">
        <v>44827.4421875</v>
      </c>
    </row>
    <row r="2335" hidden="1">
      <c r="A2335" s="1" t="s">
        <v>21</v>
      </c>
      <c r="B2335" s="3" t="str">
        <f>HYPERLINK("https://hawk-eye.atlassian.net/browse/HWKREPORT-1097?atlOrigin=eyJpIjoiYzgwYTQ0ZjEyNzQzNGJhN2JmNjEyZTM0NmRhZWZhNjIiLCJwIjoic2hlZXRzLWppcmEifQ","HWKREPORT-1097")</f>
        <v>HWKREPORT-1097</v>
      </c>
      <c r="C2335" s="1" t="s">
        <v>3619</v>
      </c>
      <c r="D2335" s="1" t="s">
        <v>23</v>
      </c>
      <c r="E2335" s="1" t="s">
        <v>35</v>
      </c>
      <c r="F2335" s="4">
        <v>44620.8728587963</v>
      </c>
      <c r="G2335" s="3" t="str">
        <f t="shared" si="168"/>
        <v/>
      </c>
      <c r="H2335" s="1" t="s">
        <v>1058</v>
      </c>
      <c r="I2335" s="1" t="s">
        <v>1071</v>
      </c>
      <c r="J2335" s="1" t="s">
        <v>26</v>
      </c>
      <c r="K2335" s="1" t="s">
        <v>1130</v>
      </c>
      <c r="L2335" s="1" t="s">
        <v>26</v>
      </c>
      <c r="M2335" s="1" t="s">
        <v>27</v>
      </c>
      <c r="N2335" s="1" t="s">
        <v>26</v>
      </c>
      <c r="O2335" s="1" t="s">
        <v>26</v>
      </c>
      <c r="P2335" s="4">
        <v>44827.441979166666</v>
      </c>
    </row>
    <row r="2336" hidden="1">
      <c r="A2336" s="1" t="s">
        <v>21</v>
      </c>
      <c r="B2336" s="3" t="str">
        <f>HYPERLINK("https://hawk-eye.atlassian.net/browse/HWKREPORT-1098?atlOrigin=eyJpIjoiYzgwYTQ0ZjEyNzQzNGJhN2JmNjEyZTM0NmRhZWZhNjIiLCJwIjoic2hlZXRzLWppcmEifQ","HWKREPORT-1098")</f>
        <v>HWKREPORT-1098</v>
      </c>
      <c r="C2336" s="1" t="s">
        <v>3620</v>
      </c>
      <c r="D2336" s="1" t="s">
        <v>23</v>
      </c>
      <c r="E2336" s="1" t="s">
        <v>35</v>
      </c>
      <c r="F2336" s="4">
        <v>44620.87840277778</v>
      </c>
      <c r="G2336" s="3" t="str">
        <f>HYPERLINK("https://hawk-eye.atlassian.net/browse/RTT-4777?atlOrigin=eyJpIjoiYzgwYTQ0ZjEyNzQzNGJhN2JmNjEyZTM0NmRhZWZhNjIiLCJwIjoic2hlZXRzLWppcmEifQ","RTT-4777")</f>
        <v>RTT-4777</v>
      </c>
      <c r="H2336" s="1" t="s">
        <v>1058</v>
      </c>
      <c r="I2336" s="1" t="s">
        <v>1071</v>
      </c>
      <c r="J2336" s="1" t="s">
        <v>26</v>
      </c>
      <c r="K2336" s="1" t="s">
        <v>1099</v>
      </c>
      <c r="L2336" s="1" t="s">
        <v>26</v>
      </c>
      <c r="M2336" s="1" t="s">
        <v>27</v>
      </c>
      <c r="N2336" s="1" t="s">
        <v>26</v>
      </c>
      <c r="O2336" s="1" t="s">
        <v>26</v>
      </c>
      <c r="P2336" s="4">
        <v>45216.57971064815</v>
      </c>
    </row>
    <row r="2337" hidden="1">
      <c r="A2337" s="1" t="s">
        <v>21</v>
      </c>
      <c r="B2337" s="3" t="str">
        <f>HYPERLINK("https://hawk-eye.atlassian.net/browse/HWKREPORT-1099?atlOrigin=eyJpIjoiYzgwYTQ0ZjEyNzQzNGJhN2JmNjEyZTM0NmRhZWZhNjIiLCJwIjoic2hlZXRzLWppcmEifQ","HWKREPORT-1099")</f>
        <v>HWKREPORT-1099</v>
      </c>
      <c r="C2337" s="1" t="s">
        <v>3621</v>
      </c>
      <c r="D2337" s="1" t="s">
        <v>23</v>
      </c>
      <c r="E2337" s="1" t="s">
        <v>35</v>
      </c>
      <c r="F2337" s="4">
        <v>44620.91</v>
      </c>
      <c r="G2337" s="3" t="str">
        <f>HYPERLINK("https://hawk-eye.atlassian.net/browse/RTT-4775?atlOrigin=eyJpIjoiYzgwYTQ0ZjEyNzQzNGJhN2JmNjEyZTM0NmRhZWZhNjIiLCJwIjoic2hlZXRzLWppcmEifQ","RTT-4775")</f>
        <v>RTT-4775</v>
      </c>
      <c r="H2337" s="1" t="s">
        <v>1058</v>
      </c>
      <c r="I2337" s="1" t="s">
        <v>1071</v>
      </c>
      <c r="J2337" s="1" t="s">
        <v>26</v>
      </c>
      <c r="K2337" s="1" t="s">
        <v>1072</v>
      </c>
      <c r="L2337" s="1" t="s">
        <v>26</v>
      </c>
      <c r="M2337" s="1" t="s">
        <v>27</v>
      </c>
      <c r="N2337" s="1" t="s">
        <v>26</v>
      </c>
      <c r="O2337" s="1" t="s">
        <v>26</v>
      </c>
      <c r="P2337" s="4">
        <v>44642.06314814815</v>
      </c>
    </row>
    <row r="2338" hidden="1">
      <c r="A2338" s="1" t="s">
        <v>1055</v>
      </c>
      <c r="B2338" s="3" t="str">
        <f>HYPERLINK("https://hawk-eye.atlassian.net/browse/HWKREPORT-1100?atlOrigin=eyJpIjoiYzgwYTQ0ZjEyNzQzNGJhN2JmNjEyZTM0NmRhZWZhNjIiLCJwIjoic2hlZXRzLWppcmEifQ","HWKREPORT-1100")</f>
        <v>HWKREPORT-1100</v>
      </c>
      <c r="C2338" s="1" t="s">
        <v>3622</v>
      </c>
      <c r="D2338" s="1" t="s">
        <v>23</v>
      </c>
      <c r="E2338" s="1" t="s">
        <v>35</v>
      </c>
      <c r="F2338" s="4">
        <v>44621.45646990741</v>
      </c>
      <c r="G2338" s="3" t="str">
        <f>HYPERLINK("https://hawk-eye.atlassian.net/browse/SO-157?atlOrigin=eyJpIjoiYzgwYTQ0ZjEyNzQzNGJhN2JmNjEyZTM0NmRhZWZhNjIiLCJwIjoic2hlZXRzLWppcmEifQ","SO-157")</f>
        <v>SO-157</v>
      </c>
      <c r="H2338" s="1" t="s">
        <v>1058</v>
      </c>
      <c r="I2338" s="1" t="s">
        <v>3623</v>
      </c>
      <c r="J2338" s="1" t="s">
        <v>26</v>
      </c>
      <c r="K2338" s="1" t="s">
        <v>1348</v>
      </c>
      <c r="L2338" s="1" t="s">
        <v>26</v>
      </c>
      <c r="M2338" s="1" t="s">
        <v>27</v>
      </c>
      <c r="N2338" s="1" t="s">
        <v>26</v>
      </c>
      <c r="O2338" s="1" t="s">
        <v>26</v>
      </c>
      <c r="P2338" s="4">
        <v>44788.401550925926</v>
      </c>
    </row>
    <row r="2339" hidden="1">
      <c r="A2339" s="1" t="s">
        <v>1055</v>
      </c>
      <c r="B2339" s="3" t="str">
        <f>HYPERLINK("https://hawk-eye.atlassian.net/browse/HWKREPORT-1101?atlOrigin=eyJpIjoiYzgwYTQ0ZjEyNzQzNGJhN2JmNjEyZTM0NmRhZWZhNjIiLCJwIjoic2hlZXRzLWppcmEifQ","HWKREPORT-1101")</f>
        <v>HWKREPORT-1101</v>
      </c>
      <c r="C2339" s="1" t="s">
        <v>3624</v>
      </c>
      <c r="D2339" s="1" t="s">
        <v>23</v>
      </c>
      <c r="E2339" s="1" t="s">
        <v>35</v>
      </c>
      <c r="F2339" s="4">
        <v>44621.46177083333</v>
      </c>
      <c r="G2339" s="3" t="str">
        <f>HYPERLINK("https://hawk-eye.atlassian.net/issues/?atlOrigin=eyJpIjoiYzgwYTQ0ZjEyNzQzNGJhN2JmNjEyZTM0NmRhZWZhNjIiLCJwIjoic2hlZXRzLWppcmEifQ&amp;jql=key+in+%28SO-166%2CSO-363%29","SO-166;SO-363")</f>
        <v>SO-166;SO-363</v>
      </c>
      <c r="H2339" s="1" t="s">
        <v>1058</v>
      </c>
      <c r="I2339" s="1" t="s">
        <v>3623</v>
      </c>
      <c r="J2339" s="1" t="s">
        <v>26</v>
      </c>
      <c r="K2339" s="1" t="s">
        <v>1348</v>
      </c>
      <c r="L2339" s="1" t="s">
        <v>26</v>
      </c>
      <c r="M2339" s="1" t="s">
        <v>27</v>
      </c>
      <c r="N2339" s="1" t="s">
        <v>26</v>
      </c>
      <c r="O2339" s="1" t="s">
        <v>26</v>
      </c>
      <c r="P2339" s="4">
        <v>44929.525613425925</v>
      </c>
    </row>
    <row r="2340" hidden="1">
      <c r="A2340" s="1" t="s">
        <v>1055</v>
      </c>
      <c r="B2340" s="3" t="str">
        <f>HYPERLINK("https://hawk-eye.atlassian.net/browse/HWKREPORT-1102?atlOrigin=eyJpIjoiYzgwYTQ0ZjEyNzQzNGJhN2JmNjEyZTM0NmRhZWZhNjIiLCJwIjoic2hlZXRzLWppcmEifQ","HWKREPORT-1102")</f>
        <v>HWKREPORT-1102</v>
      </c>
      <c r="C2340" s="1" t="s">
        <v>3625</v>
      </c>
      <c r="D2340" s="1" t="s">
        <v>83</v>
      </c>
      <c r="E2340" s="1" t="s">
        <v>35</v>
      </c>
      <c r="F2340" s="4">
        <v>44621.46371527778</v>
      </c>
      <c r="G2340" s="3" t="str">
        <f>HYPERLINK("https://hawk-eye.atlassian.net/browse/SO-213?atlOrigin=eyJpIjoiYzgwYTQ0ZjEyNzQzNGJhN2JmNjEyZTM0NmRhZWZhNjIiLCJwIjoic2hlZXRzLWppcmEifQ","SO-213")</f>
        <v>SO-213</v>
      </c>
      <c r="H2340" s="1" t="s">
        <v>1058</v>
      </c>
      <c r="I2340" s="1" t="s">
        <v>3623</v>
      </c>
      <c r="J2340" s="1" t="s">
        <v>26</v>
      </c>
      <c r="K2340" s="1" t="s">
        <v>1348</v>
      </c>
      <c r="L2340" s="1" t="s">
        <v>26</v>
      </c>
      <c r="M2340" s="1" t="s">
        <v>27</v>
      </c>
      <c r="N2340" s="1" t="s">
        <v>26</v>
      </c>
      <c r="O2340" s="1" t="s">
        <v>26</v>
      </c>
      <c r="P2340" s="4">
        <v>45446.567037037035</v>
      </c>
    </row>
    <row r="2341" hidden="1">
      <c r="A2341" s="1" t="s">
        <v>1055</v>
      </c>
      <c r="B2341" s="3" t="str">
        <f>HYPERLINK("https://hawk-eye.atlassian.net/browse/HWKREPORT-1103?atlOrigin=eyJpIjoiYzgwYTQ0ZjEyNzQzNGJhN2JmNjEyZTM0NmRhZWZhNjIiLCJwIjoic2hlZXRzLWppcmEifQ","HWKREPORT-1103")</f>
        <v>HWKREPORT-1103</v>
      </c>
      <c r="C2341" s="1" t="s">
        <v>3626</v>
      </c>
      <c r="D2341" s="1" t="s">
        <v>23</v>
      </c>
      <c r="E2341" s="1" t="s">
        <v>35</v>
      </c>
      <c r="F2341" s="4">
        <v>44621.46701388889</v>
      </c>
      <c r="G2341" s="3" t="str">
        <f>HYPERLINK("https://hawk-eye.atlassian.net/browse/HWKREPORT-655?atlOrigin=eyJpIjoiYzgwYTQ0ZjEyNzQzNGJhN2JmNjEyZTM0NmRhZWZhNjIiLCJwIjoic2hlZXRzLWppcmEifQ","HWKREPORT-655")</f>
        <v>HWKREPORT-655</v>
      </c>
      <c r="H2341" s="1" t="s">
        <v>1058</v>
      </c>
      <c r="I2341" s="1" t="s">
        <v>3623</v>
      </c>
      <c r="J2341" s="1" t="s">
        <v>26</v>
      </c>
      <c r="K2341" s="1" t="s">
        <v>1348</v>
      </c>
      <c r="L2341" s="1" t="s">
        <v>26</v>
      </c>
      <c r="M2341" s="1" t="s">
        <v>27</v>
      </c>
      <c r="N2341" s="1" t="s">
        <v>26</v>
      </c>
      <c r="O2341" s="1" t="s">
        <v>26</v>
      </c>
      <c r="P2341" s="4">
        <v>44624.53396990741</v>
      </c>
    </row>
    <row r="2342" hidden="1">
      <c r="A2342" s="1" t="s">
        <v>1055</v>
      </c>
      <c r="B2342" s="3" t="str">
        <f>HYPERLINK("https://hawk-eye.atlassian.net/browse/HWKREPORT-1104?atlOrigin=eyJpIjoiYzgwYTQ0ZjEyNzQzNGJhN2JmNjEyZTM0NmRhZWZhNjIiLCJwIjoic2hlZXRzLWppcmEifQ","HWKREPORT-1104")</f>
        <v>HWKREPORT-1104</v>
      </c>
      <c r="C2342" s="1" t="s">
        <v>3627</v>
      </c>
      <c r="D2342" s="1" t="s">
        <v>23</v>
      </c>
      <c r="E2342" s="1" t="s">
        <v>35</v>
      </c>
      <c r="F2342" s="4">
        <v>44621.478854166664</v>
      </c>
      <c r="G2342" s="3" t="str">
        <f>HYPERLINK("https://hawk-eye.atlassian.net/browse/SO-170?atlOrigin=eyJpIjoiYzgwYTQ0ZjEyNzQzNGJhN2JmNjEyZTM0NmRhZWZhNjIiLCJwIjoic2hlZXRzLWppcmEifQ","SO-170")</f>
        <v>SO-170</v>
      </c>
      <c r="H2342" s="1" t="s">
        <v>1058</v>
      </c>
      <c r="I2342" s="1" t="s">
        <v>3587</v>
      </c>
      <c r="J2342" s="1" t="s">
        <v>26</v>
      </c>
      <c r="K2342" s="1" t="s">
        <v>1348</v>
      </c>
      <c r="L2342" s="1" t="s">
        <v>26</v>
      </c>
      <c r="M2342" s="1" t="s">
        <v>27</v>
      </c>
      <c r="N2342" s="1" t="s">
        <v>26</v>
      </c>
      <c r="O2342" s="1" t="s">
        <v>26</v>
      </c>
      <c r="P2342" s="4">
        <v>44986.41730324074</v>
      </c>
    </row>
    <row r="2343" hidden="1">
      <c r="A2343" s="1" t="s">
        <v>1055</v>
      </c>
      <c r="B2343" s="3" t="str">
        <f>HYPERLINK("https://hawk-eye.atlassian.net/browse/HWKREPORT-1105?atlOrigin=eyJpIjoiYzgwYTQ0ZjEyNzQzNGJhN2JmNjEyZTM0NmRhZWZhNjIiLCJwIjoic2hlZXRzLWppcmEifQ","HWKREPORT-1105")</f>
        <v>HWKREPORT-1105</v>
      </c>
      <c r="C2343" s="1" t="s">
        <v>3628</v>
      </c>
      <c r="D2343" s="1" t="s">
        <v>23</v>
      </c>
      <c r="E2343" s="1" t="s">
        <v>35</v>
      </c>
      <c r="F2343" s="4">
        <v>44622.562939814816</v>
      </c>
      <c r="G2343" s="3" t="str">
        <f>HYPERLINK("https://hawk-eye.atlassian.net/browse/RTT-4782?atlOrigin=eyJpIjoiYzgwYTQ0ZjEyNzQzNGJhN2JmNjEyZTM0NmRhZWZhNjIiLCJwIjoic2hlZXRzLWppcmEifQ","RTT-4782")</f>
        <v>RTT-4782</v>
      </c>
      <c r="H2343" s="1" t="s">
        <v>1058</v>
      </c>
      <c r="I2343" s="1" t="s">
        <v>1085</v>
      </c>
      <c r="J2343" s="1" t="s">
        <v>26</v>
      </c>
      <c r="K2343" s="1" t="s">
        <v>1362</v>
      </c>
      <c r="L2343" s="1" t="s">
        <v>26</v>
      </c>
      <c r="M2343" s="1" t="s">
        <v>27</v>
      </c>
      <c r="N2343" s="1" t="s">
        <v>26</v>
      </c>
      <c r="O2343" s="1" t="s">
        <v>26</v>
      </c>
      <c r="P2343" s="4">
        <v>44638.40099537037</v>
      </c>
    </row>
    <row r="2344" hidden="1">
      <c r="A2344" s="1" t="s">
        <v>1055</v>
      </c>
      <c r="B2344" s="3" t="str">
        <f>HYPERLINK("https://hawk-eye.atlassian.net/browse/HWKREPORT-1106?atlOrigin=eyJpIjoiYzgwYTQ0ZjEyNzQzNGJhN2JmNjEyZTM0NmRhZWZhNjIiLCJwIjoic2hlZXRzLWppcmEifQ","HWKREPORT-1106")</f>
        <v>HWKREPORT-1106</v>
      </c>
      <c r="C2344" s="1" t="s">
        <v>3629</v>
      </c>
      <c r="D2344" s="1" t="s">
        <v>23</v>
      </c>
      <c r="E2344" s="1" t="s">
        <v>1057</v>
      </c>
      <c r="F2344" s="4">
        <v>44622.84226851852</v>
      </c>
      <c r="G2344" s="3" t="str">
        <f>HYPERLINK("https://hawk-eye.atlassian.net/browse/?atlOrigin=eyJpIjoiYzgwYTQ0ZjEyNzQzNGJhN2JmNjEyZTM0NmRhZWZhNjIiLCJwIjoic2hlZXRzLWppcmEifQ","")</f>
        <v/>
      </c>
      <c r="H2344" s="1" t="s">
        <v>1058</v>
      </c>
      <c r="I2344" s="1" t="s">
        <v>1071</v>
      </c>
      <c r="J2344" s="1" t="s">
        <v>26</v>
      </c>
      <c r="K2344" s="1" t="s">
        <v>1813</v>
      </c>
      <c r="L2344" s="1" t="s">
        <v>26</v>
      </c>
      <c r="M2344" s="1" t="s">
        <v>27</v>
      </c>
      <c r="N2344" s="1" t="s">
        <v>26</v>
      </c>
      <c r="O2344" s="1" t="s">
        <v>26</v>
      </c>
      <c r="P2344" s="4">
        <v>44622.84226851852</v>
      </c>
    </row>
    <row r="2345" hidden="1">
      <c r="A2345" s="1" t="s">
        <v>1055</v>
      </c>
      <c r="B2345" s="3" t="str">
        <f>HYPERLINK("https://hawk-eye.atlassian.net/browse/HWKREPORT-1107?atlOrigin=eyJpIjoiYzgwYTQ0ZjEyNzQzNGJhN2JmNjEyZTM0NmRhZWZhNjIiLCJwIjoic2hlZXRzLWppcmEifQ","HWKREPORT-1107")</f>
        <v>HWKREPORT-1107</v>
      </c>
      <c r="C2345" s="1" t="s">
        <v>3630</v>
      </c>
      <c r="D2345" s="1" t="s">
        <v>23</v>
      </c>
      <c r="E2345" s="1" t="s">
        <v>35</v>
      </c>
      <c r="F2345" s="4">
        <v>44627.6006712963</v>
      </c>
      <c r="G2345" s="3" t="str">
        <f>HYPERLINK("https://hawk-eye.atlassian.net/browse/RTT-4799?atlOrigin=eyJpIjoiYzgwYTQ0ZjEyNzQzNGJhN2JmNjEyZTM0NmRhZWZhNjIiLCJwIjoic2hlZXRzLWppcmEifQ","RTT-4799")</f>
        <v>RTT-4799</v>
      </c>
      <c r="H2345" s="1" t="s">
        <v>1058</v>
      </c>
      <c r="I2345" s="1" t="s">
        <v>1071</v>
      </c>
      <c r="J2345" s="1" t="s">
        <v>26</v>
      </c>
      <c r="K2345" s="1" t="s">
        <v>1093</v>
      </c>
      <c r="L2345" s="1" t="s">
        <v>26</v>
      </c>
      <c r="M2345" s="1" t="s">
        <v>27</v>
      </c>
      <c r="N2345" s="1" t="s">
        <v>26</v>
      </c>
      <c r="O2345" s="1" t="s">
        <v>26</v>
      </c>
      <c r="P2345" s="4">
        <v>44677.692974537036</v>
      </c>
    </row>
    <row r="2346" hidden="1">
      <c r="A2346" s="1" t="s">
        <v>1055</v>
      </c>
      <c r="B2346" s="3" t="str">
        <f>HYPERLINK("https://hawk-eye.atlassian.net/browse/HWKREPORT-1108?atlOrigin=eyJpIjoiYzgwYTQ0ZjEyNzQzNGJhN2JmNjEyZTM0NmRhZWZhNjIiLCJwIjoic2hlZXRzLWppcmEifQ","HWKREPORT-1108")</f>
        <v>HWKREPORT-1108</v>
      </c>
      <c r="C2346" s="1" t="s">
        <v>3631</v>
      </c>
      <c r="D2346" s="1" t="s">
        <v>23</v>
      </c>
      <c r="E2346" s="1" t="s">
        <v>35</v>
      </c>
      <c r="F2346" s="4">
        <v>44627.67711805556</v>
      </c>
      <c r="G2346" s="3" t="str">
        <f>HYPERLINK("https://hawk-eye.atlassian.net/browse/VIEWER-1793?atlOrigin=eyJpIjoiYzgwYTQ0ZjEyNzQzNGJhN2JmNjEyZTM0NmRhZWZhNjIiLCJwIjoic2hlZXRzLWppcmEifQ","VIEWER-1793")</f>
        <v>VIEWER-1793</v>
      </c>
      <c r="H2346" s="1" t="s">
        <v>1058</v>
      </c>
      <c r="I2346" s="1" t="s">
        <v>3623</v>
      </c>
      <c r="J2346" s="1" t="s">
        <v>26</v>
      </c>
      <c r="K2346" s="1" t="s">
        <v>1348</v>
      </c>
      <c r="L2346" s="1" t="s">
        <v>26</v>
      </c>
      <c r="M2346" s="1" t="s">
        <v>27</v>
      </c>
      <c r="N2346" s="1" t="s">
        <v>26</v>
      </c>
      <c r="O2346" s="1" t="s">
        <v>26</v>
      </c>
      <c r="P2346" s="4">
        <v>45315.49869212963</v>
      </c>
    </row>
    <row r="2347" hidden="1">
      <c r="A2347" s="1" t="s">
        <v>21</v>
      </c>
      <c r="B2347" s="3" t="str">
        <f>HYPERLINK("https://hawk-eye.atlassian.net/browse/HWKREPORT-1109?atlOrigin=eyJpIjoiYzgwYTQ0ZjEyNzQzNGJhN2JmNjEyZTM0NmRhZWZhNjIiLCJwIjoic2hlZXRzLWppcmEifQ","HWKREPORT-1109")</f>
        <v>HWKREPORT-1109</v>
      </c>
      <c r="C2347" s="1" t="s">
        <v>3632</v>
      </c>
      <c r="D2347" s="1" t="s">
        <v>23</v>
      </c>
      <c r="E2347" s="1" t="s">
        <v>35</v>
      </c>
      <c r="F2347" s="4">
        <v>44628.45827546297</v>
      </c>
      <c r="G2347" s="3" t="str">
        <f>HYPERLINK("https://hawk-eye.atlassian.net/browse/?atlOrigin=eyJpIjoiYzgwYTQ0ZjEyNzQzNGJhN2JmNjEyZTM0NmRhZWZhNjIiLCJwIjoic2hlZXRzLWppcmEifQ","")</f>
        <v/>
      </c>
      <c r="H2347" s="1" t="s">
        <v>1058</v>
      </c>
      <c r="I2347" s="1" t="s">
        <v>1085</v>
      </c>
      <c r="J2347" s="1" t="s">
        <v>26</v>
      </c>
      <c r="K2347" s="1" t="s">
        <v>1072</v>
      </c>
      <c r="L2347" s="1" t="s">
        <v>26</v>
      </c>
      <c r="M2347" s="1" t="s">
        <v>27</v>
      </c>
      <c r="N2347" s="1" t="s">
        <v>26</v>
      </c>
      <c r="O2347" s="1" t="s">
        <v>26</v>
      </c>
      <c r="P2347" s="4">
        <v>45216.38023148148</v>
      </c>
    </row>
    <row r="2348" hidden="1">
      <c r="A2348" s="1" t="s">
        <v>21</v>
      </c>
      <c r="B2348" s="3" t="str">
        <f>HYPERLINK("https://hawk-eye.atlassian.net/browse/HWKREPORT-1110?atlOrigin=eyJpIjoiYzgwYTQ0ZjEyNzQzNGJhN2JmNjEyZTM0NmRhZWZhNjIiLCJwIjoic2hlZXRzLWppcmEifQ","HWKREPORT-1110")</f>
        <v>HWKREPORT-1110</v>
      </c>
      <c r="C2348" s="1" t="s">
        <v>3633</v>
      </c>
      <c r="D2348" s="1" t="s">
        <v>34</v>
      </c>
      <c r="E2348" s="1" t="s">
        <v>1207</v>
      </c>
      <c r="F2348" s="4">
        <v>44628.49420138889</v>
      </c>
      <c r="G2348" s="3" t="str">
        <f>HYPERLINK("https://hawk-eye.atlassian.net/browse/AL-249?atlOrigin=eyJpIjoiYzgwYTQ0ZjEyNzQzNGJhN2JmNjEyZTM0NmRhZWZhNjIiLCJwIjoic2hlZXRzLWppcmEifQ","AL-249")</f>
        <v>AL-249</v>
      </c>
      <c r="H2348" s="1" t="s">
        <v>1058</v>
      </c>
      <c r="I2348" s="1" t="s">
        <v>1071</v>
      </c>
      <c r="J2348" s="1" t="s">
        <v>26</v>
      </c>
      <c r="K2348" s="1" t="s">
        <v>3361</v>
      </c>
      <c r="L2348" s="1" t="s">
        <v>26</v>
      </c>
      <c r="M2348" s="1" t="s">
        <v>27</v>
      </c>
      <c r="N2348" s="1" t="s">
        <v>26</v>
      </c>
      <c r="O2348" s="1" t="s">
        <v>26</v>
      </c>
      <c r="P2348" s="4">
        <v>44929.4184837963</v>
      </c>
    </row>
    <row r="2349" hidden="1">
      <c r="A2349" s="1" t="s">
        <v>21</v>
      </c>
      <c r="B2349" s="3" t="str">
        <f>HYPERLINK("https://hawk-eye.atlassian.net/browse/HWKREPORT-1111?atlOrigin=eyJpIjoiYzgwYTQ0ZjEyNzQzNGJhN2JmNjEyZTM0NmRhZWZhNjIiLCJwIjoic2hlZXRzLWppcmEifQ","HWKREPORT-1111")</f>
        <v>HWKREPORT-1111</v>
      </c>
      <c r="C2349" s="1" t="s">
        <v>3634</v>
      </c>
      <c r="D2349" s="1" t="s">
        <v>23</v>
      </c>
      <c r="E2349" s="1" t="s">
        <v>35</v>
      </c>
      <c r="F2349" s="4">
        <v>44628.51125</v>
      </c>
      <c r="G2349" s="3" t="str">
        <f>HYPERLINK("https://hawk-eye.atlassian.net/browse/RTT-4810?atlOrigin=eyJpIjoiYzgwYTQ0ZjEyNzQzNGJhN2JmNjEyZTM0NmRhZWZhNjIiLCJwIjoic2hlZXRzLWppcmEifQ","RTT-4810")</f>
        <v>RTT-4810</v>
      </c>
      <c r="H2349" s="1" t="s">
        <v>1058</v>
      </c>
      <c r="I2349" s="1" t="s">
        <v>1085</v>
      </c>
      <c r="J2349" s="1" t="s">
        <v>26</v>
      </c>
      <c r="K2349" s="1" t="s">
        <v>1072</v>
      </c>
      <c r="L2349" s="1" t="s">
        <v>26</v>
      </c>
      <c r="M2349" s="1" t="s">
        <v>27</v>
      </c>
      <c r="N2349" s="1" t="s">
        <v>26</v>
      </c>
      <c r="O2349" s="1" t="s">
        <v>26</v>
      </c>
      <c r="P2349" s="4">
        <v>44803.39528935185</v>
      </c>
    </row>
    <row r="2350" hidden="1">
      <c r="A2350" s="1" t="s">
        <v>21</v>
      </c>
      <c r="B2350" s="3" t="str">
        <f>HYPERLINK("https://hawk-eye.atlassian.net/browse/HWKREPORT-1112?atlOrigin=eyJpIjoiYzgwYTQ0ZjEyNzQzNGJhN2JmNjEyZTM0NmRhZWZhNjIiLCJwIjoic2hlZXRzLWppcmEifQ","HWKREPORT-1112")</f>
        <v>HWKREPORT-1112</v>
      </c>
      <c r="C2350" s="1" t="s">
        <v>3635</v>
      </c>
      <c r="D2350" s="1" t="s">
        <v>23</v>
      </c>
      <c r="E2350" s="1" t="s">
        <v>35</v>
      </c>
      <c r="F2350" s="4">
        <v>44628.520590277774</v>
      </c>
      <c r="G2350" s="3" t="str">
        <f>HYPERLINK("https://hawk-eye.atlassian.net/browse/AL-250?atlOrigin=eyJpIjoiYzgwYTQ0ZjEyNzQzNGJhN2JmNjEyZTM0NmRhZWZhNjIiLCJwIjoic2hlZXRzLWppcmEifQ","AL-250")</f>
        <v>AL-250</v>
      </c>
      <c r="H2350" s="1" t="s">
        <v>1058</v>
      </c>
      <c r="I2350" s="1" t="s">
        <v>1085</v>
      </c>
      <c r="J2350" s="1" t="s">
        <v>26</v>
      </c>
      <c r="K2350" s="1" t="s">
        <v>1717</v>
      </c>
      <c r="L2350" s="1" t="s">
        <v>26</v>
      </c>
      <c r="M2350" s="1" t="s">
        <v>27</v>
      </c>
      <c r="N2350" s="1" t="s">
        <v>26</v>
      </c>
      <c r="O2350" s="1" t="s">
        <v>26</v>
      </c>
      <c r="P2350" s="4">
        <v>44634.50493055556</v>
      </c>
    </row>
    <row r="2351" hidden="1">
      <c r="A2351" s="1" t="s">
        <v>21</v>
      </c>
      <c r="B2351" s="3" t="str">
        <f>HYPERLINK("https://hawk-eye.atlassian.net/browse/HWKREPORT-1113?atlOrigin=eyJpIjoiYzgwYTQ0ZjEyNzQzNGJhN2JmNjEyZTM0NmRhZWZhNjIiLCJwIjoic2hlZXRzLWppcmEifQ","HWKREPORT-1113")</f>
        <v>HWKREPORT-1113</v>
      </c>
      <c r="C2351" s="1" t="s">
        <v>3636</v>
      </c>
      <c r="D2351" s="1" t="s">
        <v>23</v>
      </c>
      <c r="E2351" s="1" t="s">
        <v>35</v>
      </c>
      <c r="F2351" s="4">
        <v>44628.535787037035</v>
      </c>
      <c r="G2351" s="3" t="str">
        <f>HYPERLINK("https://hawk-eye.atlassian.net/browse/?atlOrigin=eyJpIjoiYzgwYTQ0ZjEyNzQzNGJhN2JmNjEyZTM0NmRhZWZhNjIiLCJwIjoic2hlZXRzLWppcmEifQ","")</f>
        <v/>
      </c>
      <c r="H2351" s="1" t="s">
        <v>1058</v>
      </c>
      <c r="I2351" s="1" t="s">
        <v>1085</v>
      </c>
      <c r="J2351" s="1" t="s">
        <v>26</v>
      </c>
      <c r="K2351" s="1" t="s">
        <v>1072</v>
      </c>
      <c r="L2351" s="1" t="s">
        <v>26</v>
      </c>
      <c r="M2351" s="1" t="s">
        <v>27</v>
      </c>
      <c r="N2351" s="1" t="s">
        <v>26</v>
      </c>
      <c r="O2351" s="1" t="s">
        <v>26</v>
      </c>
      <c r="P2351" s="4">
        <v>44635.67017361111</v>
      </c>
    </row>
    <row r="2352" hidden="1">
      <c r="A2352" s="1" t="s">
        <v>21</v>
      </c>
      <c r="B2352" s="3" t="str">
        <f>HYPERLINK("https://hawk-eye.atlassian.net/browse/HWKREPORT-1114?atlOrigin=eyJpIjoiYzgwYTQ0ZjEyNzQzNGJhN2JmNjEyZTM0NmRhZWZhNjIiLCJwIjoic2hlZXRzLWppcmEifQ","HWKREPORT-1114")</f>
        <v>HWKREPORT-1114</v>
      </c>
      <c r="C2352" s="1" t="s">
        <v>3637</v>
      </c>
      <c r="D2352" s="1" t="s">
        <v>83</v>
      </c>
      <c r="E2352" s="1" t="s">
        <v>1207</v>
      </c>
      <c r="F2352" s="4">
        <v>44629.541979166665</v>
      </c>
      <c r="G2352" s="3" t="str">
        <f>HYPERLINK("https://hawk-eye.atlassian.net/browse/AL-254?atlOrigin=eyJpIjoiYzgwYTQ0ZjEyNzQzNGJhN2JmNjEyZTM0NmRhZWZhNjIiLCJwIjoic2hlZXRzLWppcmEifQ","AL-254")</f>
        <v>AL-254</v>
      </c>
      <c r="H2352" s="1" t="s">
        <v>1058</v>
      </c>
      <c r="I2352" s="1" t="s">
        <v>1085</v>
      </c>
      <c r="J2352" s="1" t="s">
        <v>26</v>
      </c>
      <c r="K2352" s="1" t="s">
        <v>1219</v>
      </c>
      <c r="L2352" s="1" t="s">
        <v>26</v>
      </c>
      <c r="M2352" s="1" t="s">
        <v>27</v>
      </c>
      <c r="N2352" s="1" t="s">
        <v>26</v>
      </c>
      <c r="O2352" s="1" t="s">
        <v>26</v>
      </c>
      <c r="P2352" s="4">
        <v>44929.4184837963</v>
      </c>
    </row>
    <row r="2353" hidden="1">
      <c r="A2353" s="1" t="s">
        <v>21</v>
      </c>
      <c r="B2353" s="3" t="str">
        <f>HYPERLINK("https://hawk-eye.atlassian.net/browse/HWKREPORT-1115?atlOrigin=eyJpIjoiYzgwYTQ0ZjEyNzQzNGJhN2JmNjEyZTM0NmRhZWZhNjIiLCJwIjoic2hlZXRzLWppcmEifQ","HWKREPORT-1115")</f>
        <v>HWKREPORT-1115</v>
      </c>
      <c r="C2353" s="1" t="s">
        <v>3638</v>
      </c>
      <c r="D2353" s="1" t="s">
        <v>34</v>
      </c>
      <c r="E2353" s="1" t="s">
        <v>35</v>
      </c>
      <c r="F2353" s="4">
        <v>44630.67827546296</v>
      </c>
      <c r="G2353" s="3" t="str">
        <f>HYPERLINK("https://hawk-eye.atlassian.net/browse/RTT-4816?atlOrigin=eyJpIjoiYzgwYTQ0ZjEyNzQzNGJhN2JmNjEyZTM0NmRhZWZhNjIiLCJwIjoic2hlZXRzLWppcmEifQ","RTT-4816")</f>
        <v>RTT-4816</v>
      </c>
      <c r="H2353" s="1" t="s">
        <v>1058</v>
      </c>
      <c r="I2353" s="1" t="s">
        <v>1104</v>
      </c>
      <c r="J2353" s="1" t="s">
        <v>26</v>
      </c>
      <c r="K2353" s="1" t="s">
        <v>1099</v>
      </c>
      <c r="L2353" s="1" t="s">
        <v>26</v>
      </c>
      <c r="M2353" s="1" t="s">
        <v>27</v>
      </c>
      <c r="N2353" s="1" t="s">
        <v>26</v>
      </c>
      <c r="O2353" s="1" t="s">
        <v>26</v>
      </c>
      <c r="P2353" s="4">
        <v>44693.696388888886</v>
      </c>
    </row>
    <row r="2354" hidden="1">
      <c r="A2354" s="1" t="s">
        <v>21</v>
      </c>
      <c r="B2354" s="3" t="str">
        <f>HYPERLINK("https://hawk-eye.atlassian.net/browse/HWKREPORT-1116?atlOrigin=eyJpIjoiYzgwYTQ0ZjEyNzQzNGJhN2JmNjEyZTM0NmRhZWZhNjIiLCJwIjoic2hlZXRzLWppcmEifQ","HWKREPORT-1116")</f>
        <v>HWKREPORT-1116</v>
      </c>
      <c r="C2354" s="1" t="s">
        <v>3639</v>
      </c>
      <c r="D2354" s="1" t="s">
        <v>34</v>
      </c>
      <c r="E2354" s="1" t="s">
        <v>35</v>
      </c>
      <c r="F2354" s="4">
        <v>44630.814618055556</v>
      </c>
      <c r="G2354" s="3" t="str">
        <f>HYPERLINK("https://hawk-eye.atlassian.net/browse/?atlOrigin=eyJpIjoiYzgwYTQ0ZjEyNzQzNGJhN2JmNjEyZTM0NmRhZWZhNjIiLCJwIjoic2hlZXRzLWppcmEifQ","")</f>
        <v/>
      </c>
      <c r="H2354" s="1" t="s">
        <v>1058</v>
      </c>
      <c r="I2354" s="1" t="s">
        <v>1085</v>
      </c>
      <c r="J2354" s="1" t="s">
        <v>26</v>
      </c>
      <c r="K2354" s="1" t="s">
        <v>1072</v>
      </c>
      <c r="L2354" s="1" t="s">
        <v>26</v>
      </c>
      <c r="M2354" s="1" t="s">
        <v>27</v>
      </c>
      <c r="N2354" s="1" t="s">
        <v>26</v>
      </c>
      <c r="O2354" s="1" t="s">
        <v>26</v>
      </c>
      <c r="P2354" s="4">
        <v>44635.47902777778</v>
      </c>
    </row>
    <row r="2355" hidden="1">
      <c r="A2355" s="1" t="s">
        <v>1055</v>
      </c>
      <c r="B2355" s="3" t="str">
        <f>HYPERLINK("https://hawk-eye.atlassian.net/browse/HWKREPORT-1117?atlOrigin=eyJpIjoiYzgwYTQ0ZjEyNzQzNGJhN2JmNjEyZTM0NmRhZWZhNjIiLCJwIjoic2hlZXRzLWppcmEifQ","HWKREPORT-1117")</f>
        <v>HWKREPORT-1117</v>
      </c>
      <c r="C2355" s="1" t="s">
        <v>3640</v>
      </c>
      <c r="D2355" s="1" t="s">
        <v>23</v>
      </c>
      <c r="E2355" s="1" t="s">
        <v>35</v>
      </c>
      <c r="F2355" s="4">
        <v>44630.84113425926</v>
      </c>
      <c r="G2355" s="3" t="str">
        <f>HYPERLINK("https://hawk-eye.atlassian.net/browse/RTT-4809?atlOrigin=eyJpIjoiYzgwYTQ0ZjEyNzQzNGJhN2JmNjEyZTM0NmRhZWZhNjIiLCJwIjoic2hlZXRzLWppcmEifQ","RTT-4809")</f>
        <v>RTT-4809</v>
      </c>
      <c r="H2355" s="1" t="s">
        <v>1058</v>
      </c>
      <c r="I2355" s="1" t="s">
        <v>1085</v>
      </c>
      <c r="J2355" s="1" t="s">
        <v>26</v>
      </c>
      <c r="K2355" s="1" t="s">
        <v>1072</v>
      </c>
      <c r="L2355" s="1" t="s">
        <v>26</v>
      </c>
      <c r="M2355" s="1" t="s">
        <v>27</v>
      </c>
      <c r="N2355" s="1" t="s">
        <v>26</v>
      </c>
      <c r="O2355" s="1" t="s">
        <v>26</v>
      </c>
      <c r="P2355" s="4">
        <v>44760.68707175926</v>
      </c>
    </row>
    <row r="2356" hidden="1">
      <c r="A2356" s="1" t="s">
        <v>21</v>
      </c>
      <c r="B2356" s="3" t="str">
        <f>HYPERLINK("https://hawk-eye.atlassian.net/browse/HWKREPORT-1118?atlOrigin=eyJpIjoiYzgwYTQ0ZjEyNzQzNGJhN2JmNjEyZTM0NmRhZWZhNjIiLCJwIjoic2hlZXRzLWppcmEifQ","HWKREPORT-1118")</f>
        <v>HWKREPORT-1118</v>
      </c>
      <c r="C2356" s="1" t="s">
        <v>3641</v>
      </c>
      <c r="D2356" s="1" t="s">
        <v>34</v>
      </c>
      <c r="E2356" s="1" t="s">
        <v>1057</v>
      </c>
      <c r="F2356" s="4">
        <v>44630.85060185185</v>
      </c>
      <c r="G2356" s="3" t="str">
        <f>HYPERLINK("https://hawk-eye.atlassian.net/browse/RTT-4853?atlOrigin=eyJpIjoiYzgwYTQ0ZjEyNzQzNGJhN2JmNjEyZTM0NmRhZWZhNjIiLCJwIjoic2hlZXRzLWppcmEifQ","RTT-4853")</f>
        <v>RTT-4853</v>
      </c>
      <c r="H2356" s="1" t="s">
        <v>1058</v>
      </c>
      <c r="I2356" s="1" t="s">
        <v>1085</v>
      </c>
      <c r="J2356" s="1" t="s">
        <v>26</v>
      </c>
      <c r="K2356" s="1" t="s">
        <v>3642</v>
      </c>
      <c r="L2356" s="1" t="s">
        <v>26</v>
      </c>
      <c r="M2356" s="1" t="s">
        <v>27</v>
      </c>
      <c r="N2356" s="1" t="s">
        <v>26</v>
      </c>
      <c r="O2356" s="1" t="s">
        <v>26</v>
      </c>
      <c r="P2356" s="4">
        <v>44630.85061342592</v>
      </c>
    </row>
    <row r="2357" hidden="1">
      <c r="A2357" s="1" t="s">
        <v>21</v>
      </c>
      <c r="B2357" s="3" t="str">
        <f>HYPERLINK("https://hawk-eye.atlassian.net/browse/HWKREPORT-1119?atlOrigin=eyJpIjoiYzgwYTQ0ZjEyNzQzNGJhN2JmNjEyZTM0NmRhZWZhNjIiLCJwIjoic2hlZXRzLWppcmEifQ","HWKREPORT-1119")</f>
        <v>HWKREPORT-1119</v>
      </c>
      <c r="C2357" s="1" t="s">
        <v>3643</v>
      </c>
      <c r="D2357" s="1" t="s">
        <v>34</v>
      </c>
      <c r="E2357" s="1" t="s">
        <v>1074</v>
      </c>
      <c r="F2357" s="4">
        <v>44631.44899305556</v>
      </c>
      <c r="G2357" s="3" t="str">
        <f>HYPERLINK("https://hawk-eye.atlassian.net/browse/AL-262?atlOrigin=eyJpIjoiYzgwYTQ0ZjEyNzQzNGJhN2JmNjEyZTM0NmRhZWZhNjIiLCJwIjoic2hlZXRzLWppcmEifQ","AL-262")</f>
        <v>AL-262</v>
      </c>
      <c r="H2357" s="1" t="s">
        <v>1058</v>
      </c>
      <c r="I2357" s="1" t="s">
        <v>1085</v>
      </c>
      <c r="J2357" s="1" t="s">
        <v>26</v>
      </c>
      <c r="K2357" s="1" t="s">
        <v>1219</v>
      </c>
      <c r="L2357" s="1" t="s">
        <v>26</v>
      </c>
      <c r="M2357" s="1" t="s">
        <v>27</v>
      </c>
      <c r="N2357" s="1" t="s">
        <v>26</v>
      </c>
      <c r="O2357" s="1" t="s">
        <v>26</v>
      </c>
      <c r="P2357" s="4">
        <v>44637.50326388889</v>
      </c>
    </row>
    <row r="2358" hidden="1">
      <c r="A2358" s="1" t="s">
        <v>21</v>
      </c>
      <c r="B2358" s="3" t="str">
        <f>HYPERLINK("https://hawk-eye.atlassian.net/browse/HWKREPORT-1120?atlOrigin=eyJpIjoiYzgwYTQ0ZjEyNzQzNGJhN2JmNjEyZTM0NmRhZWZhNjIiLCJwIjoic2hlZXRzLWppcmEifQ","HWKREPORT-1120")</f>
        <v>HWKREPORT-1120</v>
      </c>
      <c r="C2358" s="1" t="s">
        <v>3644</v>
      </c>
      <c r="D2358" s="1" t="s">
        <v>34</v>
      </c>
      <c r="E2358" s="1" t="s">
        <v>35</v>
      </c>
      <c r="F2358" s="4">
        <v>44631.45486111111</v>
      </c>
      <c r="G2358" s="3" t="str">
        <f>HYPERLINK("https://hawk-eye.atlassian.net/browse/AL-261?atlOrigin=eyJpIjoiYzgwYTQ0ZjEyNzQzNGJhN2JmNjEyZTM0NmRhZWZhNjIiLCJwIjoic2hlZXRzLWppcmEifQ","AL-261")</f>
        <v>AL-261</v>
      </c>
      <c r="H2358" s="1" t="s">
        <v>1058</v>
      </c>
      <c r="I2358" s="1" t="s">
        <v>1085</v>
      </c>
      <c r="J2358" s="1" t="s">
        <v>26</v>
      </c>
      <c r="K2358" s="1" t="s">
        <v>1219</v>
      </c>
      <c r="L2358" s="1" t="s">
        <v>26</v>
      </c>
      <c r="M2358" s="1" t="s">
        <v>27</v>
      </c>
      <c r="N2358" s="1" t="s">
        <v>26</v>
      </c>
      <c r="O2358" s="1" t="s">
        <v>26</v>
      </c>
      <c r="P2358" s="4">
        <v>44671.58607638889</v>
      </c>
    </row>
    <row r="2359" hidden="1">
      <c r="A2359" s="1" t="s">
        <v>1055</v>
      </c>
      <c r="B2359" s="3" t="str">
        <f>HYPERLINK("https://hawk-eye.atlassian.net/browse/HWKREPORT-1121?atlOrigin=eyJpIjoiYzgwYTQ0ZjEyNzQzNGJhN2JmNjEyZTM0NmRhZWZhNjIiLCJwIjoic2hlZXRzLWppcmEifQ","HWKREPORT-1121")</f>
        <v>HWKREPORT-1121</v>
      </c>
      <c r="C2359" s="1" t="s">
        <v>3645</v>
      </c>
      <c r="D2359" s="1" t="s">
        <v>23</v>
      </c>
      <c r="E2359" s="1" t="s">
        <v>35</v>
      </c>
      <c r="F2359" s="4">
        <v>44631.647835648146</v>
      </c>
      <c r="G2359" s="3" t="str">
        <f>HYPERLINK("https://hawk-eye.atlassian.net/browse/VIEWER-1802?atlOrigin=eyJpIjoiYzgwYTQ0ZjEyNzQzNGJhN2JmNjEyZTM0NmRhZWZhNjIiLCJwIjoic2hlZXRzLWppcmEifQ","VIEWER-1802")</f>
        <v>VIEWER-1802</v>
      </c>
      <c r="H2359" s="1" t="s">
        <v>1058</v>
      </c>
      <c r="I2359" s="1" t="s">
        <v>3623</v>
      </c>
      <c r="J2359" s="1" t="s">
        <v>26</v>
      </c>
      <c r="K2359" s="1" t="s">
        <v>1116</v>
      </c>
      <c r="L2359" s="1" t="s">
        <v>26</v>
      </c>
      <c r="M2359" s="1" t="s">
        <v>27</v>
      </c>
      <c r="N2359" s="1" t="s">
        <v>26</v>
      </c>
      <c r="O2359" s="1" t="s">
        <v>26</v>
      </c>
      <c r="P2359" s="4">
        <v>44693.39334490741</v>
      </c>
    </row>
    <row r="2360" hidden="1">
      <c r="A2360" s="1" t="s">
        <v>21</v>
      </c>
      <c r="B2360" s="3" t="str">
        <f>HYPERLINK("https://hawk-eye.atlassian.net/browse/HWKREPORT-1122?atlOrigin=eyJpIjoiYzgwYTQ0ZjEyNzQzNGJhN2JmNjEyZTM0NmRhZWZhNjIiLCJwIjoic2hlZXRzLWppcmEifQ","HWKREPORT-1122")</f>
        <v>HWKREPORT-1122</v>
      </c>
      <c r="C2360" s="1" t="s">
        <v>3646</v>
      </c>
      <c r="D2360" s="1" t="s">
        <v>23</v>
      </c>
      <c r="E2360" s="1" t="s">
        <v>35</v>
      </c>
      <c r="F2360" s="4">
        <v>44634.75164351852</v>
      </c>
      <c r="G2360" s="3" t="str">
        <f>HYPERLINK("https://hawk-eye.atlassian.net/browse/CORE-72?atlOrigin=eyJpIjoiYzgwYTQ0ZjEyNzQzNGJhN2JmNjEyZTM0NmRhZWZhNjIiLCJwIjoic2hlZXRzLWppcmEifQ","CORE-72")</f>
        <v>CORE-72</v>
      </c>
      <c r="H2360" s="1" t="s">
        <v>1058</v>
      </c>
      <c r="I2360" s="1" t="s">
        <v>1085</v>
      </c>
      <c r="J2360" s="1" t="s">
        <v>26</v>
      </c>
      <c r="K2360" s="1" t="s">
        <v>1072</v>
      </c>
      <c r="L2360" s="1" t="s">
        <v>26</v>
      </c>
      <c r="M2360" s="1" t="s">
        <v>27</v>
      </c>
      <c r="N2360" s="1" t="s">
        <v>26</v>
      </c>
      <c r="O2360" s="1" t="s">
        <v>26</v>
      </c>
      <c r="P2360" s="4">
        <v>44785.35878472222</v>
      </c>
    </row>
    <row r="2361" hidden="1">
      <c r="A2361" s="1" t="s">
        <v>21</v>
      </c>
      <c r="B2361" s="3" t="str">
        <f>HYPERLINK("https://hawk-eye.atlassian.net/browse/HWKREPORT-1123?atlOrigin=eyJpIjoiYzgwYTQ0ZjEyNzQzNGJhN2JmNjEyZTM0NmRhZWZhNjIiLCJwIjoic2hlZXRzLWppcmEifQ","HWKREPORT-1123")</f>
        <v>HWKREPORT-1123</v>
      </c>
      <c r="C2361" s="1" t="s">
        <v>3647</v>
      </c>
      <c r="D2361" s="1" t="s">
        <v>83</v>
      </c>
      <c r="E2361" s="1" t="s">
        <v>35</v>
      </c>
      <c r="F2361" s="4">
        <v>44634.76598379629</v>
      </c>
      <c r="G2361" s="3" t="str">
        <f>HYPERLINK("https://hawk-eye.atlassian.net/browse/RTT-4807?atlOrigin=eyJpIjoiYzgwYTQ0ZjEyNzQzNGJhN2JmNjEyZTM0NmRhZWZhNjIiLCJwIjoic2hlZXRzLWppcmEifQ","RTT-4807")</f>
        <v>RTT-4807</v>
      </c>
      <c r="H2361" s="1" t="s">
        <v>1058</v>
      </c>
      <c r="I2361" s="1" t="s">
        <v>1085</v>
      </c>
      <c r="J2361" s="1" t="s">
        <v>26</v>
      </c>
      <c r="K2361" s="1" t="s">
        <v>1072</v>
      </c>
      <c r="L2361" s="1" t="s">
        <v>26</v>
      </c>
      <c r="M2361" s="1" t="s">
        <v>27</v>
      </c>
      <c r="N2361" s="1" t="s">
        <v>26</v>
      </c>
      <c r="O2361" s="1" t="s">
        <v>26</v>
      </c>
      <c r="P2361" s="4">
        <v>44693.62599537037</v>
      </c>
    </row>
    <row r="2362" hidden="1">
      <c r="A2362" s="1" t="s">
        <v>21</v>
      </c>
      <c r="B2362" s="3" t="str">
        <f>HYPERLINK("https://hawk-eye.atlassian.net/browse/HWKREPORT-1124?atlOrigin=eyJpIjoiYzgwYTQ0ZjEyNzQzNGJhN2JmNjEyZTM0NmRhZWZhNjIiLCJwIjoic2hlZXRzLWppcmEifQ","HWKREPORT-1124")</f>
        <v>HWKREPORT-1124</v>
      </c>
      <c r="C2362" s="1" t="s">
        <v>3648</v>
      </c>
      <c r="D2362" s="1" t="s">
        <v>23</v>
      </c>
      <c r="E2362" s="1" t="s">
        <v>35</v>
      </c>
      <c r="F2362" s="4">
        <v>44634.7706712963</v>
      </c>
      <c r="G2362" s="3" t="str">
        <f>HYPERLINK("https://hawk-eye.atlassian.net/browse/RTT-4806?atlOrigin=eyJpIjoiYzgwYTQ0ZjEyNzQzNGJhN2JmNjEyZTM0NmRhZWZhNjIiLCJwIjoic2hlZXRzLWppcmEifQ","RTT-4806")</f>
        <v>RTT-4806</v>
      </c>
      <c r="H2362" s="1" t="s">
        <v>1058</v>
      </c>
      <c r="I2362" s="1" t="s">
        <v>1085</v>
      </c>
      <c r="J2362" s="1" t="s">
        <v>26</v>
      </c>
      <c r="K2362" s="1" t="s">
        <v>1072</v>
      </c>
      <c r="L2362" s="1" t="s">
        <v>26</v>
      </c>
      <c r="M2362" s="1" t="s">
        <v>27</v>
      </c>
      <c r="N2362" s="1" t="s">
        <v>26</v>
      </c>
      <c r="O2362" s="1" t="s">
        <v>26</v>
      </c>
      <c r="P2362" s="4">
        <v>44652.663981481484</v>
      </c>
    </row>
    <row r="2363" hidden="1">
      <c r="A2363" s="1" t="s">
        <v>21</v>
      </c>
      <c r="B2363" s="3" t="str">
        <f>HYPERLINK("https://hawk-eye.atlassian.net/browse/HWKREPORT-1125?atlOrigin=eyJpIjoiYzgwYTQ0ZjEyNzQzNGJhN2JmNjEyZTM0NmRhZWZhNjIiLCJwIjoic2hlZXRzLWppcmEifQ","HWKREPORT-1125")</f>
        <v>HWKREPORT-1125</v>
      </c>
      <c r="C2363" s="1" t="s">
        <v>3649</v>
      </c>
      <c r="D2363" s="1" t="s">
        <v>23</v>
      </c>
      <c r="E2363" s="1" t="s">
        <v>35</v>
      </c>
      <c r="F2363" s="4">
        <v>44634.77674768519</v>
      </c>
      <c r="G2363" s="3" t="str">
        <f>HYPERLINK("https://hawk-eye.atlassian.net/browse/RTT-4805?atlOrigin=eyJpIjoiYzgwYTQ0ZjEyNzQzNGJhN2JmNjEyZTM0NmRhZWZhNjIiLCJwIjoic2hlZXRzLWppcmEifQ","RTT-4805")</f>
        <v>RTT-4805</v>
      </c>
      <c r="H2363" s="1" t="s">
        <v>1058</v>
      </c>
      <c r="I2363" s="1" t="s">
        <v>1085</v>
      </c>
      <c r="J2363" s="1" t="s">
        <v>26</v>
      </c>
      <c r="K2363" s="1" t="s">
        <v>1072</v>
      </c>
      <c r="L2363" s="1" t="s">
        <v>26</v>
      </c>
      <c r="M2363" s="1" t="s">
        <v>27</v>
      </c>
      <c r="N2363" s="1" t="s">
        <v>26</v>
      </c>
      <c r="O2363" s="1" t="s">
        <v>26</v>
      </c>
      <c r="P2363" s="4">
        <v>44803.39488425926</v>
      </c>
    </row>
    <row r="2364" hidden="1">
      <c r="A2364" s="1" t="s">
        <v>21</v>
      </c>
      <c r="B2364" s="3" t="str">
        <f>HYPERLINK("https://hawk-eye.atlassian.net/browse/HWKREPORT-1126?atlOrigin=eyJpIjoiYzgwYTQ0ZjEyNzQzNGJhN2JmNjEyZTM0NmRhZWZhNjIiLCJwIjoic2hlZXRzLWppcmEifQ","HWKREPORT-1126")</f>
        <v>HWKREPORT-1126</v>
      </c>
      <c r="C2364" s="1" t="s">
        <v>3650</v>
      </c>
      <c r="D2364" s="1" t="s">
        <v>23</v>
      </c>
      <c r="E2364" s="1" t="s">
        <v>35</v>
      </c>
      <c r="F2364" s="4">
        <v>44634.809166666666</v>
      </c>
      <c r="G2364" s="3" t="str">
        <f>HYPERLINK("https://hawk-eye.atlassian.net/browse/RTT-4804?atlOrigin=eyJpIjoiYzgwYTQ0ZjEyNzQzNGJhN2JmNjEyZTM0NmRhZWZhNjIiLCJwIjoic2hlZXRzLWppcmEifQ","RTT-4804")</f>
        <v>RTT-4804</v>
      </c>
      <c r="H2364" s="1" t="s">
        <v>1058</v>
      </c>
      <c r="I2364" s="1" t="s">
        <v>1085</v>
      </c>
      <c r="J2364" s="1" t="s">
        <v>26</v>
      </c>
      <c r="K2364" s="1" t="s">
        <v>1312</v>
      </c>
      <c r="L2364" s="1" t="s">
        <v>26</v>
      </c>
      <c r="M2364" s="1" t="s">
        <v>27</v>
      </c>
      <c r="N2364" s="1" t="s">
        <v>26</v>
      </c>
      <c r="O2364" s="1" t="s">
        <v>26</v>
      </c>
      <c r="P2364" s="4">
        <v>44678.68981481482</v>
      </c>
    </row>
    <row r="2365" hidden="1">
      <c r="A2365" s="1" t="s">
        <v>1055</v>
      </c>
      <c r="B2365" s="3" t="str">
        <f>HYPERLINK("https://hawk-eye.atlassian.net/browse/HWKREPORT-1127?atlOrigin=eyJpIjoiYzgwYTQ0ZjEyNzQzNGJhN2JmNjEyZTM0NmRhZWZhNjIiLCJwIjoic2hlZXRzLWppcmEifQ","HWKREPORT-1127")</f>
        <v>HWKREPORT-1127</v>
      </c>
      <c r="C2365" s="1" t="s">
        <v>3651</v>
      </c>
      <c r="D2365" s="1" t="s">
        <v>23</v>
      </c>
      <c r="E2365" s="1" t="s">
        <v>1207</v>
      </c>
      <c r="F2365" s="4">
        <v>44635.62063657407</v>
      </c>
      <c r="G2365" s="3" t="str">
        <f>HYPERLINK("https://hawk-eye.atlassian.net/browse/AL-267?atlOrigin=eyJpIjoiYzgwYTQ0ZjEyNzQzNGJhN2JmNjEyZTM0NmRhZWZhNjIiLCJwIjoic2hlZXRzLWppcmEifQ","AL-267")</f>
        <v>AL-267</v>
      </c>
      <c r="H2365" s="1" t="s">
        <v>1058</v>
      </c>
      <c r="I2365" s="1" t="s">
        <v>1085</v>
      </c>
      <c r="J2365" s="1" t="s">
        <v>26</v>
      </c>
      <c r="K2365" s="1" t="s">
        <v>1143</v>
      </c>
      <c r="L2365" s="1" t="s">
        <v>26</v>
      </c>
      <c r="M2365" s="1" t="s">
        <v>27</v>
      </c>
      <c r="N2365" s="1" t="s">
        <v>26</v>
      </c>
      <c r="O2365" s="1" t="s">
        <v>26</v>
      </c>
      <c r="P2365" s="4">
        <v>44929.4184837963</v>
      </c>
    </row>
    <row r="2366" hidden="1">
      <c r="A2366" s="1" t="s">
        <v>21</v>
      </c>
      <c r="B2366" s="3" t="str">
        <f>HYPERLINK("https://hawk-eye.atlassian.net/browse/HWKREPORT-1128?atlOrigin=eyJpIjoiYzgwYTQ0ZjEyNzQzNGJhN2JmNjEyZTM0NmRhZWZhNjIiLCJwIjoic2hlZXRzLWppcmEifQ","HWKREPORT-1128")</f>
        <v>HWKREPORT-1128</v>
      </c>
      <c r="C2366" s="1" t="s">
        <v>3652</v>
      </c>
      <c r="D2366" s="1" t="s">
        <v>23</v>
      </c>
      <c r="E2366" s="1" t="s">
        <v>35</v>
      </c>
      <c r="F2366" s="4">
        <v>44635.63778935185</v>
      </c>
      <c r="G2366" s="3" t="str">
        <f>HYPERLINK("https://hawk-eye.atlassian.net/browse/AL-268?atlOrigin=eyJpIjoiYzgwYTQ0ZjEyNzQzNGJhN2JmNjEyZTM0NmRhZWZhNjIiLCJwIjoic2hlZXRzLWppcmEifQ","AL-268")</f>
        <v>AL-268</v>
      </c>
      <c r="H2366" s="1" t="s">
        <v>1058</v>
      </c>
      <c r="I2366" s="1" t="s">
        <v>1085</v>
      </c>
      <c r="J2366" s="1" t="s">
        <v>26</v>
      </c>
      <c r="K2366" s="1" t="s">
        <v>1219</v>
      </c>
      <c r="L2366" s="1" t="s">
        <v>26</v>
      </c>
      <c r="M2366" s="1" t="s">
        <v>27</v>
      </c>
      <c r="N2366" s="1" t="s">
        <v>26</v>
      </c>
      <c r="O2366" s="1" t="s">
        <v>26</v>
      </c>
      <c r="P2366" s="4">
        <v>44655.49113425926</v>
      </c>
    </row>
    <row r="2367" hidden="1">
      <c r="A2367" s="1" t="s">
        <v>1055</v>
      </c>
      <c r="B2367" s="3" t="str">
        <f>HYPERLINK("https://hawk-eye.atlassian.net/browse/HWKREPORT-1129?atlOrigin=eyJpIjoiYzgwYTQ0ZjEyNzQzNGJhN2JmNjEyZTM0NmRhZWZhNjIiLCJwIjoic2hlZXRzLWppcmEifQ","HWKREPORT-1129")</f>
        <v>HWKREPORT-1129</v>
      </c>
      <c r="C2367" s="1" t="s">
        <v>3653</v>
      </c>
      <c r="D2367" s="1" t="s">
        <v>23</v>
      </c>
      <c r="E2367" s="1" t="s">
        <v>35</v>
      </c>
      <c r="F2367" s="4">
        <v>44635.83025462963</v>
      </c>
      <c r="G2367" s="3" t="str">
        <f>HYPERLINK("https://hawk-eye.atlassian.net/browse/RTT-4815?atlOrigin=eyJpIjoiYzgwYTQ0ZjEyNzQzNGJhN2JmNjEyZTM0NmRhZWZhNjIiLCJwIjoic2hlZXRzLWppcmEifQ","RTT-4815")</f>
        <v>RTT-4815</v>
      </c>
      <c r="H2367" s="1" t="s">
        <v>1058</v>
      </c>
      <c r="I2367" s="1" t="s">
        <v>1085</v>
      </c>
      <c r="J2367" s="1" t="s">
        <v>26</v>
      </c>
      <c r="K2367" s="1" t="s">
        <v>1804</v>
      </c>
      <c r="L2367" s="1" t="s">
        <v>26</v>
      </c>
      <c r="M2367" s="1" t="s">
        <v>27</v>
      </c>
      <c r="N2367" s="1" t="s">
        <v>26</v>
      </c>
      <c r="O2367" s="1" t="s">
        <v>26</v>
      </c>
      <c r="P2367" s="4">
        <v>45341.55803240741</v>
      </c>
    </row>
    <row r="2368" hidden="1">
      <c r="A2368" s="1" t="s">
        <v>1055</v>
      </c>
      <c r="B2368" s="3" t="str">
        <f>HYPERLINK("https://hawk-eye.atlassian.net/browse/HWKREPORT-1130?atlOrigin=eyJpIjoiYzgwYTQ0ZjEyNzQzNGJhN2JmNjEyZTM0NmRhZWZhNjIiLCJwIjoic2hlZXRzLWppcmEifQ","HWKREPORT-1130")</f>
        <v>HWKREPORT-1130</v>
      </c>
      <c r="C2368" s="1" t="s">
        <v>3654</v>
      </c>
      <c r="D2368" s="1" t="s">
        <v>23</v>
      </c>
      <c r="E2368" s="1" t="s">
        <v>35</v>
      </c>
      <c r="F2368" s="4">
        <v>44635.90111111111</v>
      </c>
      <c r="G2368" s="3" t="str">
        <f>HYPERLINK("https://hawk-eye.atlassian.net/browse/?atlOrigin=eyJpIjoiYzgwYTQ0ZjEyNzQzNGJhN2JmNjEyZTM0NmRhZWZhNjIiLCJwIjoic2hlZXRzLWppcmEifQ","")</f>
        <v/>
      </c>
      <c r="H2368" s="1" t="s">
        <v>1058</v>
      </c>
      <c r="I2368" s="1" t="s">
        <v>1085</v>
      </c>
      <c r="J2368" s="1" t="s">
        <v>26</v>
      </c>
      <c r="K2368" s="1" t="s">
        <v>1072</v>
      </c>
      <c r="L2368" s="1" t="s">
        <v>26</v>
      </c>
      <c r="M2368" s="1" t="s">
        <v>27</v>
      </c>
      <c r="N2368" s="1" t="s">
        <v>26</v>
      </c>
      <c r="O2368" s="1" t="s">
        <v>26</v>
      </c>
      <c r="P2368" s="4">
        <v>44761.670810185184</v>
      </c>
    </row>
    <row r="2369" hidden="1">
      <c r="A2369" s="1" t="s">
        <v>1055</v>
      </c>
      <c r="B2369" s="3" t="str">
        <f>HYPERLINK("https://hawk-eye.atlassian.net/browse/HWKREPORT-1131?atlOrigin=eyJpIjoiYzgwYTQ0ZjEyNzQzNGJhN2JmNjEyZTM0NmRhZWZhNjIiLCJwIjoic2hlZXRzLWppcmEifQ","HWKREPORT-1131")</f>
        <v>HWKREPORT-1131</v>
      </c>
      <c r="C2369" s="1" t="s">
        <v>3655</v>
      </c>
      <c r="D2369" s="1" t="s">
        <v>23</v>
      </c>
      <c r="E2369" s="1" t="s">
        <v>1057</v>
      </c>
      <c r="F2369" s="4">
        <v>44635.90384259259</v>
      </c>
      <c r="G2369" s="3" t="str">
        <f>HYPERLINK("https://hawk-eye.atlassian.net/browse/AL-265?atlOrigin=eyJpIjoiYzgwYTQ0ZjEyNzQzNGJhN2JmNjEyZTM0NmRhZWZhNjIiLCJwIjoic2hlZXRzLWppcmEifQ","AL-265")</f>
        <v>AL-265</v>
      </c>
      <c r="H2369" s="1" t="s">
        <v>1058</v>
      </c>
      <c r="I2369" s="1" t="s">
        <v>1085</v>
      </c>
      <c r="J2369" s="1" t="s">
        <v>26</v>
      </c>
      <c r="K2369" s="1" t="s">
        <v>1143</v>
      </c>
      <c r="L2369" s="1" t="s">
        <v>26</v>
      </c>
      <c r="M2369" s="1" t="s">
        <v>27</v>
      </c>
      <c r="N2369" s="1" t="s">
        <v>26</v>
      </c>
      <c r="O2369" s="1" t="s">
        <v>26</v>
      </c>
      <c r="P2369" s="4">
        <v>44635.90384259259</v>
      </c>
    </row>
    <row r="2370" hidden="1">
      <c r="A2370" s="1" t="s">
        <v>21</v>
      </c>
      <c r="B2370" s="3" t="str">
        <f>HYPERLINK("https://hawk-eye.atlassian.net/browse/HWKREPORT-1132?atlOrigin=eyJpIjoiYzgwYTQ0ZjEyNzQzNGJhN2JmNjEyZTM0NmRhZWZhNjIiLCJwIjoic2hlZXRzLWppcmEifQ","HWKREPORT-1132")</f>
        <v>HWKREPORT-1132</v>
      </c>
      <c r="C2370" s="1" t="s">
        <v>3656</v>
      </c>
      <c r="D2370" s="1" t="s">
        <v>40</v>
      </c>
      <c r="E2370" s="1" t="s">
        <v>35</v>
      </c>
      <c r="F2370" s="4">
        <v>44636.456099537034</v>
      </c>
      <c r="G2370" s="3" t="str">
        <f>HYPERLINK("https://hawk-eye.atlassian.net/browse/HE-624?atlOrigin=eyJpIjoiYzgwYTQ0ZjEyNzQzNGJhN2JmNjEyZTM0NmRhZWZhNjIiLCJwIjoic2hlZXRzLWppcmEifQ","HE-624")</f>
        <v>HE-624</v>
      </c>
      <c r="H2370" s="1" t="s">
        <v>1058</v>
      </c>
      <c r="I2370" s="1" t="s">
        <v>1085</v>
      </c>
      <c r="J2370" s="1" t="s">
        <v>26</v>
      </c>
      <c r="K2370" s="1" t="s">
        <v>1717</v>
      </c>
      <c r="L2370" s="1" t="s">
        <v>26</v>
      </c>
      <c r="M2370" s="1" t="s">
        <v>27</v>
      </c>
      <c r="N2370" s="1" t="s">
        <v>26</v>
      </c>
      <c r="O2370" s="1" t="s">
        <v>26</v>
      </c>
      <c r="P2370" s="4">
        <v>45201.47497685185</v>
      </c>
    </row>
    <row r="2371" hidden="1">
      <c r="A2371" s="1" t="s">
        <v>1055</v>
      </c>
      <c r="B2371" s="3" t="str">
        <f>HYPERLINK("https://hawk-eye.atlassian.net/browse/HWKREPORT-1133?atlOrigin=eyJpIjoiYzgwYTQ0ZjEyNzQzNGJhN2JmNjEyZTM0NmRhZWZhNjIiLCJwIjoic2hlZXRzLWppcmEifQ","HWKREPORT-1133")</f>
        <v>HWKREPORT-1133</v>
      </c>
      <c r="C2371" s="1" t="s">
        <v>3657</v>
      </c>
      <c r="D2371" s="1" t="s">
        <v>83</v>
      </c>
      <c r="E2371" s="1" t="s">
        <v>35</v>
      </c>
      <c r="F2371" s="4">
        <v>44636.65237268519</v>
      </c>
      <c r="G2371" s="3" t="str">
        <f>HYPERLINK("https://hawk-eye.atlassian.net/browse/?atlOrigin=eyJpIjoiYzgwYTQ0ZjEyNzQzNGJhN2JmNjEyZTM0NmRhZWZhNjIiLCJwIjoic2hlZXRzLWppcmEifQ","")</f>
        <v/>
      </c>
      <c r="H2371" s="1" t="s">
        <v>1058</v>
      </c>
      <c r="I2371" s="1" t="s">
        <v>1085</v>
      </c>
      <c r="J2371" s="1" t="s">
        <v>26</v>
      </c>
      <c r="K2371" s="1" t="s">
        <v>3658</v>
      </c>
      <c r="L2371" s="1" t="s">
        <v>26</v>
      </c>
      <c r="M2371" s="1" t="s">
        <v>27</v>
      </c>
      <c r="N2371" s="1" t="s">
        <v>26</v>
      </c>
      <c r="O2371" s="1" t="s">
        <v>26</v>
      </c>
      <c r="P2371" s="4">
        <v>45338.60863425926</v>
      </c>
    </row>
    <row r="2372" hidden="1">
      <c r="A2372" s="1" t="s">
        <v>21</v>
      </c>
      <c r="B2372" s="3" t="str">
        <f>HYPERLINK("https://hawk-eye.atlassian.net/browse/HWKREPORT-1134?atlOrigin=eyJpIjoiYzgwYTQ0ZjEyNzQzNGJhN2JmNjEyZTM0NmRhZWZhNjIiLCJwIjoic2hlZXRzLWppcmEifQ","HWKREPORT-1134")</f>
        <v>HWKREPORT-1134</v>
      </c>
      <c r="C2372" s="1" t="s">
        <v>3659</v>
      </c>
      <c r="D2372" s="1" t="s">
        <v>34</v>
      </c>
      <c r="E2372" s="1" t="s">
        <v>35</v>
      </c>
      <c r="F2372" s="4">
        <v>44636.72833333333</v>
      </c>
      <c r="G2372" s="3" t="str">
        <f>HYPERLINK("https://hawk-eye.atlassian.net/browse/AL-270?atlOrigin=eyJpIjoiYzgwYTQ0ZjEyNzQzNGJhN2JmNjEyZTM0NmRhZWZhNjIiLCJwIjoic2hlZXRzLWppcmEifQ","AL-270")</f>
        <v>AL-270</v>
      </c>
      <c r="H2372" s="1" t="s">
        <v>1058</v>
      </c>
      <c r="I2372" s="1" t="s">
        <v>1085</v>
      </c>
      <c r="J2372" s="1" t="s">
        <v>26</v>
      </c>
      <c r="K2372" s="1" t="s">
        <v>1219</v>
      </c>
      <c r="L2372" s="1" t="s">
        <v>26</v>
      </c>
      <c r="M2372" s="1" t="s">
        <v>27</v>
      </c>
      <c r="N2372" s="1" t="s">
        <v>26</v>
      </c>
      <c r="O2372" s="1" t="s">
        <v>26</v>
      </c>
      <c r="P2372" s="4">
        <v>44655.49092592593</v>
      </c>
    </row>
    <row r="2373" hidden="1">
      <c r="A2373" s="1" t="s">
        <v>21</v>
      </c>
      <c r="B2373" s="3" t="str">
        <f>HYPERLINK("https://hawk-eye.atlassian.net/browse/HWKREPORT-1135?atlOrigin=eyJpIjoiYzgwYTQ0ZjEyNzQzNGJhN2JmNjEyZTM0NmRhZWZhNjIiLCJwIjoic2hlZXRzLWppcmEifQ","HWKREPORT-1135")</f>
        <v>HWKREPORT-1135</v>
      </c>
      <c r="C2373" s="1" t="s">
        <v>3660</v>
      </c>
      <c r="D2373" s="1" t="s">
        <v>23</v>
      </c>
      <c r="E2373" s="1" t="s">
        <v>35</v>
      </c>
      <c r="F2373" s="4">
        <v>44636.77538194445</v>
      </c>
      <c r="G2373" s="3" t="str">
        <f>HYPERLINK("https://hawk-eye.atlassian.net/browse/RTT-4819?atlOrigin=eyJpIjoiYzgwYTQ0ZjEyNzQzNGJhN2JmNjEyZTM0NmRhZWZhNjIiLCJwIjoic2hlZXRzLWppcmEifQ","RTT-4819")</f>
        <v>RTT-4819</v>
      </c>
      <c r="H2373" s="1" t="s">
        <v>1058</v>
      </c>
      <c r="I2373" s="1" t="s">
        <v>1071</v>
      </c>
      <c r="J2373" s="1" t="s">
        <v>26</v>
      </c>
      <c r="K2373" s="1" t="s">
        <v>1072</v>
      </c>
      <c r="L2373" s="1" t="s">
        <v>26</v>
      </c>
      <c r="M2373" s="1" t="s">
        <v>27</v>
      </c>
      <c r="N2373" s="1" t="s">
        <v>26</v>
      </c>
      <c r="O2373" s="1" t="s">
        <v>26</v>
      </c>
      <c r="P2373" s="4">
        <v>44685.91924768518</v>
      </c>
    </row>
    <row r="2374" hidden="1">
      <c r="A2374" s="1" t="s">
        <v>1055</v>
      </c>
      <c r="B2374" s="3" t="str">
        <f>HYPERLINK("https://hawk-eye.atlassian.net/browse/HWKREPORT-1136?atlOrigin=eyJpIjoiYzgwYTQ0ZjEyNzQzNGJhN2JmNjEyZTM0NmRhZWZhNjIiLCJwIjoic2hlZXRzLWppcmEifQ","HWKREPORT-1136")</f>
        <v>HWKREPORT-1136</v>
      </c>
      <c r="C2374" s="1" t="s">
        <v>3661</v>
      </c>
      <c r="D2374" s="1" t="s">
        <v>23</v>
      </c>
      <c r="E2374" s="1" t="s">
        <v>1057</v>
      </c>
      <c r="F2374" s="4">
        <v>44637.01614583333</v>
      </c>
      <c r="G2374" s="3" t="str">
        <f t="shared" ref="G2374:G2376" si="169">HYPERLINK("https://hawk-eye.atlassian.net/browse/?atlOrigin=eyJpIjoiYzgwYTQ0ZjEyNzQzNGJhN2JmNjEyZTM0NmRhZWZhNjIiLCJwIjoic2hlZXRzLWppcmEifQ","")</f>
        <v/>
      </c>
      <c r="H2374" s="1" t="s">
        <v>1058</v>
      </c>
      <c r="I2374" s="1" t="s">
        <v>1126</v>
      </c>
      <c r="J2374" s="1" t="s">
        <v>26</v>
      </c>
      <c r="K2374" s="1" t="s">
        <v>1211</v>
      </c>
      <c r="L2374" s="1" t="s">
        <v>26</v>
      </c>
      <c r="M2374" s="1" t="s">
        <v>27</v>
      </c>
      <c r="N2374" s="1" t="s">
        <v>26</v>
      </c>
      <c r="O2374" s="1" t="s">
        <v>26</v>
      </c>
      <c r="P2374" s="4">
        <v>44637.01615740741</v>
      </c>
    </row>
    <row r="2375" hidden="1">
      <c r="A2375" s="1" t="s">
        <v>1055</v>
      </c>
      <c r="B2375" s="3" t="str">
        <f>HYPERLINK("https://hawk-eye.atlassian.net/browse/HWKREPORT-1137?atlOrigin=eyJpIjoiYzgwYTQ0ZjEyNzQzNGJhN2JmNjEyZTM0NmRhZWZhNjIiLCJwIjoic2hlZXRzLWppcmEifQ","HWKREPORT-1137")</f>
        <v>HWKREPORT-1137</v>
      </c>
      <c r="C2375" s="1" t="s">
        <v>3662</v>
      </c>
      <c r="D2375" s="1" t="s">
        <v>23</v>
      </c>
      <c r="E2375" s="1" t="s">
        <v>35</v>
      </c>
      <c r="F2375" s="4">
        <v>44641.54554398148</v>
      </c>
      <c r="G2375" s="3" t="str">
        <f t="shared" si="169"/>
        <v/>
      </c>
      <c r="H2375" s="1" t="s">
        <v>1058</v>
      </c>
      <c r="I2375" s="1" t="s">
        <v>1085</v>
      </c>
      <c r="J2375" s="1" t="s">
        <v>26</v>
      </c>
      <c r="K2375" s="1" t="s">
        <v>3663</v>
      </c>
      <c r="L2375" s="1" t="s">
        <v>26</v>
      </c>
      <c r="M2375" s="1" t="s">
        <v>27</v>
      </c>
      <c r="N2375" s="1" t="s">
        <v>26</v>
      </c>
      <c r="O2375" s="1" t="s">
        <v>26</v>
      </c>
      <c r="P2375" s="4">
        <v>44685.508472222224</v>
      </c>
    </row>
    <row r="2376" hidden="1">
      <c r="A2376" s="1" t="s">
        <v>21</v>
      </c>
      <c r="B2376" s="3" t="str">
        <f>HYPERLINK("https://hawk-eye.atlassian.net/browse/HWKREPORT-1138?atlOrigin=eyJpIjoiYzgwYTQ0ZjEyNzQzNGJhN2JmNjEyZTM0NmRhZWZhNjIiLCJwIjoic2hlZXRzLWppcmEifQ","HWKREPORT-1138")</f>
        <v>HWKREPORT-1138</v>
      </c>
      <c r="C2376" s="1" t="s">
        <v>3664</v>
      </c>
      <c r="D2376" s="1" t="s">
        <v>23</v>
      </c>
      <c r="E2376" s="1" t="s">
        <v>35</v>
      </c>
      <c r="F2376" s="4">
        <v>44641.607141203705</v>
      </c>
      <c r="G2376" s="3" t="str">
        <f t="shared" si="169"/>
        <v/>
      </c>
      <c r="H2376" s="1" t="s">
        <v>1058</v>
      </c>
      <c r="I2376" s="1" t="s">
        <v>1071</v>
      </c>
      <c r="J2376" s="1" t="s">
        <v>26</v>
      </c>
      <c r="K2376" s="1" t="s">
        <v>1072</v>
      </c>
      <c r="L2376" s="1" t="s">
        <v>26</v>
      </c>
      <c r="M2376" s="1" t="s">
        <v>27</v>
      </c>
      <c r="N2376" s="1" t="s">
        <v>26</v>
      </c>
      <c r="O2376" s="1" t="s">
        <v>26</v>
      </c>
      <c r="P2376" s="4">
        <v>44798.71623842593</v>
      </c>
    </row>
    <row r="2377" hidden="1">
      <c r="A2377" s="1" t="s">
        <v>21</v>
      </c>
      <c r="B2377" s="3" t="str">
        <f>HYPERLINK("https://hawk-eye.atlassian.net/browse/HWKREPORT-1139?atlOrigin=eyJpIjoiYzgwYTQ0ZjEyNzQzNGJhN2JmNjEyZTM0NmRhZWZhNjIiLCJwIjoic2hlZXRzLWppcmEifQ","HWKREPORT-1139")</f>
        <v>HWKREPORT-1139</v>
      </c>
      <c r="C2377" s="1" t="s">
        <v>3665</v>
      </c>
      <c r="D2377" s="1" t="s">
        <v>23</v>
      </c>
      <c r="E2377" s="1" t="s">
        <v>35</v>
      </c>
      <c r="F2377" s="4">
        <v>44641.73775462963</v>
      </c>
      <c r="G2377" s="3" t="str">
        <f>HYPERLINK("https://hawk-eye.atlassian.net/browse/RTT-4833?atlOrigin=eyJpIjoiYzgwYTQ0ZjEyNzQzNGJhN2JmNjEyZTM0NmRhZWZhNjIiLCJwIjoic2hlZXRzLWppcmEifQ","RTT-4833")</f>
        <v>RTT-4833</v>
      </c>
      <c r="H2377" s="1" t="s">
        <v>1058</v>
      </c>
      <c r="I2377" s="1" t="s">
        <v>1085</v>
      </c>
      <c r="J2377" s="1" t="s">
        <v>26</v>
      </c>
      <c r="K2377" s="1" t="s">
        <v>1072</v>
      </c>
      <c r="L2377" s="1" t="s">
        <v>26</v>
      </c>
      <c r="M2377" s="1" t="s">
        <v>27</v>
      </c>
      <c r="N2377" s="1" t="s">
        <v>26</v>
      </c>
      <c r="O2377" s="1" t="s">
        <v>26</v>
      </c>
      <c r="P2377" s="4">
        <v>44687.37716435185</v>
      </c>
    </row>
    <row r="2378" hidden="1">
      <c r="A2378" s="1" t="s">
        <v>21</v>
      </c>
      <c r="B2378" s="3" t="str">
        <f>HYPERLINK("https://hawk-eye.atlassian.net/browse/HWKREPORT-1140?atlOrigin=eyJpIjoiYzgwYTQ0ZjEyNzQzNGJhN2JmNjEyZTM0NmRhZWZhNjIiLCJwIjoic2hlZXRzLWppcmEifQ","HWKREPORT-1140")</f>
        <v>HWKREPORT-1140</v>
      </c>
      <c r="C2378" s="1" t="s">
        <v>3665</v>
      </c>
      <c r="D2378" s="1" t="s">
        <v>23</v>
      </c>
      <c r="E2378" s="1" t="s">
        <v>35</v>
      </c>
      <c r="F2378" s="4">
        <v>44641.73883101852</v>
      </c>
      <c r="G2378" s="3" t="str">
        <f>HYPERLINK("https://hawk-eye.atlassian.net/browse/RTT-4831?atlOrigin=eyJpIjoiYzgwYTQ0ZjEyNzQzNGJhN2JmNjEyZTM0NmRhZWZhNjIiLCJwIjoic2hlZXRzLWppcmEifQ","RTT-4831")</f>
        <v>RTT-4831</v>
      </c>
      <c r="H2378" s="1" t="s">
        <v>1058</v>
      </c>
      <c r="I2378" s="1" t="s">
        <v>1085</v>
      </c>
      <c r="J2378" s="1" t="s">
        <v>26</v>
      </c>
      <c r="K2378" s="1" t="s">
        <v>1072</v>
      </c>
      <c r="L2378" s="1" t="s">
        <v>26</v>
      </c>
      <c r="M2378" s="1" t="s">
        <v>27</v>
      </c>
      <c r="N2378" s="1" t="s">
        <v>26</v>
      </c>
      <c r="O2378" s="1" t="s">
        <v>26</v>
      </c>
      <c r="P2378" s="4">
        <v>44687.37734953704</v>
      </c>
    </row>
    <row r="2379" hidden="1">
      <c r="A2379" s="1" t="s">
        <v>21</v>
      </c>
      <c r="B2379" s="3" t="str">
        <f>HYPERLINK("https://hawk-eye.atlassian.net/browse/HWKREPORT-1141?atlOrigin=eyJpIjoiYzgwYTQ0ZjEyNzQzNGJhN2JmNjEyZTM0NmRhZWZhNjIiLCJwIjoic2hlZXRzLWppcmEifQ","HWKREPORT-1141")</f>
        <v>HWKREPORT-1141</v>
      </c>
      <c r="C2379" s="1" t="s">
        <v>3647</v>
      </c>
      <c r="D2379" s="1" t="s">
        <v>23</v>
      </c>
      <c r="E2379" s="1" t="s">
        <v>35</v>
      </c>
      <c r="F2379" s="4">
        <v>44641.7400462963</v>
      </c>
      <c r="G2379" s="3" t="str">
        <f>HYPERLINK("https://hawk-eye.atlassian.net/browse/RTT-4832?atlOrigin=eyJpIjoiYzgwYTQ0ZjEyNzQzNGJhN2JmNjEyZTM0NmRhZWZhNjIiLCJwIjoic2hlZXRzLWppcmEifQ","RTT-4832")</f>
        <v>RTT-4832</v>
      </c>
      <c r="H2379" s="1" t="s">
        <v>1058</v>
      </c>
      <c r="I2379" s="1" t="s">
        <v>1085</v>
      </c>
      <c r="J2379" s="1" t="s">
        <v>26</v>
      </c>
      <c r="K2379" s="1" t="s">
        <v>1072</v>
      </c>
      <c r="L2379" s="1" t="s">
        <v>26</v>
      </c>
      <c r="M2379" s="1" t="s">
        <v>27</v>
      </c>
      <c r="N2379" s="1" t="s">
        <v>26</v>
      </c>
      <c r="O2379" s="1" t="s">
        <v>26</v>
      </c>
      <c r="P2379" s="4">
        <v>44676.50087962963</v>
      </c>
    </row>
    <row r="2380" hidden="1">
      <c r="A2380" s="1" t="s">
        <v>21</v>
      </c>
      <c r="B2380" s="3" t="str">
        <f>HYPERLINK("https://hawk-eye.atlassian.net/browse/HWKREPORT-1142?atlOrigin=eyJpIjoiYzgwYTQ0ZjEyNzQzNGJhN2JmNjEyZTM0NmRhZWZhNjIiLCJwIjoic2hlZXRzLWppcmEifQ","HWKREPORT-1142")</f>
        <v>HWKREPORT-1142</v>
      </c>
      <c r="C2380" s="1" t="s">
        <v>3666</v>
      </c>
      <c r="D2380" s="1" t="s">
        <v>34</v>
      </c>
      <c r="E2380" s="1" t="s">
        <v>35</v>
      </c>
      <c r="F2380" s="4">
        <v>44641.763703703706</v>
      </c>
      <c r="G2380" s="3" t="str">
        <f>HYPERLINK("https://hawk-eye.atlassian.net/browse/SO-223?atlOrigin=eyJpIjoiYzgwYTQ0ZjEyNzQzNGJhN2JmNjEyZTM0NmRhZWZhNjIiLCJwIjoic2hlZXRzLWppcmEifQ","SO-223")</f>
        <v>SO-223</v>
      </c>
      <c r="H2380" s="1" t="s">
        <v>1058</v>
      </c>
      <c r="I2380" s="1" t="s">
        <v>1085</v>
      </c>
      <c r="J2380" s="1" t="s">
        <v>26</v>
      </c>
      <c r="K2380" s="1" t="s">
        <v>3209</v>
      </c>
      <c r="L2380" s="1" t="s">
        <v>26</v>
      </c>
      <c r="M2380" s="1" t="s">
        <v>27</v>
      </c>
      <c r="N2380" s="1" t="s">
        <v>26</v>
      </c>
      <c r="O2380" s="1" t="s">
        <v>26</v>
      </c>
      <c r="P2380" s="4">
        <v>44831.507152777776</v>
      </c>
    </row>
    <row r="2381" hidden="1">
      <c r="A2381" s="1" t="s">
        <v>21</v>
      </c>
      <c r="B2381" s="3" t="str">
        <f>HYPERLINK("https://hawk-eye.atlassian.net/browse/HWKREPORT-1143?atlOrigin=eyJpIjoiYzgwYTQ0ZjEyNzQzNGJhN2JmNjEyZTM0NmRhZWZhNjIiLCJwIjoic2hlZXRzLWppcmEifQ","HWKREPORT-1143")</f>
        <v>HWKREPORT-1143</v>
      </c>
      <c r="C2381" s="1" t="s">
        <v>3667</v>
      </c>
      <c r="D2381" s="1" t="s">
        <v>83</v>
      </c>
      <c r="E2381" s="1" t="s">
        <v>35</v>
      </c>
      <c r="F2381" s="4">
        <v>44641.77642361111</v>
      </c>
      <c r="G2381" s="3" t="str">
        <f>HYPERLINK("https://hawk-eye.atlassian.net/browse/FAP-289?atlOrigin=eyJpIjoiYzgwYTQ0ZjEyNzQzNGJhN2JmNjEyZTM0NmRhZWZhNjIiLCJwIjoic2hlZXRzLWppcmEifQ","FAP-289")</f>
        <v>FAP-289</v>
      </c>
      <c r="H2381" s="1" t="s">
        <v>1058</v>
      </c>
      <c r="I2381" s="1" t="s">
        <v>1085</v>
      </c>
      <c r="J2381" s="1" t="s">
        <v>26</v>
      </c>
      <c r="K2381" s="1" t="s">
        <v>1157</v>
      </c>
      <c r="L2381" s="1" t="s">
        <v>26</v>
      </c>
      <c r="M2381" s="1" t="s">
        <v>27</v>
      </c>
      <c r="N2381" s="1" t="s">
        <v>26</v>
      </c>
      <c r="O2381" s="1" t="s">
        <v>26</v>
      </c>
      <c r="P2381" s="4">
        <v>44753.687430555554</v>
      </c>
    </row>
    <row r="2382" hidden="1">
      <c r="A2382" s="1" t="s">
        <v>21</v>
      </c>
      <c r="B2382" s="3" t="str">
        <f>HYPERLINK("https://hawk-eye.atlassian.net/browse/HWKREPORT-1144?atlOrigin=eyJpIjoiYzgwYTQ0ZjEyNzQzNGJhN2JmNjEyZTM0NmRhZWZhNjIiLCJwIjoic2hlZXRzLWppcmEifQ","HWKREPORT-1144")</f>
        <v>HWKREPORT-1144</v>
      </c>
      <c r="C2382" s="1" t="s">
        <v>2982</v>
      </c>
      <c r="D2382" s="1" t="s">
        <v>23</v>
      </c>
      <c r="E2382" s="1" t="s">
        <v>1057</v>
      </c>
      <c r="F2382" s="4">
        <v>44641.95513888889</v>
      </c>
      <c r="G2382" s="3" t="str">
        <f>HYPERLINK("https://hawk-eye.atlassian.net/browse/?atlOrigin=eyJpIjoiYzgwYTQ0ZjEyNzQzNGJhN2JmNjEyZTM0NmRhZWZhNjIiLCJwIjoic2hlZXRzLWppcmEifQ","")</f>
        <v/>
      </c>
      <c r="H2382" s="1" t="s">
        <v>1058</v>
      </c>
      <c r="I2382" s="1" t="s">
        <v>1071</v>
      </c>
      <c r="J2382" s="1" t="s">
        <v>26</v>
      </c>
      <c r="K2382" s="1" t="s">
        <v>1762</v>
      </c>
      <c r="L2382" s="1" t="s">
        <v>26</v>
      </c>
      <c r="M2382" s="1" t="s">
        <v>27</v>
      </c>
      <c r="N2382" s="1" t="s">
        <v>26</v>
      </c>
      <c r="O2382" s="1" t="s">
        <v>26</v>
      </c>
      <c r="P2382" s="4">
        <v>44641.95513888889</v>
      </c>
    </row>
    <row r="2383" hidden="1">
      <c r="A2383" s="1" t="s">
        <v>1055</v>
      </c>
      <c r="B2383" s="3" t="str">
        <f>HYPERLINK("https://hawk-eye.atlassian.net/browse/HWKREPORT-1145?atlOrigin=eyJpIjoiYzgwYTQ0ZjEyNzQzNGJhN2JmNjEyZTM0NmRhZWZhNjIiLCJwIjoic2hlZXRzLWppcmEifQ","HWKREPORT-1145")</f>
        <v>HWKREPORT-1145</v>
      </c>
      <c r="C2383" s="1" t="s">
        <v>3668</v>
      </c>
      <c r="D2383" s="1" t="s">
        <v>23</v>
      </c>
      <c r="E2383" s="1" t="s">
        <v>35</v>
      </c>
      <c r="F2383" s="4">
        <v>44642.70885416667</v>
      </c>
      <c r="G2383" s="3" t="str">
        <f>HYPERLINK("https://hawk-eye.atlassian.net/browse/AL-273?atlOrigin=eyJpIjoiYzgwYTQ0ZjEyNzQzNGJhN2JmNjEyZTM0NmRhZWZhNjIiLCJwIjoic2hlZXRzLWppcmEifQ","AL-273")</f>
        <v>AL-273</v>
      </c>
      <c r="H2383" s="1" t="s">
        <v>1058</v>
      </c>
      <c r="I2383" s="1" t="s">
        <v>1071</v>
      </c>
      <c r="J2383" s="1" t="s">
        <v>26</v>
      </c>
      <c r="K2383" s="1" t="s">
        <v>1276</v>
      </c>
      <c r="L2383" s="1" t="s">
        <v>26</v>
      </c>
      <c r="M2383" s="1" t="s">
        <v>27</v>
      </c>
      <c r="N2383" s="1" t="s">
        <v>26</v>
      </c>
      <c r="O2383" s="1" t="s">
        <v>26</v>
      </c>
      <c r="P2383" s="4">
        <v>44670.04929398148</v>
      </c>
    </row>
    <row r="2384" hidden="1">
      <c r="A2384" s="1" t="s">
        <v>21</v>
      </c>
      <c r="B2384" s="3" t="str">
        <f>HYPERLINK("https://hawk-eye.atlassian.net/browse/HWKREPORT-1146?atlOrigin=eyJpIjoiYzgwYTQ0ZjEyNzQzNGJhN2JmNjEyZTM0NmRhZWZhNjIiLCJwIjoic2hlZXRzLWppcmEifQ","HWKREPORT-1146")</f>
        <v>HWKREPORT-1146</v>
      </c>
      <c r="C2384" s="1" t="s">
        <v>3669</v>
      </c>
      <c r="D2384" s="1" t="s">
        <v>23</v>
      </c>
      <c r="E2384" s="1" t="s">
        <v>1057</v>
      </c>
      <c r="F2384" s="4">
        <v>44642.745474537034</v>
      </c>
      <c r="G2384" s="3" t="str">
        <f>HYPERLINK("https://hawk-eye.atlassian.net/browse/RTT-4839?atlOrigin=eyJpIjoiYzgwYTQ0ZjEyNzQzNGJhN2JmNjEyZTM0NmRhZWZhNjIiLCJwIjoic2hlZXRzLWppcmEifQ","RTT-4839")</f>
        <v>RTT-4839</v>
      </c>
      <c r="H2384" s="1" t="s">
        <v>1058</v>
      </c>
      <c r="I2384" s="1" t="s">
        <v>1085</v>
      </c>
      <c r="J2384" s="1" t="s">
        <v>26</v>
      </c>
      <c r="K2384" s="1" t="s">
        <v>1312</v>
      </c>
      <c r="L2384" s="1" t="s">
        <v>26</v>
      </c>
      <c r="M2384" s="1" t="s">
        <v>27</v>
      </c>
      <c r="N2384" s="1" t="s">
        <v>26</v>
      </c>
      <c r="O2384" s="1" t="s">
        <v>26</v>
      </c>
      <c r="P2384" s="4">
        <v>44734.616273148145</v>
      </c>
    </row>
    <row r="2385" hidden="1">
      <c r="A2385" s="1" t="s">
        <v>21</v>
      </c>
      <c r="B2385" s="3" t="str">
        <f>HYPERLINK("https://hawk-eye.atlassian.net/browse/HWKREPORT-1147?atlOrigin=eyJpIjoiYzgwYTQ0ZjEyNzQzNGJhN2JmNjEyZTM0NmRhZWZhNjIiLCJwIjoic2hlZXRzLWppcmEifQ","HWKREPORT-1147")</f>
        <v>HWKREPORT-1147</v>
      </c>
      <c r="C2385" s="1" t="s">
        <v>3670</v>
      </c>
      <c r="D2385" s="1" t="s">
        <v>34</v>
      </c>
      <c r="E2385" s="1" t="s">
        <v>35</v>
      </c>
      <c r="F2385" s="4">
        <v>44642.758055555554</v>
      </c>
      <c r="G2385" s="3" t="str">
        <f>HYPERLINK("https://hawk-eye.atlassian.net/issues/?atlOrigin=eyJpIjoiYzgwYTQ0ZjEyNzQzNGJhN2JmNjEyZTM0NmRhZWZhNjIiLCJwIjoic2hlZXRzLWppcmEifQ&amp;jql=key+in+%28RTT-4852%2CRTT-4838%29","RTT-4852;RTT-4838")</f>
        <v>RTT-4852;RTT-4838</v>
      </c>
      <c r="H2385" s="1" t="s">
        <v>1058</v>
      </c>
      <c r="I2385" s="1" t="s">
        <v>1085</v>
      </c>
      <c r="J2385" s="1" t="s">
        <v>26</v>
      </c>
      <c r="K2385" s="1" t="s">
        <v>1312</v>
      </c>
      <c r="L2385" s="1" t="s">
        <v>26</v>
      </c>
      <c r="M2385" s="1" t="s">
        <v>27</v>
      </c>
      <c r="N2385" s="1" t="s">
        <v>26</v>
      </c>
      <c r="O2385" s="1" t="s">
        <v>26</v>
      </c>
      <c r="P2385" s="4">
        <v>44676.40613425926</v>
      </c>
    </row>
    <row r="2386" hidden="1">
      <c r="A2386" s="1" t="s">
        <v>21</v>
      </c>
      <c r="B2386" s="3" t="str">
        <f>HYPERLINK("https://hawk-eye.atlassian.net/browse/HWKREPORT-1148?atlOrigin=eyJpIjoiYzgwYTQ0ZjEyNzQzNGJhN2JmNjEyZTM0NmRhZWZhNjIiLCJwIjoic2hlZXRzLWppcmEifQ","HWKREPORT-1148")</f>
        <v>HWKREPORT-1148</v>
      </c>
      <c r="C2386" s="1" t="s">
        <v>3671</v>
      </c>
      <c r="D2386" s="1" t="s">
        <v>34</v>
      </c>
      <c r="E2386" s="1" t="s">
        <v>35</v>
      </c>
      <c r="F2386" s="4">
        <v>44643.421423611115</v>
      </c>
      <c r="G2386" s="3" t="str">
        <f>HYPERLINK("https://hawk-eye.atlassian.net/browse/EXECUTOR-131?atlOrigin=eyJpIjoiYzgwYTQ0ZjEyNzQzNGJhN2JmNjEyZTM0NmRhZWZhNjIiLCJwIjoic2hlZXRzLWppcmEifQ","EXECUTOR-131")</f>
        <v>EXECUTOR-131</v>
      </c>
      <c r="H2386" s="1" t="s">
        <v>1058</v>
      </c>
      <c r="I2386" s="1" t="s">
        <v>1085</v>
      </c>
      <c r="J2386" s="1" t="s">
        <v>26</v>
      </c>
      <c r="K2386" s="1" t="s">
        <v>3672</v>
      </c>
      <c r="L2386" s="1" t="s">
        <v>26</v>
      </c>
      <c r="M2386" s="1" t="s">
        <v>27</v>
      </c>
      <c r="N2386" s="1" t="s">
        <v>26</v>
      </c>
      <c r="O2386" s="1" t="s">
        <v>26</v>
      </c>
      <c r="P2386" s="4">
        <v>44656.92337962963</v>
      </c>
    </row>
    <row r="2387" hidden="1">
      <c r="A2387" s="1" t="s">
        <v>1055</v>
      </c>
      <c r="B2387" s="3" t="str">
        <f>HYPERLINK("https://hawk-eye.atlassian.net/browse/HWKREPORT-1149?atlOrigin=eyJpIjoiYzgwYTQ0ZjEyNzQzNGJhN2JmNjEyZTM0NmRhZWZhNjIiLCJwIjoic2hlZXRzLWppcmEifQ","HWKREPORT-1149")</f>
        <v>HWKREPORT-1149</v>
      </c>
      <c r="C2387" s="1" t="s">
        <v>3673</v>
      </c>
      <c r="D2387" s="1" t="s">
        <v>23</v>
      </c>
      <c r="E2387" s="1" t="s">
        <v>35</v>
      </c>
      <c r="F2387" s="4">
        <v>44643.427881944444</v>
      </c>
      <c r="G2387" s="3" t="str">
        <f>HYPERLINK("https://hawk-eye.atlassian.net/browse/?atlOrigin=eyJpIjoiYzgwYTQ0ZjEyNzQzNGJhN2JmNjEyZTM0NmRhZWZhNjIiLCJwIjoic2hlZXRzLWppcmEifQ","")</f>
        <v/>
      </c>
      <c r="H2387" s="1" t="s">
        <v>1058</v>
      </c>
      <c r="I2387" s="1" t="s">
        <v>1085</v>
      </c>
      <c r="J2387" s="1" t="s">
        <v>26</v>
      </c>
      <c r="K2387" s="1" t="s">
        <v>26</v>
      </c>
      <c r="L2387" s="1" t="s">
        <v>26</v>
      </c>
      <c r="M2387" s="1" t="s">
        <v>27</v>
      </c>
      <c r="N2387" s="1" t="s">
        <v>26</v>
      </c>
      <c r="O2387" s="1" t="s">
        <v>26</v>
      </c>
      <c r="P2387" s="4">
        <v>44676.49653935185</v>
      </c>
    </row>
    <row r="2388" hidden="1">
      <c r="A2388" s="1" t="s">
        <v>1055</v>
      </c>
      <c r="B2388" s="3" t="str">
        <f>HYPERLINK("https://hawk-eye.atlassian.net/browse/HWKREPORT-1150?atlOrigin=eyJpIjoiYzgwYTQ0ZjEyNzQzNGJhN2JmNjEyZTM0NmRhZWZhNjIiLCJwIjoic2hlZXRzLWppcmEifQ","HWKREPORT-1150")</f>
        <v>HWKREPORT-1150</v>
      </c>
      <c r="C2388" s="1" t="s">
        <v>3674</v>
      </c>
      <c r="D2388" s="1" t="s">
        <v>34</v>
      </c>
      <c r="E2388" s="1" t="s">
        <v>35</v>
      </c>
      <c r="F2388" s="4">
        <v>44643.47515046296</v>
      </c>
      <c r="G2388" s="3" t="str">
        <f>HYPERLINK("https://hawk-eye.atlassian.net/browse/SO-258?atlOrigin=eyJpIjoiYzgwYTQ0ZjEyNzQzNGJhN2JmNjEyZTM0NmRhZWZhNjIiLCJwIjoic2hlZXRzLWppcmEifQ","SO-258")</f>
        <v>SO-258</v>
      </c>
      <c r="H2388" s="1" t="s">
        <v>1058</v>
      </c>
      <c r="I2388" s="1" t="s">
        <v>1085</v>
      </c>
      <c r="J2388" s="1" t="s">
        <v>26</v>
      </c>
      <c r="K2388" s="1" t="s">
        <v>3675</v>
      </c>
      <c r="L2388" s="1" t="s">
        <v>26</v>
      </c>
      <c r="M2388" s="1" t="s">
        <v>27</v>
      </c>
      <c r="N2388" s="1" t="s">
        <v>26</v>
      </c>
      <c r="O2388" s="1" t="s">
        <v>26</v>
      </c>
      <c r="P2388" s="4">
        <v>44966.43480324074</v>
      </c>
    </row>
    <row r="2389" hidden="1">
      <c r="A2389" s="1" t="s">
        <v>21</v>
      </c>
      <c r="B2389" s="3" t="str">
        <f>HYPERLINK("https://hawk-eye.atlassian.net/browse/HWKREPORT-1151?atlOrigin=eyJpIjoiYzgwYTQ0ZjEyNzQzNGJhN2JmNjEyZTM0NmRhZWZhNjIiLCJwIjoic2hlZXRzLWppcmEifQ","HWKREPORT-1151")</f>
        <v>HWKREPORT-1151</v>
      </c>
      <c r="C2389" s="1" t="s">
        <v>3676</v>
      </c>
      <c r="D2389" s="1" t="s">
        <v>23</v>
      </c>
      <c r="E2389" s="1" t="s">
        <v>35</v>
      </c>
      <c r="F2389" s="4">
        <v>44643.65436342593</v>
      </c>
      <c r="G2389" s="3" t="str">
        <f>HYPERLINK("https://hawk-eye.atlassian.net/browse/?atlOrigin=eyJpIjoiYzgwYTQ0ZjEyNzQzNGJhN2JmNjEyZTM0NmRhZWZhNjIiLCJwIjoic2hlZXRzLWppcmEifQ","")</f>
        <v/>
      </c>
      <c r="H2389" s="1" t="s">
        <v>1058</v>
      </c>
      <c r="I2389" s="1" t="s">
        <v>1085</v>
      </c>
      <c r="J2389" s="1" t="s">
        <v>26</v>
      </c>
      <c r="K2389" s="1" t="s">
        <v>3677</v>
      </c>
      <c r="L2389" s="1" t="s">
        <v>26</v>
      </c>
      <c r="M2389" s="1" t="s">
        <v>27</v>
      </c>
      <c r="N2389" s="1" t="s">
        <v>26</v>
      </c>
      <c r="O2389" s="1" t="s">
        <v>26</v>
      </c>
      <c r="P2389" s="4">
        <v>44740.483402777776</v>
      </c>
    </row>
    <row r="2390" hidden="1">
      <c r="A2390" s="1" t="s">
        <v>21</v>
      </c>
      <c r="B2390" s="3" t="str">
        <f>HYPERLINK("https://hawk-eye.atlassian.net/browse/HWKREPORT-1152?atlOrigin=eyJpIjoiYzgwYTQ0ZjEyNzQzNGJhN2JmNjEyZTM0NmRhZWZhNjIiLCJwIjoic2hlZXRzLWppcmEifQ","HWKREPORT-1152")</f>
        <v>HWKREPORT-1152</v>
      </c>
      <c r="C2390" s="1" t="s">
        <v>3678</v>
      </c>
      <c r="D2390" s="1" t="s">
        <v>23</v>
      </c>
      <c r="E2390" s="1" t="s">
        <v>35</v>
      </c>
      <c r="F2390" s="4">
        <v>44644.586122685185</v>
      </c>
      <c r="G2390" s="3" t="str">
        <f>HYPERLINK("https://hawk-eye.atlassian.net/browse/RTT-4845?atlOrigin=eyJpIjoiYzgwYTQ0ZjEyNzQzNGJhN2JmNjEyZTM0NmRhZWZhNjIiLCJwIjoic2hlZXRzLWppcmEifQ","RTT-4845")</f>
        <v>RTT-4845</v>
      </c>
      <c r="H2390" s="1" t="s">
        <v>1058</v>
      </c>
      <c r="I2390" s="1" t="s">
        <v>1377</v>
      </c>
      <c r="J2390" s="1" t="s">
        <v>26</v>
      </c>
      <c r="K2390" s="1" t="s">
        <v>1545</v>
      </c>
      <c r="L2390" s="1" t="s">
        <v>26</v>
      </c>
      <c r="M2390" s="1" t="s">
        <v>27</v>
      </c>
      <c r="N2390" s="1" t="s">
        <v>26</v>
      </c>
      <c r="O2390" s="1" t="s">
        <v>26</v>
      </c>
      <c r="P2390" s="4">
        <v>44963.58127314815</v>
      </c>
    </row>
    <row r="2391" hidden="1">
      <c r="A2391" s="1" t="s">
        <v>21</v>
      </c>
      <c r="B2391" s="3" t="str">
        <f>HYPERLINK("https://hawk-eye.atlassian.net/browse/HWKREPORT-1153?atlOrigin=eyJpIjoiYzgwYTQ0ZjEyNzQzNGJhN2JmNjEyZTM0NmRhZWZhNjIiLCJwIjoic2hlZXRzLWppcmEifQ","HWKREPORT-1153")</f>
        <v>HWKREPORT-1153</v>
      </c>
      <c r="C2391" s="1" t="s">
        <v>3679</v>
      </c>
      <c r="D2391" s="1" t="s">
        <v>23</v>
      </c>
      <c r="E2391" s="1" t="s">
        <v>35</v>
      </c>
      <c r="F2391" s="4">
        <v>44644.63123842593</v>
      </c>
      <c r="G2391" s="3" t="str">
        <f>HYPERLINK("https://hawk-eye.atlassian.net/browse/SO-159?atlOrigin=eyJpIjoiYzgwYTQ0ZjEyNzQzNGJhN2JmNjEyZTM0NmRhZWZhNjIiLCJwIjoic2hlZXRzLWppcmEifQ","SO-159")</f>
        <v>SO-159</v>
      </c>
      <c r="H2391" s="1" t="s">
        <v>1058</v>
      </c>
      <c r="I2391" s="1" t="s">
        <v>1085</v>
      </c>
      <c r="J2391" s="1" t="s">
        <v>26</v>
      </c>
      <c r="K2391" s="1" t="s">
        <v>1134</v>
      </c>
      <c r="L2391" s="1" t="s">
        <v>26</v>
      </c>
      <c r="M2391" s="1" t="s">
        <v>27</v>
      </c>
      <c r="N2391" s="1" t="s">
        <v>26</v>
      </c>
      <c r="O2391" s="1" t="s">
        <v>26</v>
      </c>
      <c r="P2391" s="4">
        <v>44761.61818287037</v>
      </c>
    </row>
    <row r="2392" hidden="1">
      <c r="A2392" s="1" t="s">
        <v>1055</v>
      </c>
      <c r="B2392" s="3" t="str">
        <f>HYPERLINK("https://hawk-eye.atlassian.net/browse/HWKREPORT-1154?atlOrigin=eyJpIjoiYzgwYTQ0ZjEyNzQzNGJhN2JmNjEyZTM0NmRhZWZhNjIiLCJwIjoic2hlZXRzLWppcmEifQ","HWKREPORT-1154")</f>
        <v>HWKREPORT-1154</v>
      </c>
      <c r="C2392" s="1" t="s">
        <v>3680</v>
      </c>
      <c r="D2392" s="1" t="s">
        <v>83</v>
      </c>
      <c r="E2392" s="1" t="s">
        <v>1057</v>
      </c>
      <c r="F2392" s="4">
        <v>44644.67841435185</v>
      </c>
      <c r="G2392" s="3" t="str">
        <f>HYPERLINK("https://hawk-eye.atlassian.net/browse/?atlOrigin=eyJpIjoiYzgwYTQ0ZjEyNzQzNGJhN2JmNjEyZTM0NmRhZWZhNjIiLCJwIjoic2hlZXRzLWppcmEifQ","")</f>
        <v/>
      </c>
      <c r="H2392" s="1" t="s">
        <v>1058</v>
      </c>
      <c r="I2392" s="1" t="s">
        <v>1085</v>
      </c>
      <c r="J2392" s="1" t="s">
        <v>26</v>
      </c>
      <c r="K2392" s="1" t="s">
        <v>3681</v>
      </c>
      <c r="L2392" s="1" t="s">
        <v>26</v>
      </c>
      <c r="M2392" s="1" t="s">
        <v>27</v>
      </c>
      <c r="N2392" s="1" t="s">
        <v>26</v>
      </c>
      <c r="O2392" s="1" t="s">
        <v>26</v>
      </c>
      <c r="P2392" s="4">
        <v>44644.67841435185</v>
      </c>
    </row>
    <row r="2393" hidden="1">
      <c r="A2393" s="1" t="s">
        <v>1055</v>
      </c>
      <c r="B2393" s="3" t="str">
        <f>HYPERLINK("https://hawk-eye.atlassian.net/browse/HWKREPORT-1155?atlOrigin=eyJpIjoiYzgwYTQ0ZjEyNzQzNGJhN2JmNjEyZTM0NmRhZWZhNjIiLCJwIjoic2hlZXRzLWppcmEifQ","HWKREPORT-1155")</f>
        <v>HWKREPORT-1155</v>
      </c>
      <c r="C2393" s="1" t="s">
        <v>3682</v>
      </c>
      <c r="D2393" s="1" t="s">
        <v>23</v>
      </c>
      <c r="E2393" s="1" t="s">
        <v>35</v>
      </c>
      <c r="F2393" s="4">
        <v>44648.90078703704</v>
      </c>
      <c r="G2393" s="3" t="str">
        <f>HYPERLINK("https://hawk-eye.atlassian.net/browse/RTT-4895?atlOrigin=eyJpIjoiYzgwYTQ0ZjEyNzQzNGJhN2JmNjEyZTM0NmRhZWZhNjIiLCJwIjoic2hlZXRzLWppcmEifQ","RTT-4895")</f>
        <v>RTT-4895</v>
      </c>
      <c r="H2393" s="1" t="s">
        <v>1058</v>
      </c>
      <c r="I2393" s="1" t="s">
        <v>1071</v>
      </c>
      <c r="J2393" s="1" t="s">
        <v>26</v>
      </c>
      <c r="K2393" s="1" t="s">
        <v>1093</v>
      </c>
      <c r="L2393" s="1" t="s">
        <v>26</v>
      </c>
      <c r="M2393" s="1" t="s">
        <v>27</v>
      </c>
      <c r="N2393" s="1" t="s">
        <v>26</v>
      </c>
      <c r="O2393" s="1" t="s">
        <v>26</v>
      </c>
      <c r="P2393" s="4">
        <v>44678.464050925926</v>
      </c>
    </row>
    <row r="2394" hidden="1">
      <c r="A2394" s="1" t="s">
        <v>1055</v>
      </c>
      <c r="B2394" s="3" t="str">
        <f>HYPERLINK("https://hawk-eye.atlassian.net/browse/HWKREPORT-1156?atlOrigin=eyJpIjoiYzgwYTQ0ZjEyNzQzNGJhN2JmNjEyZTM0NmRhZWZhNjIiLCJwIjoic2hlZXRzLWppcmEifQ","HWKREPORT-1156")</f>
        <v>HWKREPORT-1156</v>
      </c>
      <c r="C2394" s="1" t="s">
        <v>3683</v>
      </c>
      <c r="D2394" s="1" t="s">
        <v>23</v>
      </c>
      <c r="E2394" s="1" t="s">
        <v>35</v>
      </c>
      <c r="F2394" s="4">
        <v>44649.63861111111</v>
      </c>
      <c r="G2394" s="3" t="str">
        <f>HYPERLINK("https://hawk-eye.atlassian.net/browse/SO-208?atlOrigin=eyJpIjoiYzgwYTQ0ZjEyNzQzNGJhN2JmNjEyZTM0NmRhZWZhNjIiLCJwIjoic2hlZXRzLWppcmEifQ","SO-208")</f>
        <v>SO-208</v>
      </c>
      <c r="H2394" s="1" t="s">
        <v>1058</v>
      </c>
      <c r="I2394" s="1" t="s">
        <v>1085</v>
      </c>
      <c r="J2394" s="1" t="s">
        <v>26</v>
      </c>
      <c r="K2394" s="1" t="s">
        <v>1116</v>
      </c>
      <c r="L2394" s="1" t="s">
        <v>26</v>
      </c>
      <c r="M2394" s="1" t="s">
        <v>27</v>
      </c>
      <c r="N2394" s="1" t="s">
        <v>26</v>
      </c>
      <c r="O2394" s="1" t="s">
        <v>26</v>
      </c>
      <c r="P2394" s="4">
        <v>44783.40972222222</v>
      </c>
    </row>
    <row r="2395">
      <c r="A2395" s="1" t="s">
        <v>21</v>
      </c>
      <c r="B2395" s="3" t="str">
        <f>HYPERLINK("https://hawk-eye.atlassian.net/browse/HWKREPORT-1157?atlOrigin=eyJpIjoiYzgwYTQ0ZjEyNzQzNGJhN2JmNjEyZTM0NmRhZWZhNjIiLCJwIjoic2hlZXRzLWppcmEifQ","HWKREPORT-1157")</f>
        <v>HWKREPORT-1157</v>
      </c>
      <c r="C2395" s="1" t="s">
        <v>3684</v>
      </c>
      <c r="D2395" s="1" t="s">
        <v>23</v>
      </c>
      <c r="E2395" s="1" t="s">
        <v>35</v>
      </c>
      <c r="F2395" s="4">
        <v>44650.082604166666</v>
      </c>
      <c r="G2395" s="3" t="str">
        <f>HYPERLINK("https://hawk-eye.atlassian.net/browse/RTT-4849?atlOrigin=eyJpIjoiYzgwYTQ0ZjEyNzQzNGJhN2JmNjEyZTM0NmRhZWZhNjIiLCJwIjoic2hlZXRzLWppcmEifQ","RTT-4849")</f>
        <v>RTT-4849</v>
      </c>
      <c r="H2395" s="1" t="s">
        <v>1058</v>
      </c>
      <c r="I2395" s="1" t="s">
        <v>28</v>
      </c>
      <c r="J2395" s="1" t="s">
        <v>26</v>
      </c>
      <c r="K2395" s="1" t="s">
        <v>1072</v>
      </c>
      <c r="L2395" s="1" t="s">
        <v>26</v>
      </c>
      <c r="M2395" s="1" t="s">
        <v>27</v>
      </c>
      <c r="N2395" s="1" t="s">
        <v>26</v>
      </c>
      <c r="O2395" s="1" t="s">
        <v>26</v>
      </c>
      <c r="P2395" s="4">
        <v>44678.619988425926</v>
      </c>
    </row>
    <row r="2396">
      <c r="A2396" s="1" t="s">
        <v>21</v>
      </c>
      <c r="B2396" s="3" t="str">
        <f>HYPERLINK("https://hawk-eye.atlassian.net/browse/HWKREPORT-1158?atlOrigin=eyJpIjoiYzgwYTQ0ZjEyNzQzNGJhN2JmNjEyZTM0NmRhZWZhNjIiLCJwIjoic2hlZXRzLWppcmEifQ","HWKREPORT-1158")</f>
        <v>HWKREPORT-1158</v>
      </c>
      <c r="C2396" s="1" t="s">
        <v>3685</v>
      </c>
      <c r="D2396" s="1" t="s">
        <v>23</v>
      </c>
      <c r="E2396" s="1" t="s">
        <v>35</v>
      </c>
      <c r="F2396" s="4">
        <v>44650.08697916667</v>
      </c>
      <c r="G2396" s="3" t="str">
        <f>HYPERLINK("https://hawk-eye.atlassian.net/browse/?atlOrigin=eyJpIjoiYzgwYTQ0ZjEyNzQzNGJhN2JmNjEyZTM0NmRhZWZhNjIiLCJwIjoic2hlZXRzLWppcmEifQ","")</f>
        <v/>
      </c>
      <c r="H2396" s="1" t="s">
        <v>1058</v>
      </c>
      <c r="I2396" s="1" t="s">
        <v>28</v>
      </c>
      <c r="J2396" s="1" t="s">
        <v>26</v>
      </c>
      <c r="K2396" s="1" t="s">
        <v>1372</v>
      </c>
      <c r="L2396" s="1" t="s">
        <v>26</v>
      </c>
      <c r="M2396" s="1" t="s">
        <v>27</v>
      </c>
      <c r="N2396" s="1" t="s">
        <v>26</v>
      </c>
      <c r="O2396" s="1" t="s">
        <v>26</v>
      </c>
      <c r="P2396" s="4">
        <v>44747.70694444444</v>
      </c>
    </row>
    <row r="2397" hidden="1">
      <c r="A2397" s="1" t="s">
        <v>1055</v>
      </c>
      <c r="B2397" s="3" t="str">
        <f>HYPERLINK("https://hawk-eye.atlassian.net/browse/HWKREPORT-1159?atlOrigin=eyJpIjoiYzgwYTQ0ZjEyNzQzNGJhN2JmNjEyZTM0NmRhZWZhNjIiLCJwIjoic2hlZXRzLWppcmEifQ","HWKREPORT-1159")</f>
        <v>HWKREPORT-1159</v>
      </c>
      <c r="C2397" s="1" t="s">
        <v>3686</v>
      </c>
      <c r="D2397" s="1" t="s">
        <v>23</v>
      </c>
      <c r="E2397" s="1" t="s">
        <v>1207</v>
      </c>
      <c r="F2397" s="4">
        <v>44651.19666666666</v>
      </c>
      <c r="G2397" s="3" t="str">
        <f>HYPERLINK("https://hawk-eye.atlassian.net/browse/AL-280?atlOrigin=eyJpIjoiYzgwYTQ0ZjEyNzQzNGJhN2JmNjEyZTM0NmRhZWZhNjIiLCJwIjoic2hlZXRzLWppcmEifQ","AL-280")</f>
        <v>AL-280</v>
      </c>
      <c r="H2397" s="1" t="s">
        <v>1058</v>
      </c>
      <c r="I2397" s="1" t="s">
        <v>1071</v>
      </c>
      <c r="J2397" s="1" t="s">
        <v>26</v>
      </c>
      <c r="K2397" s="1" t="s">
        <v>1898</v>
      </c>
      <c r="L2397" s="1" t="s">
        <v>26</v>
      </c>
      <c r="M2397" s="1" t="s">
        <v>27</v>
      </c>
      <c r="N2397" s="1" t="s">
        <v>26</v>
      </c>
      <c r="O2397" s="1" t="s">
        <v>26</v>
      </c>
      <c r="P2397" s="4">
        <v>44929.4184837963</v>
      </c>
    </row>
    <row r="2398" hidden="1">
      <c r="A2398" s="1" t="s">
        <v>1055</v>
      </c>
      <c r="B2398" s="3" t="str">
        <f>HYPERLINK("https://hawk-eye.atlassian.net/browse/HWKREPORT-1160?atlOrigin=eyJpIjoiYzgwYTQ0ZjEyNzQzNGJhN2JmNjEyZTM0NmRhZWZhNjIiLCJwIjoic2hlZXRzLWppcmEifQ","HWKREPORT-1160")</f>
        <v>HWKREPORT-1160</v>
      </c>
      <c r="C2398" s="1" t="s">
        <v>3687</v>
      </c>
      <c r="D2398" s="1" t="s">
        <v>23</v>
      </c>
      <c r="E2398" s="1" t="s">
        <v>35</v>
      </c>
      <c r="F2398" s="4">
        <v>44651.61587962963</v>
      </c>
      <c r="G2398" s="3" t="str">
        <f>HYPERLINK("https://hawk-eye.atlassian.net/browse/RTT-4858?atlOrigin=eyJpIjoiYzgwYTQ0ZjEyNzQzNGJhN2JmNjEyZTM0NmRhZWZhNjIiLCJwIjoic2hlZXRzLWppcmEifQ","RTT-4858")</f>
        <v>RTT-4858</v>
      </c>
      <c r="H2398" s="1" t="s">
        <v>1058</v>
      </c>
      <c r="I2398" s="1" t="s">
        <v>28</v>
      </c>
      <c r="J2398" s="1" t="s">
        <v>26</v>
      </c>
      <c r="K2398" s="1" t="s">
        <v>1072</v>
      </c>
      <c r="L2398" s="1" t="s">
        <v>26</v>
      </c>
      <c r="M2398" s="1" t="s">
        <v>27</v>
      </c>
      <c r="N2398" s="1" t="s">
        <v>26</v>
      </c>
      <c r="O2398" s="1" t="s">
        <v>26</v>
      </c>
      <c r="P2398" s="4">
        <v>44676.50067129629</v>
      </c>
    </row>
    <row r="2399" hidden="1">
      <c r="A2399" s="1" t="s">
        <v>21</v>
      </c>
      <c r="B2399" s="3" t="str">
        <f>HYPERLINK("https://hawk-eye.atlassian.net/browse/HWKREPORT-1161?atlOrigin=eyJpIjoiYzgwYTQ0ZjEyNzQzNGJhN2JmNjEyZTM0NmRhZWZhNjIiLCJwIjoic2hlZXRzLWppcmEifQ","HWKREPORT-1161")</f>
        <v>HWKREPORT-1161</v>
      </c>
      <c r="C2399" s="1" t="s">
        <v>3688</v>
      </c>
      <c r="D2399" s="1" t="s">
        <v>34</v>
      </c>
      <c r="E2399" s="1" t="s">
        <v>1207</v>
      </c>
      <c r="F2399" s="4">
        <v>44651.969976851855</v>
      </c>
      <c r="G2399" s="3" t="str">
        <f>HYPERLINK("https://hawk-eye.atlassian.net/issues/?atlOrigin=eyJpIjoiYzgwYTQ0ZjEyNzQzNGJhN2JmNjEyZTM0NmRhZWZhNjIiLCJwIjoic2hlZXRzLWppcmEifQ&amp;jql=key+in+%28RTT-4854%2CRTTDB-71%29","RTT-4854;RTTDB-71")</f>
        <v>RTT-4854;RTTDB-71</v>
      </c>
      <c r="H2399" s="1" t="s">
        <v>1058</v>
      </c>
      <c r="I2399" s="1" t="s">
        <v>1126</v>
      </c>
      <c r="J2399" s="1" t="s">
        <v>26</v>
      </c>
      <c r="K2399" s="1" t="s">
        <v>1127</v>
      </c>
      <c r="L2399" s="1" t="s">
        <v>26</v>
      </c>
      <c r="M2399" s="1" t="s">
        <v>27</v>
      </c>
      <c r="N2399" s="1" t="s">
        <v>26</v>
      </c>
      <c r="O2399" s="1" t="s">
        <v>26</v>
      </c>
      <c r="P2399" s="4">
        <v>44929.4184837963</v>
      </c>
    </row>
    <row r="2400" hidden="1">
      <c r="A2400" s="1" t="s">
        <v>21</v>
      </c>
      <c r="B2400" s="3" t="str">
        <f>HYPERLINK("https://hawk-eye.atlassian.net/browse/HWKREPORT-1162?atlOrigin=eyJpIjoiYzgwYTQ0ZjEyNzQzNGJhN2JmNjEyZTM0NmRhZWZhNjIiLCJwIjoic2hlZXRzLWppcmEifQ","HWKREPORT-1162")</f>
        <v>HWKREPORT-1162</v>
      </c>
      <c r="C2400" s="1" t="s">
        <v>3689</v>
      </c>
      <c r="D2400" s="1" t="s">
        <v>40</v>
      </c>
      <c r="E2400" s="1" t="s">
        <v>1207</v>
      </c>
      <c r="F2400" s="4">
        <v>44652.351377314815</v>
      </c>
      <c r="G2400" s="3" t="str">
        <f>HYPERLINK("https://hawk-eye.atlassian.net/issues/?atlOrigin=eyJpIjoiYzgwYTQ0ZjEyNzQzNGJhN2JmNjEyZTM0NmRhZWZhNjIiLCJwIjoic2hlZXRzLWppcmEifQ&amp;jql=key+in+%28AL-287%2CAL-281%29","AL-287;AL-281")</f>
        <v>AL-287;AL-281</v>
      </c>
      <c r="H2400" s="1" t="s">
        <v>1058</v>
      </c>
      <c r="I2400" s="1" t="s">
        <v>1071</v>
      </c>
      <c r="J2400" s="1" t="s">
        <v>26</v>
      </c>
      <c r="K2400" s="1" t="s">
        <v>1898</v>
      </c>
      <c r="L2400" s="1" t="s">
        <v>26</v>
      </c>
      <c r="M2400" s="1" t="s">
        <v>27</v>
      </c>
      <c r="N2400" s="1" t="s">
        <v>26</v>
      </c>
      <c r="O2400" s="1" t="s">
        <v>26</v>
      </c>
      <c r="P2400" s="4">
        <v>44929.4184837963</v>
      </c>
    </row>
    <row r="2401" hidden="1">
      <c r="A2401" s="1" t="s">
        <v>21</v>
      </c>
      <c r="B2401" s="3" t="str">
        <f>HYPERLINK("https://hawk-eye.atlassian.net/browse/HWKREPORT-1163?atlOrigin=eyJpIjoiYzgwYTQ0ZjEyNzQzNGJhN2JmNjEyZTM0NmRhZWZhNjIiLCJwIjoic2hlZXRzLWppcmEifQ","HWKREPORT-1163")</f>
        <v>HWKREPORT-1163</v>
      </c>
      <c r="C2401" s="1" t="s">
        <v>3690</v>
      </c>
      <c r="D2401" s="1" t="s">
        <v>23</v>
      </c>
      <c r="E2401" s="1" t="s">
        <v>35</v>
      </c>
      <c r="F2401" s="4">
        <v>44652.471770833334</v>
      </c>
      <c r="G2401" s="3" t="str">
        <f>HYPERLINK("https://hawk-eye.atlassian.net/browse/VARDICT-170?atlOrigin=eyJpIjoiYzgwYTQ0ZjEyNzQzNGJhN2JmNjEyZTM0NmRhZWZhNjIiLCJwIjoic2hlZXRzLWppcmEifQ","VARDICT-170")</f>
        <v>VARDICT-170</v>
      </c>
      <c r="H2401" s="1" t="s">
        <v>1058</v>
      </c>
      <c r="I2401" s="1" t="s">
        <v>1085</v>
      </c>
      <c r="J2401" s="1" t="s">
        <v>26</v>
      </c>
      <c r="K2401" s="1" t="s">
        <v>1290</v>
      </c>
      <c r="L2401" s="1" t="s">
        <v>26</v>
      </c>
      <c r="M2401" s="1" t="s">
        <v>27</v>
      </c>
      <c r="N2401" s="1" t="s">
        <v>26</v>
      </c>
      <c r="O2401" s="1" t="s">
        <v>26</v>
      </c>
      <c r="P2401" s="4">
        <v>44673.46398148148</v>
      </c>
    </row>
    <row r="2402" hidden="1">
      <c r="A2402" s="1" t="s">
        <v>1055</v>
      </c>
      <c r="B2402" s="3" t="str">
        <f>HYPERLINK("https://hawk-eye.atlassian.net/browse/HWKREPORT-962?atlOrigin=eyJpIjoiYzgwYTQ0ZjEyNzQzNGJhN2JmNjEyZTM0NmRhZWZhNjIiLCJwIjoic2hlZXRzLWppcmEifQ","HWKREPORT-962")</f>
        <v>HWKREPORT-962</v>
      </c>
      <c r="C2402" s="1" t="s">
        <v>3691</v>
      </c>
      <c r="D2402" s="1" t="s">
        <v>23</v>
      </c>
      <c r="E2402" s="1" t="s">
        <v>1057</v>
      </c>
      <c r="F2402" s="4">
        <v>44460.64092592592</v>
      </c>
      <c r="G2402" s="3" t="str">
        <f>HYPERLINK("https://hawk-eye.atlassian.net/browse/AL-246?atlOrigin=eyJpIjoiYzgwYTQ0ZjEyNzQzNGJhN2JmNjEyZTM0NmRhZWZhNjIiLCJwIjoic2hlZXRzLWppcmEifQ","AL-246")</f>
        <v>AL-246</v>
      </c>
      <c r="H2402" s="1" t="s">
        <v>1058</v>
      </c>
      <c r="I2402" s="1" t="s">
        <v>1082</v>
      </c>
      <c r="J2402" s="1" t="s">
        <v>26</v>
      </c>
      <c r="K2402" s="1" t="s">
        <v>2302</v>
      </c>
      <c r="L2402" s="1" t="s">
        <v>26</v>
      </c>
      <c r="M2402" s="1" t="s">
        <v>27</v>
      </c>
      <c r="N2402" s="1" t="s">
        <v>26</v>
      </c>
      <c r="O2402" s="1" t="s">
        <v>26</v>
      </c>
      <c r="P2402" s="4">
        <v>44460.6409375</v>
      </c>
    </row>
    <row r="2403" hidden="1">
      <c r="A2403" s="1" t="s">
        <v>21</v>
      </c>
      <c r="B2403" s="3" t="str">
        <f>HYPERLINK("https://hawk-eye.atlassian.net/browse/HWKREPORT-963?atlOrigin=eyJpIjoiYzgwYTQ0ZjEyNzQzNGJhN2JmNjEyZTM0NmRhZWZhNjIiLCJwIjoic2hlZXRzLWppcmEifQ","HWKREPORT-963")</f>
        <v>HWKREPORT-963</v>
      </c>
      <c r="C2403" s="1" t="s">
        <v>3692</v>
      </c>
      <c r="D2403" s="1" t="s">
        <v>34</v>
      </c>
      <c r="E2403" s="1" t="s">
        <v>35</v>
      </c>
      <c r="F2403" s="4">
        <v>44461.491643518515</v>
      </c>
      <c r="G2403" s="3" t="str">
        <f>HYPERLINK("https://hawk-eye.atlassian.net/browse/VIEWER-1669?atlOrigin=eyJpIjoiYzgwYTQ0ZjEyNzQzNGJhN2JmNjEyZTM0NmRhZWZhNjIiLCJwIjoic2hlZXRzLWppcmEifQ","VIEWER-1669")</f>
        <v>VIEWER-1669</v>
      </c>
      <c r="H2403" s="1" t="s">
        <v>1058</v>
      </c>
      <c r="I2403" s="1" t="s">
        <v>1082</v>
      </c>
      <c r="J2403" s="1" t="s">
        <v>26</v>
      </c>
      <c r="K2403" s="1" t="s">
        <v>1116</v>
      </c>
      <c r="L2403" s="1" t="s">
        <v>26</v>
      </c>
      <c r="M2403" s="1" t="s">
        <v>27</v>
      </c>
      <c r="N2403" s="1" t="s">
        <v>26</v>
      </c>
      <c r="O2403" s="1" t="s">
        <v>26</v>
      </c>
      <c r="P2403" s="4">
        <v>44600.87520833333</v>
      </c>
    </row>
    <row r="2404" hidden="1">
      <c r="A2404" s="1" t="s">
        <v>1055</v>
      </c>
      <c r="B2404" s="3" t="str">
        <f>HYPERLINK("https://hawk-eye.atlassian.net/browse/HWKREPORT-964?atlOrigin=eyJpIjoiYzgwYTQ0ZjEyNzQzNGJhN2JmNjEyZTM0NmRhZWZhNjIiLCJwIjoic2hlZXRzLWppcmEifQ","HWKREPORT-964")</f>
        <v>HWKREPORT-964</v>
      </c>
      <c r="C2404" s="1" t="s">
        <v>3693</v>
      </c>
      <c r="D2404" s="1" t="s">
        <v>23</v>
      </c>
      <c r="E2404" s="1" t="s">
        <v>35</v>
      </c>
      <c r="F2404" s="4">
        <v>44461.53581018518</v>
      </c>
      <c r="G2404" s="3" t="str">
        <f>HYPERLINK("https://hawk-eye.atlassian.net/browse/?atlOrigin=eyJpIjoiYzgwYTQ0ZjEyNzQzNGJhN2JmNjEyZTM0NmRhZWZhNjIiLCJwIjoic2hlZXRzLWppcmEifQ","")</f>
        <v/>
      </c>
      <c r="H2404" s="1" t="s">
        <v>1058</v>
      </c>
      <c r="I2404" s="1" t="s">
        <v>1082</v>
      </c>
      <c r="J2404" s="1" t="s">
        <v>26</v>
      </c>
      <c r="K2404" s="1" t="s">
        <v>1134</v>
      </c>
      <c r="L2404" s="1" t="s">
        <v>26</v>
      </c>
      <c r="M2404" s="1" t="s">
        <v>27</v>
      </c>
      <c r="N2404" s="1" t="s">
        <v>26</v>
      </c>
      <c r="O2404" s="1" t="s">
        <v>26</v>
      </c>
      <c r="P2404" s="4">
        <v>44461.6084375</v>
      </c>
    </row>
    <row r="2405" hidden="1">
      <c r="A2405" s="1" t="s">
        <v>21</v>
      </c>
      <c r="B2405" s="3" t="str">
        <f>HYPERLINK("https://hawk-eye.atlassian.net/browse/HWKREPORT-965?atlOrigin=eyJpIjoiYzgwYTQ0ZjEyNzQzNGJhN2JmNjEyZTM0NmRhZWZhNjIiLCJwIjoic2hlZXRzLWppcmEifQ","HWKREPORT-965")</f>
        <v>HWKREPORT-965</v>
      </c>
      <c r="C2405" s="1" t="s">
        <v>3694</v>
      </c>
      <c r="D2405" s="1" t="s">
        <v>23</v>
      </c>
      <c r="E2405" s="1" t="s">
        <v>35</v>
      </c>
      <c r="F2405" s="4">
        <v>44461.66243055555</v>
      </c>
      <c r="G2405" s="3" t="str">
        <f>HYPERLINK("https://hawk-eye.atlassian.net/browse/BDP-448?atlOrigin=eyJpIjoiYzgwYTQ0ZjEyNzQzNGJhN2JmNjEyZTM0NmRhZWZhNjIiLCJwIjoic2hlZXRzLWppcmEifQ","BDP-448")</f>
        <v>BDP-448</v>
      </c>
      <c r="H2405" s="1" t="s">
        <v>1058</v>
      </c>
      <c r="I2405" s="1" t="s">
        <v>1071</v>
      </c>
      <c r="J2405" s="1" t="s">
        <v>26</v>
      </c>
      <c r="K2405" s="1" t="s">
        <v>1130</v>
      </c>
      <c r="L2405" s="1" t="s">
        <v>26</v>
      </c>
      <c r="M2405" s="1" t="s">
        <v>27</v>
      </c>
      <c r="N2405" s="1" t="s">
        <v>26</v>
      </c>
      <c r="O2405" s="1" t="s">
        <v>26</v>
      </c>
      <c r="P2405" s="4">
        <v>44517.75371527778</v>
      </c>
    </row>
    <row r="2406" hidden="1">
      <c r="A2406" s="1" t="s">
        <v>21</v>
      </c>
      <c r="B2406" s="3" t="str">
        <f>HYPERLINK("https://hawk-eye.atlassian.net/browse/HWKREPORT-966?atlOrigin=eyJpIjoiYzgwYTQ0ZjEyNzQzNGJhN2JmNjEyZTM0NmRhZWZhNjIiLCJwIjoic2hlZXRzLWppcmEifQ","HWKREPORT-966")</f>
        <v>HWKREPORT-966</v>
      </c>
      <c r="C2406" s="1" t="s">
        <v>3695</v>
      </c>
      <c r="D2406" s="1" t="s">
        <v>34</v>
      </c>
      <c r="E2406" s="1" t="s">
        <v>35</v>
      </c>
      <c r="F2406" s="4">
        <v>44462.41200231481</v>
      </c>
      <c r="G2406" s="3" t="str">
        <f>HYPERLINK("https://hawk-eye.atlassian.net/browse/BDP-438?atlOrigin=eyJpIjoiYzgwYTQ0ZjEyNzQzNGJhN2JmNjEyZTM0NmRhZWZhNjIiLCJwIjoic2hlZXRzLWppcmEifQ","BDP-438")</f>
        <v>BDP-438</v>
      </c>
      <c r="H2406" s="1" t="s">
        <v>1058</v>
      </c>
      <c r="I2406" s="1" t="s">
        <v>1071</v>
      </c>
      <c r="J2406" s="1" t="s">
        <v>26</v>
      </c>
      <c r="K2406" s="1" t="s">
        <v>3696</v>
      </c>
      <c r="L2406" s="1" t="s">
        <v>26</v>
      </c>
      <c r="M2406" s="1" t="s">
        <v>27</v>
      </c>
      <c r="N2406" s="1" t="s">
        <v>26</v>
      </c>
      <c r="O2406" s="1" t="s">
        <v>26</v>
      </c>
      <c r="P2406" s="4">
        <v>45440.47418981481</v>
      </c>
    </row>
    <row r="2407" hidden="1">
      <c r="A2407" s="1" t="s">
        <v>21</v>
      </c>
      <c r="B2407" s="3" t="str">
        <f>HYPERLINK("https://hawk-eye.atlassian.net/browse/HWKREPORT-967?atlOrigin=eyJpIjoiYzgwYTQ0ZjEyNzQzNGJhN2JmNjEyZTM0NmRhZWZhNjIiLCJwIjoic2hlZXRzLWppcmEifQ","HWKREPORT-967")</f>
        <v>HWKREPORT-967</v>
      </c>
      <c r="C2407" s="1" t="s">
        <v>3697</v>
      </c>
      <c r="D2407" s="1" t="s">
        <v>23</v>
      </c>
      <c r="E2407" s="1" t="s">
        <v>35</v>
      </c>
      <c r="F2407" s="4">
        <v>44467.933125</v>
      </c>
      <c r="G2407" s="3" t="str">
        <f>HYPERLINK("https://hawk-eye.atlassian.net/browse/RTT-4376?atlOrigin=eyJpIjoiYzgwYTQ0ZjEyNzQzNGJhN2JmNjEyZTM0NmRhZWZhNjIiLCJwIjoic2hlZXRzLWppcmEifQ","RTT-4376")</f>
        <v>RTT-4376</v>
      </c>
      <c r="H2407" s="1" t="s">
        <v>1058</v>
      </c>
      <c r="I2407" s="1" t="s">
        <v>1151</v>
      </c>
      <c r="J2407" s="1" t="s">
        <v>26</v>
      </c>
      <c r="K2407" s="1" t="s">
        <v>1309</v>
      </c>
      <c r="L2407" s="1" t="s">
        <v>26</v>
      </c>
      <c r="M2407" s="1" t="s">
        <v>27</v>
      </c>
      <c r="N2407" s="1" t="s">
        <v>26</v>
      </c>
      <c r="O2407" s="1" t="s">
        <v>26</v>
      </c>
      <c r="P2407" s="4">
        <v>44600.875069444446</v>
      </c>
    </row>
    <row r="2408" hidden="1">
      <c r="A2408" s="1" t="s">
        <v>21</v>
      </c>
      <c r="B2408" s="3" t="str">
        <f>HYPERLINK("https://hawk-eye.atlassian.net/browse/HWKREPORT-968?atlOrigin=eyJpIjoiYzgwYTQ0ZjEyNzQzNGJhN2JmNjEyZTM0NmRhZWZhNjIiLCJwIjoic2hlZXRzLWppcmEifQ","HWKREPORT-968")</f>
        <v>HWKREPORT-968</v>
      </c>
      <c r="C2408" s="1" t="s">
        <v>3698</v>
      </c>
      <c r="D2408" s="1" t="s">
        <v>23</v>
      </c>
      <c r="E2408" s="1" t="s">
        <v>35</v>
      </c>
      <c r="F2408" s="4">
        <v>44468.61461805556</v>
      </c>
      <c r="G2408" s="3" t="str">
        <f>HYPERLINK("https://hawk-eye.atlassian.net/browse/RTT-4381?atlOrigin=eyJpIjoiYzgwYTQ0ZjEyNzQzNGJhN2JmNjEyZTM0NmRhZWZhNjIiLCJwIjoic2hlZXRzLWppcmEifQ","RTT-4381")</f>
        <v>RTT-4381</v>
      </c>
      <c r="H2408" s="1" t="s">
        <v>1058</v>
      </c>
      <c r="I2408" s="1" t="s">
        <v>1071</v>
      </c>
      <c r="J2408" s="1" t="s">
        <v>26</v>
      </c>
      <c r="K2408" s="1" t="s">
        <v>1072</v>
      </c>
      <c r="L2408" s="1" t="s">
        <v>26</v>
      </c>
      <c r="M2408" s="1" t="s">
        <v>27</v>
      </c>
      <c r="N2408" s="1" t="s">
        <v>26</v>
      </c>
      <c r="O2408" s="1" t="s">
        <v>26</v>
      </c>
      <c r="P2408" s="4">
        <v>45706.60335648148</v>
      </c>
    </row>
    <row r="2409" hidden="1">
      <c r="A2409" s="1" t="s">
        <v>21</v>
      </c>
      <c r="B2409" s="3" t="str">
        <f>HYPERLINK("https://hawk-eye.atlassian.net/browse/HWKREPORT-969?atlOrigin=eyJpIjoiYzgwYTQ0ZjEyNzQzNGJhN2JmNjEyZTM0NmRhZWZhNjIiLCJwIjoic2hlZXRzLWppcmEifQ","HWKREPORT-969")</f>
        <v>HWKREPORT-969</v>
      </c>
      <c r="C2409" s="1" t="s">
        <v>3699</v>
      </c>
      <c r="D2409" s="1" t="s">
        <v>23</v>
      </c>
      <c r="E2409" s="1" t="s">
        <v>35</v>
      </c>
      <c r="F2409" s="4">
        <v>44469.784004629626</v>
      </c>
      <c r="G2409" s="3" t="str">
        <f>HYPERLINK("https://hawk-eye.atlassian.net/browse/?atlOrigin=eyJpIjoiYzgwYTQ0ZjEyNzQzNGJhN2JmNjEyZTM0NmRhZWZhNjIiLCJwIjoic2hlZXRzLWppcmEifQ","")</f>
        <v/>
      </c>
      <c r="H2409" s="1" t="s">
        <v>1058</v>
      </c>
      <c r="I2409" s="1" t="s">
        <v>1071</v>
      </c>
      <c r="J2409" s="1" t="s">
        <v>26</v>
      </c>
      <c r="K2409" s="1" t="s">
        <v>1130</v>
      </c>
      <c r="L2409" s="1" t="s">
        <v>26</v>
      </c>
      <c r="M2409" s="1" t="s">
        <v>27</v>
      </c>
      <c r="N2409" s="1" t="s">
        <v>26</v>
      </c>
      <c r="O2409" s="1" t="s">
        <v>26</v>
      </c>
      <c r="P2409" s="4">
        <v>44501.59510416666</v>
      </c>
    </row>
    <row r="2410" hidden="1">
      <c r="A2410" s="1" t="s">
        <v>21</v>
      </c>
      <c r="B2410" s="3" t="str">
        <f>HYPERLINK("https://hawk-eye.atlassian.net/browse/HWKREPORT-970?atlOrigin=eyJpIjoiYzgwYTQ0ZjEyNzQzNGJhN2JmNjEyZTM0NmRhZWZhNjIiLCJwIjoic2hlZXRzLWppcmEifQ","HWKREPORT-970")</f>
        <v>HWKREPORT-970</v>
      </c>
      <c r="C2410" s="1" t="s">
        <v>3700</v>
      </c>
      <c r="D2410" s="1" t="s">
        <v>40</v>
      </c>
      <c r="E2410" s="1" t="s">
        <v>1207</v>
      </c>
      <c r="F2410" s="4">
        <v>44470.63914351852</v>
      </c>
      <c r="G2410" s="3" t="str">
        <f>HYPERLINK("https://hawk-eye.atlassian.net/browse/RTT-4385?atlOrigin=eyJpIjoiYzgwYTQ0ZjEyNzQzNGJhN2JmNjEyZTM0NmRhZWZhNjIiLCJwIjoic2hlZXRzLWppcmEifQ","RTT-4385")</f>
        <v>RTT-4385</v>
      </c>
      <c r="H2410" s="1" t="s">
        <v>1058</v>
      </c>
      <c r="I2410" s="1" t="s">
        <v>1151</v>
      </c>
      <c r="J2410" s="1" t="s">
        <v>26</v>
      </c>
      <c r="K2410" s="1" t="s">
        <v>1072</v>
      </c>
      <c r="L2410" s="1" t="s">
        <v>26</v>
      </c>
      <c r="M2410" s="1" t="s">
        <v>27</v>
      </c>
      <c r="N2410" s="1" t="s">
        <v>26</v>
      </c>
      <c r="O2410" s="1" t="s">
        <v>26</v>
      </c>
      <c r="P2410" s="4">
        <v>44929.4184837963</v>
      </c>
    </row>
    <row r="2411" hidden="1">
      <c r="A2411" s="1" t="s">
        <v>21</v>
      </c>
      <c r="B2411" s="3" t="str">
        <f>HYPERLINK("https://hawk-eye.atlassian.net/browse/HWKREPORT-971?atlOrigin=eyJpIjoiYzgwYTQ0ZjEyNzQzNGJhN2JmNjEyZTM0NmRhZWZhNjIiLCJwIjoic2hlZXRzLWppcmEifQ","HWKREPORT-971")</f>
        <v>HWKREPORT-971</v>
      </c>
      <c r="C2411" s="1" t="s">
        <v>3701</v>
      </c>
      <c r="D2411" s="1" t="s">
        <v>23</v>
      </c>
      <c r="E2411" s="1" t="s">
        <v>1057</v>
      </c>
      <c r="F2411" s="4">
        <v>44470.864375</v>
      </c>
      <c r="G2411" s="3" t="str">
        <f>HYPERLINK("https://hawk-eye.atlassian.net/browse/?atlOrigin=eyJpIjoiYzgwYTQ0ZjEyNzQzNGJhN2JmNjEyZTM0NmRhZWZhNjIiLCJwIjoic2hlZXRzLWppcmEifQ","")</f>
        <v/>
      </c>
      <c r="H2411" s="1" t="s">
        <v>1058</v>
      </c>
      <c r="I2411" s="1" t="s">
        <v>1126</v>
      </c>
      <c r="J2411" s="1" t="s">
        <v>26</v>
      </c>
      <c r="K2411" s="1" t="s">
        <v>1211</v>
      </c>
      <c r="L2411" s="1" t="s">
        <v>26</v>
      </c>
      <c r="M2411" s="1" t="s">
        <v>27</v>
      </c>
      <c r="N2411" s="1" t="s">
        <v>26</v>
      </c>
      <c r="O2411" s="1" t="s">
        <v>26</v>
      </c>
      <c r="P2411" s="4">
        <v>44470.864386574074</v>
      </c>
    </row>
    <row r="2412" hidden="1">
      <c r="A2412" s="1" t="s">
        <v>21</v>
      </c>
      <c r="B2412" s="3" t="str">
        <f>HYPERLINK("https://hawk-eye.atlassian.net/browse/HWKREPORT-972?atlOrigin=eyJpIjoiYzgwYTQ0ZjEyNzQzNGJhN2JmNjEyZTM0NmRhZWZhNjIiLCJwIjoic2hlZXRzLWppcmEifQ","HWKREPORT-972")</f>
        <v>HWKREPORT-972</v>
      </c>
      <c r="C2412" s="1" t="s">
        <v>3702</v>
      </c>
      <c r="D2412" s="1" t="s">
        <v>23</v>
      </c>
      <c r="E2412" s="1" t="s">
        <v>35</v>
      </c>
      <c r="F2412" s="4">
        <v>44473.62021990741</v>
      </c>
      <c r="G2412" s="3" t="str">
        <f>HYPERLINK("https://hawk-eye.atlassian.net/browse/CONFIG-646?atlOrigin=eyJpIjoiYzgwYTQ0ZjEyNzQzNGJhN2JmNjEyZTM0NmRhZWZhNjIiLCJwIjoic2hlZXRzLWppcmEifQ","CONFIG-646")</f>
        <v>CONFIG-646</v>
      </c>
      <c r="H2412" s="1" t="s">
        <v>1058</v>
      </c>
      <c r="I2412" s="1" t="s">
        <v>1085</v>
      </c>
      <c r="J2412" s="1" t="s">
        <v>26</v>
      </c>
      <c r="K2412" s="1" t="s">
        <v>1134</v>
      </c>
      <c r="L2412" s="1" t="s">
        <v>26</v>
      </c>
      <c r="M2412" s="1" t="s">
        <v>27</v>
      </c>
      <c r="N2412" s="1" t="s">
        <v>26</v>
      </c>
      <c r="O2412" s="1" t="s">
        <v>26</v>
      </c>
      <c r="P2412" s="4">
        <v>44600.875231481485</v>
      </c>
    </row>
    <row r="2413" hidden="1">
      <c r="A2413" s="1" t="s">
        <v>21</v>
      </c>
      <c r="B2413" s="3" t="str">
        <f>HYPERLINK("https://hawk-eye.atlassian.net/browse/HWKREPORT-973?atlOrigin=eyJpIjoiYzgwYTQ0ZjEyNzQzNGJhN2JmNjEyZTM0NmRhZWZhNjIiLCJwIjoic2hlZXRzLWppcmEifQ","HWKREPORT-973")</f>
        <v>HWKREPORT-973</v>
      </c>
      <c r="C2413" s="1" t="s">
        <v>3703</v>
      </c>
      <c r="D2413" s="1" t="s">
        <v>23</v>
      </c>
      <c r="E2413" s="1" t="s">
        <v>35</v>
      </c>
      <c r="F2413" s="4">
        <v>44473.62613425926</v>
      </c>
      <c r="G2413" s="3" t="str">
        <f>HYPERLINK("https://hawk-eye.atlassian.net/browse/RTT-4384?atlOrigin=eyJpIjoiYzgwYTQ0ZjEyNzQzNGJhN2JmNjEyZTM0NmRhZWZhNjIiLCJwIjoic2hlZXRzLWppcmEifQ","RTT-4384")</f>
        <v>RTT-4384</v>
      </c>
      <c r="H2413" s="1" t="s">
        <v>1058</v>
      </c>
      <c r="I2413" s="1" t="s">
        <v>1085</v>
      </c>
      <c r="J2413" s="1" t="s">
        <v>26</v>
      </c>
      <c r="K2413" s="1" t="s">
        <v>1072</v>
      </c>
      <c r="L2413" s="1" t="s">
        <v>26</v>
      </c>
      <c r="M2413" s="1" t="s">
        <v>27</v>
      </c>
      <c r="N2413" s="1" t="s">
        <v>26</v>
      </c>
      <c r="O2413" s="1" t="s">
        <v>26</v>
      </c>
      <c r="P2413" s="4">
        <v>44481.6544212963</v>
      </c>
    </row>
    <row r="2414" hidden="1">
      <c r="A2414" s="1" t="s">
        <v>21</v>
      </c>
      <c r="B2414" s="3" t="str">
        <f>HYPERLINK("https://hawk-eye.atlassian.net/browse/HWKREPORT-974?atlOrigin=eyJpIjoiYzgwYTQ0ZjEyNzQzNGJhN2JmNjEyZTM0NmRhZWZhNjIiLCJwIjoic2hlZXRzLWppcmEifQ","HWKREPORT-974")</f>
        <v>HWKREPORT-974</v>
      </c>
      <c r="C2414" s="1" t="s">
        <v>3704</v>
      </c>
      <c r="D2414" s="1" t="s">
        <v>23</v>
      </c>
      <c r="E2414" s="1" t="s">
        <v>35</v>
      </c>
      <c r="F2414" s="4">
        <v>44474.63377314815</v>
      </c>
      <c r="G2414" s="3" t="str">
        <f>HYPERLINK("https://hawk-eye.atlassian.net/browse/MLT-718?atlOrigin=eyJpIjoiYzgwYTQ0ZjEyNzQzNGJhN2JmNjEyZTM0NmRhZWZhNjIiLCJwIjoic2hlZXRzLWppcmEifQ","MLT-718")</f>
        <v>MLT-718</v>
      </c>
      <c r="H2414" s="1" t="s">
        <v>1058</v>
      </c>
      <c r="I2414" s="1" t="s">
        <v>1071</v>
      </c>
      <c r="J2414" s="1" t="s">
        <v>26</v>
      </c>
      <c r="K2414" s="1" t="s">
        <v>1099</v>
      </c>
      <c r="L2414" s="1" t="s">
        <v>26</v>
      </c>
      <c r="M2414" s="1" t="s">
        <v>27</v>
      </c>
      <c r="N2414" s="1" t="s">
        <v>26</v>
      </c>
      <c r="O2414" s="1" t="s">
        <v>26</v>
      </c>
      <c r="P2414" s="4">
        <v>44600.8749537037</v>
      </c>
    </row>
    <row r="2415" hidden="1">
      <c r="A2415" s="1" t="s">
        <v>1055</v>
      </c>
      <c r="B2415" s="3" t="str">
        <f>HYPERLINK("https://hawk-eye.atlassian.net/browse/HWKREPORT-975?atlOrigin=eyJpIjoiYzgwYTQ0ZjEyNzQzNGJhN2JmNjEyZTM0NmRhZWZhNjIiLCJwIjoic2hlZXRzLWppcmEifQ","HWKREPORT-975")</f>
        <v>HWKREPORT-975</v>
      </c>
      <c r="C2415" s="1" t="s">
        <v>3705</v>
      </c>
      <c r="D2415" s="1" t="s">
        <v>23</v>
      </c>
      <c r="E2415" s="1" t="s">
        <v>35</v>
      </c>
      <c r="F2415" s="4">
        <v>44474.84001157407</v>
      </c>
      <c r="G2415" s="3" t="str">
        <f>HYPERLINK("https://hawk-eye.atlassian.net/browse/CONFIG-691?atlOrigin=eyJpIjoiYzgwYTQ0ZjEyNzQzNGJhN2JmNjEyZTM0NmRhZWZhNjIiLCJwIjoic2hlZXRzLWppcmEifQ","CONFIG-691")</f>
        <v>CONFIG-691</v>
      </c>
      <c r="H2415" s="1" t="s">
        <v>1058</v>
      </c>
      <c r="I2415" s="1" t="s">
        <v>1071</v>
      </c>
      <c r="J2415" s="1" t="s">
        <v>26</v>
      </c>
      <c r="K2415" s="1" t="s">
        <v>2952</v>
      </c>
      <c r="L2415" s="1" t="s">
        <v>26</v>
      </c>
      <c r="M2415" s="1" t="s">
        <v>27</v>
      </c>
      <c r="N2415" s="1" t="s">
        <v>26</v>
      </c>
      <c r="O2415" s="1" t="s">
        <v>26</v>
      </c>
      <c r="P2415" s="4">
        <v>44679.64127314815</v>
      </c>
    </row>
    <row r="2416" hidden="1">
      <c r="A2416" s="1" t="s">
        <v>21</v>
      </c>
      <c r="B2416" s="3" t="str">
        <f>HYPERLINK("https://hawk-eye.atlassian.net/browse/HWKREPORT-976?atlOrigin=eyJpIjoiYzgwYTQ0ZjEyNzQzNGJhN2JmNjEyZTM0NmRhZWZhNjIiLCJwIjoic2hlZXRzLWppcmEifQ","HWKREPORT-976")</f>
        <v>HWKREPORT-976</v>
      </c>
      <c r="C2416" s="1" t="s">
        <v>3706</v>
      </c>
      <c r="D2416" s="1" t="s">
        <v>48</v>
      </c>
      <c r="E2416" s="1" t="s">
        <v>35</v>
      </c>
      <c r="F2416" s="4">
        <v>44476.73189814815</v>
      </c>
      <c r="G2416" s="3" t="str">
        <f>HYPERLINK("https://hawk-eye.atlassian.net/browse/RTT-4397?atlOrigin=eyJpIjoiYzgwYTQ0ZjEyNzQzNGJhN2JmNjEyZTM0NmRhZWZhNjIiLCJwIjoic2hlZXRzLWppcmEifQ","RTT-4397")</f>
        <v>RTT-4397</v>
      </c>
      <c r="H2416" s="1" t="s">
        <v>1058</v>
      </c>
      <c r="I2416" s="1" t="s">
        <v>1085</v>
      </c>
      <c r="J2416" s="1" t="s">
        <v>26</v>
      </c>
      <c r="K2416" s="1" t="s">
        <v>1072</v>
      </c>
      <c r="L2416" s="1" t="s">
        <v>26</v>
      </c>
      <c r="M2416" s="1" t="s">
        <v>27</v>
      </c>
      <c r="N2416" s="1" t="s">
        <v>26</v>
      </c>
      <c r="O2416" s="1" t="s">
        <v>26</v>
      </c>
      <c r="P2416" s="4">
        <v>44600.875289351854</v>
      </c>
    </row>
    <row r="2417" hidden="1">
      <c r="A2417" s="1" t="s">
        <v>1055</v>
      </c>
      <c r="B2417" s="3" t="str">
        <f>HYPERLINK("https://hawk-eye.atlassian.net/browse/HWKREPORT-977?atlOrigin=eyJpIjoiYzgwYTQ0ZjEyNzQzNGJhN2JmNjEyZTM0NmRhZWZhNjIiLCJwIjoic2hlZXRzLWppcmEifQ","HWKREPORT-977")</f>
        <v>HWKREPORT-977</v>
      </c>
      <c r="C2417" s="1" t="s">
        <v>3707</v>
      </c>
      <c r="D2417" s="1" t="s">
        <v>23</v>
      </c>
      <c r="E2417" s="1" t="s">
        <v>35</v>
      </c>
      <c r="F2417" s="4">
        <v>44477.58672453704</v>
      </c>
      <c r="G2417" s="3" t="str">
        <f>HYPERLINK("https://hawk-eye.atlassian.net/browse/RTT-4425?atlOrigin=eyJpIjoiYzgwYTQ0ZjEyNzQzNGJhN2JmNjEyZTM0NmRhZWZhNjIiLCJwIjoic2hlZXRzLWppcmEifQ","RTT-4425")</f>
        <v>RTT-4425</v>
      </c>
      <c r="H2417" s="1" t="s">
        <v>1058</v>
      </c>
      <c r="I2417" s="1" t="s">
        <v>1085</v>
      </c>
      <c r="J2417" s="1" t="s">
        <v>26</v>
      </c>
      <c r="K2417" s="1" t="s">
        <v>3708</v>
      </c>
      <c r="L2417" s="1" t="s">
        <v>26</v>
      </c>
      <c r="M2417" s="1" t="s">
        <v>27</v>
      </c>
      <c r="N2417" s="1" t="s">
        <v>26</v>
      </c>
      <c r="O2417" s="1" t="s">
        <v>26</v>
      </c>
      <c r="P2417" s="4">
        <v>44635.39971064815</v>
      </c>
    </row>
    <row r="2418" hidden="1">
      <c r="A2418" s="1" t="s">
        <v>1055</v>
      </c>
      <c r="B2418" s="3" t="str">
        <f>HYPERLINK("https://hawk-eye.atlassian.net/browse/HWKREPORT-978?atlOrigin=eyJpIjoiYzgwYTQ0ZjEyNzQzNGJhN2JmNjEyZTM0NmRhZWZhNjIiLCJwIjoic2hlZXRzLWppcmEifQ","HWKREPORT-978")</f>
        <v>HWKREPORT-978</v>
      </c>
      <c r="C2418" s="1" t="s">
        <v>3709</v>
      </c>
      <c r="D2418" s="1" t="s">
        <v>23</v>
      </c>
      <c r="E2418" s="1" t="s">
        <v>35</v>
      </c>
      <c r="F2418" s="4">
        <v>44477.59181712963</v>
      </c>
      <c r="G2418" s="3" t="str">
        <f>HYPERLINK("https://hawk-eye.atlassian.net/browse/RTT-4424?atlOrigin=eyJpIjoiYzgwYTQ0ZjEyNzQzNGJhN2JmNjEyZTM0NmRhZWZhNjIiLCJwIjoic2hlZXRzLWppcmEifQ","RTT-4424")</f>
        <v>RTT-4424</v>
      </c>
      <c r="H2418" s="1" t="s">
        <v>1058</v>
      </c>
      <c r="I2418" s="1" t="s">
        <v>1085</v>
      </c>
      <c r="J2418" s="1" t="s">
        <v>26</v>
      </c>
      <c r="K2418" s="1" t="s">
        <v>3708</v>
      </c>
      <c r="L2418" s="1" t="s">
        <v>26</v>
      </c>
      <c r="M2418" s="1" t="s">
        <v>27</v>
      </c>
      <c r="N2418" s="1" t="s">
        <v>26</v>
      </c>
      <c r="O2418" s="1" t="s">
        <v>26</v>
      </c>
      <c r="P2418" s="4">
        <v>45020.5484375</v>
      </c>
    </row>
    <row r="2419" hidden="1">
      <c r="A2419" s="1" t="s">
        <v>1055</v>
      </c>
      <c r="B2419" s="3" t="str">
        <f>HYPERLINK("https://hawk-eye.atlassian.net/browse/HWKREPORT-979?atlOrigin=eyJpIjoiYzgwYTQ0ZjEyNzQzNGJhN2JmNjEyZTM0NmRhZWZhNjIiLCJwIjoic2hlZXRzLWppcmEifQ","HWKREPORT-979")</f>
        <v>HWKREPORT-979</v>
      </c>
      <c r="C2419" s="1" t="s">
        <v>3710</v>
      </c>
      <c r="D2419" s="1" t="s">
        <v>23</v>
      </c>
      <c r="E2419" s="1" t="s">
        <v>35</v>
      </c>
      <c r="F2419" s="4">
        <v>44477.60233796296</v>
      </c>
      <c r="G2419" s="3" t="str">
        <f>HYPERLINK("https://hawk-eye.atlassian.net/browse/RTT-4423?atlOrigin=eyJpIjoiYzgwYTQ0ZjEyNzQzNGJhN2JmNjEyZTM0NmRhZWZhNjIiLCJwIjoic2hlZXRzLWppcmEifQ","RTT-4423")</f>
        <v>RTT-4423</v>
      </c>
      <c r="H2419" s="1" t="s">
        <v>1058</v>
      </c>
      <c r="I2419" s="1" t="s">
        <v>1085</v>
      </c>
      <c r="J2419" s="1" t="s">
        <v>26</v>
      </c>
      <c r="K2419" s="1" t="s">
        <v>1309</v>
      </c>
      <c r="L2419" s="1" t="s">
        <v>26</v>
      </c>
      <c r="M2419" s="1" t="s">
        <v>27</v>
      </c>
      <c r="N2419" s="1" t="s">
        <v>26</v>
      </c>
      <c r="O2419" s="1" t="s">
        <v>26</v>
      </c>
      <c r="P2419" s="4">
        <v>44603.659733796296</v>
      </c>
    </row>
    <row r="2420" hidden="1">
      <c r="A2420" s="1" t="s">
        <v>21</v>
      </c>
      <c r="B2420" s="3" t="str">
        <f>HYPERLINK("https://hawk-eye.atlassian.net/browse/HWKREPORT-980?atlOrigin=eyJpIjoiYzgwYTQ0ZjEyNzQzNGJhN2JmNjEyZTM0NmRhZWZhNjIiLCJwIjoic2hlZXRzLWppcmEifQ","HWKREPORT-980")</f>
        <v>HWKREPORT-980</v>
      </c>
      <c r="C2420" s="1" t="s">
        <v>3711</v>
      </c>
      <c r="D2420" s="1" t="s">
        <v>34</v>
      </c>
      <c r="E2420" s="1" t="s">
        <v>35</v>
      </c>
      <c r="F2420" s="4">
        <v>44481.55024305556</v>
      </c>
      <c r="G2420" s="3" t="str">
        <f>HYPERLINK("https://hawk-eye.atlassian.net/browse/RTT-4406?atlOrigin=eyJpIjoiYzgwYTQ0ZjEyNzQzNGJhN2JmNjEyZTM0NmRhZWZhNjIiLCJwIjoic2hlZXRzLWppcmEifQ","RTT-4406")</f>
        <v>RTT-4406</v>
      </c>
      <c r="H2420" s="1" t="s">
        <v>1058</v>
      </c>
      <c r="I2420" s="1" t="s">
        <v>1085</v>
      </c>
      <c r="J2420" s="1" t="s">
        <v>26</v>
      </c>
      <c r="K2420" s="1" t="s">
        <v>1072</v>
      </c>
      <c r="L2420" s="1" t="s">
        <v>26</v>
      </c>
      <c r="M2420" s="1" t="s">
        <v>27</v>
      </c>
      <c r="N2420" s="1" t="s">
        <v>26</v>
      </c>
      <c r="O2420" s="1" t="s">
        <v>26</v>
      </c>
      <c r="P2420" s="4">
        <v>44634.46251157407</v>
      </c>
    </row>
    <row r="2421" hidden="1">
      <c r="A2421" s="1" t="s">
        <v>21</v>
      </c>
      <c r="B2421" s="3" t="str">
        <f>HYPERLINK("https://hawk-eye.atlassian.net/browse/HWKREPORT-981?atlOrigin=eyJpIjoiYzgwYTQ0ZjEyNzQzNGJhN2JmNjEyZTM0NmRhZWZhNjIiLCJwIjoic2hlZXRzLWppcmEifQ","HWKREPORT-981")</f>
        <v>HWKREPORT-981</v>
      </c>
      <c r="C2421" s="1" t="s">
        <v>3712</v>
      </c>
      <c r="D2421" s="1" t="s">
        <v>83</v>
      </c>
      <c r="E2421" s="1" t="s">
        <v>1057</v>
      </c>
      <c r="F2421" s="4">
        <v>44481.568125</v>
      </c>
      <c r="G2421" s="3" t="str">
        <f>HYPERLINK("https://hawk-eye.atlassian.net/browse/RTT-4404?atlOrigin=eyJpIjoiYzgwYTQ0ZjEyNzQzNGJhN2JmNjEyZTM0NmRhZWZhNjIiLCJwIjoic2hlZXRzLWppcmEifQ","RTT-4404")</f>
        <v>RTT-4404</v>
      </c>
      <c r="H2421" s="1" t="s">
        <v>1058</v>
      </c>
      <c r="I2421" s="1" t="s">
        <v>1085</v>
      </c>
      <c r="J2421" s="1" t="s">
        <v>26</v>
      </c>
      <c r="K2421" s="1" t="s">
        <v>1309</v>
      </c>
      <c r="L2421" s="1" t="s">
        <v>26</v>
      </c>
      <c r="M2421" s="1" t="s">
        <v>27</v>
      </c>
      <c r="N2421" s="1" t="s">
        <v>26</v>
      </c>
      <c r="O2421" s="1" t="s">
        <v>26</v>
      </c>
      <c r="P2421" s="4">
        <v>44481.568136574075</v>
      </c>
    </row>
    <row r="2422" hidden="1">
      <c r="A2422" s="1" t="s">
        <v>21</v>
      </c>
      <c r="B2422" s="3" t="str">
        <f>HYPERLINK("https://hawk-eye.atlassian.net/browse/HWKREPORT-982?atlOrigin=eyJpIjoiYzgwYTQ0ZjEyNzQzNGJhN2JmNjEyZTM0NmRhZWZhNjIiLCJwIjoic2hlZXRzLWppcmEifQ","HWKREPORT-982")</f>
        <v>HWKREPORT-982</v>
      </c>
      <c r="C2422" s="1" t="s">
        <v>3713</v>
      </c>
      <c r="D2422" s="1" t="s">
        <v>83</v>
      </c>
      <c r="E2422" s="1" t="s">
        <v>35</v>
      </c>
      <c r="F2422" s="4">
        <v>44481.59042824074</v>
      </c>
      <c r="G2422" s="3" t="str">
        <f>HYPERLINK("https://hawk-eye.atlassian.net/browse/AL-53?atlOrigin=eyJpIjoiYzgwYTQ0ZjEyNzQzNGJhN2JmNjEyZTM0NmRhZWZhNjIiLCJwIjoic2hlZXRzLWppcmEifQ","AL-53")</f>
        <v>AL-53</v>
      </c>
      <c r="H2422" s="1" t="s">
        <v>1058</v>
      </c>
      <c r="I2422" s="1" t="s">
        <v>1085</v>
      </c>
      <c r="J2422" s="1" t="s">
        <v>26</v>
      </c>
      <c r="K2422" s="1" t="s">
        <v>1143</v>
      </c>
      <c r="L2422" s="1" t="s">
        <v>26</v>
      </c>
      <c r="M2422" s="1" t="s">
        <v>27</v>
      </c>
      <c r="N2422" s="1" t="s">
        <v>26</v>
      </c>
      <c r="O2422" s="1" t="s">
        <v>26</v>
      </c>
      <c r="P2422" s="4">
        <v>44600.87482638889</v>
      </c>
    </row>
    <row r="2423" hidden="1">
      <c r="A2423" s="1" t="s">
        <v>21</v>
      </c>
      <c r="B2423" s="3" t="str">
        <f>HYPERLINK("https://hawk-eye.atlassian.net/browse/HWKREPORT-983?atlOrigin=eyJpIjoiYzgwYTQ0ZjEyNzQzNGJhN2JmNjEyZTM0NmRhZWZhNjIiLCJwIjoic2hlZXRzLWppcmEifQ","HWKREPORT-983")</f>
        <v>HWKREPORT-983</v>
      </c>
      <c r="C2423" s="1" t="s">
        <v>3714</v>
      </c>
      <c r="D2423" s="1" t="s">
        <v>23</v>
      </c>
      <c r="E2423" s="1" t="s">
        <v>35</v>
      </c>
      <c r="F2423" s="4">
        <v>44481.654074074075</v>
      </c>
      <c r="G2423" s="3" t="str">
        <f>HYPERLINK("https://hawk-eye.atlassian.net/browse/RTT-4407?atlOrigin=eyJpIjoiYzgwYTQ0ZjEyNzQzNGJhN2JmNjEyZTM0NmRhZWZhNjIiLCJwIjoic2hlZXRzLWppcmEifQ","RTT-4407")</f>
        <v>RTT-4407</v>
      </c>
      <c r="H2423" s="1" t="s">
        <v>1058</v>
      </c>
      <c r="I2423" s="1" t="s">
        <v>1071</v>
      </c>
      <c r="J2423" s="1" t="s">
        <v>26</v>
      </c>
      <c r="K2423" s="1" t="s">
        <v>1072</v>
      </c>
      <c r="L2423" s="1" t="s">
        <v>26</v>
      </c>
      <c r="M2423" s="1" t="s">
        <v>27</v>
      </c>
      <c r="N2423" s="1" t="s">
        <v>26</v>
      </c>
      <c r="O2423" s="1" t="s">
        <v>26</v>
      </c>
      <c r="P2423" s="4">
        <v>44600.87479166667</v>
      </c>
    </row>
    <row r="2424" hidden="1">
      <c r="A2424" s="1" t="s">
        <v>21</v>
      </c>
      <c r="B2424" s="3" t="str">
        <f>HYPERLINK("https://hawk-eye.atlassian.net/browse/HWKREPORT-984?atlOrigin=eyJpIjoiYzgwYTQ0ZjEyNzQzNGJhN2JmNjEyZTM0NmRhZWZhNjIiLCJwIjoic2hlZXRzLWppcmEifQ","HWKREPORT-984")</f>
        <v>HWKREPORT-984</v>
      </c>
      <c r="C2424" s="1" t="s">
        <v>3715</v>
      </c>
      <c r="D2424" s="1" t="s">
        <v>34</v>
      </c>
      <c r="E2424" s="1" t="s">
        <v>35</v>
      </c>
      <c r="F2424" s="4">
        <v>44482.47137731482</v>
      </c>
      <c r="G2424" s="3" t="str">
        <f>HYPERLINK("https://hawk-eye.atlassian.net/browse/CONFIG-650?atlOrigin=eyJpIjoiYzgwYTQ0ZjEyNzQzNGJhN2JmNjEyZTM0NmRhZWZhNjIiLCJwIjoic2hlZXRzLWppcmEifQ","CONFIG-650")</f>
        <v>CONFIG-650</v>
      </c>
      <c r="H2424" s="1" t="s">
        <v>1058</v>
      </c>
      <c r="I2424" s="1" t="s">
        <v>3716</v>
      </c>
      <c r="J2424" s="1" t="s">
        <v>26</v>
      </c>
      <c r="K2424" s="1" t="s">
        <v>1134</v>
      </c>
      <c r="L2424" s="1" t="s">
        <v>26</v>
      </c>
      <c r="M2424" s="1" t="s">
        <v>27</v>
      </c>
      <c r="N2424" s="1" t="s">
        <v>26</v>
      </c>
      <c r="O2424" s="1" t="s">
        <v>26</v>
      </c>
      <c r="P2424" s="4">
        <v>44600.87467592592</v>
      </c>
    </row>
    <row r="2425" hidden="1">
      <c r="A2425" s="1" t="s">
        <v>21</v>
      </c>
      <c r="B2425" s="3" t="str">
        <f>HYPERLINK("https://hawk-eye.atlassian.net/browse/HWKREPORT-985?atlOrigin=eyJpIjoiYzgwYTQ0ZjEyNzQzNGJhN2JmNjEyZTM0NmRhZWZhNjIiLCJwIjoic2hlZXRzLWppcmEifQ","HWKREPORT-985")</f>
        <v>HWKREPORT-985</v>
      </c>
      <c r="C2425" s="1" t="s">
        <v>3717</v>
      </c>
      <c r="D2425" s="1" t="s">
        <v>23</v>
      </c>
      <c r="E2425" s="1" t="s">
        <v>35</v>
      </c>
      <c r="F2425" s="4">
        <v>44483.61990740741</v>
      </c>
      <c r="G2425" s="3" t="str">
        <f>HYPERLINK("https://hawk-eye.atlassian.net/browse/BDP-675?atlOrigin=eyJpIjoiYzgwYTQ0ZjEyNzQzNGJhN2JmNjEyZTM0NmRhZWZhNjIiLCJwIjoic2hlZXRzLWppcmEifQ","BDP-675")</f>
        <v>BDP-675</v>
      </c>
      <c r="H2425" s="1" t="s">
        <v>1058</v>
      </c>
      <c r="I2425" s="1" t="s">
        <v>1071</v>
      </c>
      <c r="J2425" s="1" t="s">
        <v>26</v>
      </c>
      <c r="K2425" s="1" t="s">
        <v>1130</v>
      </c>
      <c r="L2425" s="1" t="s">
        <v>26</v>
      </c>
      <c r="M2425" s="1" t="s">
        <v>27</v>
      </c>
      <c r="N2425" s="1" t="s">
        <v>26</v>
      </c>
      <c r="O2425" s="1" t="s">
        <v>26</v>
      </c>
      <c r="P2425" s="4">
        <v>44670.94563657408</v>
      </c>
    </row>
    <row r="2426" hidden="1">
      <c r="A2426" s="1" t="s">
        <v>21</v>
      </c>
      <c r="B2426" s="3" t="str">
        <f>HYPERLINK("https://hawk-eye.atlassian.net/browse/HWKREPORT-986?atlOrigin=eyJpIjoiYzgwYTQ0ZjEyNzQzNGJhN2JmNjEyZTM0NmRhZWZhNjIiLCJwIjoic2hlZXRzLWppcmEifQ","HWKREPORT-986")</f>
        <v>HWKREPORT-986</v>
      </c>
      <c r="C2426" s="1" t="s">
        <v>3718</v>
      </c>
      <c r="D2426" s="1" t="s">
        <v>23</v>
      </c>
      <c r="E2426" s="1" t="s">
        <v>35</v>
      </c>
      <c r="F2426" s="4">
        <v>44484.52259259259</v>
      </c>
      <c r="G2426" s="3" t="str">
        <f>HYPERLINK("https://hawk-eye.atlassian.net/issues/?atlOrigin=eyJpIjoiYzgwYTQ0ZjEyNzQzNGJhN2JmNjEyZTM0NmRhZWZhNjIiLCJwIjoic2hlZXRzLWppcmEifQ&amp;jql=key+in+%28GT-795%2CCVR-74%29","GT-795;CVR-74")</f>
        <v>GT-795;CVR-74</v>
      </c>
      <c r="H2426" s="1" t="s">
        <v>1058</v>
      </c>
      <c r="I2426" s="1" t="s">
        <v>1082</v>
      </c>
      <c r="J2426" s="1" t="s">
        <v>26</v>
      </c>
      <c r="K2426" s="1" t="s">
        <v>3719</v>
      </c>
      <c r="L2426" s="1" t="s">
        <v>26</v>
      </c>
      <c r="M2426" s="1" t="s">
        <v>27</v>
      </c>
      <c r="N2426" s="1" t="s">
        <v>26</v>
      </c>
      <c r="O2426" s="1" t="s">
        <v>26</v>
      </c>
      <c r="P2426" s="4">
        <v>45616.71653935185</v>
      </c>
    </row>
    <row r="2427" hidden="1">
      <c r="A2427" s="1" t="s">
        <v>21</v>
      </c>
      <c r="B2427" s="3" t="str">
        <f>HYPERLINK("https://hawk-eye.atlassian.net/browse/HWKREPORT-987?atlOrigin=eyJpIjoiYzgwYTQ0ZjEyNzQzNGJhN2JmNjEyZTM0NmRhZWZhNjIiLCJwIjoic2hlZXRzLWppcmEifQ","HWKREPORT-987")</f>
        <v>HWKREPORT-987</v>
      </c>
      <c r="C2427" s="1" t="s">
        <v>3720</v>
      </c>
      <c r="D2427" s="1" t="s">
        <v>40</v>
      </c>
      <c r="E2427" s="1" t="s">
        <v>1057</v>
      </c>
      <c r="F2427" s="4">
        <v>44484.647511574076</v>
      </c>
      <c r="G2427" s="3" t="str">
        <f>HYPERLINK("https://hawk-eye.atlassian.net/browse/GT-343?atlOrigin=eyJpIjoiYzgwYTQ0ZjEyNzQzNGJhN2JmNjEyZTM0NmRhZWZhNjIiLCJwIjoic2hlZXRzLWppcmEifQ","GT-343")</f>
        <v>GT-343</v>
      </c>
      <c r="H2427" s="1" t="s">
        <v>1058</v>
      </c>
      <c r="I2427" s="1" t="s">
        <v>1126</v>
      </c>
      <c r="J2427" s="1" t="s">
        <v>26</v>
      </c>
      <c r="K2427" s="1" t="s">
        <v>1211</v>
      </c>
      <c r="L2427" s="1" t="s">
        <v>26</v>
      </c>
      <c r="M2427" s="1" t="s">
        <v>27</v>
      </c>
      <c r="N2427" s="1" t="s">
        <v>26</v>
      </c>
      <c r="O2427" s="1" t="s">
        <v>26</v>
      </c>
      <c r="P2427" s="4">
        <v>44484.64753472222</v>
      </c>
    </row>
    <row r="2428" hidden="1">
      <c r="A2428" s="1" t="s">
        <v>21</v>
      </c>
      <c r="B2428" s="3" t="str">
        <f>HYPERLINK("https://hawk-eye.atlassian.net/browse/HWKREPORT-988?atlOrigin=eyJpIjoiYzgwYTQ0ZjEyNzQzNGJhN2JmNjEyZTM0NmRhZWZhNjIiLCJwIjoic2hlZXRzLWppcmEifQ","HWKREPORT-988")</f>
        <v>HWKREPORT-988</v>
      </c>
      <c r="C2428" s="1" t="s">
        <v>3721</v>
      </c>
      <c r="D2428" s="1" t="s">
        <v>34</v>
      </c>
      <c r="E2428" s="1" t="s">
        <v>35</v>
      </c>
      <c r="F2428" s="4">
        <v>44486.7287037037</v>
      </c>
      <c r="G2428" s="3" t="str">
        <f>HYPERLINK("https://hawk-eye.atlassian.net/browse/VIEWER-1685?atlOrigin=eyJpIjoiYzgwYTQ0ZjEyNzQzNGJhN2JmNjEyZTM0NmRhZWZhNjIiLCJwIjoic2hlZXRzLWppcmEifQ","VIEWER-1685")</f>
        <v>VIEWER-1685</v>
      </c>
      <c r="H2428" s="1" t="s">
        <v>1058</v>
      </c>
      <c r="I2428" s="1" t="s">
        <v>1085</v>
      </c>
      <c r="J2428" s="1" t="s">
        <v>26</v>
      </c>
      <c r="K2428" s="1" t="s">
        <v>1116</v>
      </c>
      <c r="L2428" s="1" t="s">
        <v>26</v>
      </c>
      <c r="M2428" s="1" t="s">
        <v>27</v>
      </c>
      <c r="N2428" s="1" t="s">
        <v>26</v>
      </c>
      <c r="O2428" s="1" t="s">
        <v>26</v>
      </c>
      <c r="P2428" s="4">
        <v>44489.50530092593</v>
      </c>
    </row>
    <row r="2429" hidden="1">
      <c r="A2429" s="1" t="s">
        <v>1055</v>
      </c>
      <c r="B2429" s="3" t="str">
        <f>HYPERLINK("https://hawk-eye.atlassian.net/browse/HWKREPORT-989?atlOrigin=eyJpIjoiYzgwYTQ0ZjEyNzQzNGJhN2JmNjEyZTM0NmRhZWZhNjIiLCJwIjoic2hlZXRzLWppcmEifQ","HWKREPORT-989")</f>
        <v>HWKREPORT-989</v>
      </c>
      <c r="C2429" s="1" t="s">
        <v>3722</v>
      </c>
      <c r="D2429" s="1" t="s">
        <v>23</v>
      </c>
      <c r="E2429" s="1" t="s">
        <v>35</v>
      </c>
      <c r="F2429" s="4">
        <v>44487.40895833333</v>
      </c>
      <c r="G2429" s="3" t="str">
        <f>HYPERLINK("https://hawk-eye.atlassian.net/browse/GT-341?atlOrigin=eyJpIjoiYzgwYTQ0ZjEyNzQzNGJhN2JmNjEyZTM0NmRhZWZhNjIiLCJwIjoic2hlZXRzLWppcmEifQ","GT-341")</f>
        <v>GT-341</v>
      </c>
      <c r="H2429" s="1" t="s">
        <v>1058</v>
      </c>
      <c r="I2429" s="1" t="s">
        <v>1082</v>
      </c>
      <c r="J2429" s="1" t="s">
        <v>26</v>
      </c>
      <c r="K2429" s="1" t="s">
        <v>26</v>
      </c>
      <c r="L2429" s="1" t="s">
        <v>26</v>
      </c>
      <c r="M2429" s="1" t="s">
        <v>27</v>
      </c>
      <c r="N2429" s="1" t="s">
        <v>26</v>
      </c>
      <c r="O2429" s="1" t="s">
        <v>26</v>
      </c>
      <c r="P2429" s="4">
        <v>44655.65699074074</v>
      </c>
    </row>
    <row r="2430" hidden="1">
      <c r="A2430" s="1" t="s">
        <v>1055</v>
      </c>
      <c r="B2430" s="3" t="str">
        <f>HYPERLINK("https://hawk-eye.atlassian.net/browse/HWKREPORT-990?atlOrigin=eyJpIjoiYzgwYTQ0ZjEyNzQzNGJhN2JmNjEyZTM0NmRhZWZhNjIiLCJwIjoic2hlZXRzLWppcmEifQ","HWKREPORT-990")</f>
        <v>HWKREPORT-990</v>
      </c>
      <c r="C2430" s="1" t="s">
        <v>3723</v>
      </c>
      <c r="D2430" s="1" t="s">
        <v>23</v>
      </c>
      <c r="E2430" s="1" t="s">
        <v>35</v>
      </c>
      <c r="F2430" s="4">
        <v>44487.61168981482</v>
      </c>
      <c r="G2430" s="3" t="str">
        <f>HYPERLINK("https://hawk-eye.atlassian.net/browse/?atlOrigin=eyJpIjoiYzgwYTQ0ZjEyNzQzNGJhN2JmNjEyZTM0NmRhZWZhNjIiLCJwIjoic2hlZXRzLWppcmEifQ","")</f>
        <v/>
      </c>
      <c r="H2430" s="1" t="s">
        <v>1058</v>
      </c>
      <c r="I2430" s="1" t="s">
        <v>1085</v>
      </c>
      <c r="J2430" s="1" t="s">
        <v>26</v>
      </c>
      <c r="K2430" s="1" t="s">
        <v>1362</v>
      </c>
      <c r="L2430" s="1" t="s">
        <v>26</v>
      </c>
      <c r="M2430" s="1" t="s">
        <v>27</v>
      </c>
      <c r="N2430" s="1" t="s">
        <v>26</v>
      </c>
      <c r="O2430" s="1" t="s">
        <v>26</v>
      </c>
      <c r="P2430" s="4">
        <v>44488.43440972222</v>
      </c>
    </row>
    <row r="2431" hidden="1">
      <c r="A2431" s="1" t="s">
        <v>1055</v>
      </c>
      <c r="B2431" s="3" t="str">
        <f>HYPERLINK("https://hawk-eye.atlassian.net/browse/HWKREPORT-991?atlOrigin=eyJpIjoiYzgwYTQ0ZjEyNzQzNGJhN2JmNjEyZTM0NmRhZWZhNjIiLCJwIjoic2hlZXRzLWppcmEifQ","HWKREPORT-991")</f>
        <v>HWKREPORT-991</v>
      </c>
      <c r="C2431" s="1" t="s">
        <v>3724</v>
      </c>
      <c r="D2431" s="1" t="s">
        <v>23</v>
      </c>
      <c r="E2431" s="1" t="s">
        <v>35</v>
      </c>
      <c r="F2431" s="4">
        <v>44488.35428240741</v>
      </c>
      <c r="G2431" s="3" t="str">
        <f>HYPERLINK("https://hawk-eye.atlassian.net/browse/RTT-4420?atlOrigin=eyJpIjoiYzgwYTQ0ZjEyNzQzNGJhN2JmNjEyZTM0NmRhZWZhNjIiLCJwIjoic2hlZXRzLWppcmEifQ","RTT-4420")</f>
        <v>RTT-4420</v>
      </c>
      <c r="H2431" s="1" t="s">
        <v>1058</v>
      </c>
      <c r="I2431" s="1" t="s">
        <v>1085</v>
      </c>
      <c r="J2431" s="1" t="s">
        <v>26</v>
      </c>
      <c r="K2431" s="1" t="s">
        <v>1362</v>
      </c>
      <c r="L2431" s="1" t="s">
        <v>26</v>
      </c>
      <c r="M2431" s="1" t="s">
        <v>27</v>
      </c>
      <c r="N2431" s="1" t="s">
        <v>26</v>
      </c>
      <c r="O2431" s="1" t="s">
        <v>26</v>
      </c>
      <c r="P2431" s="4">
        <v>44712.45107638889</v>
      </c>
    </row>
    <row r="2432" hidden="1">
      <c r="A2432" s="1" t="s">
        <v>1055</v>
      </c>
      <c r="B2432" s="3" t="str">
        <f>HYPERLINK("https://hawk-eye.atlassian.net/browse/HWKREPORT-992?atlOrigin=eyJpIjoiYzgwYTQ0ZjEyNzQzNGJhN2JmNjEyZTM0NmRhZWZhNjIiLCJwIjoic2hlZXRzLWppcmEifQ","HWKREPORT-992")</f>
        <v>HWKREPORT-992</v>
      </c>
      <c r="C2432" s="1" t="s">
        <v>3725</v>
      </c>
      <c r="D2432" s="1" t="s">
        <v>23</v>
      </c>
      <c r="E2432" s="1" t="s">
        <v>35</v>
      </c>
      <c r="F2432" s="4">
        <v>44488.35525462963</v>
      </c>
      <c r="G2432" s="3" t="str">
        <f>HYPERLINK("https://hawk-eye.atlassian.net/browse/RTT-4419?atlOrigin=eyJpIjoiYzgwYTQ0ZjEyNzQzNGJhN2JmNjEyZTM0NmRhZWZhNjIiLCJwIjoic2hlZXRzLWppcmEifQ","RTT-4419")</f>
        <v>RTT-4419</v>
      </c>
      <c r="H2432" s="1" t="s">
        <v>1058</v>
      </c>
      <c r="I2432" s="1" t="s">
        <v>1085</v>
      </c>
      <c r="J2432" s="1" t="s">
        <v>26</v>
      </c>
      <c r="K2432" s="1" t="s">
        <v>1362</v>
      </c>
      <c r="L2432" s="1" t="s">
        <v>26</v>
      </c>
      <c r="M2432" s="1" t="s">
        <v>27</v>
      </c>
      <c r="N2432" s="1" t="s">
        <v>26</v>
      </c>
      <c r="O2432" s="1" t="s">
        <v>26</v>
      </c>
      <c r="P2432" s="4">
        <v>44712.45133101852</v>
      </c>
    </row>
    <row r="2433" hidden="1">
      <c r="A2433" s="1" t="s">
        <v>1055</v>
      </c>
      <c r="B2433" s="3" t="str">
        <f>HYPERLINK("https://hawk-eye.atlassian.net/browse/HWKREPORT-993?atlOrigin=eyJpIjoiYzgwYTQ0ZjEyNzQzNGJhN2JmNjEyZTM0NmRhZWZhNjIiLCJwIjoic2hlZXRzLWppcmEifQ","HWKREPORT-993")</f>
        <v>HWKREPORT-993</v>
      </c>
      <c r="C2433" s="1" t="s">
        <v>3726</v>
      </c>
      <c r="D2433" s="1" t="s">
        <v>23</v>
      </c>
      <c r="E2433" s="1" t="s">
        <v>35</v>
      </c>
      <c r="F2433" s="4">
        <v>44489.70465277778</v>
      </c>
      <c r="G2433" s="3" t="str">
        <f>HYPERLINK("https://hawk-eye.atlassian.net/browse/RTT-4422?atlOrigin=eyJpIjoiYzgwYTQ0ZjEyNzQzNGJhN2JmNjEyZTM0NmRhZWZhNjIiLCJwIjoic2hlZXRzLWppcmEifQ","RTT-4422")</f>
        <v>RTT-4422</v>
      </c>
      <c r="H2433" s="1" t="s">
        <v>1058</v>
      </c>
      <c r="I2433" s="1" t="s">
        <v>28</v>
      </c>
      <c r="J2433" s="1" t="s">
        <v>26</v>
      </c>
      <c r="K2433" s="1" t="s">
        <v>1072</v>
      </c>
      <c r="L2433" s="1" t="s">
        <v>26</v>
      </c>
      <c r="M2433" s="1" t="s">
        <v>27</v>
      </c>
      <c r="N2433" s="1" t="s">
        <v>26</v>
      </c>
      <c r="O2433" s="1" t="s">
        <v>26</v>
      </c>
      <c r="P2433" s="4">
        <v>44582.43884259259</v>
      </c>
    </row>
    <row r="2434" hidden="1">
      <c r="A2434" s="1" t="s">
        <v>1055</v>
      </c>
      <c r="B2434" s="3" t="str">
        <f>HYPERLINK("https://hawk-eye.atlassian.net/browse/HWKREPORT-994?atlOrigin=eyJpIjoiYzgwYTQ0ZjEyNzQzNGJhN2JmNjEyZTM0NmRhZWZhNjIiLCJwIjoic2hlZXRzLWppcmEifQ","HWKREPORT-994")</f>
        <v>HWKREPORT-994</v>
      </c>
      <c r="C2434" s="1" t="s">
        <v>3727</v>
      </c>
      <c r="D2434" s="1" t="s">
        <v>23</v>
      </c>
      <c r="E2434" s="1" t="s">
        <v>35</v>
      </c>
      <c r="F2434" s="4">
        <v>44491.50386574074</v>
      </c>
      <c r="G2434" s="3" t="str">
        <f>HYPERLINK("https://hawk-eye.atlassian.net/browse/?atlOrigin=eyJpIjoiYzgwYTQ0ZjEyNzQzNGJhN2JmNjEyZTM0NmRhZWZhNjIiLCJwIjoic2hlZXRzLWppcmEifQ","")</f>
        <v/>
      </c>
      <c r="H2434" s="1" t="s">
        <v>1058</v>
      </c>
      <c r="I2434" s="1" t="s">
        <v>3623</v>
      </c>
      <c r="J2434" s="1" t="s">
        <v>26</v>
      </c>
      <c r="K2434" s="1" t="s">
        <v>26</v>
      </c>
      <c r="L2434" s="1" t="s">
        <v>26</v>
      </c>
      <c r="M2434" s="1" t="s">
        <v>27</v>
      </c>
      <c r="N2434" s="1" t="s">
        <v>26</v>
      </c>
      <c r="O2434" s="1" t="s">
        <v>26</v>
      </c>
      <c r="P2434" s="4">
        <v>44711.75219907407</v>
      </c>
    </row>
    <row r="2435" hidden="1">
      <c r="A2435" s="1" t="s">
        <v>1055</v>
      </c>
      <c r="B2435" s="3" t="str">
        <f>HYPERLINK("https://hawk-eye.atlassian.net/browse/HWKREPORT-995?atlOrigin=eyJpIjoiYzgwYTQ0ZjEyNzQzNGJhN2JmNjEyZTM0NmRhZWZhNjIiLCJwIjoic2hlZXRzLWppcmEifQ","HWKREPORT-995")</f>
        <v>HWKREPORT-995</v>
      </c>
      <c r="C2435" s="1" t="s">
        <v>3728</v>
      </c>
      <c r="D2435" s="1" t="s">
        <v>23</v>
      </c>
      <c r="E2435" s="1" t="s">
        <v>1207</v>
      </c>
      <c r="F2435" s="4">
        <v>44491.79038194445</v>
      </c>
      <c r="G2435" s="3" t="str">
        <f>HYPERLINK("https://hawk-eye.atlassian.net/browse/RTT-4430?atlOrigin=eyJpIjoiYzgwYTQ0ZjEyNzQzNGJhN2JmNjEyZTM0NmRhZWZhNjIiLCJwIjoic2hlZXRzLWppcmEifQ","RTT-4430")</f>
        <v>RTT-4430</v>
      </c>
      <c r="H2435" s="1" t="s">
        <v>1058</v>
      </c>
      <c r="I2435" s="1" t="s">
        <v>1071</v>
      </c>
      <c r="J2435" s="1" t="s">
        <v>26</v>
      </c>
      <c r="K2435" s="1" t="s">
        <v>1309</v>
      </c>
      <c r="L2435" s="1" t="s">
        <v>26</v>
      </c>
      <c r="M2435" s="1" t="s">
        <v>27</v>
      </c>
      <c r="N2435" s="1" t="s">
        <v>26</v>
      </c>
      <c r="O2435" s="1" t="s">
        <v>26</v>
      </c>
      <c r="P2435" s="4">
        <v>44929.4184837963</v>
      </c>
    </row>
    <row r="2436" hidden="1">
      <c r="A2436" s="1" t="s">
        <v>1055</v>
      </c>
      <c r="B2436" s="3" t="str">
        <f>HYPERLINK("https://hawk-eye.atlassian.net/browse/HWKREPORT-996?atlOrigin=eyJpIjoiYzgwYTQ0ZjEyNzQzNGJhN2JmNjEyZTM0NmRhZWZhNjIiLCJwIjoic2hlZXRzLWppcmEifQ","HWKREPORT-996")</f>
        <v>HWKREPORT-996</v>
      </c>
      <c r="C2436" s="1" t="s">
        <v>3729</v>
      </c>
      <c r="D2436" s="1" t="s">
        <v>23</v>
      </c>
      <c r="E2436" s="1" t="s">
        <v>35</v>
      </c>
      <c r="F2436" s="4">
        <v>44494.41780092593</v>
      </c>
      <c r="G2436" s="3" t="str">
        <f>HYPERLINK("https://hawk-eye.atlassian.net/browse/LOG-13?atlOrigin=eyJpIjoiYzgwYTQ0ZjEyNzQzNGJhN2JmNjEyZTM0NmRhZWZhNjIiLCJwIjoic2hlZXRzLWppcmEifQ","LOG-13")</f>
        <v>LOG-13</v>
      </c>
      <c r="H2436" s="1" t="s">
        <v>1058</v>
      </c>
      <c r="I2436" s="1" t="s">
        <v>1082</v>
      </c>
      <c r="J2436" s="1" t="s">
        <v>26</v>
      </c>
      <c r="K2436" s="1" t="s">
        <v>2423</v>
      </c>
      <c r="L2436" s="1" t="s">
        <v>26</v>
      </c>
      <c r="M2436" s="1" t="s">
        <v>27</v>
      </c>
      <c r="N2436" s="1" t="s">
        <v>26</v>
      </c>
      <c r="O2436" s="1" t="s">
        <v>26</v>
      </c>
      <c r="P2436" s="4">
        <v>44602.73652777778</v>
      </c>
    </row>
    <row r="2437" hidden="1">
      <c r="A2437" s="1" t="s">
        <v>21</v>
      </c>
      <c r="B2437" s="3" t="str">
        <f>HYPERLINK("https://hawk-eye.atlassian.net/browse/HWKREPORT-997?atlOrigin=eyJpIjoiYzgwYTQ0ZjEyNzQzNGJhN2JmNjEyZTM0NmRhZWZhNjIiLCJwIjoic2hlZXRzLWppcmEifQ","HWKREPORT-997")</f>
        <v>HWKREPORT-997</v>
      </c>
      <c r="C2437" s="1" t="s">
        <v>3730</v>
      </c>
      <c r="D2437" s="1" t="s">
        <v>23</v>
      </c>
      <c r="E2437" s="1" t="s">
        <v>35</v>
      </c>
      <c r="F2437" s="4">
        <v>44494.72961805556</v>
      </c>
      <c r="G2437" s="3" t="str">
        <f>HYPERLINK("https://hawk-eye.atlassian.net/browse/BDP-446?atlOrigin=eyJpIjoiYzgwYTQ0ZjEyNzQzNGJhN2JmNjEyZTM0NmRhZWZhNjIiLCJwIjoic2hlZXRzLWppcmEifQ","BDP-446")</f>
        <v>BDP-446</v>
      </c>
      <c r="H2437" s="1" t="s">
        <v>1058</v>
      </c>
      <c r="I2437" s="1" t="s">
        <v>1071</v>
      </c>
      <c r="J2437" s="1" t="s">
        <v>26</v>
      </c>
      <c r="K2437" s="1" t="s">
        <v>1130</v>
      </c>
      <c r="L2437" s="1" t="s">
        <v>26</v>
      </c>
      <c r="M2437" s="1" t="s">
        <v>27</v>
      </c>
      <c r="N2437" s="1" t="s">
        <v>26</v>
      </c>
      <c r="O2437" s="1" t="s">
        <v>26</v>
      </c>
      <c r="P2437" s="4">
        <v>44501.76221064815</v>
      </c>
    </row>
    <row r="2438" hidden="1">
      <c r="A2438" s="1" t="s">
        <v>21</v>
      </c>
      <c r="B2438" s="3" t="str">
        <f>HYPERLINK("https://hawk-eye.atlassian.net/browse/HWKREPORT-998?atlOrigin=eyJpIjoiYzgwYTQ0ZjEyNzQzNGJhN2JmNjEyZTM0NmRhZWZhNjIiLCJwIjoic2hlZXRzLWppcmEifQ","HWKREPORT-998")</f>
        <v>HWKREPORT-998</v>
      </c>
      <c r="C2438" s="1" t="s">
        <v>3731</v>
      </c>
      <c r="D2438" s="1" t="s">
        <v>23</v>
      </c>
      <c r="E2438" s="1" t="s">
        <v>35</v>
      </c>
      <c r="F2438" s="4">
        <v>44494.76695601852</v>
      </c>
      <c r="G2438" s="3" t="str">
        <f>HYPERLINK("https://hawk-eye.atlassian.net/browse/BDP-447?atlOrigin=eyJpIjoiYzgwYTQ0ZjEyNzQzNGJhN2JmNjEyZTM0NmRhZWZhNjIiLCJwIjoic2hlZXRzLWppcmEifQ","BDP-447")</f>
        <v>BDP-447</v>
      </c>
      <c r="H2438" s="1" t="s">
        <v>1058</v>
      </c>
      <c r="I2438" s="1" t="s">
        <v>1071</v>
      </c>
      <c r="J2438" s="1" t="s">
        <v>26</v>
      </c>
      <c r="K2438" s="1" t="s">
        <v>1130</v>
      </c>
      <c r="L2438" s="1" t="s">
        <v>26</v>
      </c>
      <c r="M2438" s="1" t="s">
        <v>27</v>
      </c>
      <c r="N2438" s="1" t="s">
        <v>26</v>
      </c>
      <c r="O2438" s="1" t="s">
        <v>26</v>
      </c>
      <c r="P2438" s="4">
        <v>44669.636655092596</v>
      </c>
    </row>
    <row r="2439" hidden="1">
      <c r="A2439" s="1" t="s">
        <v>1055</v>
      </c>
      <c r="B2439" s="3" t="str">
        <f>HYPERLINK("https://hawk-eye.atlassian.net/browse/HWKREPORT-999?atlOrigin=eyJpIjoiYzgwYTQ0ZjEyNzQzNGJhN2JmNjEyZTM0NmRhZWZhNjIiLCJwIjoic2hlZXRzLWppcmEifQ","HWKREPORT-999")</f>
        <v>HWKREPORT-999</v>
      </c>
      <c r="C2439" s="1" t="s">
        <v>3732</v>
      </c>
      <c r="D2439" s="1" t="s">
        <v>23</v>
      </c>
      <c r="E2439" s="1" t="s">
        <v>1207</v>
      </c>
      <c r="F2439" s="4">
        <v>44494.77166666667</v>
      </c>
      <c r="G2439" s="3" t="str">
        <f>HYPERLINK("https://hawk-eye.atlassian.net/browse/RTT-4442?atlOrigin=eyJpIjoiYzgwYTQ0ZjEyNzQzNGJhN2JmNjEyZTM0NmRhZWZhNjIiLCJwIjoic2hlZXRzLWppcmEifQ","RTT-4442")</f>
        <v>RTT-4442</v>
      </c>
      <c r="H2439" s="1" t="s">
        <v>1058</v>
      </c>
      <c r="I2439" s="1" t="s">
        <v>1071</v>
      </c>
      <c r="J2439" s="1" t="s">
        <v>26</v>
      </c>
      <c r="K2439" s="1" t="s">
        <v>1312</v>
      </c>
      <c r="L2439" s="1" t="s">
        <v>26</v>
      </c>
      <c r="M2439" s="1" t="s">
        <v>27</v>
      </c>
      <c r="N2439" s="1" t="s">
        <v>26</v>
      </c>
      <c r="O2439" s="1" t="s">
        <v>26</v>
      </c>
      <c r="P2439" s="4">
        <v>44929.4184837963</v>
      </c>
    </row>
    <row r="2440" hidden="1">
      <c r="A2440" s="1" t="s">
        <v>1055</v>
      </c>
      <c r="B2440" s="3" t="str">
        <f>HYPERLINK("https://hawk-eye.atlassian.net/browse/HWKREPORT-1000?atlOrigin=eyJpIjoiYzgwYTQ0ZjEyNzQzNGJhN2JmNjEyZTM0NmRhZWZhNjIiLCJwIjoic2hlZXRzLWppcmEifQ","HWKREPORT-1000")</f>
        <v>HWKREPORT-1000</v>
      </c>
      <c r="C2440" s="1" t="s">
        <v>3733</v>
      </c>
      <c r="D2440" s="1" t="s">
        <v>23</v>
      </c>
      <c r="E2440" s="1" t="s">
        <v>35</v>
      </c>
      <c r="F2440" s="4">
        <v>44495.48142361111</v>
      </c>
      <c r="G2440" s="3" t="str">
        <f>HYPERLINK("https://hawk-eye.atlassian.net/browse/AL-49?atlOrigin=eyJpIjoiYzgwYTQ0ZjEyNzQzNGJhN2JmNjEyZTM0NmRhZWZhNjIiLCJwIjoic2hlZXRzLWppcmEifQ","AL-49")</f>
        <v>AL-49</v>
      </c>
      <c r="H2440" s="1" t="s">
        <v>1058</v>
      </c>
      <c r="I2440" s="1" t="s">
        <v>1085</v>
      </c>
      <c r="J2440" s="1" t="s">
        <v>26</v>
      </c>
      <c r="K2440" s="1" t="s">
        <v>2299</v>
      </c>
      <c r="L2440" s="1" t="s">
        <v>26</v>
      </c>
      <c r="M2440" s="1" t="s">
        <v>27</v>
      </c>
      <c r="N2440" s="1" t="s">
        <v>26</v>
      </c>
      <c r="O2440" s="1" t="s">
        <v>26</v>
      </c>
      <c r="P2440" s="4">
        <v>44600.87472222222</v>
      </c>
    </row>
    <row r="2441" hidden="1">
      <c r="A2441" s="1" t="s">
        <v>1055</v>
      </c>
      <c r="B2441" s="3" t="str">
        <f>HYPERLINK("https://hawk-eye.atlassian.net/browse/HWKREPORT-1001?atlOrigin=eyJpIjoiYzgwYTQ0ZjEyNzQzNGJhN2JmNjEyZTM0NmRhZWZhNjIiLCJwIjoic2hlZXRzLWppcmEifQ","HWKREPORT-1001")</f>
        <v>HWKREPORT-1001</v>
      </c>
      <c r="C2441" s="1" t="s">
        <v>3734</v>
      </c>
      <c r="D2441" s="1" t="s">
        <v>23</v>
      </c>
      <c r="E2441" s="1" t="s">
        <v>35</v>
      </c>
      <c r="F2441" s="4">
        <v>44495.55850694444</v>
      </c>
      <c r="G2441" s="3" t="str">
        <f>HYPERLINK("https://hawk-eye.atlassian.net/browse/RTT-4438?atlOrigin=eyJpIjoiYzgwYTQ0ZjEyNzQzNGJhN2JmNjEyZTM0NmRhZWZhNjIiLCJwIjoic2hlZXRzLWppcmEifQ","RTT-4438")</f>
        <v>RTT-4438</v>
      </c>
      <c r="H2441" s="1" t="s">
        <v>1058</v>
      </c>
      <c r="I2441" s="1" t="s">
        <v>1085</v>
      </c>
      <c r="J2441" s="1" t="s">
        <v>26</v>
      </c>
      <c r="K2441" s="1" t="s">
        <v>1072</v>
      </c>
      <c r="L2441" s="1" t="s">
        <v>26</v>
      </c>
      <c r="M2441" s="1" t="s">
        <v>27</v>
      </c>
      <c r="N2441" s="1" t="s">
        <v>26</v>
      </c>
      <c r="O2441" s="1" t="s">
        <v>26</v>
      </c>
      <c r="P2441" s="4">
        <v>44634.46261574074</v>
      </c>
    </row>
    <row r="2442" hidden="1">
      <c r="A2442" s="1" t="s">
        <v>21</v>
      </c>
      <c r="B2442" s="3" t="str">
        <f>HYPERLINK("https://hawk-eye.atlassian.net/browse/HWKREPORT-1002?atlOrigin=eyJpIjoiYzgwYTQ0ZjEyNzQzNGJhN2JmNjEyZTM0NmRhZWZhNjIiLCJwIjoic2hlZXRzLWppcmEifQ","HWKREPORT-1002")</f>
        <v>HWKREPORT-1002</v>
      </c>
      <c r="C2442" s="1" t="s">
        <v>3735</v>
      </c>
      <c r="D2442" s="1" t="s">
        <v>40</v>
      </c>
      <c r="E2442" s="1" t="s">
        <v>35</v>
      </c>
      <c r="F2442" s="4">
        <v>44495.57950231482</v>
      </c>
      <c r="G2442" s="3" t="str">
        <f>HYPERLINK("https://hawk-eye.atlassian.net/browse/CONFIG-653?atlOrigin=eyJpIjoiYzgwYTQ0ZjEyNzQzNGJhN2JmNjEyZTM0NmRhZWZhNjIiLCJwIjoic2hlZXRzLWppcmEifQ","CONFIG-653")</f>
        <v>CONFIG-653</v>
      </c>
      <c r="H2442" s="1" t="s">
        <v>1058</v>
      </c>
      <c r="I2442" s="1" t="s">
        <v>1085</v>
      </c>
      <c r="J2442" s="1" t="s">
        <v>26</v>
      </c>
      <c r="K2442" s="1" t="s">
        <v>1134</v>
      </c>
      <c r="L2442" s="1" t="s">
        <v>26</v>
      </c>
      <c r="M2442" s="1" t="s">
        <v>27</v>
      </c>
      <c r="N2442" s="1" t="s">
        <v>26</v>
      </c>
      <c r="O2442" s="1" t="s">
        <v>26</v>
      </c>
      <c r="P2442" s="4">
        <v>44600.874710648146</v>
      </c>
    </row>
    <row r="2443" hidden="1">
      <c r="A2443" s="1" t="s">
        <v>1055</v>
      </c>
      <c r="B2443" s="3" t="str">
        <f>HYPERLINK("https://hawk-eye.atlassian.net/browse/HWKREPORT-1003?atlOrigin=eyJpIjoiYzgwYTQ0ZjEyNzQzNGJhN2JmNjEyZTM0NmRhZWZhNjIiLCJwIjoic2hlZXRzLWppcmEifQ","HWKREPORT-1003")</f>
        <v>HWKREPORT-1003</v>
      </c>
      <c r="C2443" s="1" t="s">
        <v>3736</v>
      </c>
      <c r="D2443" s="1" t="s">
        <v>23</v>
      </c>
      <c r="E2443" s="1" t="s">
        <v>1057</v>
      </c>
      <c r="F2443" s="4">
        <v>44498.67508101852</v>
      </c>
      <c r="G2443" s="3" t="str">
        <f>HYPERLINK("https://hawk-eye.atlassian.net/browse/RTT-4679?atlOrigin=eyJpIjoiYzgwYTQ0ZjEyNzQzNGJhN2JmNjEyZTM0NmRhZWZhNjIiLCJwIjoic2hlZXRzLWppcmEifQ","RTT-4679")</f>
        <v>RTT-4679</v>
      </c>
      <c r="H2443" s="1" t="s">
        <v>1058</v>
      </c>
      <c r="I2443" s="1" t="s">
        <v>1071</v>
      </c>
      <c r="J2443" s="1" t="s">
        <v>26</v>
      </c>
      <c r="K2443" s="1" t="s">
        <v>1072</v>
      </c>
      <c r="L2443" s="1" t="s">
        <v>26</v>
      </c>
      <c r="M2443" s="1" t="s">
        <v>27</v>
      </c>
      <c r="N2443" s="1" t="s">
        <v>26</v>
      </c>
      <c r="O2443" s="1" t="s">
        <v>26</v>
      </c>
      <c r="P2443" s="4">
        <v>44498.675092592595</v>
      </c>
    </row>
    <row r="2444" hidden="1">
      <c r="A2444" s="1" t="s">
        <v>21</v>
      </c>
      <c r="B2444" s="3" t="str">
        <f>HYPERLINK("https://hawk-eye.atlassian.net/browse/HWKREPORT-1004?atlOrigin=eyJpIjoiYzgwYTQ0ZjEyNzQzNGJhN2JmNjEyZTM0NmRhZWZhNjIiLCJwIjoic2hlZXRzLWppcmEifQ","HWKREPORT-1004")</f>
        <v>HWKREPORT-1004</v>
      </c>
      <c r="C2444" s="1" t="s">
        <v>3737</v>
      </c>
      <c r="D2444" s="1" t="s">
        <v>23</v>
      </c>
      <c r="E2444" s="1" t="s">
        <v>1057</v>
      </c>
      <c r="F2444" s="4">
        <v>44498.68475694444</v>
      </c>
      <c r="G2444" s="3" t="str">
        <f t="shared" ref="G2444:G2446" si="170">HYPERLINK("https://hawk-eye.atlassian.net/browse/?atlOrigin=eyJpIjoiYzgwYTQ0ZjEyNzQzNGJhN2JmNjEyZTM0NmRhZWZhNjIiLCJwIjoic2hlZXRzLWppcmEifQ","")</f>
        <v/>
      </c>
      <c r="H2444" s="1" t="s">
        <v>1058</v>
      </c>
      <c r="I2444" s="1" t="s">
        <v>1085</v>
      </c>
      <c r="J2444" s="1" t="s">
        <v>26</v>
      </c>
      <c r="K2444" s="1" t="s">
        <v>1072</v>
      </c>
      <c r="L2444" s="1" t="s">
        <v>26</v>
      </c>
      <c r="M2444" s="1" t="s">
        <v>27</v>
      </c>
      <c r="N2444" s="1" t="s">
        <v>26</v>
      </c>
      <c r="O2444" s="1" t="s">
        <v>26</v>
      </c>
      <c r="P2444" s="4">
        <v>44498.68475694444</v>
      </c>
    </row>
    <row r="2445" hidden="1">
      <c r="A2445" s="1" t="s">
        <v>21</v>
      </c>
      <c r="B2445" s="3" t="str">
        <f>HYPERLINK("https://hawk-eye.atlassian.net/browse/HWKREPORT-1005?atlOrigin=eyJpIjoiYzgwYTQ0ZjEyNzQzNGJhN2JmNjEyZTM0NmRhZWZhNjIiLCJwIjoic2hlZXRzLWppcmEifQ","HWKREPORT-1005")</f>
        <v>HWKREPORT-1005</v>
      </c>
      <c r="C2445" s="1" t="s">
        <v>3738</v>
      </c>
      <c r="D2445" s="1" t="s">
        <v>23</v>
      </c>
      <c r="E2445" s="1" t="s">
        <v>35</v>
      </c>
      <c r="F2445" s="4">
        <v>44498.79987268519</v>
      </c>
      <c r="G2445" s="3" t="str">
        <f t="shared" si="170"/>
        <v/>
      </c>
      <c r="H2445" s="1" t="s">
        <v>1058</v>
      </c>
      <c r="I2445" s="1" t="s">
        <v>1082</v>
      </c>
      <c r="J2445" s="1" t="s">
        <v>26</v>
      </c>
      <c r="K2445" s="1" t="s">
        <v>1083</v>
      </c>
      <c r="L2445" s="1" t="s">
        <v>26</v>
      </c>
      <c r="M2445" s="1" t="s">
        <v>27</v>
      </c>
      <c r="N2445" s="1" t="s">
        <v>26</v>
      </c>
      <c r="O2445" s="1" t="s">
        <v>26</v>
      </c>
      <c r="P2445" s="4">
        <v>45058.466365740744</v>
      </c>
    </row>
    <row r="2446" hidden="1">
      <c r="A2446" s="1" t="s">
        <v>1055</v>
      </c>
      <c r="B2446" s="3" t="str">
        <f>HYPERLINK("https://hawk-eye.atlassian.net/browse/HWKREPORT-1006?atlOrigin=eyJpIjoiYzgwYTQ0ZjEyNzQzNGJhN2JmNjEyZTM0NmRhZWZhNjIiLCJwIjoic2hlZXRzLWppcmEifQ","HWKREPORT-1006")</f>
        <v>HWKREPORT-1006</v>
      </c>
      <c r="C2446" s="1" t="s">
        <v>3739</v>
      </c>
      <c r="D2446" s="1" t="s">
        <v>23</v>
      </c>
      <c r="E2446" s="1" t="s">
        <v>35</v>
      </c>
      <c r="F2446" s="4">
        <v>44501.740752314814</v>
      </c>
      <c r="G2446" s="3" t="str">
        <f t="shared" si="170"/>
        <v/>
      </c>
      <c r="H2446" s="1" t="s">
        <v>1058</v>
      </c>
      <c r="I2446" s="1" t="s">
        <v>1071</v>
      </c>
      <c r="J2446" s="1" t="s">
        <v>26</v>
      </c>
      <c r="K2446" s="1" t="s">
        <v>1072</v>
      </c>
      <c r="L2446" s="1" t="s">
        <v>26</v>
      </c>
      <c r="M2446" s="1" t="s">
        <v>27</v>
      </c>
      <c r="N2446" s="1" t="s">
        <v>26</v>
      </c>
      <c r="O2446" s="1" t="s">
        <v>26</v>
      </c>
      <c r="P2446" s="4">
        <v>44803.71811342592</v>
      </c>
    </row>
    <row r="2447" hidden="1">
      <c r="A2447" s="1" t="s">
        <v>1055</v>
      </c>
      <c r="B2447" s="3" t="str">
        <f>HYPERLINK("https://hawk-eye.atlassian.net/browse/HWKREPORT-1007?atlOrigin=eyJpIjoiYzgwYTQ0ZjEyNzQzNGJhN2JmNjEyZTM0NmRhZWZhNjIiLCJwIjoic2hlZXRzLWppcmEifQ","HWKREPORT-1007")</f>
        <v>HWKREPORT-1007</v>
      </c>
      <c r="C2447" s="1" t="s">
        <v>3740</v>
      </c>
      <c r="D2447" s="1" t="s">
        <v>23</v>
      </c>
      <c r="E2447" s="1" t="s">
        <v>1207</v>
      </c>
      <c r="F2447" s="4">
        <v>44502.34606481482</v>
      </c>
      <c r="G2447" s="3" t="str">
        <f>HYPERLINK("https://hawk-eye.atlassian.net/browse/BDP-450?atlOrigin=eyJpIjoiYzgwYTQ0ZjEyNzQzNGJhN2JmNjEyZTM0NmRhZWZhNjIiLCJwIjoic2hlZXRzLWppcmEifQ","BDP-450")</f>
        <v>BDP-450</v>
      </c>
      <c r="H2447" s="1" t="s">
        <v>1058</v>
      </c>
      <c r="I2447" s="1" t="s">
        <v>1071</v>
      </c>
      <c r="J2447" s="1" t="s">
        <v>26</v>
      </c>
      <c r="K2447" s="1" t="s">
        <v>3741</v>
      </c>
      <c r="L2447" s="1" t="s">
        <v>26</v>
      </c>
      <c r="M2447" s="1" t="s">
        <v>27</v>
      </c>
      <c r="N2447" s="1" t="s">
        <v>26</v>
      </c>
      <c r="O2447" s="1" t="s">
        <v>26</v>
      </c>
      <c r="P2447" s="4">
        <v>44929.4184837963</v>
      </c>
    </row>
    <row r="2448" hidden="1">
      <c r="A2448" s="1" t="s">
        <v>1055</v>
      </c>
      <c r="B2448" s="3" t="str">
        <f>HYPERLINK("https://hawk-eye.atlassian.net/browse/HWKREPORT-1008?atlOrigin=eyJpIjoiYzgwYTQ0ZjEyNzQzNGJhN2JmNjEyZTM0NmRhZWZhNjIiLCJwIjoic2hlZXRzLWppcmEifQ","HWKREPORT-1008")</f>
        <v>HWKREPORT-1008</v>
      </c>
      <c r="C2448" s="1" t="s">
        <v>3742</v>
      </c>
      <c r="D2448" s="1" t="s">
        <v>23</v>
      </c>
      <c r="E2448" s="1" t="s">
        <v>35</v>
      </c>
      <c r="F2448" s="4">
        <v>44504.80082175926</v>
      </c>
      <c r="G2448" s="3" t="str">
        <f>HYPERLINK("https://hawk-eye.atlassian.net/browse/HWKREPORT-1085?atlOrigin=eyJpIjoiYzgwYTQ0ZjEyNzQzNGJhN2JmNjEyZTM0NmRhZWZhNjIiLCJwIjoic2hlZXRzLWppcmEifQ","HWKREPORT-1085")</f>
        <v>HWKREPORT-1085</v>
      </c>
      <c r="H2448" s="1" t="s">
        <v>1058</v>
      </c>
      <c r="I2448" s="1" t="s">
        <v>1071</v>
      </c>
      <c r="J2448" s="1" t="s">
        <v>26</v>
      </c>
      <c r="K2448" s="1" t="s">
        <v>1134</v>
      </c>
      <c r="L2448" s="1" t="s">
        <v>26</v>
      </c>
      <c r="M2448" s="1" t="s">
        <v>27</v>
      </c>
      <c r="N2448" s="1" t="s">
        <v>26</v>
      </c>
      <c r="O2448" s="1" t="s">
        <v>26</v>
      </c>
      <c r="P2448" s="4">
        <v>44627.600810185184</v>
      </c>
    </row>
    <row r="2449" hidden="1">
      <c r="A2449" s="1" t="s">
        <v>21</v>
      </c>
      <c r="B2449" s="3" t="str">
        <f>HYPERLINK("https://hawk-eye.atlassian.net/browse/HWKREPORT-1009?atlOrigin=eyJpIjoiYzgwYTQ0ZjEyNzQzNGJhN2JmNjEyZTM0NmRhZWZhNjIiLCJwIjoic2hlZXRzLWppcmEifQ","HWKREPORT-1009")</f>
        <v>HWKREPORT-1009</v>
      </c>
      <c r="C2449" s="1" t="s">
        <v>3743</v>
      </c>
      <c r="D2449" s="1" t="s">
        <v>23</v>
      </c>
      <c r="E2449" s="1" t="s">
        <v>1207</v>
      </c>
      <c r="F2449" s="4">
        <v>44508.586377314816</v>
      </c>
      <c r="G2449" s="3" t="str">
        <f>HYPERLINK("https://hawk-eye.atlassian.net/browse/RTT-4484?atlOrigin=eyJpIjoiYzgwYTQ0ZjEyNzQzNGJhN2JmNjEyZTM0NmRhZWZhNjIiLCJwIjoic2hlZXRzLWppcmEifQ","RTT-4484")</f>
        <v>RTT-4484</v>
      </c>
      <c r="H2449" s="1" t="s">
        <v>1058</v>
      </c>
      <c r="I2449" s="1" t="s">
        <v>1071</v>
      </c>
      <c r="J2449" s="1" t="s">
        <v>26</v>
      </c>
      <c r="K2449" s="1" t="s">
        <v>1099</v>
      </c>
      <c r="L2449" s="1" t="s">
        <v>26</v>
      </c>
      <c r="M2449" s="1" t="s">
        <v>27</v>
      </c>
      <c r="N2449" s="1" t="s">
        <v>26</v>
      </c>
      <c r="O2449" s="1" t="s">
        <v>26</v>
      </c>
      <c r="P2449" s="4">
        <v>44929.4184837963</v>
      </c>
    </row>
    <row r="2450" hidden="1">
      <c r="A2450" s="1" t="s">
        <v>1055</v>
      </c>
      <c r="B2450" s="3" t="str">
        <f>HYPERLINK("https://hawk-eye.atlassian.net/browse/HWKREPORT-1010?atlOrigin=eyJpIjoiYzgwYTQ0ZjEyNzQzNGJhN2JmNjEyZTM0NmRhZWZhNjIiLCJwIjoic2hlZXRzLWppcmEifQ","HWKREPORT-1010")</f>
        <v>HWKREPORT-1010</v>
      </c>
      <c r="C2450" s="1" t="s">
        <v>3744</v>
      </c>
      <c r="D2450" s="1" t="s">
        <v>23</v>
      </c>
      <c r="E2450" s="1" t="s">
        <v>35</v>
      </c>
      <c r="F2450" s="4">
        <v>44509.5447337963</v>
      </c>
      <c r="G2450" s="3" t="str">
        <f>HYPERLINK("https://hawk-eye.atlassian.net/browse/VIEWER-1716?atlOrigin=eyJpIjoiYzgwYTQ0ZjEyNzQzNGJhN2JmNjEyZTM0NmRhZWZhNjIiLCJwIjoic2hlZXRzLWppcmEifQ","VIEWER-1716")</f>
        <v>VIEWER-1716</v>
      </c>
      <c r="H2450" s="1" t="s">
        <v>1058</v>
      </c>
      <c r="I2450" s="1" t="s">
        <v>2001</v>
      </c>
      <c r="J2450" s="1" t="s">
        <v>26</v>
      </c>
      <c r="K2450" s="1" t="s">
        <v>1116</v>
      </c>
      <c r="L2450" s="1" t="s">
        <v>26</v>
      </c>
      <c r="M2450" s="1" t="s">
        <v>27</v>
      </c>
      <c r="N2450" s="1" t="s">
        <v>26</v>
      </c>
      <c r="O2450" s="1" t="s">
        <v>26</v>
      </c>
      <c r="P2450" s="4">
        <v>44600.87515046296</v>
      </c>
    </row>
    <row r="2451" hidden="1">
      <c r="A2451" s="1" t="s">
        <v>21</v>
      </c>
      <c r="B2451" s="3" t="str">
        <f>HYPERLINK("https://hawk-eye.atlassian.net/browse/HWKREPORT-1011?atlOrigin=eyJpIjoiYzgwYTQ0ZjEyNzQzNGJhN2JmNjEyZTM0NmRhZWZhNjIiLCJwIjoic2hlZXRzLWppcmEifQ","HWKREPORT-1011")</f>
        <v>HWKREPORT-1011</v>
      </c>
      <c r="C2451" s="1" t="s">
        <v>3745</v>
      </c>
      <c r="D2451" s="1" t="s">
        <v>40</v>
      </c>
      <c r="E2451" s="1" t="s">
        <v>35</v>
      </c>
      <c r="F2451" s="4">
        <v>44509.56487268519</v>
      </c>
      <c r="G2451" s="3" t="str">
        <f>HYPERLINK("https://hawk-eye.atlassian.net/browse/VIEWER-1700?atlOrigin=eyJpIjoiYzgwYTQ0ZjEyNzQzNGJhN2JmNjEyZTM0NmRhZWZhNjIiLCJwIjoic2hlZXRzLWppcmEifQ","VIEWER-1700")</f>
        <v>VIEWER-1700</v>
      </c>
      <c r="H2451" s="1" t="s">
        <v>1058</v>
      </c>
      <c r="I2451" s="1" t="s">
        <v>1085</v>
      </c>
      <c r="J2451" s="1" t="s">
        <v>26</v>
      </c>
      <c r="K2451" s="1" t="s">
        <v>1102</v>
      </c>
      <c r="L2451" s="1" t="s">
        <v>26</v>
      </c>
      <c r="M2451" s="1" t="s">
        <v>27</v>
      </c>
      <c r="N2451" s="1" t="s">
        <v>26</v>
      </c>
      <c r="O2451" s="1" t="s">
        <v>26</v>
      </c>
      <c r="P2451" s="4">
        <v>44600.87509259259</v>
      </c>
    </row>
    <row r="2452" hidden="1">
      <c r="A2452" s="1" t="s">
        <v>21</v>
      </c>
      <c r="B2452" s="3" t="str">
        <f>HYPERLINK("https://hawk-eye.atlassian.net/browse/HWKREPORT-1012?atlOrigin=eyJpIjoiYzgwYTQ0ZjEyNzQzNGJhN2JmNjEyZTM0NmRhZWZhNjIiLCJwIjoic2hlZXRzLWppcmEifQ","HWKREPORT-1012")</f>
        <v>HWKREPORT-1012</v>
      </c>
      <c r="C2452" s="1" t="s">
        <v>3746</v>
      </c>
      <c r="D2452" s="1" t="s">
        <v>34</v>
      </c>
      <c r="E2452" s="1" t="s">
        <v>1207</v>
      </c>
      <c r="F2452" s="4">
        <v>44509.57467592593</v>
      </c>
      <c r="G2452" s="3" t="str">
        <f>HYPERLINK("https://hawk-eye.atlassian.net/browse/RTTDB-65?atlOrigin=eyJpIjoiYzgwYTQ0ZjEyNzQzNGJhN2JmNjEyZTM0NmRhZWZhNjIiLCJwIjoic2hlZXRzLWppcmEifQ","RTTDB-65")</f>
        <v>RTTDB-65</v>
      </c>
      <c r="H2452" s="1" t="s">
        <v>1058</v>
      </c>
      <c r="I2452" s="1" t="s">
        <v>1126</v>
      </c>
      <c r="J2452" s="1" t="s">
        <v>26</v>
      </c>
      <c r="K2452" s="1" t="s">
        <v>1127</v>
      </c>
      <c r="L2452" s="1" t="s">
        <v>26</v>
      </c>
      <c r="M2452" s="1" t="s">
        <v>27</v>
      </c>
      <c r="N2452" s="1" t="s">
        <v>26</v>
      </c>
      <c r="O2452" s="1" t="s">
        <v>26</v>
      </c>
      <c r="P2452" s="4">
        <v>44929.4184837963</v>
      </c>
    </row>
    <row r="2453" hidden="1">
      <c r="A2453" s="1" t="s">
        <v>1055</v>
      </c>
      <c r="B2453" s="3" t="str">
        <f>HYPERLINK("https://hawk-eye.atlassian.net/browse/HWKREPORT-1013?atlOrigin=eyJpIjoiYzgwYTQ0ZjEyNzQzNGJhN2JmNjEyZTM0NmRhZWZhNjIiLCJwIjoic2hlZXRzLWppcmEifQ","HWKREPORT-1013")</f>
        <v>HWKREPORT-1013</v>
      </c>
      <c r="C2453" s="1" t="s">
        <v>3747</v>
      </c>
      <c r="D2453" s="1" t="s">
        <v>23</v>
      </c>
      <c r="E2453" s="1" t="s">
        <v>35</v>
      </c>
      <c r="F2453" s="4">
        <v>44509.69605324074</v>
      </c>
      <c r="G2453" s="3" t="str">
        <f>HYPERLINK("https://hawk-eye.atlassian.net/browse/RTT-4495?atlOrigin=eyJpIjoiYzgwYTQ0ZjEyNzQzNGJhN2JmNjEyZTM0NmRhZWZhNjIiLCJwIjoic2hlZXRzLWppcmEifQ","RTT-4495")</f>
        <v>RTT-4495</v>
      </c>
      <c r="H2453" s="1" t="s">
        <v>1058</v>
      </c>
      <c r="I2453" s="1" t="s">
        <v>28</v>
      </c>
      <c r="J2453" s="1" t="s">
        <v>26</v>
      </c>
      <c r="K2453" s="1" t="s">
        <v>1072</v>
      </c>
      <c r="L2453" s="1" t="s">
        <v>26</v>
      </c>
      <c r="M2453" s="1" t="s">
        <v>27</v>
      </c>
      <c r="N2453" s="1" t="s">
        <v>26</v>
      </c>
      <c r="O2453" s="1" t="s">
        <v>26</v>
      </c>
      <c r="P2453" s="4">
        <v>44607.17891203704</v>
      </c>
    </row>
    <row r="2454" hidden="1">
      <c r="A2454" s="1" t="s">
        <v>1055</v>
      </c>
      <c r="B2454" s="3" t="str">
        <f>HYPERLINK("https://hawk-eye.atlassian.net/browse/HWKREPORT-1014?atlOrigin=eyJpIjoiYzgwYTQ0ZjEyNzQzNGJhN2JmNjEyZTM0NmRhZWZhNjIiLCJwIjoic2hlZXRzLWppcmEifQ","HWKREPORT-1014")</f>
        <v>HWKREPORT-1014</v>
      </c>
      <c r="C2454" s="1" t="s">
        <v>3748</v>
      </c>
      <c r="D2454" s="1" t="s">
        <v>23</v>
      </c>
      <c r="E2454" s="1" t="s">
        <v>35</v>
      </c>
      <c r="F2454" s="4">
        <v>44509.69824074074</v>
      </c>
      <c r="G2454" s="3" t="str">
        <f>HYPERLINK("https://hawk-eye.atlassian.net/browse/RTT-4496?atlOrigin=eyJpIjoiYzgwYTQ0ZjEyNzQzNGJhN2JmNjEyZTM0NmRhZWZhNjIiLCJwIjoic2hlZXRzLWppcmEifQ","RTT-4496")</f>
        <v>RTT-4496</v>
      </c>
      <c r="H2454" s="1" t="s">
        <v>1058</v>
      </c>
      <c r="I2454" s="1" t="s">
        <v>28</v>
      </c>
      <c r="J2454" s="1" t="s">
        <v>26</v>
      </c>
      <c r="K2454" s="1" t="s">
        <v>1072</v>
      </c>
      <c r="L2454" s="1" t="s">
        <v>26</v>
      </c>
      <c r="M2454" s="1" t="s">
        <v>27</v>
      </c>
      <c r="N2454" s="1" t="s">
        <v>26</v>
      </c>
      <c r="O2454" s="1" t="s">
        <v>26</v>
      </c>
      <c r="P2454" s="4">
        <v>45524.73221064815</v>
      </c>
    </row>
    <row r="2455" hidden="1">
      <c r="A2455" s="1" t="s">
        <v>21</v>
      </c>
      <c r="B2455" s="3" t="str">
        <f>HYPERLINK("https://hawk-eye.atlassian.net/browse/HWKREPORT-1015?atlOrigin=eyJpIjoiYzgwYTQ0ZjEyNzQzNGJhN2JmNjEyZTM0NmRhZWZhNjIiLCJwIjoic2hlZXRzLWppcmEifQ","HWKREPORT-1015")</f>
        <v>HWKREPORT-1015</v>
      </c>
      <c r="C2455" s="1" t="s">
        <v>3749</v>
      </c>
      <c r="D2455" s="1" t="s">
        <v>40</v>
      </c>
      <c r="E2455" s="1" t="s">
        <v>35</v>
      </c>
      <c r="F2455" s="4">
        <v>44509.69938657407</v>
      </c>
      <c r="G2455" s="3" t="str">
        <f>HYPERLINK("https://hawk-eye.atlassian.net/browse/?atlOrigin=eyJpIjoiYzgwYTQ0ZjEyNzQzNGJhN2JmNjEyZTM0NmRhZWZhNjIiLCJwIjoic2hlZXRzLWppcmEifQ","")</f>
        <v/>
      </c>
      <c r="H2455" s="1" t="s">
        <v>1058</v>
      </c>
      <c r="I2455" s="1" t="s">
        <v>1126</v>
      </c>
      <c r="J2455" s="1" t="s">
        <v>26</v>
      </c>
      <c r="K2455" s="1" t="s">
        <v>1309</v>
      </c>
      <c r="L2455" s="1" t="s">
        <v>26</v>
      </c>
      <c r="M2455" s="1" t="s">
        <v>27</v>
      </c>
      <c r="N2455" s="1" t="s">
        <v>26</v>
      </c>
      <c r="O2455" s="1" t="s">
        <v>26</v>
      </c>
      <c r="P2455" s="4">
        <v>44509.702523148146</v>
      </c>
    </row>
    <row r="2456" hidden="1">
      <c r="A2456" s="1" t="s">
        <v>1055</v>
      </c>
      <c r="B2456" s="3" t="str">
        <f>HYPERLINK("https://hawk-eye.atlassian.net/browse/HWKREPORT-1016?atlOrigin=eyJpIjoiYzgwYTQ0ZjEyNzQzNGJhN2JmNjEyZTM0NmRhZWZhNjIiLCJwIjoic2hlZXRzLWppcmEifQ","HWKREPORT-1016")</f>
        <v>HWKREPORT-1016</v>
      </c>
      <c r="C2456" s="1" t="s">
        <v>3750</v>
      </c>
      <c r="D2456" s="1" t="s">
        <v>23</v>
      </c>
      <c r="E2456" s="1" t="s">
        <v>35</v>
      </c>
      <c r="F2456" s="4">
        <v>44515.74015046296</v>
      </c>
      <c r="G2456" s="3" t="str">
        <f>HYPERLINK("https://hawk-eye.atlassian.net/browse/MLT-89?atlOrigin=eyJpIjoiYzgwYTQ0ZjEyNzQzNGJhN2JmNjEyZTM0NmRhZWZhNjIiLCJwIjoic2hlZXRzLWppcmEifQ","MLT-89")</f>
        <v>MLT-89</v>
      </c>
      <c r="H2456" s="1" t="s">
        <v>1058</v>
      </c>
      <c r="I2456" s="1" t="s">
        <v>1151</v>
      </c>
      <c r="J2456" s="1" t="s">
        <v>26</v>
      </c>
      <c r="K2456" s="1" t="s">
        <v>1072</v>
      </c>
      <c r="L2456" s="1" t="s">
        <v>26</v>
      </c>
      <c r="M2456" s="1" t="s">
        <v>27</v>
      </c>
      <c r="N2456" s="1" t="s">
        <v>26</v>
      </c>
      <c r="O2456" s="1" t="s">
        <v>26</v>
      </c>
      <c r="P2456" s="4">
        <v>45216.377546296295</v>
      </c>
    </row>
    <row r="2457" hidden="1">
      <c r="A2457" s="1" t="s">
        <v>1055</v>
      </c>
      <c r="B2457" s="3" t="str">
        <f>HYPERLINK("https://hawk-eye.atlassian.net/browse/HWKREPORT-1017?atlOrigin=eyJpIjoiYzgwYTQ0ZjEyNzQzNGJhN2JmNjEyZTM0NmRhZWZhNjIiLCJwIjoic2hlZXRzLWppcmEifQ","HWKREPORT-1017")</f>
        <v>HWKREPORT-1017</v>
      </c>
      <c r="C2457" s="1" t="s">
        <v>3751</v>
      </c>
      <c r="D2457" s="1" t="s">
        <v>23</v>
      </c>
      <c r="E2457" s="1" t="s">
        <v>35</v>
      </c>
      <c r="F2457" s="4">
        <v>44515.741898148146</v>
      </c>
      <c r="G2457" s="3" t="str">
        <f>HYPERLINK("https://hawk-eye.atlassian.net/browse/MLT-309?atlOrigin=eyJpIjoiYzgwYTQ0ZjEyNzQzNGJhN2JmNjEyZTM0NmRhZWZhNjIiLCJwIjoic2hlZXRzLWppcmEifQ","MLT-309")</f>
        <v>MLT-309</v>
      </c>
      <c r="H2457" s="1" t="s">
        <v>1058</v>
      </c>
      <c r="I2457" s="1" t="s">
        <v>1151</v>
      </c>
      <c r="J2457" s="1" t="s">
        <v>26</v>
      </c>
      <c r="K2457" s="1" t="s">
        <v>1072</v>
      </c>
      <c r="L2457" s="1" t="s">
        <v>26</v>
      </c>
      <c r="M2457" s="1" t="s">
        <v>27</v>
      </c>
      <c r="N2457" s="1" t="s">
        <v>26</v>
      </c>
      <c r="O2457" s="1" t="s">
        <v>26</v>
      </c>
      <c r="P2457" s="4">
        <v>44600.87494212963</v>
      </c>
    </row>
    <row r="2458" hidden="1">
      <c r="A2458" s="1" t="s">
        <v>21</v>
      </c>
      <c r="B2458" s="3" t="str">
        <f>HYPERLINK("https://hawk-eye.atlassian.net/browse/HWKREPORT-1018?atlOrigin=eyJpIjoiYzgwYTQ0ZjEyNzQzNGJhN2JmNjEyZTM0NmRhZWZhNjIiLCJwIjoic2hlZXRzLWppcmEifQ","HWKREPORT-1018")</f>
        <v>HWKREPORT-1018</v>
      </c>
      <c r="C2458" s="1" t="s">
        <v>3752</v>
      </c>
      <c r="D2458" s="1" t="s">
        <v>23</v>
      </c>
      <c r="E2458" s="1" t="s">
        <v>35</v>
      </c>
      <c r="F2458" s="4">
        <v>44515.9341087963</v>
      </c>
      <c r="G2458" s="3" t="str">
        <f>HYPERLINK("https://hawk-eye.atlassian.net/browse/BSK-95?atlOrigin=eyJpIjoiYzgwYTQ0ZjEyNzQzNGJhN2JmNjEyZTM0NmRhZWZhNjIiLCJwIjoic2hlZXRzLWppcmEifQ","BSK-95")</f>
        <v>BSK-95</v>
      </c>
      <c r="H2458" s="1" t="s">
        <v>1058</v>
      </c>
      <c r="I2458" s="1" t="s">
        <v>1071</v>
      </c>
      <c r="J2458" s="1" t="s">
        <v>26</v>
      </c>
      <c r="K2458" s="1" t="s">
        <v>1523</v>
      </c>
      <c r="L2458" s="1" t="s">
        <v>26</v>
      </c>
      <c r="M2458" s="1" t="s">
        <v>27</v>
      </c>
      <c r="N2458" s="1" t="s">
        <v>26</v>
      </c>
      <c r="O2458" s="1" t="s">
        <v>26</v>
      </c>
      <c r="P2458" s="4">
        <v>44641.933333333334</v>
      </c>
    </row>
    <row r="2459" hidden="1">
      <c r="A2459" s="1" t="s">
        <v>21</v>
      </c>
      <c r="B2459" s="3" t="str">
        <f>HYPERLINK("https://hawk-eye.atlassian.net/browse/HWKREPORT-1019?atlOrigin=eyJpIjoiYzgwYTQ0ZjEyNzQzNGJhN2JmNjEyZTM0NmRhZWZhNjIiLCJwIjoic2hlZXRzLWppcmEifQ","HWKREPORT-1019")</f>
        <v>HWKREPORT-1019</v>
      </c>
      <c r="C2459" s="1" t="s">
        <v>3753</v>
      </c>
      <c r="D2459" s="1" t="s">
        <v>23</v>
      </c>
      <c r="E2459" s="1" t="s">
        <v>1207</v>
      </c>
      <c r="F2459" s="4">
        <v>44518.71818287037</v>
      </c>
      <c r="G2459" s="3" t="str">
        <f>HYPERLINK("https://hawk-eye.atlassian.net/browse/RTT-4536?atlOrigin=eyJpIjoiYzgwYTQ0ZjEyNzQzNGJhN2JmNjEyZTM0NmRhZWZhNjIiLCJwIjoic2hlZXRzLWppcmEifQ","RTT-4536")</f>
        <v>RTT-4536</v>
      </c>
      <c r="H2459" s="1" t="s">
        <v>1058</v>
      </c>
      <c r="I2459" s="1" t="s">
        <v>1071</v>
      </c>
      <c r="J2459" s="1" t="s">
        <v>26</v>
      </c>
      <c r="K2459" s="1" t="s">
        <v>1072</v>
      </c>
      <c r="L2459" s="1" t="s">
        <v>26</v>
      </c>
      <c r="M2459" s="1" t="s">
        <v>27</v>
      </c>
      <c r="N2459" s="1" t="s">
        <v>26</v>
      </c>
      <c r="O2459" s="1" t="s">
        <v>26</v>
      </c>
      <c r="P2459" s="4">
        <v>44929.4184837963</v>
      </c>
    </row>
    <row r="2460" hidden="1">
      <c r="A2460" s="1" t="s">
        <v>21</v>
      </c>
      <c r="B2460" s="3" t="str">
        <f>HYPERLINK("https://hawk-eye.atlassian.net/browse/HWKREPORT-1020?atlOrigin=eyJpIjoiYzgwYTQ0ZjEyNzQzNGJhN2JmNjEyZTM0NmRhZWZhNjIiLCJwIjoic2hlZXRzLWppcmEifQ","HWKREPORT-1020")</f>
        <v>HWKREPORT-1020</v>
      </c>
      <c r="C2460" s="1" t="s">
        <v>3754</v>
      </c>
      <c r="D2460" s="1" t="s">
        <v>23</v>
      </c>
      <c r="E2460" s="1" t="s">
        <v>35</v>
      </c>
      <c r="F2460" s="4">
        <v>44518.750868055555</v>
      </c>
      <c r="G2460" s="3" t="str">
        <f>HYPERLINK("https://hawk-eye.atlassian.net/issues/?atlOrigin=eyJpIjoiYzgwYTQ0ZjEyNzQzNGJhN2JmNjEyZTM0NmRhZWZhNjIiLCJwIjoic2hlZXRzLWppcmEifQ&amp;jql=key+in+%28FDP-250%2CSO-169%29","FDP-250;SO-169")</f>
        <v>FDP-250;SO-169</v>
      </c>
      <c r="H2460" s="1" t="s">
        <v>1058</v>
      </c>
      <c r="I2460" s="1" t="s">
        <v>1085</v>
      </c>
      <c r="J2460" s="1" t="s">
        <v>26</v>
      </c>
      <c r="K2460" s="1" t="s">
        <v>1134</v>
      </c>
      <c r="L2460" s="1" t="s">
        <v>26</v>
      </c>
      <c r="M2460" s="1" t="s">
        <v>27</v>
      </c>
      <c r="N2460" s="1" t="s">
        <v>26</v>
      </c>
      <c r="O2460" s="1" t="s">
        <v>26</v>
      </c>
      <c r="P2460" s="4">
        <v>44756.57503472222</v>
      </c>
    </row>
    <row r="2461" hidden="1">
      <c r="A2461" s="1" t="s">
        <v>21</v>
      </c>
      <c r="B2461" s="3" t="str">
        <f>HYPERLINK("https://hawk-eye.atlassian.net/browse/HWKREPORT-1021?atlOrigin=eyJpIjoiYzgwYTQ0ZjEyNzQzNGJhN2JmNjEyZTM0NmRhZWZhNjIiLCJwIjoic2hlZXRzLWppcmEifQ","HWKREPORT-1021")</f>
        <v>HWKREPORT-1021</v>
      </c>
      <c r="C2461" s="1" t="s">
        <v>3755</v>
      </c>
      <c r="D2461" s="1" t="s">
        <v>23</v>
      </c>
      <c r="E2461" s="1" t="s">
        <v>1207</v>
      </c>
      <c r="F2461" s="4">
        <v>44518.81159722222</v>
      </c>
      <c r="G2461" s="3" t="str">
        <f>HYPERLINK("https://hawk-eye.atlassian.net/browse/RTT-4535?atlOrigin=eyJpIjoiYzgwYTQ0ZjEyNzQzNGJhN2JmNjEyZTM0NmRhZWZhNjIiLCJwIjoic2hlZXRzLWppcmEifQ","RTT-4535")</f>
        <v>RTT-4535</v>
      </c>
      <c r="H2461" s="1" t="s">
        <v>1058</v>
      </c>
      <c r="I2461" s="1" t="s">
        <v>1071</v>
      </c>
      <c r="J2461" s="1" t="s">
        <v>26</v>
      </c>
      <c r="K2461" s="1" t="s">
        <v>1072</v>
      </c>
      <c r="L2461" s="1" t="s">
        <v>26</v>
      </c>
      <c r="M2461" s="1" t="s">
        <v>27</v>
      </c>
      <c r="N2461" s="1" t="s">
        <v>26</v>
      </c>
      <c r="O2461" s="1" t="s">
        <v>26</v>
      </c>
      <c r="P2461" s="4">
        <v>44929.4184837963</v>
      </c>
    </row>
    <row r="2462" hidden="1">
      <c r="A2462" s="1" t="s">
        <v>1055</v>
      </c>
      <c r="B2462" s="3" t="str">
        <f>HYPERLINK("https://hawk-eye.atlassian.net/browse/HWKREPORT-1022?atlOrigin=eyJpIjoiYzgwYTQ0ZjEyNzQzNGJhN2JmNjEyZTM0NmRhZWZhNjIiLCJwIjoic2hlZXRzLWppcmEifQ","HWKREPORT-1022")</f>
        <v>HWKREPORT-1022</v>
      </c>
      <c r="C2462" s="1" t="s">
        <v>3756</v>
      </c>
      <c r="D2462" s="1" t="s">
        <v>23</v>
      </c>
      <c r="E2462" s="1" t="s">
        <v>35</v>
      </c>
      <c r="F2462" s="4">
        <v>44518.84469907408</v>
      </c>
      <c r="G2462" s="3" t="str">
        <f>HYPERLINK("https://hawk-eye.atlassian.net/browse/?atlOrigin=eyJpIjoiYzgwYTQ0ZjEyNzQzNGJhN2JmNjEyZTM0NmRhZWZhNjIiLCJwIjoic2hlZXRzLWppcmEifQ","")</f>
        <v/>
      </c>
      <c r="H2462" s="1" t="s">
        <v>1058</v>
      </c>
      <c r="I2462" s="1" t="s">
        <v>1071</v>
      </c>
      <c r="J2462" s="1" t="s">
        <v>26</v>
      </c>
      <c r="K2462" s="1" t="s">
        <v>1762</v>
      </c>
      <c r="L2462" s="1" t="s">
        <v>26</v>
      </c>
      <c r="M2462" s="1" t="s">
        <v>27</v>
      </c>
      <c r="N2462" s="1" t="s">
        <v>26</v>
      </c>
      <c r="O2462" s="1" t="s">
        <v>26</v>
      </c>
      <c r="P2462" s="4">
        <v>44992.48087962963</v>
      </c>
    </row>
    <row r="2463" hidden="1">
      <c r="A2463" s="1" t="s">
        <v>1055</v>
      </c>
      <c r="B2463" s="3" t="str">
        <f>HYPERLINK("https://hawk-eye.atlassian.net/browse/HWKREPORT-1023?atlOrigin=eyJpIjoiYzgwYTQ0ZjEyNzQzNGJhN2JmNjEyZTM0NmRhZWZhNjIiLCJwIjoic2hlZXRzLWppcmEifQ","HWKREPORT-1023")</f>
        <v>HWKREPORT-1023</v>
      </c>
      <c r="C2463" s="1" t="s">
        <v>3757</v>
      </c>
      <c r="D2463" s="1" t="s">
        <v>23</v>
      </c>
      <c r="E2463" s="1" t="s">
        <v>1207</v>
      </c>
      <c r="F2463" s="4">
        <v>44522.53145833333</v>
      </c>
      <c r="G2463" s="3" t="str">
        <f>HYPERLINK("https://hawk-eye.atlassian.net/browse/RTTDB-67?atlOrigin=eyJpIjoiYzgwYTQ0ZjEyNzQzNGJhN2JmNjEyZTM0NmRhZWZhNjIiLCJwIjoic2hlZXRzLWppcmEifQ","RTTDB-67")</f>
        <v>RTTDB-67</v>
      </c>
      <c r="H2463" s="1" t="s">
        <v>1058</v>
      </c>
      <c r="I2463" s="1" t="s">
        <v>1126</v>
      </c>
      <c r="J2463" s="1" t="s">
        <v>26</v>
      </c>
      <c r="K2463" s="1" t="s">
        <v>1127</v>
      </c>
      <c r="L2463" s="1" t="s">
        <v>26</v>
      </c>
      <c r="M2463" s="1" t="s">
        <v>27</v>
      </c>
      <c r="N2463" s="1" t="s">
        <v>26</v>
      </c>
      <c r="O2463" s="1" t="s">
        <v>26</v>
      </c>
      <c r="P2463" s="4">
        <v>44929.4184837963</v>
      </c>
    </row>
    <row r="2464" hidden="1">
      <c r="A2464" s="1" t="s">
        <v>1055</v>
      </c>
      <c r="B2464" s="3" t="str">
        <f>HYPERLINK("https://hawk-eye.atlassian.net/browse/HWKREPORT-1024?atlOrigin=eyJpIjoiYzgwYTQ0ZjEyNzQzNGJhN2JmNjEyZTM0NmRhZWZhNjIiLCJwIjoic2hlZXRzLWppcmEifQ","HWKREPORT-1024")</f>
        <v>HWKREPORT-1024</v>
      </c>
      <c r="C2464" s="1" t="s">
        <v>3758</v>
      </c>
      <c r="D2464" s="1" t="s">
        <v>23</v>
      </c>
      <c r="E2464" s="1" t="s">
        <v>35</v>
      </c>
      <c r="F2464" s="4">
        <v>44530.85648148148</v>
      </c>
      <c r="G2464" s="3" t="str">
        <f>HYPERLINK("https://hawk-eye.atlassian.net/browse/RTT-4558?atlOrigin=eyJpIjoiYzgwYTQ0ZjEyNzQzNGJhN2JmNjEyZTM0NmRhZWZhNjIiLCJwIjoic2hlZXRzLWppcmEifQ","RTT-4558")</f>
        <v>RTT-4558</v>
      </c>
      <c r="H2464" s="1" t="s">
        <v>1058</v>
      </c>
      <c r="I2464" s="1" t="s">
        <v>28</v>
      </c>
      <c r="J2464" s="1" t="s">
        <v>26</v>
      </c>
      <c r="K2464" s="1" t="s">
        <v>1072</v>
      </c>
      <c r="L2464" s="1" t="s">
        <v>26</v>
      </c>
      <c r="M2464" s="1" t="s">
        <v>27</v>
      </c>
      <c r="N2464" s="1" t="s">
        <v>26</v>
      </c>
      <c r="O2464" s="1" t="s">
        <v>26</v>
      </c>
      <c r="P2464" s="4">
        <v>44582.43821759259</v>
      </c>
    </row>
    <row r="2465" hidden="1">
      <c r="A2465" s="1" t="s">
        <v>1055</v>
      </c>
      <c r="B2465" s="3" t="str">
        <f>HYPERLINK("https://hawk-eye.atlassian.net/browse/HWKREPORT-1025?atlOrigin=eyJpIjoiYzgwYTQ0ZjEyNzQzNGJhN2JmNjEyZTM0NmRhZWZhNjIiLCJwIjoic2hlZXRzLWppcmEifQ","HWKREPORT-1025")</f>
        <v>HWKREPORT-1025</v>
      </c>
      <c r="C2465" s="1" t="s">
        <v>3759</v>
      </c>
      <c r="D2465" s="1" t="s">
        <v>23</v>
      </c>
      <c r="E2465" s="1" t="s">
        <v>35</v>
      </c>
      <c r="F2465" s="4">
        <v>44530.858449074076</v>
      </c>
      <c r="G2465" s="3" t="str">
        <f>HYPERLINK("https://hawk-eye.atlassian.net/browse/?atlOrigin=eyJpIjoiYzgwYTQ0ZjEyNzQzNGJhN2JmNjEyZTM0NmRhZWZhNjIiLCJwIjoic2hlZXRzLWppcmEifQ","")</f>
        <v/>
      </c>
      <c r="H2465" s="1" t="s">
        <v>1058</v>
      </c>
      <c r="I2465" s="1" t="s">
        <v>28</v>
      </c>
      <c r="J2465" s="1" t="s">
        <v>26</v>
      </c>
      <c r="K2465" s="1" t="s">
        <v>1072</v>
      </c>
      <c r="L2465" s="1" t="s">
        <v>26</v>
      </c>
      <c r="M2465" s="1" t="s">
        <v>27</v>
      </c>
      <c r="N2465" s="1" t="s">
        <v>26</v>
      </c>
      <c r="O2465" s="1" t="s">
        <v>26</v>
      </c>
      <c r="P2465" s="4">
        <v>44579.507002314815</v>
      </c>
    </row>
    <row r="2466" hidden="1">
      <c r="A2466" s="1" t="s">
        <v>1055</v>
      </c>
      <c r="B2466" s="3" t="str">
        <f>HYPERLINK("https://hawk-eye.atlassian.net/browse/HWKREPORT-1026?atlOrigin=eyJpIjoiYzgwYTQ0ZjEyNzQzNGJhN2JmNjEyZTM0NmRhZWZhNjIiLCJwIjoic2hlZXRzLWppcmEifQ","HWKREPORT-1026")</f>
        <v>HWKREPORT-1026</v>
      </c>
      <c r="C2466" s="1" t="s">
        <v>3760</v>
      </c>
      <c r="D2466" s="1" t="s">
        <v>23</v>
      </c>
      <c r="E2466" s="1" t="s">
        <v>35</v>
      </c>
      <c r="F2466" s="4">
        <v>44537.67775462963</v>
      </c>
      <c r="G2466" s="3" t="str">
        <f>HYPERLINK("https://hawk-eye.atlassian.net/browse/RTT-4581?atlOrigin=eyJpIjoiYzgwYTQ0ZjEyNzQzNGJhN2JmNjEyZTM0NmRhZWZhNjIiLCJwIjoic2hlZXRzLWppcmEifQ","RTT-4581")</f>
        <v>RTT-4581</v>
      </c>
      <c r="H2466" s="1" t="s">
        <v>1058</v>
      </c>
      <c r="I2466" s="1" t="s">
        <v>28</v>
      </c>
      <c r="J2466" s="1" t="s">
        <v>26</v>
      </c>
      <c r="K2466" s="1" t="s">
        <v>1072</v>
      </c>
      <c r="L2466" s="1" t="s">
        <v>26</v>
      </c>
      <c r="M2466" s="1" t="s">
        <v>27</v>
      </c>
      <c r="N2466" s="1" t="s">
        <v>26</v>
      </c>
      <c r="O2466" s="1" t="s">
        <v>26</v>
      </c>
      <c r="P2466" s="4">
        <v>44622.81136574074</v>
      </c>
    </row>
    <row r="2467" hidden="1">
      <c r="A2467" s="1" t="s">
        <v>1055</v>
      </c>
      <c r="B2467" s="3" t="str">
        <f>HYPERLINK("https://hawk-eye.atlassian.net/browse/HWKREPORT-1027?atlOrigin=eyJpIjoiYzgwYTQ0ZjEyNzQzNGJhN2JmNjEyZTM0NmRhZWZhNjIiLCJwIjoic2hlZXRzLWppcmEifQ","HWKREPORT-1027")</f>
        <v>HWKREPORT-1027</v>
      </c>
      <c r="C2467" s="1" t="s">
        <v>3761</v>
      </c>
      <c r="D2467" s="1" t="s">
        <v>23</v>
      </c>
      <c r="E2467" s="1" t="s">
        <v>35</v>
      </c>
      <c r="F2467" s="4">
        <v>44538.613587962966</v>
      </c>
      <c r="G2467" s="3" t="str">
        <f>HYPERLINK("https://hawk-eye.atlassian.net/browse/RTT-4585?atlOrigin=eyJpIjoiYzgwYTQ0ZjEyNzQzNGJhN2JmNjEyZTM0NmRhZWZhNjIiLCJwIjoic2hlZXRzLWppcmEifQ","RTT-4585")</f>
        <v>RTT-4585</v>
      </c>
      <c r="H2467" s="1" t="s">
        <v>1058</v>
      </c>
      <c r="I2467" s="1" t="s">
        <v>28</v>
      </c>
      <c r="J2467" s="1" t="s">
        <v>26</v>
      </c>
      <c r="K2467" s="1" t="s">
        <v>1072</v>
      </c>
      <c r="L2467" s="1" t="s">
        <v>26</v>
      </c>
      <c r="M2467" s="1" t="s">
        <v>27</v>
      </c>
      <c r="N2467" s="1" t="s">
        <v>26</v>
      </c>
      <c r="O2467" s="1" t="s">
        <v>26</v>
      </c>
      <c r="P2467" s="4">
        <v>44650.504745370374</v>
      </c>
    </row>
    <row r="2468" hidden="1">
      <c r="A2468" s="1" t="s">
        <v>1055</v>
      </c>
      <c r="B2468" s="3" t="str">
        <f>HYPERLINK("https://hawk-eye.atlassian.net/browse/HWKREPORT-1028?atlOrigin=eyJpIjoiYzgwYTQ0ZjEyNzQzNGJhN2JmNjEyZTM0NmRhZWZhNjIiLCJwIjoic2hlZXRzLWppcmEifQ","HWKREPORT-1028")</f>
        <v>HWKREPORT-1028</v>
      </c>
      <c r="C2468" s="1" t="s">
        <v>3762</v>
      </c>
      <c r="D2468" s="1" t="s">
        <v>23</v>
      </c>
      <c r="E2468" s="1" t="s">
        <v>35</v>
      </c>
      <c r="F2468" s="4">
        <v>44538.68990740741</v>
      </c>
      <c r="G2468" s="3" t="str">
        <f>HYPERLINK("https://hawk-eye.atlassian.net/browse/?atlOrigin=eyJpIjoiYzgwYTQ0ZjEyNzQzNGJhN2JmNjEyZTM0NmRhZWZhNjIiLCJwIjoic2hlZXRzLWppcmEifQ","")</f>
        <v/>
      </c>
      <c r="H2468" s="1" t="s">
        <v>1058</v>
      </c>
      <c r="I2468" s="1" t="s">
        <v>1514</v>
      </c>
      <c r="J2468" s="1" t="s">
        <v>26</v>
      </c>
      <c r="K2468" s="1" t="s">
        <v>1673</v>
      </c>
      <c r="L2468" s="1" t="s">
        <v>26</v>
      </c>
      <c r="M2468" s="1" t="s">
        <v>27</v>
      </c>
      <c r="N2468" s="1" t="s">
        <v>26</v>
      </c>
      <c r="O2468" s="1" t="s">
        <v>26</v>
      </c>
      <c r="P2468" s="4">
        <v>44620.62011574074</v>
      </c>
    </row>
    <row r="2469" hidden="1">
      <c r="A2469" s="1" t="s">
        <v>21</v>
      </c>
      <c r="B2469" s="3" t="str">
        <f>HYPERLINK("https://hawk-eye.atlassian.net/browse/HWKREPORT-1029?atlOrigin=eyJpIjoiYzgwYTQ0ZjEyNzQzNGJhN2JmNjEyZTM0NmRhZWZhNjIiLCJwIjoic2hlZXRzLWppcmEifQ","HWKREPORT-1029")</f>
        <v>HWKREPORT-1029</v>
      </c>
      <c r="C2469" s="1" t="s">
        <v>3763</v>
      </c>
      <c r="D2469" s="1" t="s">
        <v>34</v>
      </c>
      <c r="E2469" s="1" t="s">
        <v>35</v>
      </c>
      <c r="F2469" s="4">
        <v>44547.53886574074</v>
      </c>
      <c r="G2469" s="3" t="str">
        <f>HYPERLINK("https://hawk-eye.atlassian.net/browse/RTT-4596?atlOrigin=eyJpIjoiYzgwYTQ0ZjEyNzQzNGJhN2JmNjEyZTM0NmRhZWZhNjIiLCJwIjoic2hlZXRzLWppcmEifQ","RTT-4596")</f>
        <v>RTT-4596</v>
      </c>
      <c r="H2469" s="1" t="s">
        <v>1058</v>
      </c>
      <c r="I2469" s="1" t="s">
        <v>1085</v>
      </c>
      <c r="J2469" s="1" t="s">
        <v>26</v>
      </c>
      <c r="K2469" s="1" t="s">
        <v>2861</v>
      </c>
      <c r="L2469" s="1" t="s">
        <v>26</v>
      </c>
      <c r="M2469" s="1" t="s">
        <v>27</v>
      </c>
      <c r="N2469" s="1" t="s">
        <v>26</v>
      </c>
      <c r="O2469" s="1" t="s">
        <v>26</v>
      </c>
      <c r="P2469" s="4">
        <v>44865.626875</v>
      </c>
    </row>
    <row r="2470" hidden="1">
      <c r="A2470" s="1" t="s">
        <v>1055</v>
      </c>
      <c r="B2470" s="3" t="str">
        <f>HYPERLINK("https://hawk-eye.atlassian.net/browse/HWKREPORT-1030?atlOrigin=eyJpIjoiYzgwYTQ0ZjEyNzQzNGJhN2JmNjEyZTM0NmRhZWZhNjIiLCJwIjoic2hlZXRzLWppcmEifQ","HWKREPORT-1030")</f>
        <v>HWKREPORT-1030</v>
      </c>
      <c r="C2470" s="1" t="s">
        <v>3764</v>
      </c>
      <c r="D2470" s="1" t="s">
        <v>23</v>
      </c>
      <c r="E2470" s="1" t="s">
        <v>35</v>
      </c>
      <c r="F2470" s="4">
        <v>44550.62768518519</v>
      </c>
      <c r="G2470" s="3" t="str">
        <f>HYPERLINK("https://hawk-eye.atlassian.net/browse/STREAMER-64?atlOrigin=eyJpIjoiYzgwYTQ0ZjEyNzQzNGJhN2JmNjEyZTM0NmRhZWZhNjIiLCJwIjoic2hlZXRzLWppcmEifQ","STREAMER-64")</f>
        <v>STREAMER-64</v>
      </c>
      <c r="H2470" s="1" t="s">
        <v>1058</v>
      </c>
      <c r="I2470" s="1" t="s">
        <v>3765</v>
      </c>
      <c r="J2470" s="1" t="s">
        <v>26</v>
      </c>
      <c r="K2470" s="1" t="s">
        <v>1673</v>
      </c>
      <c r="L2470" s="1" t="s">
        <v>26</v>
      </c>
      <c r="M2470" s="1" t="s">
        <v>27</v>
      </c>
      <c r="N2470" s="1" t="s">
        <v>26</v>
      </c>
      <c r="O2470" s="1" t="s">
        <v>26</v>
      </c>
      <c r="P2470" s="4">
        <v>44656.924363425926</v>
      </c>
    </row>
    <row r="2471" hidden="1">
      <c r="A2471" s="1" t="s">
        <v>1055</v>
      </c>
      <c r="B2471" s="3" t="str">
        <f>HYPERLINK("https://hawk-eye.atlassian.net/browse/HWKREPORT-1031?atlOrigin=eyJpIjoiYzgwYTQ0ZjEyNzQzNGJhN2JmNjEyZTM0NmRhZWZhNjIiLCJwIjoic2hlZXRzLWppcmEifQ","HWKREPORT-1031")</f>
        <v>HWKREPORT-1031</v>
      </c>
      <c r="C2471" s="1" t="s">
        <v>3766</v>
      </c>
      <c r="D2471" s="1" t="s">
        <v>23</v>
      </c>
      <c r="E2471" s="1" t="s">
        <v>35</v>
      </c>
      <c r="F2471" s="4">
        <v>44551.69243055556</v>
      </c>
      <c r="G2471" s="3" t="str">
        <f>HYPERLINK("https://hawk-eye.atlassian.net/issues/?atlOrigin=eyJpIjoiYzgwYTQ0ZjEyNzQzNGJhN2JmNjEyZTM0NmRhZWZhNjIiLCJwIjoic2hlZXRzLWppcmEifQ&amp;jql=key+in+%28AL-146%2CAL-223%29","AL-146;AL-223")</f>
        <v>AL-146;AL-223</v>
      </c>
      <c r="H2471" s="1" t="s">
        <v>1058</v>
      </c>
      <c r="I2471" s="1" t="s">
        <v>1071</v>
      </c>
      <c r="J2471" s="1" t="s">
        <v>26</v>
      </c>
      <c r="K2471" s="1" t="s">
        <v>1143</v>
      </c>
      <c r="L2471" s="1" t="s">
        <v>26</v>
      </c>
      <c r="M2471" s="1" t="s">
        <v>27</v>
      </c>
      <c r="N2471" s="1" t="s">
        <v>26</v>
      </c>
      <c r="O2471" s="1" t="s">
        <v>26</v>
      </c>
      <c r="P2471" s="4">
        <v>44622.81402777778</v>
      </c>
    </row>
    <row r="2472" hidden="1">
      <c r="A2472" s="1" t="s">
        <v>21</v>
      </c>
      <c r="B2472" s="3" t="str">
        <f>HYPERLINK("https://hawk-eye.atlassian.net/browse/HWKREPORT-1032?atlOrigin=eyJpIjoiYzgwYTQ0ZjEyNzQzNGJhN2JmNjEyZTM0NmRhZWZhNjIiLCJwIjoic2hlZXRzLWppcmEifQ","HWKREPORT-1032")</f>
        <v>HWKREPORT-1032</v>
      </c>
      <c r="C2472" s="1" t="s">
        <v>3767</v>
      </c>
      <c r="D2472" s="1" t="s">
        <v>23</v>
      </c>
      <c r="E2472" s="1" t="s">
        <v>1057</v>
      </c>
      <c r="F2472" s="4">
        <v>44559.48111111111</v>
      </c>
      <c r="G2472" s="3" t="str">
        <f>HYPERLINK("https://hawk-eye.atlassian.net/browse/RTT-4616?atlOrigin=eyJpIjoiYzgwYTQ0ZjEyNzQzNGJhN2JmNjEyZTM0NmRhZWZhNjIiLCJwIjoic2hlZXRzLWppcmEifQ","RTT-4616")</f>
        <v>RTT-4616</v>
      </c>
      <c r="H2472" s="1" t="s">
        <v>1058</v>
      </c>
      <c r="I2472" s="1" t="s">
        <v>1085</v>
      </c>
      <c r="J2472" s="1" t="s">
        <v>26</v>
      </c>
      <c r="K2472" s="1" t="s">
        <v>1312</v>
      </c>
      <c r="L2472" s="1" t="s">
        <v>26</v>
      </c>
      <c r="M2472" s="1" t="s">
        <v>27</v>
      </c>
      <c r="N2472" s="1" t="s">
        <v>26</v>
      </c>
      <c r="O2472" s="1" t="s">
        <v>26</v>
      </c>
      <c r="P2472" s="4">
        <v>44559.48112268518</v>
      </c>
    </row>
    <row r="2473" hidden="1">
      <c r="A2473" s="1" t="s">
        <v>21</v>
      </c>
      <c r="B2473" s="3" t="str">
        <f>HYPERLINK("https://hawk-eye.atlassian.net/browse/HWKREPORT-1033?atlOrigin=eyJpIjoiYzgwYTQ0ZjEyNzQzNGJhN2JmNjEyZTM0NmRhZWZhNjIiLCJwIjoic2hlZXRzLWppcmEifQ","HWKREPORT-1033")</f>
        <v>HWKREPORT-1033</v>
      </c>
      <c r="C2473" s="1" t="s">
        <v>3768</v>
      </c>
      <c r="D2473" s="1" t="s">
        <v>40</v>
      </c>
      <c r="E2473" s="1" t="s">
        <v>35</v>
      </c>
      <c r="F2473" s="4">
        <v>44565.05204861111</v>
      </c>
      <c r="G2473" s="3" t="str">
        <f>HYPERLINK("https://hawk-eye.atlassian.net/browse/TDP-1353?atlOrigin=eyJpIjoiYzgwYTQ0ZjEyNzQzNGJhN2JmNjEyZTM0NmRhZWZhNjIiLCJwIjoic2hlZXRzLWppcmEifQ","TDP-1353")</f>
        <v>TDP-1353</v>
      </c>
      <c r="H2473" s="1" t="s">
        <v>1058</v>
      </c>
      <c r="I2473" s="1" t="s">
        <v>1126</v>
      </c>
      <c r="J2473" s="1" t="s">
        <v>26</v>
      </c>
      <c r="K2473" s="1" t="s">
        <v>1211</v>
      </c>
      <c r="L2473" s="1" t="s">
        <v>26</v>
      </c>
      <c r="M2473" s="1" t="s">
        <v>27</v>
      </c>
      <c r="N2473" s="1" t="s">
        <v>26</v>
      </c>
      <c r="O2473" s="1" t="s">
        <v>26</v>
      </c>
      <c r="P2473" s="4">
        <v>44565.942407407405</v>
      </c>
    </row>
    <row r="2474" hidden="1">
      <c r="A2474" s="1" t="s">
        <v>21</v>
      </c>
      <c r="B2474" s="3" t="str">
        <f>HYPERLINK("https://hawk-eye.atlassian.net/browse/HWKREPORT-1034?atlOrigin=eyJpIjoiYzgwYTQ0ZjEyNzQzNGJhN2JmNjEyZTM0NmRhZWZhNjIiLCJwIjoic2hlZXRzLWppcmEifQ","HWKREPORT-1034")</f>
        <v>HWKREPORT-1034</v>
      </c>
      <c r="C2474" s="1" t="s">
        <v>3769</v>
      </c>
      <c r="D2474" s="1" t="s">
        <v>40</v>
      </c>
      <c r="E2474" s="1" t="s">
        <v>35</v>
      </c>
      <c r="F2474" s="4">
        <v>44565.32929398148</v>
      </c>
      <c r="G2474" s="3" t="str">
        <f>HYPERLINK("https://hawk-eye.atlassian.net/browse/TDP-1354?atlOrigin=eyJpIjoiYzgwYTQ0ZjEyNzQzNGJhN2JmNjEyZTM0NmRhZWZhNjIiLCJwIjoic2hlZXRzLWppcmEifQ","TDP-1354")</f>
        <v>TDP-1354</v>
      </c>
      <c r="H2474" s="1" t="s">
        <v>1058</v>
      </c>
      <c r="I2474" s="1" t="s">
        <v>1126</v>
      </c>
      <c r="J2474" s="1" t="s">
        <v>26</v>
      </c>
      <c r="K2474" s="1" t="s">
        <v>1211</v>
      </c>
      <c r="L2474" s="1" t="s">
        <v>26</v>
      </c>
      <c r="M2474" s="1" t="s">
        <v>27</v>
      </c>
      <c r="N2474" s="1" t="s">
        <v>26</v>
      </c>
      <c r="O2474" s="1" t="s">
        <v>26</v>
      </c>
      <c r="P2474" s="4">
        <v>44687.570543981485</v>
      </c>
    </row>
    <row r="2475" hidden="1">
      <c r="A2475" s="1" t="s">
        <v>21</v>
      </c>
      <c r="B2475" s="3" t="str">
        <f>HYPERLINK("https://hawk-eye.atlassian.net/browse/HWKREPORT-1035?atlOrigin=eyJpIjoiYzgwYTQ0ZjEyNzQzNGJhN2JmNjEyZTM0NmRhZWZhNjIiLCJwIjoic2hlZXRzLWppcmEifQ","HWKREPORT-1035")</f>
        <v>HWKREPORT-1035</v>
      </c>
      <c r="C2475" s="1" t="s">
        <v>3770</v>
      </c>
      <c r="D2475" s="1" t="s">
        <v>23</v>
      </c>
      <c r="E2475" s="1" t="s">
        <v>35</v>
      </c>
      <c r="F2475" s="4">
        <v>44567.74637731481</v>
      </c>
      <c r="G2475" s="3" t="str">
        <f>HYPERLINK("https://hawk-eye.atlassian.net/browse/RTT-4624?atlOrigin=eyJpIjoiYzgwYTQ0ZjEyNzQzNGJhN2JmNjEyZTM0NmRhZWZhNjIiLCJwIjoic2hlZXRzLWppcmEifQ","RTT-4624")</f>
        <v>RTT-4624</v>
      </c>
      <c r="H2475" s="1" t="s">
        <v>1058</v>
      </c>
      <c r="I2475" s="1" t="s">
        <v>1071</v>
      </c>
      <c r="J2475" s="1" t="s">
        <v>26</v>
      </c>
      <c r="K2475" s="1" t="s">
        <v>1072</v>
      </c>
      <c r="L2475" s="1" t="s">
        <v>26</v>
      </c>
      <c r="M2475" s="1" t="s">
        <v>27</v>
      </c>
      <c r="N2475" s="1" t="s">
        <v>26</v>
      </c>
      <c r="O2475" s="1" t="s">
        <v>26</v>
      </c>
      <c r="P2475" s="4">
        <v>44603.39939814815</v>
      </c>
    </row>
    <row r="2476" hidden="1">
      <c r="A2476" s="1" t="s">
        <v>21</v>
      </c>
      <c r="B2476" s="3" t="str">
        <f>HYPERLINK("https://hawk-eye.atlassian.net/browse/HWKREPORT-1036?atlOrigin=eyJpIjoiYzgwYTQ0ZjEyNzQzNGJhN2JmNjEyZTM0NmRhZWZhNjIiLCJwIjoic2hlZXRzLWppcmEifQ","HWKREPORT-1036")</f>
        <v>HWKREPORT-1036</v>
      </c>
      <c r="C2476" s="1" t="s">
        <v>3771</v>
      </c>
      <c r="D2476" s="1" t="s">
        <v>34</v>
      </c>
      <c r="E2476" s="1" t="s">
        <v>1057</v>
      </c>
      <c r="F2476" s="4">
        <v>44569.12726851852</v>
      </c>
      <c r="G2476" s="3" t="str">
        <f>HYPERLINK("https://hawk-eye.atlassian.net/browse/?atlOrigin=eyJpIjoiYzgwYTQ0ZjEyNzQzNGJhN2JmNjEyZTM0NmRhZWZhNjIiLCJwIjoic2hlZXRzLWppcmEifQ","")</f>
        <v/>
      </c>
      <c r="H2476" s="1" t="s">
        <v>1058</v>
      </c>
      <c r="I2476" s="1" t="s">
        <v>1126</v>
      </c>
      <c r="J2476" s="1" t="s">
        <v>26</v>
      </c>
      <c r="K2476" s="1" t="s">
        <v>1211</v>
      </c>
      <c r="L2476" s="1" t="s">
        <v>26</v>
      </c>
      <c r="M2476" s="1" t="s">
        <v>27</v>
      </c>
      <c r="N2476" s="1" t="s">
        <v>26</v>
      </c>
      <c r="O2476" s="1" t="s">
        <v>26</v>
      </c>
      <c r="P2476" s="4">
        <v>44569.127280092594</v>
      </c>
    </row>
    <row r="2477" hidden="1">
      <c r="A2477" s="1" t="s">
        <v>21</v>
      </c>
      <c r="B2477" s="3" t="str">
        <f>HYPERLINK("https://hawk-eye.atlassian.net/browse/HWKREPORT-1037?atlOrigin=eyJpIjoiYzgwYTQ0ZjEyNzQzNGJhN2JmNjEyZTM0NmRhZWZhNjIiLCJwIjoic2hlZXRzLWppcmEifQ","HWKREPORT-1037")</f>
        <v>HWKREPORT-1037</v>
      </c>
      <c r="C2477" s="1" t="s">
        <v>3772</v>
      </c>
      <c r="D2477" s="1" t="s">
        <v>23</v>
      </c>
      <c r="E2477" s="1" t="s">
        <v>35</v>
      </c>
      <c r="F2477" s="4">
        <v>44572.53396990741</v>
      </c>
      <c r="G2477" s="3" t="str">
        <f>HYPERLINK("https://hawk-eye.atlassian.net/browse/MLT-708?atlOrigin=eyJpIjoiYzgwYTQ0ZjEyNzQzNGJhN2JmNjEyZTM0NmRhZWZhNjIiLCJwIjoic2hlZXRzLWppcmEifQ","MLT-708")</f>
        <v>MLT-708</v>
      </c>
      <c r="H2477" s="1" t="s">
        <v>1058</v>
      </c>
      <c r="I2477" s="1" t="s">
        <v>1151</v>
      </c>
      <c r="J2477" s="1" t="s">
        <v>26</v>
      </c>
      <c r="K2477" s="1" t="s">
        <v>1072</v>
      </c>
      <c r="L2477" s="1" t="s">
        <v>26</v>
      </c>
      <c r="M2477" s="1" t="s">
        <v>27</v>
      </c>
      <c r="N2477" s="1" t="s">
        <v>26</v>
      </c>
      <c r="O2477" s="1" t="s">
        <v>26</v>
      </c>
      <c r="P2477" s="4">
        <v>44600.87484953704</v>
      </c>
    </row>
    <row r="2478" hidden="1">
      <c r="A2478" s="1" t="s">
        <v>21</v>
      </c>
      <c r="B2478" s="3" t="str">
        <f>HYPERLINK("https://hawk-eye.atlassian.net/browse/HWKREPORT-1038?atlOrigin=eyJpIjoiYzgwYTQ0ZjEyNzQzNGJhN2JmNjEyZTM0NmRhZWZhNjIiLCJwIjoic2hlZXRzLWppcmEifQ","HWKREPORT-1038")</f>
        <v>HWKREPORT-1038</v>
      </c>
      <c r="C2478" s="1" t="s">
        <v>3773</v>
      </c>
      <c r="D2478" s="1" t="s">
        <v>23</v>
      </c>
      <c r="E2478" s="1" t="s">
        <v>35</v>
      </c>
      <c r="F2478" s="4">
        <v>44572.53765046296</v>
      </c>
      <c r="G2478" s="3" t="str">
        <f>HYPERLINK("https://hawk-eye.atlassian.net/browse/MLT-707?atlOrigin=eyJpIjoiYzgwYTQ0ZjEyNzQzNGJhN2JmNjEyZTM0NmRhZWZhNjIiLCJwIjoic2hlZXRzLWppcmEifQ","MLT-707")</f>
        <v>MLT-707</v>
      </c>
      <c r="H2478" s="1" t="s">
        <v>1058</v>
      </c>
      <c r="I2478" s="1" t="s">
        <v>1151</v>
      </c>
      <c r="J2478" s="1" t="s">
        <v>26</v>
      </c>
      <c r="K2478" s="1" t="s">
        <v>1072</v>
      </c>
      <c r="L2478" s="1" t="s">
        <v>26</v>
      </c>
      <c r="M2478" s="1" t="s">
        <v>27</v>
      </c>
      <c r="N2478" s="1" t="s">
        <v>26</v>
      </c>
      <c r="O2478" s="1" t="s">
        <v>26</v>
      </c>
      <c r="P2478" s="4">
        <v>44600.87486111111</v>
      </c>
    </row>
    <row r="2479" hidden="1">
      <c r="A2479" s="1" t="s">
        <v>1055</v>
      </c>
      <c r="B2479" s="3" t="str">
        <f>HYPERLINK("https://hawk-eye.atlassian.net/browse/HWKREPORT-1039?atlOrigin=eyJpIjoiYzgwYTQ0ZjEyNzQzNGJhN2JmNjEyZTM0NmRhZWZhNjIiLCJwIjoic2hlZXRzLWppcmEifQ","HWKREPORT-1039")</f>
        <v>HWKREPORT-1039</v>
      </c>
      <c r="C2479" s="1" t="s">
        <v>3774</v>
      </c>
      <c r="D2479" s="1" t="s">
        <v>23</v>
      </c>
      <c r="E2479" s="1" t="s">
        <v>1207</v>
      </c>
      <c r="F2479" s="4">
        <v>44572.61398148148</v>
      </c>
      <c r="G2479" s="3" t="str">
        <f>HYPERLINK("https://hawk-eye.atlassian.net/browse/RTT-4632?atlOrigin=eyJpIjoiYzgwYTQ0ZjEyNzQzNGJhN2JmNjEyZTM0NmRhZWZhNjIiLCJwIjoic2hlZXRzLWppcmEifQ","RTT-4632")</f>
        <v>RTT-4632</v>
      </c>
      <c r="H2479" s="1" t="s">
        <v>1058</v>
      </c>
      <c r="I2479" s="1" t="s">
        <v>1085</v>
      </c>
      <c r="J2479" s="1" t="s">
        <v>26</v>
      </c>
      <c r="K2479" s="1" t="s">
        <v>1312</v>
      </c>
      <c r="L2479" s="1" t="s">
        <v>26</v>
      </c>
      <c r="M2479" s="1" t="s">
        <v>27</v>
      </c>
      <c r="N2479" s="1" t="s">
        <v>26</v>
      </c>
      <c r="O2479" s="1" t="s">
        <v>26</v>
      </c>
      <c r="P2479" s="4">
        <v>44929.4184837963</v>
      </c>
    </row>
    <row r="2480" hidden="1">
      <c r="A2480" s="1" t="s">
        <v>1055</v>
      </c>
      <c r="B2480" s="3" t="str">
        <f>HYPERLINK("https://hawk-eye.atlassian.net/browse/HWKREPORT-1040?atlOrigin=eyJpIjoiYzgwYTQ0ZjEyNzQzNGJhN2JmNjEyZTM0NmRhZWZhNjIiLCJwIjoic2hlZXRzLWppcmEifQ","HWKREPORT-1040")</f>
        <v>HWKREPORT-1040</v>
      </c>
      <c r="C2480" s="1" t="s">
        <v>3775</v>
      </c>
      <c r="D2480" s="1" t="s">
        <v>23</v>
      </c>
      <c r="E2480" s="1" t="s">
        <v>1207</v>
      </c>
      <c r="F2480" s="4">
        <v>44572.616319444445</v>
      </c>
      <c r="G2480" s="3" t="str">
        <f>HYPERLINK("https://hawk-eye.atlassian.net/browse/RTT-4633?atlOrigin=eyJpIjoiYzgwYTQ0ZjEyNzQzNGJhN2JmNjEyZTM0NmRhZWZhNjIiLCJwIjoic2hlZXRzLWppcmEifQ","RTT-4633")</f>
        <v>RTT-4633</v>
      </c>
      <c r="H2480" s="1" t="s">
        <v>1058</v>
      </c>
      <c r="I2480" s="1" t="s">
        <v>1085</v>
      </c>
      <c r="J2480" s="1" t="s">
        <v>26</v>
      </c>
      <c r="K2480" s="1" t="s">
        <v>1312</v>
      </c>
      <c r="L2480" s="1" t="s">
        <v>26</v>
      </c>
      <c r="M2480" s="1" t="s">
        <v>27</v>
      </c>
      <c r="N2480" s="1" t="s">
        <v>26</v>
      </c>
      <c r="O2480" s="1" t="s">
        <v>26</v>
      </c>
      <c r="P2480" s="4">
        <v>44929.4184837963</v>
      </c>
    </row>
    <row r="2481" hidden="1">
      <c r="A2481" s="1" t="s">
        <v>1055</v>
      </c>
      <c r="B2481" s="3" t="str">
        <f>HYPERLINK("https://hawk-eye.atlassian.net/browse/HWKREPORT-1041?atlOrigin=eyJpIjoiYzgwYTQ0ZjEyNzQzNGJhN2JmNjEyZTM0NmRhZWZhNjIiLCJwIjoic2hlZXRzLWppcmEifQ","HWKREPORT-1041")</f>
        <v>HWKREPORT-1041</v>
      </c>
      <c r="C2481" s="1" t="s">
        <v>3776</v>
      </c>
      <c r="D2481" s="1" t="s">
        <v>23</v>
      </c>
      <c r="E2481" s="1" t="s">
        <v>35</v>
      </c>
      <c r="F2481" s="4">
        <v>44573.50666666667</v>
      </c>
      <c r="G2481" s="3" t="str">
        <f>HYPERLINK("https://hawk-eye.atlassian.net/browse/?atlOrigin=eyJpIjoiYzgwYTQ0ZjEyNzQzNGJhN2JmNjEyZTM0NmRhZWZhNjIiLCJwIjoic2hlZXRzLWppcmEifQ","")</f>
        <v/>
      </c>
      <c r="H2481" s="1" t="s">
        <v>1058</v>
      </c>
      <c r="I2481" s="1" t="s">
        <v>1126</v>
      </c>
      <c r="J2481" s="1" t="s">
        <v>26</v>
      </c>
      <c r="K2481" s="1" t="s">
        <v>3777</v>
      </c>
      <c r="L2481" s="1" t="s">
        <v>26</v>
      </c>
      <c r="M2481" s="1" t="s">
        <v>27</v>
      </c>
      <c r="N2481" s="1" t="s">
        <v>26</v>
      </c>
      <c r="O2481" s="1" t="s">
        <v>26</v>
      </c>
      <c r="P2481" s="4">
        <v>44638.59989583334</v>
      </c>
    </row>
    <row r="2482" hidden="1">
      <c r="A2482" s="1" t="s">
        <v>21</v>
      </c>
      <c r="B2482" s="3" t="str">
        <f>HYPERLINK("https://hawk-eye.atlassian.net/browse/HWKREPORT-1042?atlOrigin=eyJpIjoiYzgwYTQ0ZjEyNzQzNGJhN2JmNjEyZTM0NmRhZWZhNjIiLCJwIjoic2hlZXRzLWppcmEifQ","HWKREPORT-1042")</f>
        <v>HWKREPORT-1042</v>
      </c>
      <c r="C2482" s="1" t="s">
        <v>3778</v>
      </c>
      <c r="D2482" s="1" t="s">
        <v>23</v>
      </c>
      <c r="E2482" s="1" t="s">
        <v>35</v>
      </c>
      <c r="F2482" s="4">
        <v>44573.94449074074</v>
      </c>
      <c r="G2482" s="3" t="str">
        <f>HYPERLINK("https://hawk-eye.atlassian.net/issues/?atlOrigin=eyJpIjoiYzgwYTQ0ZjEyNzQzNGJhN2JmNjEyZTM0NmRhZWZhNjIiLCJwIjoic2hlZXRzLWppcmEifQ&amp;jql=key+in+%28RTT-4631%2CBDP-472%29","RTT-4631;BDP-472")</f>
        <v>RTT-4631;BDP-472</v>
      </c>
      <c r="H2482" s="1" t="s">
        <v>1058</v>
      </c>
      <c r="I2482" s="1" t="s">
        <v>1071</v>
      </c>
      <c r="J2482" s="1" t="s">
        <v>26</v>
      </c>
      <c r="K2482" s="1" t="s">
        <v>1130</v>
      </c>
      <c r="L2482" s="1" t="s">
        <v>26</v>
      </c>
      <c r="M2482" s="1" t="s">
        <v>27</v>
      </c>
      <c r="N2482" s="1" t="s">
        <v>26</v>
      </c>
      <c r="O2482" s="1" t="s">
        <v>26</v>
      </c>
      <c r="P2482" s="4">
        <v>44615.451261574075</v>
      </c>
    </row>
    <row r="2483" hidden="1">
      <c r="A2483" s="1" t="s">
        <v>21</v>
      </c>
      <c r="B2483" s="3" t="str">
        <f>HYPERLINK("https://hawk-eye.atlassian.net/browse/HWKREPORT-1043?atlOrigin=eyJpIjoiYzgwYTQ0ZjEyNzQzNGJhN2JmNjEyZTM0NmRhZWZhNjIiLCJwIjoic2hlZXRzLWppcmEifQ","HWKREPORT-1043")</f>
        <v>HWKREPORT-1043</v>
      </c>
      <c r="C2483" s="1" t="s">
        <v>3779</v>
      </c>
      <c r="D2483" s="1" t="s">
        <v>23</v>
      </c>
      <c r="E2483" s="1" t="s">
        <v>35</v>
      </c>
      <c r="F2483" s="4">
        <v>44574.65415509259</v>
      </c>
      <c r="G2483" s="3" t="str">
        <f>HYPERLINK("https://hawk-eye.atlassian.net/browse/?atlOrigin=eyJpIjoiYzgwYTQ0ZjEyNzQzNGJhN2JmNjEyZTM0NmRhZWZhNjIiLCJwIjoic2hlZXRzLWppcmEifQ","")</f>
        <v/>
      </c>
      <c r="H2483" s="1" t="s">
        <v>1058</v>
      </c>
      <c r="I2483" s="1" t="s">
        <v>1071</v>
      </c>
      <c r="J2483" s="1" t="s">
        <v>26</v>
      </c>
      <c r="K2483" s="1" t="s">
        <v>1130</v>
      </c>
      <c r="L2483" s="1" t="s">
        <v>26</v>
      </c>
      <c r="M2483" s="1" t="s">
        <v>27</v>
      </c>
      <c r="N2483" s="1" t="s">
        <v>26</v>
      </c>
      <c r="O2483" s="1" t="s">
        <v>26</v>
      </c>
      <c r="P2483" s="4">
        <v>44789.08314814815</v>
      </c>
    </row>
    <row r="2484" hidden="1">
      <c r="A2484" s="1" t="s">
        <v>21</v>
      </c>
      <c r="B2484" s="3" t="str">
        <f>HYPERLINK("https://hawk-eye.atlassian.net/browse/HWKREPORT-1044?atlOrigin=eyJpIjoiYzgwYTQ0ZjEyNzQzNGJhN2JmNjEyZTM0NmRhZWZhNjIiLCJwIjoic2hlZXRzLWppcmEifQ","HWKREPORT-1044")</f>
        <v>HWKREPORT-1044</v>
      </c>
      <c r="C2484" s="1" t="s">
        <v>3780</v>
      </c>
      <c r="D2484" s="1" t="s">
        <v>40</v>
      </c>
      <c r="E2484" s="1" t="s">
        <v>35</v>
      </c>
      <c r="F2484" s="4">
        <v>44578.04697916667</v>
      </c>
      <c r="G2484" s="3" t="str">
        <f>HYPERLINK("https://hawk-eye.atlassian.net/browse/TRD-86?atlOrigin=eyJpIjoiYzgwYTQ0ZjEyNzQzNGJhN2JmNjEyZTM0NmRhZWZhNjIiLCJwIjoic2hlZXRzLWppcmEifQ","TRD-86")</f>
        <v>TRD-86</v>
      </c>
      <c r="H2484" s="1" t="s">
        <v>1058</v>
      </c>
      <c r="I2484" s="1" t="s">
        <v>1126</v>
      </c>
      <c r="J2484" s="1" t="s">
        <v>26</v>
      </c>
      <c r="K2484" s="1" t="s">
        <v>1211</v>
      </c>
      <c r="L2484" s="1" t="s">
        <v>26</v>
      </c>
      <c r="M2484" s="1" t="s">
        <v>27</v>
      </c>
      <c r="N2484" s="1" t="s">
        <v>26</v>
      </c>
      <c r="O2484" s="1" t="s">
        <v>26</v>
      </c>
      <c r="P2484" s="4">
        <v>44602.4575462963</v>
      </c>
    </row>
    <row r="2485" hidden="1">
      <c r="A2485" s="1" t="s">
        <v>1055</v>
      </c>
      <c r="B2485" s="3" t="str">
        <f>HYPERLINK("https://hawk-eye.atlassian.net/browse/HWKREPORT-1045?atlOrigin=eyJpIjoiYzgwYTQ0ZjEyNzQzNGJhN2JmNjEyZTM0NmRhZWZhNjIiLCJwIjoic2hlZXRzLWppcmEifQ","HWKREPORT-1045")</f>
        <v>HWKREPORT-1045</v>
      </c>
      <c r="C2485" s="1" t="s">
        <v>3781</v>
      </c>
      <c r="D2485" s="1" t="s">
        <v>23</v>
      </c>
      <c r="E2485" s="1" t="s">
        <v>35</v>
      </c>
      <c r="F2485" s="4">
        <v>44578.40788194445</v>
      </c>
      <c r="G2485" s="3" t="str">
        <f>HYPERLINK("https://hawk-eye.atlassian.net/browse/AL-162?atlOrigin=eyJpIjoiYzgwYTQ0ZjEyNzQzNGJhN2JmNjEyZTM0NmRhZWZhNjIiLCJwIjoic2hlZXRzLWppcmEifQ","AL-162")</f>
        <v>AL-162</v>
      </c>
      <c r="H2485" s="1" t="s">
        <v>1058</v>
      </c>
      <c r="I2485" s="1" t="s">
        <v>1085</v>
      </c>
      <c r="J2485" s="1" t="s">
        <v>26</v>
      </c>
      <c r="K2485" s="1" t="s">
        <v>1143</v>
      </c>
      <c r="L2485" s="1" t="s">
        <v>26</v>
      </c>
      <c r="M2485" s="1" t="s">
        <v>27</v>
      </c>
      <c r="N2485" s="1" t="s">
        <v>26</v>
      </c>
      <c r="O2485" s="1" t="s">
        <v>26</v>
      </c>
      <c r="P2485" s="4">
        <v>44602.500555555554</v>
      </c>
    </row>
    <row r="2486" hidden="1">
      <c r="A2486" s="1" t="s">
        <v>21</v>
      </c>
      <c r="B2486" s="3" t="str">
        <f>HYPERLINK("https://hawk-eye.atlassian.net/browse/HWKREPORT-1048?atlOrigin=eyJpIjoiYzgwYTQ0ZjEyNzQzNGJhN2JmNjEyZTM0NmRhZWZhNjIiLCJwIjoic2hlZXRzLWppcmEifQ","HWKREPORT-1048")</f>
        <v>HWKREPORT-1048</v>
      </c>
      <c r="C2486" s="1" t="s">
        <v>3782</v>
      </c>
      <c r="D2486" s="1" t="s">
        <v>23</v>
      </c>
      <c r="E2486" s="1" t="s">
        <v>35</v>
      </c>
      <c r="F2486" s="4">
        <v>44579.715578703705</v>
      </c>
      <c r="G2486" s="3" t="str">
        <f>HYPERLINK("https://hawk-eye.atlassian.net/browse/RTT-4650?atlOrigin=eyJpIjoiYzgwYTQ0ZjEyNzQzNGJhN2JmNjEyZTM0NmRhZWZhNjIiLCJwIjoic2hlZXRzLWppcmEifQ","RTT-4650")</f>
        <v>RTT-4650</v>
      </c>
      <c r="H2486" s="1" t="s">
        <v>1058</v>
      </c>
      <c r="I2486" s="1" t="s">
        <v>1071</v>
      </c>
      <c r="J2486" s="1" t="s">
        <v>26</v>
      </c>
      <c r="K2486" s="1" t="s">
        <v>1099</v>
      </c>
      <c r="L2486" s="1" t="s">
        <v>26</v>
      </c>
      <c r="M2486" s="1" t="s">
        <v>27</v>
      </c>
      <c r="N2486" s="1" t="s">
        <v>26</v>
      </c>
      <c r="O2486" s="1" t="s">
        <v>26</v>
      </c>
      <c r="P2486" s="4">
        <v>44676.41471064815</v>
      </c>
    </row>
    <row r="2487" hidden="1">
      <c r="A2487" s="1" t="s">
        <v>21</v>
      </c>
      <c r="B2487" s="3" t="str">
        <f>HYPERLINK("https://hawk-eye.atlassian.net/browse/HWKREPORT-1049?atlOrigin=eyJpIjoiYzgwYTQ0ZjEyNzQzNGJhN2JmNjEyZTM0NmRhZWZhNjIiLCJwIjoic2hlZXRzLWppcmEifQ","HWKREPORT-1049")</f>
        <v>HWKREPORT-1049</v>
      </c>
      <c r="C2487" s="1" t="s">
        <v>3783</v>
      </c>
      <c r="D2487" s="1" t="s">
        <v>40</v>
      </c>
      <c r="E2487" s="1" t="s">
        <v>35</v>
      </c>
      <c r="F2487" s="4">
        <v>44580.57896990741</v>
      </c>
      <c r="G2487" s="3" t="str">
        <f>HYPERLINK("https://hawk-eye.atlassian.net/browse/FDP-328?atlOrigin=eyJpIjoiYzgwYTQ0ZjEyNzQzNGJhN2JmNjEyZTM0NmRhZWZhNjIiLCJwIjoic2hlZXRzLWppcmEifQ","FDP-328")</f>
        <v>FDP-328</v>
      </c>
      <c r="H2487" s="1" t="s">
        <v>1058</v>
      </c>
      <c r="I2487" s="1" t="s">
        <v>1085</v>
      </c>
      <c r="J2487" s="1" t="s">
        <v>26</v>
      </c>
      <c r="K2487" s="1" t="s">
        <v>1157</v>
      </c>
      <c r="L2487" s="1" t="s">
        <v>26</v>
      </c>
      <c r="M2487" s="1" t="s">
        <v>27</v>
      </c>
      <c r="N2487" s="1" t="s">
        <v>26</v>
      </c>
      <c r="O2487" s="1" t="s">
        <v>26</v>
      </c>
      <c r="P2487" s="4">
        <v>45184.71299768519</v>
      </c>
    </row>
    <row r="2488" hidden="1">
      <c r="A2488" s="1" t="s">
        <v>21</v>
      </c>
      <c r="B2488" s="3" t="str">
        <f>HYPERLINK("https://hawk-eye.atlassian.net/browse/HWKREPORT-1050?atlOrigin=eyJpIjoiYzgwYTQ0ZjEyNzQzNGJhN2JmNjEyZTM0NmRhZWZhNjIiLCJwIjoic2hlZXRzLWppcmEifQ","HWKREPORT-1050")</f>
        <v>HWKREPORT-1050</v>
      </c>
      <c r="C2488" s="1" t="s">
        <v>3784</v>
      </c>
      <c r="D2488" s="1" t="s">
        <v>23</v>
      </c>
      <c r="E2488" s="1" t="s">
        <v>35</v>
      </c>
      <c r="F2488" s="4">
        <v>44580.96207175926</v>
      </c>
      <c r="G2488" s="3" t="str">
        <f>HYPERLINK("https://hawk-eye.atlassian.net/browse/RTT-4665?atlOrigin=eyJpIjoiYzgwYTQ0ZjEyNzQzNGJhN2JmNjEyZTM0NmRhZWZhNjIiLCJwIjoic2hlZXRzLWppcmEifQ","RTT-4665")</f>
        <v>RTT-4665</v>
      </c>
      <c r="H2488" s="1" t="s">
        <v>1058</v>
      </c>
      <c r="I2488" s="1" t="s">
        <v>1126</v>
      </c>
      <c r="J2488" s="1" t="s">
        <v>26</v>
      </c>
      <c r="K2488" s="1" t="s">
        <v>1312</v>
      </c>
      <c r="L2488" s="1" t="s">
        <v>26</v>
      </c>
      <c r="M2488" s="1" t="s">
        <v>27</v>
      </c>
      <c r="N2488" s="1" t="s">
        <v>26</v>
      </c>
      <c r="O2488" s="1" t="s">
        <v>26</v>
      </c>
      <c r="P2488" s="4">
        <v>44957.71826388889</v>
      </c>
    </row>
    <row r="2489" hidden="1">
      <c r="A2489" s="1" t="s">
        <v>21</v>
      </c>
      <c r="B2489" s="3" t="str">
        <f>HYPERLINK("https://hawk-eye.atlassian.net/browse/HWKREPORT-1051?atlOrigin=eyJpIjoiYzgwYTQ0ZjEyNzQzNGJhN2JmNjEyZTM0NmRhZWZhNjIiLCJwIjoic2hlZXRzLWppcmEifQ","HWKREPORT-1051")</f>
        <v>HWKREPORT-1051</v>
      </c>
      <c r="C2489" s="1" t="s">
        <v>3785</v>
      </c>
      <c r="D2489" s="1" t="s">
        <v>83</v>
      </c>
      <c r="E2489" s="1" t="s">
        <v>35</v>
      </c>
      <c r="F2489" s="4">
        <v>44581.006840277776</v>
      </c>
      <c r="G2489" s="3" t="str">
        <f>HYPERLINK("https://hawk-eye.atlassian.net/issues/?atlOrigin=eyJpIjoiYzgwYTQ0ZjEyNzQzNGJhN2JmNjEyZTM0NmRhZWZhNjIiLCJwIjoic2hlZXRzLWppcmEifQ&amp;jql=key+in+%28RTT-4837%2CRTTDB-68%29","RTT-4837;RTTDB-68")</f>
        <v>RTT-4837;RTTDB-68</v>
      </c>
      <c r="H2489" s="1" t="s">
        <v>1058</v>
      </c>
      <c r="I2489" s="1" t="s">
        <v>1126</v>
      </c>
      <c r="J2489" s="1" t="s">
        <v>26</v>
      </c>
      <c r="K2489" s="1" t="s">
        <v>1127</v>
      </c>
      <c r="L2489" s="1" t="s">
        <v>26</v>
      </c>
      <c r="M2489" s="1" t="s">
        <v>27</v>
      </c>
      <c r="N2489" s="1" t="s">
        <v>26</v>
      </c>
      <c r="O2489" s="1" t="s">
        <v>26</v>
      </c>
      <c r="P2489" s="4">
        <v>44652.65516203704</v>
      </c>
    </row>
    <row r="2490" hidden="1">
      <c r="A2490" s="1" t="s">
        <v>21</v>
      </c>
      <c r="B2490" s="3" t="str">
        <f>HYPERLINK("https://hawk-eye.atlassian.net/browse/HWKREPORT-1052?atlOrigin=eyJpIjoiYzgwYTQ0ZjEyNzQzNGJhN2JmNjEyZTM0NmRhZWZhNjIiLCJwIjoic2hlZXRzLWppcmEifQ","HWKREPORT-1052")</f>
        <v>HWKREPORT-1052</v>
      </c>
      <c r="C2490" s="1" t="s">
        <v>3786</v>
      </c>
      <c r="D2490" s="1" t="s">
        <v>34</v>
      </c>
      <c r="E2490" s="1" t="s">
        <v>35</v>
      </c>
      <c r="F2490" s="4">
        <v>44581.07193287037</v>
      </c>
      <c r="G2490" s="3" t="str">
        <f>HYPERLINK("https://hawk-eye.atlassian.net/browse/TDP-1364?atlOrigin=eyJpIjoiYzgwYTQ0ZjEyNzQzNGJhN2JmNjEyZTM0NmRhZWZhNjIiLCJwIjoic2hlZXRzLWppcmEifQ","TDP-1364")</f>
        <v>TDP-1364</v>
      </c>
      <c r="H2490" s="1" t="s">
        <v>1058</v>
      </c>
      <c r="I2490" s="1" t="s">
        <v>1126</v>
      </c>
      <c r="J2490" s="1" t="s">
        <v>26</v>
      </c>
      <c r="K2490" s="1" t="s">
        <v>1211</v>
      </c>
      <c r="L2490" s="1" t="s">
        <v>26</v>
      </c>
      <c r="M2490" s="1" t="s">
        <v>27</v>
      </c>
      <c r="N2490" s="1" t="s">
        <v>26</v>
      </c>
      <c r="O2490" s="1" t="s">
        <v>26</v>
      </c>
      <c r="P2490" s="4">
        <v>44637.74491898148</v>
      </c>
    </row>
    <row r="2491" hidden="1">
      <c r="A2491" s="1" t="s">
        <v>21</v>
      </c>
      <c r="B2491" s="3" t="str">
        <f>HYPERLINK("https://hawk-eye.atlassian.net/browse/HWKREPORT-1053?atlOrigin=eyJpIjoiYzgwYTQ0ZjEyNzQzNGJhN2JmNjEyZTM0NmRhZWZhNjIiLCJwIjoic2hlZXRzLWppcmEifQ","HWKREPORT-1053")</f>
        <v>HWKREPORT-1053</v>
      </c>
      <c r="C2491" s="1" t="s">
        <v>3787</v>
      </c>
      <c r="D2491" s="1" t="s">
        <v>23</v>
      </c>
      <c r="E2491" s="1" t="s">
        <v>35</v>
      </c>
      <c r="F2491" s="4">
        <v>44581.081030092595</v>
      </c>
      <c r="G2491" s="3" t="str">
        <f>HYPERLINK("https://hawk-eye.atlassian.net/browse/RTT-4667?atlOrigin=eyJpIjoiYzgwYTQ0ZjEyNzQzNGJhN2JmNjEyZTM0NmRhZWZhNjIiLCJwIjoic2hlZXRzLWppcmEifQ","RTT-4667")</f>
        <v>RTT-4667</v>
      </c>
      <c r="H2491" s="1" t="s">
        <v>1058</v>
      </c>
      <c r="I2491" s="1" t="s">
        <v>1126</v>
      </c>
      <c r="J2491" s="1" t="s">
        <v>26</v>
      </c>
      <c r="K2491" s="1" t="s">
        <v>1312</v>
      </c>
      <c r="L2491" s="1" t="s">
        <v>26</v>
      </c>
      <c r="M2491" s="1" t="s">
        <v>27</v>
      </c>
      <c r="N2491" s="1" t="s">
        <v>26</v>
      </c>
      <c r="O2491" s="1" t="s">
        <v>26</v>
      </c>
      <c r="P2491" s="4">
        <v>45216.43074074074</v>
      </c>
    </row>
    <row r="2492" hidden="1">
      <c r="A2492" s="1" t="s">
        <v>1055</v>
      </c>
      <c r="B2492" s="3" t="str">
        <f>HYPERLINK("https://hawk-eye.atlassian.net/browse/HWKREPORT-1054?atlOrigin=eyJpIjoiYzgwYTQ0ZjEyNzQzNGJhN2JmNjEyZTM0NmRhZWZhNjIiLCJwIjoic2hlZXRzLWppcmEifQ","HWKREPORT-1054")</f>
        <v>HWKREPORT-1054</v>
      </c>
      <c r="C2492" s="1" t="s">
        <v>3788</v>
      </c>
      <c r="D2492" s="1" t="s">
        <v>23</v>
      </c>
      <c r="E2492" s="1" t="s">
        <v>35</v>
      </c>
      <c r="F2492" s="4">
        <v>44581.4434837963</v>
      </c>
      <c r="G2492" s="3" t="str">
        <f>HYPERLINK("https://hawk-eye.atlassian.net/browse/AL-252?atlOrigin=eyJpIjoiYzgwYTQ0ZjEyNzQzNGJhN2JmNjEyZTM0NmRhZWZhNjIiLCJwIjoic2hlZXRzLWppcmEifQ","AL-252")</f>
        <v>AL-252</v>
      </c>
      <c r="H2492" s="1" t="s">
        <v>1058</v>
      </c>
      <c r="I2492" s="1" t="s">
        <v>1085</v>
      </c>
      <c r="J2492" s="1" t="s">
        <v>26</v>
      </c>
      <c r="K2492" s="1" t="s">
        <v>1219</v>
      </c>
      <c r="L2492" s="1" t="s">
        <v>26</v>
      </c>
      <c r="M2492" s="1" t="s">
        <v>27</v>
      </c>
      <c r="N2492" s="1" t="s">
        <v>26</v>
      </c>
      <c r="O2492" s="1" t="s">
        <v>26</v>
      </c>
      <c r="P2492" s="4">
        <v>44655.49123842592</v>
      </c>
    </row>
    <row r="2493" hidden="1">
      <c r="A2493" s="1" t="s">
        <v>21</v>
      </c>
      <c r="B2493" s="3" t="str">
        <f>HYPERLINK("https://hawk-eye.atlassian.net/browse/HWKREPORT-1055?atlOrigin=eyJpIjoiYzgwYTQ0ZjEyNzQzNGJhN2JmNjEyZTM0NmRhZWZhNjIiLCJwIjoic2hlZXRzLWppcmEifQ","HWKREPORT-1055")</f>
        <v>HWKREPORT-1055</v>
      </c>
      <c r="C2493" s="1" t="s">
        <v>3789</v>
      </c>
      <c r="D2493" s="1" t="s">
        <v>23</v>
      </c>
      <c r="E2493" s="1" t="s">
        <v>1207</v>
      </c>
      <c r="F2493" s="4">
        <v>44581.484918981485</v>
      </c>
      <c r="G2493" s="3" t="str">
        <f>HYPERLINK("https://hawk-eye.atlassian.net/browse/AL-182?atlOrigin=eyJpIjoiYzgwYTQ0ZjEyNzQzNGJhN2JmNjEyZTM0NmRhZWZhNjIiLCJwIjoic2hlZXRzLWppcmEifQ","AL-182")</f>
        <v>AL-182</v>
      </c>
      <c r="H2493" s="1" t="s">
        <v>1058</v>
      </c>
      <c r="I2493" s="1" t="s">
        <v>1085</v>
      </c>
      <c r="J2493" s="1" t="s">
        <v>26</v>
      </c>
      <c r="K2493" s="1" t="s">
        <v>1143</v>
      </c>
      <c r="L2493" s="1" t="s">
        <v>26</v>
      </c>
      <c r="M2493" s="1" t="s">
        <v>27</v>
      </c>
      <c r="N2493" s="1" t="s">
        <v>26</v>
      </c>
      <c r="O2493" s="1" t="s">
        <v>26</v>
      </c>
      <c r="P2493" s="4">
        <v>44929.4184837963</v>
      </c>
    </row>
    <row r="2494" hidden="1">
      <c r="A2494" s="1" t="s">
        <v>1055</v>
      </c>
      <c r="B2494" s="3" t="str">
        <f>HYPERLINK("https://hawk-eye.atlassian.net/browse/HWKREPORT-1056?atlOrigin=eyJpIjoiYzgwYTQ0ZjEyNzQzNGJhN2JmNjEyZTM0NmRhZWZhNjIiLCJwIjoic2hlZXRzLWppcmEifQ","HWKREPORT-1056")</f>
        <v>HWKREPORT-1056</v>
      </c>
      <c r="C2494" s="1" t="s">
        <v>3790</v>
      </c>
      <c r="D2494" s="1" t="s">
        <v>23</v>
      </c>
      <c r="E2494" s="1" t="s">
        <v>35</v>
      </c>
      <c r="F2494" s="4">
        <v>44582.498449074075</v>
      </c>
      <c r="G2494" s="3" t="str">
        <f>HYPERLINK("https://hawk-eye.atlassian.net/browse/GT-797?atlOrigin=eyJpIjoiYzgwYTQ0ZjEyNzQzNGJhN2JmNjEyZTM0NmRhZWZhNjIiLCJwIjoic2hlZXRzLWppcmEifQ","GT-797")</f>
        <v>GT-797</v>
      </c>
      <c r="H2494" s="1" t="s">
        <v>1058</v>
      </c>
      <c r="I2494" s="1" t="s">
        <v>1082</v>
      </c>
      <c r="J2494" s="1" t="s">
        <v>26</v>
      </c>
      <c r="K2494" s="1" t="s">
        <v>1105</v>
      </c>
      <c r="L2494" s="1" t="s">
        <v>26</v>
      </c>
      <c r="M2494" s="1" t="s">
        <v>27</v>
      </c>
      <c r="N2494" s="1" t="s">
        <v>26</v>
      </c>
      <c r="O2494" s="1" t="s">
        <v>26</v>
      </c>
      <c r="P2494" s="4">
        <v>44978.68682870371</v>
      </c>
    </row>
    <row r="2495" hidden="1">
      <c r="A2495" s="1" t="s">
        <v>1055</v>
      </c>
      <c r="B2495" s="3" t="str">
        <f>HYPERLINK("https://hawk-eye.atlassian.net/browse/HWKREPORT-1057?atlOrigin=eyJpIjoiYzgwYTQ0ZjEyNzQzNGJhN2JmNjEyZTM0NmRhZWZhNjIiLCJwIjoic2hlZXRzLWppcmEifQ","HWKREPORT-1057")</f>
        <v>HWKREPORT-1057</v>
      </c>
      <c r="C2495" s="1" t="s">
        <v>3791</v>
      </c>
      <c r="D2495" s="1" t="s">
        <v>23</v>
      </c>
      <c r="E2495" s="1" t="s">
        <v>35</v>
      </c>
      <c r="F2495" s="4">
        <v>44582.517280092594</v>
      </c>
      <c r="G2495" s="3" t="str">
        <f>HYPERLINK("https://hawk-eye.atlassian.net/browse/RTT-4668?atlOrigin=eyJpIjoiYzgwYTQ0ZjEyNzQzNGJhN2JmNjEyZTM0NmRhZWZhNjIiLCJwIjoic2hlZXRzLWppcmEifQ","RTT-4668")</f>
        <v>RTT-4668</v>
      </c>
      <c r="H2495" s="1" t="s">
        <v>1058</v>
      </c>
      <c r="I2495" s="1" t="s">
        <v>1085</v>
      </c>
      <c r="J2495" s="1" t="s">
        <v>26</v>
      </c>
      <c r="K2495" s="1" t="s">
        <v>2299</v>
      </c>
      <c r="L2495" s="1" t="s">
        <v>26</v>
      </c>
      <c r="M2495" s="1" t="s">
        <v>27</v>
      </c>
      <c r="N2495" s="1" t="s">
        <v>26</v>
      </c>
      <c r="O2495" s="1" t="s">
        <v>26</v>
      </c>
      <c r="P2495" s="4">
        <v>44600.87474537037</v>
      </c>
    </row>
    <row r="2496" hidden="1">
      <c r="A2496" s="1" t="s">
        <v>1055</v>
      </c>
      <c r="B2496" s="3" t="str">
        <f>HYPERLINK("https://hawk-eye.atlassian.net/browse/HWKREPORT-1058?atlOrigin=eyJpIjoiYzgwYTQ0ZjEyNzQzNGJhN2JmNjEyZTM0NmRhZWZhNjIiLCJwIjoic2hlZXRzLWppcmEifQ","HWKREPORT-1058")</f>
        <v>HWKREPORT-1058</v>
      </c>
      <c r="C2496" s="1" t="s">
        <v>3792</v>
      </c>
      <c r="D2496" s="1" t="s">
        <v>23</v>
      </c>
      <c r="E2496" s="1" t="s">
        <v>35</v>
      </c>
      <c r="F2496" s="4">
        <v>44587.63164351852</v>
      </c>
      <c r="G2496" s="3" t="str">
        <f>HYPERLINK("https://hawk-eye.atlassian.net/browse/RTT-4686?atlOrigin=eyJpIjoiYzgwYTQ0ZjEyNzQzNGJhN2JmNjEyZTM0NmRhZWZhNjIiLCJwIjoic2hlZXRzLWppcmEifQ","RTT-4686")</f>
        <v>RTT-4686</v>
      </c>
      <c r="H2496" s="1" t="s">
        <v>1058</v>
      </c>
      <c r="I2496" s="1" t="s">
        <v>1085</v>
      </c>
      <c r="J2496" s="1" t="s">
        <v>26</v>
      </c>
      <c r="K2496" s="1" t="s">
        <v>1196</v>
      </c>
      <c r="L2496" s="1" t="s">
        <v>26</v>
      </c>
      <c r="M2496" s="1" t="s">
        <v>27</v>
      </c>
      <c r="N2496" s="1" t="s">
        <v>26</v>
      </c>
      <c r="O2496" s="1" t="s">
        <v>26</v>
      </c>
      <c r="P2496" s="4">
        <v>45341.55799768519</v>
      </c>
    </row>
    <row r="2497" hidden="1">
      <c r="A2497" s="1" t="s">
        <v>21</v>
      </c>
      <c r="B2497" s="3" t="str">
        <f>HYPERLINK("https://hawk-eye.atlassian.net/browse/HWKREPORT-1059?atlOrigin=eyJpIjoiYzgwYTQ0ZjEyNzQzNGJhN2JmNjEyZTM0NmRhZWZhNjIiLCJwIjoic2hlZXRzLWppcmEifQ","HWKREPORT-1059")</f>
        <v>HWKREPORT-1059</v>
      </c>
      <c r="C2497" s="1" t="s">
        <v>3793</v>
      </c>
      <c r="D2497" s="1" t="s">
        <v>34</v>
      </c>
      <c r="E2497" s="1" t="s">
        <v>35</v>
      </c>
      <c r="F2497" s="4">
        <v>44587.66556712963</v>
      </c>
      <c r="G2497" s="3" t="str">
        <f>HYPERLINK("https://hawk-eye.atlassian.net/browse/RTT-4680?atlOrigin=eyJpIjoiYzgwYTQ0ZjEyNzQzNGJhN2JmNjEyZTM0NmRhZWZhNjIiLCJwIjoic2hlZXRzLWppcmEifQ","RTT-4680")</f>
        <v>RTT-4680</v>
      </c>
      <c r="H2497" s="1" t="s">
        <v>1058</v>
      </c>
      <c r="I2497" s="1" t="s">
        <v>1085</v>
      </c>
      <c r="J2497" s="1" t="s">
        <v>26</v>
      </c>
      <c r="K2497" s="1" t="s">
        <v>1312</v>
      </c>
      <c r="L2497" s="1" t="s">
        <v>26</v>
      </c>
      <c r="M2497" s="1" t="s">
        <v>27</v>
      </c>
      <c r="N2497" s="1" t="s">
        <v>26</v>
      </c>
      <c r="O2497" s="1" t="s">
        <v>26</v>
      </c>
      <c r="P2497" s="4">
        <v>44623.59966435185</v>
      </c>
    </row>
    <row r="2498" hidden="1">
      <c r="A2498" s="1" t="s">
        <v>21</v>
      </c>
      <c r="B2498" s="3" t="str">
        <f>HYPERLINK("https://hawk-eye.atlassian.net/browse/HWKREPORT-1060?atlOrigin=eyJpIjoiYzgwYTQ0ZjEyNzQzNGJhN2JmNjEyZTM0NmRhZWZhNjIiLCJwIjoic2hlZXRzLWppcmEifQ","HWKREPORT-1060")</f>
        <v>HWKREPORT-1060</v>
      </c>
      <c r="C2498" s="1" t="s">
        <v>3794</v>
      </c>
      <c r="D2498" s="1" t="s">
        <v>23</v>
      </c>
      <c r="E2498" s="1" t="s">
        <v>35</v>
      </c>
      <c r="F2498" s="4">
        <v>44587.817395833335</v>
      </c>
      <c r="G2498" s="3" t="str">
        <f>HYPERLINK("https://hawk-eye.atlassian.net/browse/RTT-4681?atlOrigin=eyJpIjoiYzgwYTQ0ZjEyNzQzNGJhN2JmNjEyZTM0NmRhZWZhNjIiLCJwIjoic2hlZXRzLWppcmEifQ","RTT-4681")</f>
        <v>RTT-4681</v>
      </c>
      <c r="H2498" s="1" t="s">
        <v>1058</v>
      </c>
      <c r="I2498" s="1" t="s">
        <v>1071</v>
      </c>
      <c r="J2498" s="1" t="s">
        <v>26</v>
      </c>
      <c r="K2498" s="1" t="s">
        <v>1072</v>
      </c>
      <c r="L2498" s="1" t="s">
        <v>26</v>
      </c>
      <c r="M2498" s="1" t="s">
        <v>27</v>
      </c>
      <c r="N2498" s="1" t="s">
        <v>26</v>
      </c>
      <c r="O2498" s="1" t="s">
        <v>26</v>
      </c>
      <c r="P2498" s="4">
        <v>45216.37872685185</v>
      </c>
    </row>
    <row r="2499" hidden="1">
      <c r="A2499" s="1" t="s">
        <v>21</v>
      </c>
      <c r="B2499" s="3" t="str">
        <f>HYPERLINK("https://hawk-eye.atlassian.net/browse/HWKREPORT-1061?atlOrigin=eyJpIjoiYzgwYTQ0ZjEyNzQzNGJhN2JmNjEyZTM0NmRhZWZhNjIiLCJwIjoic2hlZXRzLWppcmEifQ","HWKREPORT-1061")</f>
        <v>HWKREPORT-1061</v>
      </c>
      <c r="C2499" s="1" t="s">
        <v>3795</v>
      </c>
      <c r="D2499" s="1" t="s">
        <v>34</v>
      </c>
      <c r="E2499" s="1" t="s">
        <v>35</v>
      </c>
      <c r="F2499" s="4">
        <v>44591.272824074076</v>
      </c>
      <c r="G2499" s="3" t="str">
        <f>HYPERLINK("https://hawk-eye.atlassian.net/issues/?atlOrigin=eyJpIjoiYzgwYTQ0ZjEyNzQzNGJhN2JmNjEyZTM0NmRhZWZhNjIiLCJwIjoic2hlZXRzLWppcmEifQ&amp;jql=key+in+%28CONFIG-676%2CCONFIG-689%29","CONFIG-676;CONFIG-689")</f>
        <v>CONFIG-676;CONFIG-689</v>
      </c>
      <c r="H2499" s="1" t="s">
        <v>1058</v>
      </c>
      <c r="I2499" s="1" t="s">
        <v>1126</v>
      </c>
      <c r="J2499" s="1" t="s">
        <v>26</v>
      </c>
      <c r="K2499" s="1" t="s">
        <v>3603</v>
      </c>
      <c r="L2499" s="1" t="s">
        <v>26</v>
      </c>
      <c r="M2499" s="1" t="s">
        <v>27</v>
      </c>
      <c r="N2499" s="1" t="s">
        <v>26</v>
      </c>
      <c r="O2499" s="1" t="s">
        <v>26</v>
      </c>
      <c r="P2499" s="4">
        <v>44693.394166666665</v>
      </c>
    </row>
    <row r="2500" hidden="1">
      <c r="A2500" s="1" t="s">
        <v>21</v>
      </c>
      <c r="B2500" s="3" t="str">
        <f>HYPERLINK("https://hawk-eye.atlassian.net/browse/HWKREPORT-1062?atlOrigin=eyJpIjoiYzgwYTQ0ZjEyNzQzNGJhN2JmNjEyZTM0NmRhZWZhNjIiLCJwIjoic2hlZXRzLWppcmEifQ","HWKREPORT-1062")</f>
        <v>HWKREPORT-1062</v>
      </c>
      <c r="C2500" s="1" t="s">
        <v>3796</v>
      </c>
      <c r="D2500" s="1" t="s">
        <v>83</v>
      </c>
      <c r="E2500" s="1" t="s">
        <v>35</v>
      </c>
      <c r="F2500" s="4">
        <v>44591.282488425924</v>
      </c>
      <c r="G2500" s="3" t="str">
        <f>HYPERLINK("https://hawk-eye.atlassian.net/browse/?atlOrigin=eyJpIjoiYzgwYTQ0ZjEyNzQzNGJhN2JmNjEyZTM0NmRhZWZhNjIiLCJwIjoic2hlZXRzLWppcmEifQ","")</f>
        <v/>
      </c>
      <c r="H2500" s="1" t="s">
        <v>1058</v>
      </c>
      <c r="I2500" s="1" t="s">
        <v>1126</v>
      </c>
      <c r="J2500" s="1" t="s">
        <v>26</v>
      </c>
      <c r="K2500" s="1" t="s">
        <v>3603</v>
      </c>
      <c r="L2500" s="1" t="s">
        <v>26</v>
      </c>
      <c r="M2500" s="1" t="s">
        <v>27</v>
      </c>
      <c r="N2500" s="1" t="s">
        <v>26</v>
      </c>
      <c r="O2500" s="1" t="s">
        <v>26</v>
      </c>
      <c r="P2500" s="4">
        <v>44627.5883912037</v>
      </c>
    </row>
    <row r="2501" hidden="1">
      <c r="A2501" s="1" t="s">
        <v>21</v>
      </c>
      <c r="B2501" s="3" t="str">
        <f>HYPERLINK("https://hawk-eye.atlassian.net/browse/HWKREPORT-1063?atlOrigin=eyJpIjoiYzgwYTQ0ZjEyNzQzNGJhN2JmNjEyZTM0NmRhZWZhNjIiLCJwIjoic2hlZXRzLWppcmEifQ","HWKREPORT-1063")</f>
        <v>HWKREPORT-1063</v>
      </c>
      <c r="C2501" s="1" t="s">
        <v>3797</v>
      </c>
      <c r="D2501" s="1" t="s">
        <v>40</v>
      </c>
      <c r="E2501" s="1" t="s">
        <v>35</v>
      </c>
      <c r="F2501" s="4">
        <v>44591.288773148146</v>
      </c>
      <c r="G2501" s="3" t="str">
        <f>HYPERLINK("https://hawk-eye.atlassian.net/browse/CONFIG-674?atlOrigin=eyJpIjoiYzgwYTQ0ZjEyNzQzNGJhN2JmNjEyZTM0NmRhZWZhNjIiLCJwIjoic2hlZXRzLWppcmEifQ","CONFIG-674")</f>
        <v>CONFIG-674</v>
      </c>
      <c r="H2501" s="1" t="s">
        <v>1058</v>
      </c>
      <c r="I2501" s="1" t="s">
        <v>1126</v>
      </c>
      <c r="J2501" s="1" t="s">
        <v>26</v>
      </c>
      <c r="K2501" s="1" t="s">
        <v>3603</v>
      </c>
      <c r="L2501" s="1" t="s">
        <v>26</v>
      </c>
      <c r="M2501" s="1" t="s">
        <v>27</v>
      </c>
      <c r="N2501" s="1" t="s">
        <v>26</v>
      </c>
      <c r="O2501" s="1" t="s">
        <v>26</v>
      </c>
      <c r="P2501" s="4">
        <v>44622.79891203704</v>
      </c>
    </row>
    <row r="2502" hidden="1">
      <c r="A2502" s="1" t="s">
        <v>21</v>
      </c>
      <c r="B2502" s="3" t="str">
        <f>HYPERLINK("https://hawk-eye.atlassian.net/browse/HWKREPORT-862?atlOrigin=eyJpIjoiYzgwYTQ0ZjEyNzQzNGJhN2JmNjEyZTM0NmRhZWZhNjIiLCJwIjoic2hlZXRzLWppcmEifQ","HWKREPORT-862")</f>
        <v>HWKREPORT-862</v>
      </c>
      <c r="C2502" s="1" t="s">
        <v>3798</v>
      </c>
      <c r="D2502" s="1" t="s">
        <v>34</v>
      </c>
      <c r="E2502" s="1" t="s">
        <v>35</v>
      </c>
      <c r="F2502" s="4">
        <v>44370.70122685185</v>
      </c>
      <c r="G2502" s="3" t="str">
        <f>HYPERLINK("https://hawk-eye.atlassian.net/browse/RTT-4065?atlOrigin=eyJpIjoiYzgwYTQ0ZjEyNzQzNGJhN2JmNjEyZTM0NmRhZWZhNjIiLCJwIjoic2hlZXRzLWppcmEifQ","RTT-4065")</f>
        <v>RTT-4065</v>
      </c>
      <c r="H2502" s="1" t="s">
        <v>1058</v>
      </c>
      <c r="I2502" s="1" t="s">
        <v>1502</v>
      </c>
      <c r="J2502" s="1" t="s">
        <v>26</v>
      </c>
      <c r="K2502" s="1" t="s">
        <v>1312</v>
      </c>
      <c r="L2502" s="1" t="s">
        <v>26</v>
      </c>
      <c r="M2502" s="1" t="s">
        <v>27</v>
      </c>
      <c r="N2502" s="1" t="s">
        <v>26</v>
      </c>
      <c r="O2502" s="1" t="s">
        <v>26</v>
      </c>
      <c r="P2502" s="4">
        <v>44600.8750462963</v>
      </c>
    </row>
    <row r="2503" hidden="1">
      <c r="A2503" s="1" t="s">
        <v>21</v>
      </c>
      <c r="B2503" s="3" t="str">
        <f>HYPERLINK("https://hawk-eye.atlassian.net/browse/HWKREPORT-863?atlOrigin=eyJpIjoiYzgwYTQ0ZjEyNzQzNGJhN2JmNjEyZTM0NmRhZWZhNjIiLCJwIjoic2hlZXRzLWppcmEifQ","HWKREPORT-863")</f>
        <v>HWKREPORT-863</v>
      </c>
      <c r="C2503" s="1" t="s">
        <v>3799</v>
      </c>
      <c r="D2503" s="1" t="s">
        <v>40</v>
      </c>
      <c r="E2503" s="1" t="s">
        <v>35</v>
      </c>
      <c r="F2503" s="4">
        <v>44371.171956018516</v>
      </c>
      <c r="G2503" s="3" t="str">
        <f>HYPERLINK("https://hawk-eye.atlassian.net/browse/AL-13?atlOrigin=eyJpIjoiYzgwYTQ0ZjEyNzQzNGJhN2JmNjEyZTM0NmRhZWZhNjIiLCJwIjoic2hlZXRzLWppcmEifQ","AL-13")</f>
        <v>AL-13</v>
      </c>
      <c r="H2503" s="1" t="s">
        <v>1058</v>
      </c>
      <c r="I2503" s="1" t="s">
        <v>1071</v>
      </c>
      <c r="J2503" s="1" t="s">
        <v>26</v>
      </c>
      <c r="K2503" s="1" t="s">
        <v>1898</v>
      </c>
      <c r="L2503" s="1" t="s">
        <v>26</v>
      </c>
      <c r="M2503" s="1" t="s">
        <v>27</v>
      </c>
      <c r="N2503" s="1" t="s">
        <v>26</v>
      </c>
      <c r="O2503" s="1" t="s">
        <v>26</v>
      </c>
      <c r="P2503" s="4">
        <v>44600.875</v>
      </c>
    </row>
    <row r="2504" hidden="1">
      <c r="A2504" s="1" t="s">
        <v>21</v>
      </c>
      <c r="B2504" s="3" t="str">
        <f>HYPERLINK("https://hawk-eye.atlassian.net/browse/HWKREPORT-864?atlOrigin=eyJpIjoiYzgwYTQ0ZjEyNzQzNGJhN2JmNjEyZTM0NmRhZWZhNjIiLCJwIjoic2hlZXRzLWppcmEifQ","HWKREPORT-864")</f>
        <v>HWKREPORT-864</v>
      </c>
      <c r="C2504" s="1" t="s">
        <v>3800</v>
      </c>
      <c r="D2504" s="1" t="s">
        <v>83</v>
      </c>
      <c r="E2504" s="1" t="s">
        <v>35</v>
      </c>
      <c r="F2504" s="4">
        <v>44371.41769675926</v>
      </c>
      <c r="G2504" s="3" t="str">
        <f>HYPERLINK("https://hawk-eye.atlassian.net/browse/RTT-4060?atlOrigin=eyJpIjoiYzgwYTQ0ZjEyNzQzNGJhN2JmNjEyZTM0NmRhZWZhNjIiLCJwIjoic2hlZXRzLWppcmEifQ","RTT-4060")</f>
        <v>RTT-4060</v>
      </c>
      <c r="H2504" s="1" t="s">
        <v>1058</v>
      </c>
      <c r="I2504" s="1" t="s">
        <v>1085</v>
      </c>
      <c r="J2504" s="1" t="s">
        <v>26</v>
      </c>
      <c r="K2504" s="1" t="s">
        <v>1312</v>
      </c>
      <c r="L2504" s="1" t="s">
        <v>26</v>
      </c>
      <c r="M2504" s="1" t="s">
        <v>27</v>
      </c>
      <c r="N2504" s="1" t="s">
        <v>26</v>
      </c>
      <c r="O2504" s="1" t="s">
        <v>26</v>
      </c>
      <c r="P2504" s="4">
        <v>45341.55793981482</v>
      </c>
    </row>
    <row r="2505" hidden="1">
      <c r="A2505" s="1" t="s">
        <v>21</v>
      </c>
      <c r="B2505" s="3" t="str">
        <f>HYPERLINK("https://hawk-eye.atlassian.net/browse/HWKREPORT-865?atlOrigin=eyJpIjoiYzgwYTQ0ZjEyNzQzNGJhN2JmNjEyZTM0NmRhZWZhNjIiLCJwIjoic2hlZXRzLWppcmEifQ","HWKREPORT-865")</f>
        <v>HWKREPORT-865</v>
      </c>
      <c r="C2505" s="1" t="s">
        <v>3801</v>
      </c>
      <c r="D2505" s="1" t="s">
        <v>34</v>
      </c>
      <c r="E2505" s="1" t="s">
        <v>35</v>
      </c>
      <c r="F2505" s="4">
        <v>44371.42097222222</v>
      </c>
      <c r="G2505" s="3" t="str">
        <f>HYPERLINK("https://hawk-eye.atlassian.net/browse/RTT-4059?atlOrigin=eyJpIjoiYzgwYTQ0ZjEyNzQzNGJhN2JmNjEyZTM0NmRhZWZhNjIiLCJwIjoic2hlZXRzLWppcmEifQ","RTT-4059")</f>
        <v>RTT-4059</v>
      </c>
      <c r="H2505" s="1" t="s">
        <v>1058</v>
      </c>
      <c r="I2505" s="1" t="s">
        <v>1085</v>
      </c>
      <c r="J2505" s="1" t="s">
        <v>26</v>
      </c>
      <c r="K2505" s="1" t="s">
        <v>1312</v>
      </c>
      <c r="L2505" s="1" t="s">
        <v>26</v>
      </c>
      <c r="M2505" s="1" t="s">
        <v>27</v>
      </c>
      <c r="N2505" s="1" t="s">
        <v>26</v>
      </c>
      <c r="O2505" s="1" t="s">
        <v>26</v>
      </c>
      <c r="P2505" s="4">
        <v>44600.874976851854</v>
      </c>
    </row>
    <row r="2506" hidden="1">
      <c r="A2506" s="1" t="s">
        <v>21</v>
      </c>
      <c r="B2506" s="3" t="str">
        <f>HYPERLINK("https://hawk-eye.atlassian.net/browse/HWKREPORT-866?atlOrigin=eyJpIjoiYzgwYTQ0ZjEyNzQzNGJhN2JmNjEyZTM0NmRhZWZhNjIiLCJwIjoic2hlZXRzLWppcmEifQ","HWKREPORT-866")</f>
        <v>HWKREPORT-866</v>
      </c>
      <c r="C2506" s="1" t="s">
        <v>3802</v>
      </c>
      <c r="D2506" s="1" t="s">
        <v>83</v>
      </c>
      <c r="E2506" s="1" t="s">
        <v>35</v>
      </c>
      <c r="F2506" s="4">
        <v>44371.445185185185</v>
      </c>
      <c r="G2506" s="3" t="str">
        <f>HYPERLINK("https://hawk-eye.atlassian.net/browse/RTT-4202?atlOrigin=eyJpIjoiYzgwYTQ0ZjEyNzQzNGJhN2JmNjEyZTM0NmRhZWZhNjIiLCJwIjoic2hlZXRzLWppcmEifQ","RTT-4202")</f>
        <v>RTT-4202</v>
      </c>
      <c r="H2506" s="1" t="s">
        <v>1058</v>
      </c>
      <c r="I2506" s="1" t="s">
        <v>1085</v>
      </c>
      <c r="J2506" s="1" t="s">
        <v>26</v>
      </c>
      <c r="K2506" s="1" t="s">
        <v>1072</v>
      </c>
      <c r="L2506" s="1" t="s">
        <v>26</v>
      </c>
      <c r="M2506" s="1" t="s">
        <v>27</v>
      </c>
      <c r="N2506" s="1" t="s">
        <v>26</v>
      </c>
      <c r="O2506" s="1" t="s">
        <v>26</v>
      </c>
      <c r="P2506" s="4">
        <v>44600.87496527778</v>
      </c>
    </row>
    <row r="2507" hidden="1">
      <c r="A2507" s="1" t="s">
        <v>21</v>
      </c>
      <c r="B2507" s="3" t="str">
        <f>HYPERLINK("https://hawk-eye.atlassian.net/browse/HWKREPORT-867?atlOrigin=eyJpIjoiYzgwYTQ0ZjEyNzQzNGJhN2JmNjEyZTM0NmRhZWZhNjIiLCJwIjoic2hlZXRzLWppcmEifQ","HWKREPORT-867")</f>
        <v>HWKREPORT-867</v>
      </c>
      <c r="C2507" s="1" t="s">
        <v>3803</v>
      </c>
      <c r="D2507" s="1" t="s">
        <v>23</v>
      </c>
      <c r="E2507" s="1" t="s">
        <v>35</v>
      </c>
      <c r="F2507" s="4">
        <v>44371.45612268519</v>
      </c>
      <c r="G2507" s="3" t="str">
        <f>HYPERLINK("https://hawk-eye.atlassian.net/browse/RTT-4058?atlOrigin=eyJpIjoiYzgwYTQ0ZjEyNzQzNGJhN2JmNjEyZTM0NmRhZWZhNjIiLCJwIjoic2hlZXRzLWppcmEifQ","RTT-4058")</f>
        <v>RTT-4058</v>
      </c>
      <c r="H2507" s="1" t="s">
        <v>1058</v>
      </c>
      <c r="I2507" s="1" t="s">
        <v>1085</v>
      </c>
      <c r="J2507" s="1" t="s">
        <v>26</v>
      </c>
      <c r="K2507" s="1" t="s">
        <v>1072</v>
      </c>
      <c r="L2507" s="1" t="s">
        <v>26</v>
      </c>
      <c r="M2507" s="1" t="s">
        <v>27</v>
      </c>
      <c r="N2507" s="1" t="s">
        <v>26</v>
      </c>
      <c r="O2507" s="1" t="s">
        <v>26</v>
      </c>
      <c r="P2507" s="4">
        <v>44600.87496527778</v>
      </c>
    </row>
    <row r="2508" hidden="1">
      <c r="A2508" s="1" t="s">
        <v>1055</v>
      </c>
      <c r="B2508" s="3" t="str">
        <f>HYPERLINK("https://hawk-eye.atlassian.net/browse/HWKREPORT-868?atlOrigin=eyJpIjoiYzgwYTQ0ZjEyNzQzNGJhN2JmNjEyZTM0NmRhZWZhNjIiLCJwIjoic2hlZXRzLWppcmEifQ","HWKREPORT-868")</f>
        <v>HWKREPORT-868</v>
      </c>
      <c r="C2508" s="1" t="s">
        <v>3804</v>
      </c>
      <c r="D2508" s="1" t="s">
        <v>23</v>
      </c>
      <c r="E2508" s="1" t="s">
        <v>1057</v>
      </c>
      <c r="F2508" s="4">
        <v>44371.458020833335</v>
      </c>
      <c r="G2508" s="3" t="str">
        <f>HYPERLINK("https://hawk-eye.atlassian.net/browse/RTT-4057?atlOrigin=eyJpIjoiYzgwYTQ0ZjEyNzQzNGJhN2JmNjEyZTM0NmRhZWZhNjIiLCJwIjoic2hlZXRzLWppcmEifQ","RTT-4057")</f>
        <v>RTT-4057</v>
      </c>
      <c r="H2508" s="1" t="s">
        <v>1058</v>
      </c>
      <c r="I2508" s="1" t="s">
        <v>1085</v>
      </c>
      <c r="J2508" s="1" t="s">
        <v>26</v>
      </c>
      <c r="K2508" s="1" t="s">
        <v>1072</v>
      </c>
      <c r="L2508" s="1" t="s">
        <v>26</v>
      </c>
      <c r="M2508" s="1" t="s">
        <v>27</v>
      </c>
      <c r="N2508" s="1" t="s">
        <v>26</v>
      </c>
      <c r="O2508" s="1" t="s">
        <v>26</v>
      </c>
      <c r="P2508" s="4">
        <v>44371.458032407405</v>
      </c>
    </row>
    <row r="2509" hidden="1">
      <c r="A2509" s="1" t="s">
        <v>21</v>
      </c>
      <c r="B2509" s="3" t="str">
        <f>HYPERLINK("https://hawk-eye.atlassian.net/browse/HWKREPORT-869?atlOrigin=eyJpIjoiYzgwYTQ0ZjEyNzQzNGJhN2JmNjEyZTM0NmRhZWZhNjIiLCJwIjoic2hlZXRzLWppcmEifQ","HWKREPORT-869")</f>
        <v>HWKREPORT-869</v>
      </c>
      <c r="C2509" s="1" t="s">
        <v>3805</v>
      </c>
      <c r="D2509" s="1" t="s">
        <v>23</v>
      </c>
      <c r="E2509" s="1" t="s">
        <v>35</v>
      </c>
      <c r="F2509" s="4">
        <v>44371.489537037036</v>
      </c>
      <c r="G2509" s="3" t="str">
        <f>HYPERLINK("https://hawk-eye.atlassian.net/browse/RTT-4056?atlOrigin=eyJpIjoiYzgwYTQ0ZjEyNzQzNGJhN2JmNjEyZTM0NmRhZWZhNjIiLCJwIjoic2hlZXRzLWppcmEifQ","RTT-4056")</f>
        <v>RTT-4056</v>
      </c>
      <c r="H2509" s="1" t="s">
        <v>1058</v>
      </c>
      <c r="I2509" s="1" t="s">
        <v>1085</v>
      </c>
      <c r="J2509" s="1" t="s">
        <v>26</v>
      </c>
      <c r="K2509" s="1" t="s">
        <v>1072</v>
      </c>
      <c r="L2509" s="1" t="s">
        <v>26</v>
      </c>
      <c r="M2509" s="1" t="s">
        <v>27</v>
      </c>
      <c r="N2509" s="1" t="s">
        <v>26</v>
      </c>
      <c r="O2509" s="1" t="s">
        <v>26</v>
      </c>
      <c r="P2509" s="4">
        <v>44600.87478009259</v>
      </c>
    </row>
    <row r="2510" hidden="1">
      <c r="A2510" s="1" t="s">
        <v>21</v>
      </c>
      <c r="B2510" s="3" t="str">
        <f>HYPERLINK("https://hawk-eye.atlassian.net/browse/HWKREPORT-870?atlOrigin=eyJpIjoiYzgwYTQ0ZjEyNzQzNGJhN2JmNjEyZTM0NmRhZWZhNjIiLCJwIjoic2hlZXRzLWppcmEifQ","HWKREPORT-870")</f>
        <v>HWKREPORT-870</v>
      </c>
      <c r="C2510" s="1" t="s">
        <v>3806</v>
      </c>
      <c r="D2510" s="1" t="s">
        <v>23</v>
      </c>
      <c r="E2510" s="1" t="s">
        <v>35</v>
      </c>
      <c r="F2510" s="4">
        <v>44371.73221064815</v>
      </c>
      <c r="G2510" s="3" t="str">
        <f>HYPERLINK("https://hawk-eye.atlassian.net/browse/RTT-4646?atlOrigin=eyJpIjoiYzgwYTQ0ZjEyNzQzNGJhN2JmNjEyZTM0NmRhZWZhNjIiLCJwIjoic2hlZXRzLWppcmEifQ","RTT-4646")</f>
        <v>RTT-4646</v>
      </c>
      <c r="H2510" s="1" t="s">
        <v>1058</v>
      </c>
      <c r="I2510" s="1" t="s">
        <v>1071</v>
      </c>
      <c r="J2510" s="1" t="s">
        <v>26</v>
      </c>
      <c r="K2510" s="1" t="s">
        <v>1099</v>
      </c>
      <c r="L2510" s="1" t="s">
        <v>26</v>
      </c>
      <c r="M2510" s="1" t="s">
        <v>27</v>
      </c>
      <c r="N2510" s="1" t="s">
        <v>26</v>
      </c>
      <c r="O2510" s="1" t="s">
        <v>26</v>
      </c>
      <c r="P2510" s="4">
        <v>45706.60326388889</v>
      </c>
    </row>
    <row r="2511" hidden="1">
      <c r="A2511" s="1" t="s">
        <v>21</v>
      </c>
      <c r="B2511" s="3" t="str">
        <f>HYPERLINK("https://hawk-eye.atlassian.net/browse/HWKREPORT-871?atlOrigin=eyJpIjoiYzgwYTQ0ZjEyNzQzNGJhN2JmNjEyZTM0NmRhZWZhNjIiLCJwIjoic2hlZXRzLWppcmEifQ","HWKREPORT-871")</f>
        <v>HWKREPORT-871</v>
      </c>
      <c r="C2511" s="1" t="s">
        <v>3807</v>
      </c>
      <c r="D2511" s="1" t="s">
        <v>34</v>
      </c>
      <c r="E2511" s="1" t="s">
        <v>35</v>
      </c>
      <c r="F2511" s="4">
        <v>44375.4040625</v>
      </c>
      <c r="G2511" s="3" t="str">
        <f t="shared" ref="G2511:G2512" si="171">HYPERLINK("https://hawk-eye.atlassian.net/browse/RTT-4062?atlOrigin=eyJpIjoiYzgwYTQ0ZjEyNzQzNGJhN2JmNjEyZTM0NmRhZWZhNjIiLCJwIjoic2hlZXRzLWppcmEifQ","RTT-4062")</f>
        <v>RTT-4062</v>
      </c>
      <c r="H2511" s="1" t="s">
        <v>1058</v>
      </c>
      <c r="I2511" s="1" t="s">
        <v>1085</v>
      </c>
      <c r="J2511" s="1" t="s">
        <v>26</v>
      </c>
      <c r="K2511" s="1" t="s">
        <v>1072</v>
      </c>
      <c r="L2511" s="1" t="s">
        <v>26</v>
      </c>
      <c r="M2511" s="1" t="s">
        <v>27</v>
      </c>
      <c r="N2511" s="1" t="s">
        <v>26</v>
      </c>
      <c r="O2511" s="1" t="s">
        <v>26</v>
      </c>
      <c r="P2511" s="4">
        <v>44582.4409375</v>
      </c>
    </row>
    <row r="2512" hidden="1">
      <c r="A2512" s="1" t="s">
        <v>21</v>
      </c>
      <c r="B2512" s="3" t="str">
        <f>HYPERLINK("https://hawk-eye.atlassian.net/browse/HWKREPORT-872?atlOrigin=eyJpIjoiYzgwYTQ0ZjEyNzQzNGJhN2JmNjEyZTM0NmRhZWZhNjIiLCJwIjoic2hlZXRzLWppcmEifQ","HWKREPORT-872")</f>
        <v>HWKREPORT-872</v>
      </c>
      <c r="C2512" s="1" t="s">
        <v>3808</v>
      </c>
      <c r="D2512" s="1" t="s">
        <v>34</v>
      </c>
      <c r="E2512" s="1" t="s">
        <v>35</v>
      </c>
      <c r="F2512" s="4">
        <v>44375.408368055556</v>
      </c>
      <c r="G2512" s="3" t="str">
        <f t="shared" si="171"/>
        <v>RTT-4062</v>
      </c>
      <c r="H2512" s="1" t="s">
        <v>1058</v>
      </c>
      <c r="I2512" s="1" t="s">
        <v>1085</v>
      </c>
      <c r="J2512" s="1" t="s">
        <v>26</v>
      </c>
      <c r="K2512" s="1" t="s">
        <v>1072</v>
      </c>
      <c r="L2512" s="1" t="s">
        <v>26</v>
      </c>
      <c r="M2512" s="1" t="s">
        <v>27</v>
      </c>
      <c r="N2512" s="1" t="s">
        <v>26</v>
      </c>
      <c r="O2512" s="1" t="s">
        <v>26</v>
      </c>
      <c r="P2512" s="4">
        <v>44582.44081018519</v>
      </c>
    </row>
    <row r="2513" hidden="1">
      <c r="A2513" s="1" t="s">
        <v>21</v>
      </c>
      <c r="B2513" s="3" t="str">
        <f>HYPERLINK("https://hawk-eye.atlassian.net/browse/HWKREPORT-873?atlOrigin=eyJpIjoiYzgwYTQ0ZjEyNzQzNGJhN2JmNjEyZTM0NmRhZWZhNjIiLCJwIjoic2hlZXRzLWppcmEifQ","HWKREPORT-873")</f>
        <v>HWKREPORT-873</v>
      </c>
      <c r="C2513" s="1" t="s">
        <v>3809</v>
      </c>
      <c r="D2513" s="1" t="s">
        <v>40</v>
      </c>
      <c r="E2513" s="1" t="s">
        <v>35</v>
      </c>
      <c r="F2513" s="4">
        <v>44376.19008101852</v>
      </c>
      <c r="G2513" s="3" t="str">
        <f>HYPERLINK("https://hawk-eye.atlassian.net/browse/AL-7?atlOrigin=eyJpIjoiYzgwYTQ0ZjEyNzQzNGJhN2JmNjEyZTM0NmRhZWZhNjIiLCJwIjoic2hlZXRzLWppcmEifQ","AL-7")</f>
        <v>AL-7</v>
      </c>
      <c r="H2513" s="1" t="s">
        <v>1058</v>
      </c>
      <c r="I2513" s="1" t="s">
        <v>1071</v>
      </c>
      <c r="J2513" s="1" t="s">
        <v>26</v>
      </c>
      <c r="K2513" s="1" t="s">
        <v>1898</v>
      </c>
      <c r="L2513" s="1" t="s">
        <v>26</v>
      </c>
      <c r="M2513" s="1" t="s">
        <v>27</v>
      </c>
      <c r="N2513" s="1" t="s">
        <v>26</v>
      </c>
      <c r="O2513" s="1" t="s">
        <v>26</v>
      </c>
      <c r="P2513" s="4">
        <v>44600.87494212963</v>
      </c>
    </row>
    <row r="2514" hidden="1">
      <c r="A2514" s="1" t="s">
        <v>21</v>
      </c>
      <c r="B2514" s="3" t="str">
        <f>HYPERLINK("https://hawk-eye.atlassian.net/browse/HWKREPORT-874?atlOrigin=eyJpIjoiYzgwYTQ0ZjEyNzQzNGJhN2JmNjEyZTM0NmRhZWZhNjIiLCJwIjoic2hlZXRzLWppcmEifQ","HWKREPORT-874")</f>
        <v>HWKREPORT-874</v>
      </c>
      <c r="C2514" s="1" t="s">
        <v>3810</v>
      </c>
      <c r="D2514" s="1" t="s">
        <v>23</v>
      </c>
      <c r="E2514" s="1" t="s">
        <v>35</v>
      </c>
      <c r="F2514" s="4">
        <v>44376.95590277778</v>
      </c>
      <c r="G2514" s="3" t="str">
        <f>HYPERLINK("https://hawk-eye.atlassian.net/issues/?atlOrigin=eyJpIjoiYzgwYTQ0ZjEyNzQzNGJhN2JmNjEyZTM0NmRhZWZhNjIiLCJwIjoic2hlZXRzLWppcmEifQ&amp;jql=key+in+%28TDP-1237%2CRTT-4249%29","TDP-1237;RTT-4249")</f>
        <v>TDP-1237;RTT-4249</v>
      </c>
      <c r="H2514" s="1" t="s">
        <v>1058</v>
      </c>
      <c r="I2514" s="1" t="s">
        <v>1126</v>
      </c>
      <c r="J2514" s="1" t="s">
        <v>26</v>
      </c>
      <c r="K2514" s="1" t="s">
        <v>1211</v>
      </c>
      <c r="L2514" s="1" t="s">
        <v>26</v>
      </c>
      <c r="M2514" s="1" t="s">
        <v>27</v>
      </c>
      <c r="N2514" s="1" t="s">
        <v>26</v>
      </c>
      <c r="O2514" s="1" t="s">
        <v>26</v>
      </c>
      <c r="P2514" s="4">
        <v>44600.875</v>
      </c>
    </row>
    <row r="2515" hidden="1">
      <c r="A2515" s="1" t="s">
        <v>21</v>
      </c>
      <c r="B2515" s="3" t="str">
        <f>HYPERLINK("https://hawk-eye.atlassian.net/browse/HWKREPORT-875?atlOrigin=eyJpIjoiYzgwYTQ0ZjEyNzQzNGJhN2JmNjEyZTM0NmRhZWZhNjIiLCJwIjoic2hlZXRzLWppcmEifQ","HWKREPORT-875")</f>
        <v>HWKREPORT-875</v>
      </c>
      <c r="C2515" s="1" t="s">
        <v>3811</v>
      </c>
      <c r="D2515" s="1" t="s">
        <v>23</v>
      </c>
      <c r="E2515" s="1" t="s">
        <v>35</v>
      </c>
      <c r="F2515" s="4">
        <v>44376.95799768518</v>
      </c>
      <c r="G2515" s="3" t="str">
        <f>HYPERLINK("https://hawk-eye.atlassian.net/browse/TDP-1238?atlOrigin=eyJpIjoiYzgwYTQ0ZjEyNzQzNGJhN2JmNjEyZTM0NmRhZWZhNjIiLCJwIjoic2hlZXRzLWppcmEifQ","TDP-1238")</f>
        <v>TDP-1238</v>
      </c>
      <c r="H2515" s="1" t="s">
        <v>1058</v>
      </c>
      <c r="I2515" s="1" t="s">
        <v>1126</v>
      </c>
      <c r="J2515" s="1" t="s">
        <v>26</v>
      </c>
      <c r="K2515" s="1" t="s">
        <v>1211</v>
      </c>
      <c r="L2515" s="1" t="s">
        <v>26</v>
      </c>
      <c r="M2515" s="1" t="s">
        <v>27</v>
      </c>
      <c r="N2515" s="1" t="s">
        <v>26</v>
      </c>
      <c r="O2515" s="1" t="s">
        <v>26</v>
      </c>
      <c r="P2515" s="4">
        <v>44614.66883101852</v>
      </c>
    </row>
    <row r="2516" hidden="1">
      <c r="A2516" s="1" t="s">
        <v>21</v>
      </c>
      <c r="B2516" s="3" t="str">
        <f>HYPERLINK("https://hawk-eye.atlassian.net/browse/HWKREPORT-876?atlOrigin=eyJpIjoiYzgwYTQ0ZjEyNzQzNGJhN2JmNjEyZTM0NmRhZWZhNjIiLCJwIjoic2hlZXRzLWppcmEifQ","HWKREPORT-876")</f>
        <v>HWKREPORT-876</v>
      </c>
      <c r="C2516" s="1" t="s">
        <v>3812</v>
      </c>
      <c r="D2516" s="1" t="s">
        <v>34</v>
      </c>
      <c r="E2516" s="1" t="s">
        <v>35</v>
      </c>
      <c r="F2516" s="4">
        <v>44377.47472222222</v>
      </c>
      <c r="G2516" s="3" t="str">
        <f>HYPERLINK("https://hawk-eye.atlassian.net/browse/RTT-4081?atlOrigin=eyJpIjoiYzgwYTQ0ZjEyNzQzNGJhN2JmNjEyZTM0NmRhZWZhNjIiLCJwIjoic2hlZXRzLWppcmEifQ","RTT-4081")</f>
        <v>RTT-4081</v>
      </c>
      <c r="H2516" s="1" t="s">
        <v>1058</v>
      </c>
      <c r="I2516" s="1" t="s">
        <v>1085</v>
      </c>
      <c r="J2516" s="1" t="s">
        <v>26</v>
      </c>
      <c r="K2516" s="1" t="s">
        <v>1312</v>
      </c>
      <c r="L2516" s="1" t="s">
        <v>26</v>
      </c>
      <c r="M2516" s="1" t="s">
        <v>27</v>
      </c>
      <c r="N2516" s="1" t="s">
        <v>26</v>
      </c>
      <c r="O2516" s="1" t="s">
        <v>26</v>
      </c>
      <c r="P2516" s="4">
        <v>44600.874768518515</v>
      </c>
    </row>
    <row r="2517" hidden="1">
      <c r="A2517" s="1" t="s">
        <v>21</v>
      </c>
      <c r="B2517" s="3" t="str">
        <f>HYPERLINK("https://hawk-eye.atlassian.net/browse/HWKREPORT-877?atlOrigin=eyJpIjoiYzgwYTQ0ZjEyNzQzNGJhN2JmNjEyZTM0NmRhZWZhNjIiLCJwIjoic2hlZXRzLWppcmEifQ","HWKREPORT-877")</f>
        <v>HWKREPORT-877</v>
      </c>
      <c r="C2517" s="1" t="s">
        <v>3813</v>
      </c>
      <c r="D2517" s="1" t="s">
        <v>23</v>
      </c>
      <c r="E2517" s="1" t="s">
        <v>1207</v>
      </c>
      <c r="F2517" s="4">
        <v>44377.64221064815</v>
      </c>
      <c r="G2517" s="3" t="str">
        <f>HYPERLINK("https://hawk-eye.atlassian.net/browse/RTT-4262?atlOrigin=eyJpIjoiYzgwYTQ0ZjEyNzQzNGJhN2JmNjEyZTM0NmRhZWZhNjIiLCJwIjoic2hlZXRzLWppcmEifQ","RTT-4262")</f>
        <v>RTT-4262</v>
      </c>
      <c r="H2517" s="1" t="s">
        <v>1058</v>
      </c>
      <c r="I2517" s="1" t="s">
        <v>1071</v>
      </c>
      <c r="J2517" s="1" t="s">
        <v>26</v>
      </c>
      <c r="K2517" s="1" t="s">
        <v>1072</v>
      </c>
      <c r="L2517" s="1" t="s">
        <v>26</v>
      </c>
      <c r="M2517" s="1" t="s">
        <v>27</v>
      </c>
      <c r="N2517" s="1" t="s">
        <v>26</v>
      </c>
      <c r="O2517" s="1" t="s">
        <v>26</v>
      </c>
      <c r="P2517" s="4">
        <v>44929.4184837963</v>
      </c>
    </row>
    <row r="2518" hidden="1">
      <c r="A2518" s="1" t="s">
        <v>1055</v>
      </c>
      <c r="B2518" s="3" t="str">
        <f>HYPERLINK("https://hawk-eye.atlassian.net/browse/HWKREPORT-878?atlOrigin=eyJpIjoiYzgwYTQ0ZjEyNzQzNGJhN2JmNjEyZTM0NmRhZWZhNjIiLCJwIjoic2hlZXRzLWppcmEifQ","HWKREPORT-878")</f>
        <v>HWKREPORT-878</v>
      </c>
      <c r="C2518" s="1" t="s">
        <v>3814</v>
      </c>
      <c r="D2518" s="1" t="s">
        <v>23</v>
      </c>
      <c r="E2518" s="1" t="s">
        <v>1074</v>
      </c>
      <c r="F2518" s="4">
        <v>44377.857511574075</v>
      </c>
      <c r="G2518" s="3" t="str">
        <f>HYPERLINK("https://hawk-eye.atlassian.net/browse/RTT-4092?atlOrigin=eyJpIjoiYzgwYTQ0ZjEyNzQzNGJhN2JmNjEyZTM0NmRhZWZhNjIiLCJwIjoic2hlZXRzLWppcmEifQ","RTT-4092")</f>
        <v>RTT-4092</v>
      </c>
      <c r="H2518" s="1" t="s">
        <v>1058</v>
      </c>
      <c r="I2518" s="1" t="s">
        <v>1126</v>
      </c>
      <c r="J2518" s="1" t="s">
        <v>26</v>
      </c>
      <c r="K2518" s="1" t="s">
        <v>1312</v>
      </c>
      <c r="L2518" s="1" t="s">
        <v>26</v>
      </c>
      <c r="M2518" s="1" t="s">
        <v>27</v>
      </c>
      <c r="N2518" s="1" t="s">
        <v>26</v>
      </c>
      <c r="O2518" s="1" t="s">
        <v>26</v>
      </c>
      <c r="P2518" s="4">
        <v>44767.48074074074</v>
      </c>
    </row>
    <row r="2519" hidden="1">
      <c r="A2519" s="1" t="s">
        <v>21</v>
      </c>
      <c r="B2519" s="3" t="str">
        <f>HYPERLINK("https://hawk-eye.atlassian.net/browse/HWKREPORT-879?atlOrigin=eyJpIjoiYzgwYTQ0ZjEyNzQzNGJhN2JmNjEyZTM0NmRhZWZhNjIiLCJwIjoic2hlZXRzLWppcmEifQ","HWKREPORT-879")</f>
        <v>HWKREPORT-879</v>
      </c>
      <c r="C2519" s="1" t="s">
        <v>3815</v>
      </c>
      <c r="D2519" s="1" t="s">
        <v>40</v>
      </c>
      <c r="E2519" s="1" t="s">
        <v>35</v>
      </c>
      <c r="F2519" s="4">
        <v>44378.16501157408</v>
      </c>
      <c r="G2519" s="3" t="str">
        <f>HYPERLINK("https://hawk-eye.atlassian.net/browse/AL-12?atlOrigin=eyJpIjoiYzgwYTQ0ZjEyNzQzNGJhN2JmNjEyZTM0NmRhZWZhNjIiLCJwIjoic2hlZXRzLWppcmEifQ","AL-12")</f>
        <v>AL-12</v>
      </c>
      <c r="H2519" s="1" t="s">
        <v>1058</v>
      </c>
      <c r="I2519" s="1" t="s">
        <v>1071</v>
      </c>
      <c r="J2519" s="1" t="s">
        <v>26</v>
      </c>
      <c r="K2519" s="1" t="s">
        <v>1898</v>
      </c>
      <c r="L2519" s="1" t="s">
        <v>26</v>
      </c>
      <c r="M2519" s="1" t="s">
        <v>27</v>
      </c>
      <c r="N2519" s="1" t="s">
        <v>26</v>
      </c>
      <c r="O2519" s="1" t="s">
        <v>26</v>
      </c>
      <c r="P2519" s="4">
        <v>44600.87484953704</v>
      </c>
    </row>
    <row r="2520" hidden="1">
      <c r="A2520" s="1" t="s">
        <v>21</v>
      </c>
      <c r="B2520" s="3" t="str">
        <f>HYPERLINK("https://hawk-eye.atlassian.net/browse/HWKREPORT-880?atlOrigin=eyJpIjoiYzgwYTQ0ZjEyNzQzNGJhN2JmNjEyZTM0NmRhZWZhNjIiLCJwIjoic2hlZXRzLWppcmEifQ","HWKREPORT-880")</f>
        <v>HWKREPORT-880</v>
      </c>
      <c r="C2520" s="1" t="s">
        <v>3816</v>
      </c>
      <c r="D2520" s="1" t="s">
        <v>34</v>
      </c>
      <c r="E2520" s="1" t="s">
        <v>35</v>
      </c>
      <c r="F2520" s="4">
        <v>44378.38439814815</v>
      </c>
      <c r="G2520" s="3" t="str">
        <f>HYPERLINK("https://hawk-eye.atlassian.net/browse/AL-88?atlOrigin=eyJpIjoiYzgwYTQ0ZjEyNzQzNGJhN2JmNjEyZTM0NmRhZWZhNjIiLCJwIjoic2hlZXRzLWppcmEifQ","AL-88")</f>
        <v>AL-88</v>
      </c>
      <c r="H2520" s="1" t="s">
        <v>1058</v>
      </c>
      <c r="I2520" s="1" t="s">
        <v>1085</v>
      </c>
      <c r="J2520" s="1" t="s">
        <v>26</v>
      </c>
      <c r="K2520" s="1" t="s">
        <v>1072</v>
      </c>
      <c r="L2520" s="1" t="s">
        <v>26</v>
      </c>
      <c r="M2520" s="1" t="s">
        <v>27</v>
      </c>
      <c r="N2520" s="1" t="s">
        <v>26</v>
      </c>
      <c r="O2520" s="1" t="s">
        <v>26</v>
      </c>
      <c r="P2520" s="4">
        <v>44600.87483796296</v>
      </c>
    </row>
    <row r="2521" hidden="1">
      <c r="A2521" s="1" t="s">
        <v>21</v>
      </c>
      <c r="B2521" s="3" t="str">
        <f>HYPERLINK("https://hawk-eye.atlassian.net/browse/HWKREPORT-881?atlOrigin=eyJpIjoiYzgwYTQ0ZjEyNzQzNGJhN2JmNjEyZTM0NmRhZWZhNjIiLCJwIjoic2hlZXRzLWppcmEifQ","HWKREPORT-881")</f>
        <v>HWKREPORT-881</v>
      </c>
      <c r="C2521" s="1" t="s">
        <v>3817</v>
      </c>
      <c r="D2521" s="1" t="s">
        <v>34</v>
      </c>
      <c r="E2521" s="1" t="s">
        <v>35</v>
      </c>
      <c r="F2521" s="4">
        <v>44378.56123842593</v>
      </c>
      <c r="G2521" s="3" t="str">
        <f>HYPERLINK("https://hawk-eye.atlassian.net/browse/AL-112?atlOrigin=eyJpIjoiYzgwYTQ0ZjEyNzQzNGJhN2JmNjEyZTM0NmRhZWZhNjIiLCJwIjoic2hlZXRzLWppcmEifQ","AL-112")</f>
        <v>AL-112</v>
      </c>
      <c r="H2521" s="1" t="s">
        <v>1058</v>
      </c>
      <c r="I2521" s="1" t="s">
        <v>1085</v>
      </c>
      <c r="J2521" s="1" t="s">
        <v>26</v>
      </c>
      <c r="K2521" s="1" t="s">
        <v>1219</v>
      </c>
      <c r="L2521" s="1" t="s">
        <v>26</v>
      </c>
      <c r="M2521" s="1" t="s">
        <v>27</v>
      </c>
      <c r="N2521" s="1" t="s">
        <v>26</v>
      </c>
      <c r="O2521" s="1" t="s">
        <v>26</v>
      </c>
      <c r="P2521" s="4">
        <v>44383.76505787037</v>
      </c>
    </row>
    <row r="2522" hidden="1">
      <c r="A2522" s="1" t="s">
        <v>1055</v>
      </c>
      <c r="B2522" s="3" t="str">
        <f>HYPERLINK("https://hawk-eye.atlassian.net/browse/HWKREPORT-882?atlOrigin=eyJpIjoiYzgwYTQ0ZjEyNzQzNGJhN2JmNjEyZTM0NmRhZWZhNjIiLCJwIjoic2hlZXRzLWppcmEifQ","HWKREPORT-882")</f>
        <v>HWKREPORT-882</v>
      </c>
      <c r="C2522" s="1" t="s">
        <v>3818</v>
      </c>
      <c r="D2522" s="1" t="s">
        <v>23</v>
      </c>
      <c r="E2522" s="1" t="s">
        <v>35</v>
      </c>
      <c r="F2522" s="4">
        <v>44378.611122685186</v>
      </c>
      <c r="G2522" s="3" t="str">
        <f>HYPERLINK("https://hawk-eye.atlassian.net/browse/AL-80?atlOrigin=eyJpIjoiYzgwYTQ0ZjEyNzQzNGJhN2JmNjEyZTM0NmRhZWZhNjIiLCJwIjoic2hlZXRzLWppcmEifQ","AL-80")</f>
        <v>AL-80</v>
      </c>
      <c r="H2522" s="1" t="s">
        <v>1058</v>
      </c>
      <c r="I2522" s="1" t="s">
        <v>1085</v>
      </c>
      <c r="J2522" s="1" t="s">
        <v>26</v>
      </c>
      <c r="K2522" s="1" t="s">
        <v>1219</v>
      </c>
      <c r="L2522" s="1" t="s">
        <v>26</v>
      </c>
      <c r="M2522" s="1" t="s">
        <v>27</v>
      </c>
      <c r="N2522" s="1" t="s">
        <v>26</v>
      </c>
      <c r="O2522" s="1" t="s">
        <v>26</v>
      </c>
      <c r="P2522" s="4">
        <v>44600.875127314815</v>
      </c>
    </row>
    <row r="2523" hidden="1">
      <c r="A2523" s="1" t="s">
        <v>21</v>
      </c>
      <c r="B2523" s="3" t="str">
        <f>HYPERLINK("https://hawk-eye.atlassian.net/browse/HWKREPORT-883?atlOrigin=eyJpIjoiYzgwYTQ0ZjEyNzQzNGJhN2JmNjEyZTM0NmRhZWZhNjIiLCJwIjoic2hlZXRzLWppcmEifQ","HWKREPORT-883")</f>
        <v>HWKREPORT-883</v>
      </c>
      <c r="C2523" s="1" t="s">
        <v>3819</v>
      </c>
      <c r="D2523" s="1" t="s">
        <v>23</v>
      </c>
      <c r="E2523" s="1" t="s">
        <v>35</v>
      </c>
      <c r="F2523" s="4">
        <v>44383.88451388889</v>
      </c>
      <c r="G2523" s="3" t="str">
        <f>HYPERLINK("https://hawk-eye.atlassian.net/browse/RTT-4109?atlOrigin=eyJpIjoiYzgwYTQ0ZjEyNzQzNGJhN2JmNjEyZTM0NmRhZWZhNjIiLCJwIjoic2hlZXRzLWppcmEifQ","RTT-4109")</f>
        <v>RTT-4109</v>
      </c>
      <c r="H2523" s="1" t="s">
        <v>1058</v>
      </c>
      <c r="I2523" s="1" t="s">
        <v>1071</v>
      </c>
      <c r="J2523" s="1" t="s">
        <v>26</v>
      </c>
      <c r="K2523" s="1" t="s">
        <v>1072</v>
      </c>
      <c r="L2523" s="1" t="s">
        <v>26</v>
      </c>
      <c r="M2523" s="1" t="s">
        <v>27</v>
      </c>
      <c r="N2523" s="1" t="s">
        <v>26</v>
      </c>
      <c r="O2523" s="1" t="s">
        <v>26</v>
      </c>
      <c r="P2523" s="4">
        <v>44600.874756944446</v>
      </c>
    </row>
    <row r="2524" hidden="1">
      <c r="A2524" s="1" t="s">
        <v>21</v>
      </c>
      <c r="B2524" s="3" t="str">
        <f>HYPERLINK("https://hawk-eye.atlassian.net/browse/HWKREPORT-884?atlOrigin=eyJpIjoiYzgwYTQ0ZjEyNzQzNGJhN2JmNjEyZTM0NmRhZWZhNjIiLCJwIjoic2hlZXRzLWppcmEifQ","HWKREPORT-884")</f>
        <v>HWKREPORT-884</v>
      </c>
      <c r="C2524" s="1" t="s">
        <v>3820</v>
      </c>
      <c r="D2524" s="1" t="s">
        <v>23</v>
      </c>
      <c r="E2524" s="1" t="s">
        <v>35</v>
      </c>
      <c r="F2524" s="4">
        <v>44384.607303240744</v>
      </c>
      <c r="G2524" s="3" t="str">
        <f>HYPERLINK("https://hawk-eye.atlassian.net/browse/RTT-4110?atlOrigin=eyJpIjoiYzgwYTQ0ZjEyNzQzNGJhN2JmNjEyZTM0NmRhZWZhNjIiLCJwIjoic2hlZXRzLWppcmEifQ","RTT-4110")</f>
        <v>RTT-4110</v>
      </c>
      <c r="H2524" s="1" t="s">
        <v>1058</v>
      </c>
      <c r="I2524" s="1" t="s">
        <v>1126</v>
      </c>
      <c r="J2524" s="1" t="s">
        <v>26</v>
      </c>
      <c r="K2524" s="1" t="s">
        <v>1312</v>
      </c>
      <c r="L2524" s="1" t="s">
        <v>26</v>
      </c>
      <c r="M2524" s="1" t="s">
        <v>27</v>
      </c>
      <c r="N2524" s="1" t="s">
        <v>26</v>
      </c>
      <c r="O2524" s="1" t="s">
        <v>26</v>
      </c>
      <c r="P2524" s="4">
        <v>44600.874560185184</v>
      </c>
    </row>
    <row r="2525" hidden="1">
      <c r="A2525" s="1" t="s">
        <v>21</v>
      </c>
      <c r="B2525" s="3" t="str">
        <f>HYPERLINK("https://hawk-eye.atlassian.net/browse/HWKREPORT-885?atlOrigin=eyJpIjoiYzgwYTQ0ZjEyNzQzNGJhN2JmNjEyZTM0NmRhZWZhNjIiLCJwIjoic2hlZXRzLWppcmEifQ","HWKREPORT-885")</f>
        <v>HWKREPORT-885</v>
      </c>
      <c r="C2525" s="1" t="s">
        <v>3821</v>
      </c>
      <c r="D2525" s="1" t="s">
        <v>34</v>
      </c>
      <c r="E2525" s="1" t="s">
        <v>35</v>
      </c>
      <c r="F2525" s="4">
        <v>44385.471296296295</v>
      </c>
      <c r="G2525" s="3" t="str">
        <f>HYPERLINK("https://hawk-eye.atlassian.net/browse/RTT-4108?atlOrigin=eyJpIjoiYzgwYTQ0ZjEyNzQzNGJhN2JmNjEyZTM0NmRhZWZhNjIiLCJwIjoic2hlZXRzLWppcmEifQ","RTT-4108")</f>
        <v>RTT-4108</v>
      </c>
      <c r="H2525" s="1" t="s">
        <v>1058</v>
      </c>
      <c r="I2525" s="1" t="s">
        <v>1126</v>
      </c>
      <c r="J2525" s="1" t="s">
        <v>26</v>
      </c>
      <c r="K2525" s="1" t="s">
        <v>1312</v>
      </c>
      <c r="L2525" s="1" t="s">
        <v>26</v>
      </c>
      <c r="M2525" s="1" t="s">
        <v>27</v>
      </c>
      <c r="N2525" s="1" t="s">
        <v>26</v>
      </c>
      <c r="O2525" s="1" t="s">
        <v>26</v>
      </c>
      <c r="P2525" s="4">
        <v>44600.87462962963</v>
      </c>
    </row>
    <row r="2526" hidden="1">
      <c r="A2526" s="1" t="s">
        <v>1055</v>
      </c>
      <c r="B2526" s="3" t="str">
        <f>HYPERLINK("https://hawk-eye.atlassian.net/browse/HWKREPORT-886?atlOrigin=eyJpIjoiYzgwYTQ0ZjEyNzQzNGJhN2JmNjEyZTM0NmRhZWZhNjIiLCJwIjoic2hlZXRzLWppcmEifQ","HWKREPORT-886")</f>
        <v>HWKREPORT-886</v>
      </c>
      <c r="C2526" s="1" t="s">
        <v>3822</v>
      </c>
      <c r="D2526" s="1" t="s">
        <v>23</v>
      </c>
      <c r="E2526" s="1" t="s">
        <v>35</v>
      </c>
      <c r="F2526" s="4">
        <v>44385.62946759259</v>
      </c>
      <c r="G2526" s="3" t="str">
        <f>HYPERLINK("https://hawk-eye.atlassian.net/browse/AL-54?atlOrigin=eyJpIjoiYzgwYTQ0ZjEyNzQzNGJhN2JmNjEyZTM0NmRhZWZhNjIiLCJwIjoic2hlZXRzLWppcmEifQ","AL-54")</f>
        <v>AL-54</v>
      </c>
      <c r="H2526" s="1" t="s">
        <v>1058</v>
      </c>
      <c r="I2526" s="1" t="s">
        <v>1085</v>
      </c>
      <c r="J2526" s="1" t="s">
        <v>26</v>
      </c>
      <c r="K2526" s="1" t="s">
        <v>1219</v>
      </c>
      <c r="L2526" s="1" t="s">
        <v>26</v>
      </c>
      <c r="M2526" s="1" t="s">
        <v>27</v>
      </c>
      <c r="N2526" s="1" t="s">
        <v>26</v>
      </c>
      <c r="O2526" s="1" t="s">
        <v>26</v>
      </c>
      <c r="P2526" s="4">
        <v>44600.87465277778</v>
      </c>
    </row>
    <row r="2527" hidden="1">
      <c r="A2527" s="1" t="s">
        <v>21</v>
      </c>
      <c r="B2527" s="3" t="str">
        <f>HYPERLINK("https://hawk-eye.atlassian.net/browse/HWKREPORT-887?atlOrigin=eyJpIjoiYzgwYTQ0ZjEyNzQzNGJhN2JmNjEyZTM0NmRhZWZhNjIiLCJwIjoic2hlZXRzLWppcmEifQ","HWKREPORT-887")</f>
        <v>HWKREPORT-887</v>
      </c>
      <c r="C2527" s="1" t="s">
        <v>3823</v>
      </c>
      <c r="D2527" s="1" t="s">
        <v>83</v>
      </c>
      <c r="E2527" s="1" t="s">
        <v>1057</v>
      </c>
      <c r="F2527" s="4">
        <v>44386.478796296295</v>
      </c>
      <c r="G2527" s="3" t="str">
        <f>HYPERLINK("https://hawk-eye.atlassian.net/browse/SO-1206?atlOrigin=eyJpIjoiYzgwYTQ0ZjEyNzQzNGJhN2JmNjEyZTM0NmRhZWZhNjIiLCJwIjoic2hlZXRzLWppcmEifQ","SO-1206")</f>
        <v>SO-1206</v>
      </c>
      <c r="H2527" s="1" t="s">
        <v>1058</v>
      </c>
      <c r="I2527" s="1" t="s">
        <v>3623</v>
      </c>
      <c r="J2527" s="1" t="s">
        <v>26</v>
      </c>
      <c r="K2527" s="1" t="s">
        <v>1116</v>
      </c>
      <c r="L2527" s="1" t="s">
        <v>26</v>
      </c>
      <c r="M2527" s="1" t="s">
        <v>27</v>
      </c>
      <c r="N2527" s="1" t="s">
        <v>26</v>
      </c>
      <c r="O2527" s="1" t="s">
        <v>26</v>
      </c>
      <c r="P2527" s="4">
        <v>44386.47880787037</v>
      </c>
    </row>
    <row r="2528" hidden="1">
      <c r="A2528" s="1" t="s">
        <v>1055</v>
      </c>
      <c r="B2528" s="3" t="str">
        <f>HYPERLINK("https://hawk-eye.atlassian.net/browse/HWKREPORT-888?atlOrigin=eyJpIjoiYzgwYTQ0ZjEyNzQzNGJhN2JmNjEyZTM0NmRhZWZhNjIiLCJwIjoic2hlZXRzLWppcmEifQ","HWKREPORT-888")</f>
        <v>HWKREPORT-888</v>
      </c>
      <c r="C2528" s="1" t="s">
        <v>3824</v>
      </c>
      <c r="D2528" s="1" t="s">
        <v>23</v>
      </c>
      <c r="E2528" s="1" t="s">
        <v>35</v>
      </c>
      <c r="F2528" s="4">
        <v>44392.40542824074</v>
      </c>
      <c r="G2528" s="3" t="str">
        <f>HYPERLINK("https://hawk-eye.atlassian.net/browse/RTT-4136?atlOrigin=eyJpIjoiYzgwYTQ0ZjEyNzQzNGJhN2JmNjEyZTM0NmRhZWZhNjIiLCJwIjoic2hlZXRzLWppcmEifQ","RTT-4136")</f>
        <v>RTT-4136</v>
      </c>
      <c r="H2528" s="1" t="s">
        <v>1058</v>
      </c>
      <c r="I2528" s="1" t="s">
        <v>1085</v>
      </c>
      <c r="J2528" s="1" t="s">
        <v>26</v>
      </c>
      <c r="K2528" s="1" t="s">
        <v>1309</v>
      </c>
      <c r="L2528" s="1" t="s">
        <v>26</v>
      </c>
      <c r="M2528" s="1" t="s">
        <v>27</v>
      </c>
      <c r="N2528" s="1" t="s">
        <v>26</v>
      </c>
      <c r="O2528" s="1" t="s">
        <v>26</v>
      </c>
      <c r="P2528" s="4">
        <v>44600.87513888889</v>
      </c>
    </row>
    <row r="2529">
      <c r="A2529" s="1" t="s">
        <v>21</v>
      </c>
      <c r="B2529" s="3" t="str">
        <f>HYPERLINK("https://hawk-eye.atlassian.net/browse/HWKREPORT-889?atlOrigin=eyJpIjoiYzgwYTQ0ZjEyNzQzNGJhN2JmNjEyZTM0NmRhZWZhNjIiLCJwIjoic2hlZXRzLWppcmEifQ","HWKREPORT-889")</f>
        <v>HWKREPORT-889</v>
      </c>
      <c r="C2529" s="1" t="s">
        <v>3825</v>
      </c>
      <c r="D2529" s="1" t="s">
        <v>40</v>
      </c>
      <c r="E2529" s="1" t="s">
        <v>35</v>
      </c>
      <c r="F2529" s="4">
        <v>44392.65115740741</v>
      </c>
      <c r="G2529" s="3" t="str">
        <f>HYPERLINK("https://hawk-eye.atlassian.net/browse/RTT-4141?atlOrigin=eyJpIjoiYzgwYTQ0ZjEyNzQzNGJhN2JmNjEyZTM0NmRhZWZhNjIiLCJwIjoic2hlZXRzLWppcmEifQ","RTT-4141")</f>
        <v>RTT-4141</v>
      </c>
      <c r="H2529" s="1" t="s">
        <v>1058</v>
      </c>
      <c r="I2529" s="1" t="s">
        <v>28</v>
      </c>
      <c r="J2529" s="1" t="s">
        <v>26</v>
      </c>
      <c r="K2529" s="1" t="s">
        <v>1072</v>
      </c>
      <c r="L2529" s="1" t="s">
        <v>26</v>
      </c>
      <c r="M2529" s="1" t="s">
        <v>27</v>
      </c>
      <c r="N2529" s="1" t="s">
        <v>26</v>
      </c>
      <c r="O2529" s="1" t="s">
        <v>26</v>
      </c>
      <c r="P2529" s="4">
        <v>44600.8752662037</v>
      </c>
    </row>
    <row r="2530" hidden="1">
      <c r="A2530" s="1" t="s">
        <v>21</v>
      </c>
      <c r="B2530" s="3" t="str">
        <f>HYPERLINK("https://hawk-eye.atlassian.net/browse/HWKREPORT-890?atlOrigin=eyJpIjoiYzgwYTQ0ZjEyNzQzNGJhN2JmNjEyZTM0NmRhZWZhNjIiLCJwIjoic2hlZXRzLWppcmEifQ","HWKREPORT-890")</f>
        <v>HWKREPORT-890</v>
      </c>
      <c r="C2530" s="1" t="s">
        <v>3826</v>
      </c>
      <c r="D2530" s="1" t="s">
        <v>23</v>
      </c>
      <c r="E2530" s="1" t="s">
        <v>35</v>
      </c>
      <c r="F2530" s="4">
        <v>44392.69782407407</v>
      </c>
      <c r="G2530" s="3" t="str">
        <f>HYPERLINK("https://hawk-eye.atlassian.net/browse/?atlOrigin=eyJpIjoiYzgwYTQ0ZjEyNzQzNGJhN2JmNjEyZTM0NmRhZWZhNjIiLCJwIjoic2hlZXRzLWppcmEifQ","")</f>
        <v/>
      </c>
      <c r="H2530" s="1" t="s">
        <v>1058</v>
      </c>
      <c r="I2530" s="1" t="s">
        <v>1071</v>
      </c>
      <c r="J2530" s="1" t="s">
        <v>26</v>
      </c>
      <c r="K2530" s="1" t="s">
        <v>1134</v>
      </c>
      <c r="L2530" s="1" t="s">
        <v>26</v>
      </c>
      <c r="M2530" s="1" t="s">
        <v>27</v>
      </c>
      <c r="N2530" s="1" t="s">
        <v>26</v>
      </c>
      <c r="O2530" s="1" t="s">
        <v>26</v>
      </c>
      <c r="P2530" s="4">
        <v>44426.95768518518</v>
      </c>
    </row>
    <row r="2531" hidden="1">
      <c r="A2531" s="1" t="s">
        <v>1055</v>
      </c>
      <c r="B2531" s="3" t="str">
        <f>HYPERLINK("https://hawk-eye.atlassian.net/browse/HWKREPORT-891?atlOrigin=eyJpIjoiYzgwYTQ0ZjEyNzQzNGJhN2JmNjEyZTM0NmRhZWZhNjIiLCJwIjoic2hlZXRzLWppcmEifQ","HWKREPORT-891")</f>
        <v>HWKREPORT-891</v>
      </c>
      <c r="C2531" s="1" t="s">
        <v>3827</v>
      </c>
      <c r="D2531" s="1" t="s">
        <v>23</v>
      </c>
      <c r="E2531" s="1" t="s">
        <v>35</v>
      </c>
      <c r="F2531" s="4">
        <v>44392.80030092593</v>
      </c>
      <c r="G2531" s="3" t="str">
        <f>HYPERLINK("https://hawk-eye.atlassian.net/browse/RTT-4145?atlOrigin=eyJpIjoiYzgwYTQ0ZjEyNzQzNGJhN2JmNjEyZTM0NmRhZWZhNjIiLCJwIjoic2hlZXRzLWppcmEifQ","RTT-4145")</f>
        <v>RTT-4145</v>
      </c>
      <c r="H2531" s="1" t="s">
        <v>1058</v>
      </c>
      <c r="I2531" s="1" t="s">
        <v>28</v>
      </c>
      <c r="J2531" s="1" t="s">
        <v>26</v>
      </c>
      <c r="K2531" s="1" t="s">
        <v>1309</v>
      </c>
      <c r="L2531" s="1" t="s">
        <v>26</v>
      </c>
      <c r="M2531" s="1" t="s">
        <v>27</v>
      </c>
      <c r="N2531" s="1" t="s">
        <v>26</v>
      </c>
      <c r="O2531" s="1" t="s">
        <v>26</v>
      </c>
      <c r="P2531" s="4">
        <v>44600.87519675926</v>
      </c>
    </row>
    <row r="2532" hidden="1">
      <c r="A2532" s="1" t="s">
        <v>21</v>
      </c>
      <c r="B2532" s="3" t="str">
        <f>HYPERLINK("https://hawk-eye.atlassian.net/browse/HWKREPORT-892?atlOrigin=eyJpIjoiYzgwYTQ0ZjEyNzQzNGJhN2JmNjEyZTM0NmRhZWZhNjIiLCJwIjoic2hlZXRzLWppcmEifQ","HWKREPORT-892")</f>
        <v>HWKREPORT-892</v>
      </c>
      <c r="C2532" s="1" t="s">
        <v>3828</v>
      </c>
      <c r="D2532" s="1" t="s">
        <v>23</v>
      </c>
      <c r="E2532" s="1" t="s">
        <v>35</v>
      </c>
      <c r="F2532" s="4">
        <v>44392.85282407407</v>
      </c>
      <c r="G2532" s="3" t="str">
        <f>HYPERLINK("https://hawk-eye.atlassian.net/browse/RTT-4534?atlOrigin=eyJpIjoiYzgwYTQ0ZjEyNzQzNGJhN2JmNjEyZTM0NmRhZWZhNjIiLCJwIjoic2hlZXRzLWppcmEifQ","RTT-4534")</f>
        <v>RTT-4534</v>
      </c>
      <c r="H2532" s="1" t="s">
        <v>1058</v>
      </c>
      <c r="I2532" s="1" t="s">
        <v>1071</v>
      </c>
      <c r="J2532" s="1" t="s">
        <v>26</v>
      </c>
      <c r="K2532" s="1" t="s">
        <v>3829</v>
      </c>
      <c r="L2532" s="1" t="s">
        <v>26</v>
      </c>
      <c r="M2532" s="1" t="s">
        <v>27</v>
      </c>
      <c r="N2532" s="1" t="s">
        <v>26</v>
      </c>
      <c r="O2532" s="1" t="s">
        <v>26</v>
      </c>
      <c r="P2532" s="4">
        <v>44615.74300925926</v>
      </c>
    </row>
    <row r="2533" hidden="1">
      <c r="A2533" s="1" t="s">
        <v>21</v>
      </c>
      <c r="B2533" s="3" t="str">
        <f>HYPERLINK("https://hawk-eye.atlassian.net/browse/HWKREPORT-893?atlOrigin=eyJpIjoiYzgwYTQ0ZjEyNzQzNGJhN2JmNjEyZTM0NmRhZWZhNjIiLCJwIjoic2hlZXRzLWppcmEifQ","HWKREPORT-893")</f>
        <v>HWKREPORT-893</v>
      </c>
      <c r="C2533" s="1" t="s">
        <v>3830</v>
      </c>
      <c r="D2533" s="1" t="s">
        <v>23</v>
      </c>
      <c r="E2533" s="1" t="s">
        <v>1207</v>
      </c>
      <c r="F2533" s="4">
        <v>44393.71543981481</v>
      </c>
      <c r="G2533" s="3" t="str">
        <f>HYPERLINK("https://hawk-eye.atlassian.net/browse/RTT-4477?atlOrigin=eyJpIjoiYzgwYTQ0ZjEyNzQzNGJhN2JmNjEyZTM0NmRhZWZhNjIiLCJwIjoic2hlZXRzLWppcmEifQ","RTT-4477")</f>
        <v>RTT-4477</v>
      </c>
      <c r="H2533" s="1" t="s">
        <v>1058</v>
      </c>
      <c r="I2533" s="1" t="s">
        <v>1071</v>
      </c>
      <c r="J2533" s="1" t="s">
        <v>26</v>
      </c>
      <c r="K2533" s="1" t="s">
        <v>1072</v>
      </c>
      <c r="L2533" s="1" t="s">
        <v>26</v>
      </c>
      <c r="M2533" s="1" t="s">
        <v>27</v>
      </c>
      <c r="N2533" s="1" t="s">
        <v>26</v>
      </c>
      <c r="O2533" s="1" t="s">
        <v>26</v>
      </c>
      <c r="P2533" s="4">
        <v>44929.4184837963</v>
      </c>
    </row>
    <row r="2534" hidden="1">
      <c r="A2534" s="1" t="s">
        <v>21</v>
      </c>
      <c r="B2534" s="3" t="str">
        <f>HYPERLINK("https://hawk-eye.atlassian.net/browse/HWKREPORT-894?atlOrigin=eyJpIjoiYzgwYTQ0ZjEyNzQzNGJhN2JmNjEyZTM0NmRhZWZhNjIiLCJwIjoic2hlZXRzLWppcmEifQ","HWKREPORT-894")</f>
        <v>HWKREPORT-894</v>
      </c>
      <c r="C2534" s="1" t="s">
        <v>3831</v>
      </c>
      <c r="D2534" s="1" t="s">
        <v>23</v>
      </c>
      <c r="E2534" s="1" t="s">
        <v>1207</v>
      </c>
      <c r="F2534" s="4">
        <v>44393.73516203704</v>
      </c>
      <c r="G2534" s="3" t="str">
        <f>HYPERLINK("https://hawk-eye.atlassian.net/browse/TDP-1284?atlOrigin=eyJpIjoiYzgwYTQ0ZjEyNzQzNGJhN2JmNjEyZTM0NmRhZWZhNjIiLCJwIjoic2hlZXRzLWppcmEifQ","TDP-1284")</f>
        <v>TDP-1284</v>
      </c>
      <c r="H2534" s="1" t="s">
        <v>1058</v>
      </c>
      <c r="I2534" s="1" t="s">
        <v>1126</v>
      </c>
      <c r="J2534" s="1" t="s">
        <v>26</v>
      </c>
      <c r="K2534" s="1" t="s">
        <v>1211</v>
      </c>
      <c r="L2534" s="1" t="s">
        <v>26</v>
      </c>
      <c r="M2534" s="1" t="s">
        <v>27</v>
      </c>
      <c r="N2534" s="1" t="s">
        <v>26</v>
      </c>
      <c r="O2534" s="1" t="s">
        <v>26</v>
      </c>
      <c r="P2534" s="4">
        <v>44929.4184837963</v>
      </c>
    </row>
    <row r="2535" hidden="1">
      <c r="A2535" s="1" t="s">
        <v>1055</v>
      </c>
      <c r="B2535" s="3" t="str">
        <f>HYPERLINK("https://hawk-eye.atlassian.net/browse/HWKREPORT-895?atlOrigin=eyJpIjoiYzgwYTQ0ZjEyNzQzNGJhN2JmNjEyZTM0NmRhZWZhNjIiLCJwIjoic2hlZXRzLWppcmEifQ","HWKREPORT-895")</f>
        <v>HWKREPORT-895</v>
      </c>
      <c r="C2535" s="1" t="s">
        <v>3832</v>
      </c>
      <c r="D2535" s="1" t="s">
        <v>23</v>
      </c>
      <c r="E2535" s="1" t="s">
        <v>1057</v>
      </c>
      <c r="F2535" s="4">
        <v>44396.74107638889</v>
      </c>
      <c r="G2535" s="3" t="str">
        <f>HYPERLINK("https://hawk-eye.atlassian.net/browse/?atlOrigin=eyJpIjoiYzgwYTQ0ZjEyNzQzNGJhN2JmNjEyZTM0NmRhZWZhNjIiLCJwIjoic2hlZXRzLWppcmEifQ","")</f>
        <v/>
      </c>
      <c r="H2535" s="1" t="s">
        <v>1058</v>
      </c>
      <c r="I2535" s="1" t="s">
        <v>1071</v>
      </c>
      <c r="J2535" s="1" t="s">
        <v>26</v>
      </c>
      <c r="K2535" s="1" t="s">
        <v>1072</v>
      </c>
      <c r="L2535" s="1" t="s">
        <v>26</v>
      </c>
      <c r="M2535" s="1" t="s">
        <v>27</v>
      </c>
      <c r="N2535" s="1" t="s">
        <v>26</v>
      </c>
      <c r="O2535" s="1" t="s">
        <v>26</v>
      </c>
      <c r="P2535" s="4">
        <v>44396.74107638889</v>
      </c>
    </row>
    <row r="2536" hidden="1">
      <c r="A2536" s="1" t="s">
        <v>21</v>
      </c>
      <c r="B2536" s="3" t="str">
        <f>HYPERLINK("https://hawk-eye.atlassian.net/browse/HWKREPORT-896?atlOrigin=eyJpIjoiYzgwYTQ0ZjEyNzQzNGJhN2JmNjEyZTM0NmRhZWZhNjIiLCJwIjoic2hlZXRzLWppcmEifQ","HWKREPORT-896")</f>
        <v>HWKREPORT-896</v>
      </c>
      <c r="C2536" s="1" t="s">
        <v>3833</v>
      </c>
      <c r="D2536" s="1" t="s">
        <v>23</v>
      </c>
      <c r="E2536" s="1" t="s">
        <v>35</v>
      </c>
      <c r="F2536" s="4">
        <v>44397.77587962963</v>
      </c>
      <c r="G2536" s="3" t="str">
        <f>HYPERLINK("https://hawk-eye.atlassian.net/browse/RTT-4297?atlOrigin=eyJpIjoiYzgwYTQ0ZjEyNzQzNGJhN2JmNjEyZTM0NmRhZWZhNjIiLCJwIjoic2hlZXRzLWppcmEifQ","RTT-4297")</f>
        <v>RTT-4297</v>
      </c>
      <c r="H2536" s="1" t="s">
        <v>1058</v>
      </c>
      <c r="I2536" s="1" t="s">
        <v>1071</v>
      </c>
      <c r="J2536" s="1" t="s">
        <v>26</v>
      </c>
      <c r="K2536" s="1" t="s">
        <v>3834</v>
      </c>
      <c r="L2536" s="1" t="s">
        <v>26</v>
      </c>
      <c r="M2536" s="1" t="s">
        <v>27</v>
      </c>
      <c r="N2536" s="1" t="s">
        <v>26</v>
      </c>
      <c r="O2536" s="1" t="s">
        <v>26</v>
      </c>
      <c r="P2536" s="4">
        <v>44600.8746875</v>
      </c>
    </row>
    <row r="2537" hidden="1">
      <c r="A2537" s="1" t="s">
        <v>21</v>
      </c>
      <c r="B2537" s="3" t="str">
        <f>HYPERLINK("https://hawk-eye.atlassian.net/browse/HWKREPORT-897?atlOrigin=eyJpIjoiYzgwYTQ0ZjEyNzQzNGJhN2JmNjEyZTM0NmRhZWZhNjIiLCJwIjoic2hlZXRzLWppcmEifQ","HWKREPORT-897")</f>
        <v>HWKREPORT-897</v>
      </c>
      <c r="C2537" s="1" t="s">
        <v>3835</v>
      </c>
      <c r="D2537" s="1" t="s">
        <v>23</v>
      </c>
      <c r="E2537" s="1" t="s">
        <v>35</v>
      </c>
      <c r="F2537" s="4">
        <v>44398.654444444444</v>
      </c>
      <c r="G2537" s="3" t="str">
        <f>HYPERLINK("https://hawk-eye.atlassian.net/browse/?atlOrigin=eyJpIjoiYzgwYTQ0ZjEyNzQzNGJhN2JmNjEyZTM0NmRhZWZhNjIiLCJwIjoic2hlZXRzLWppcmEifQ","")</f>
        <v/>
      </c>
      <c r="H2537" s="1" t="s">
        <v>1058</v>
      </c>
      <c r="I2537" s="1" t="s">
        <v>1071</v>
      </c>
      <c r="J2537" s="1" t="s">
        <v>26</v>
      </c>
      <c r="K2537" s="1" t="s">
        <v>1099</v>
      </c>
      <c r="L2537" s="1" t="s">
        <v>26</v>
      </c>
      <c r="M2537" s="1" t="s">
        <v>27</v>
      </c>
      <c r="N2537" s="1" t="s">
        <v>26</v>
      </c>
      <c r="O2537" s="1" t="s">
        <v>26</v>
      </c>
      <c r="P2537" s="4">
        <v>44536.482511574075</v>
      </c>
    </row>
    <row r="2538" hidden="1">
      <c r="A2538" s="1" t="s">
        <v>21</v>
      </c>
      <c r="B2538" s="3" t="str">
        <f>HYPERLINK("https://hawk-eye.atlassian.net/browse/HWKREPORT-898?atlOrigin=eyJpIjoiYzgwYTQ0ZjEyNzQzNGJhN2JmNjEyZTM0NmRhZWZhNjIiLCJwIjoic2hlZXRzLWppcmEifQ","HWKREPORT-898")</f>
        <v>HWKREPORT-898</v>
      </c>
      <c r="C2538" s="1" t="s">
        <v>3836</v>
      </c>
      <c r="D2538" s="1" t="s">
        <v>23</v>
      </c>
      <c r="E2538" s="1" t="s">
        <v>35</v>
      </c>
      <c r="F2538" s="4">
        <v>44400.13346064815</v>
      </c>
      <c r="G2538" s="3" t="str">
        <f>HYPERLINK("https://hawk-eye.atlassian.net/browse/AL-183?atlOrigin=eyJpIjoiYzgwYTQ0ZjEyNzQzNGJhN2JmNjEyZTM0NmRhZWZhNjIiLCJwIjoic2hlZXRzLWppcmEifQ","AL-183")</f>
        <v>AL-183</v>
      </c>
      <c r="H2538" s="1" t="s">
        <v>1058</v>
      </c>
      <c r="I2538" s="1" t="s">
        <v>1071</v>
      </c>
      <c r="J2538" s="1" t="s">
        <v>26</v>
      </c>
      <c r="K2538" s="1" t="s">
        <v>1898</v>
      </c>
      <c r="L2538" s="1" t="s">
        <v>26</v>
      </c>
      <c r="M2538" s="1" t="s">
        <v>27</v>
      </c>
      <c r="N2538" s="1" t="s">
        <v>26</v>
      </c>
      <c r="O2538" s="1" t="s">
        <v>26</v>
      </c>
      <c r="P2538" s="4">
        <v>44676.548472222225</v>
      </c>
    </row>
    <row r="2539" hidden="1">
      <c r="A2539" s="1" t="s">
        <v>21</v>
      </c>
      <c r="B2539" s="3" t="str">
        <f>HYPERLINK("https://hawk-eye.atlassian.net/browse/HWKREPORT-899?atlOrigin=eyJpIjoiYzgwYTQ0ZjEyNzQzNGJhN2JmNjEyZTM0NmRhZWZhNjIiLCJwIjoic2hlZXRzLWppcmEifQ","HWKREPORT-899")</f>
        <v>HWKREPORT-899</v>
      </c>
      <c r="C2539" s="1" t="s">
        <v>3837</v>
      </c>
      <c r="D2539" s="1" t="s">
        <v>23</v>
      </c>
      <c r="E2539" s="1" t="s">
        <v>35</v>
      </c>
      <c r="F2539" s="4">
        <v>44400.16269675926</v>
      </c>
      <c r="G2539" s="3" t="str">
        <f t="shared" ref="G2539:G2540" si="172">HYPERLINK("https://hawk-eye.atlassian.net/browse/?atlOrigin=eyJpIjoiYzgwYTQ0ZjEyNzQzNGJhN2JmNjEyZTM0NmRhZWZhNjIiLCJwIjoic2hlZXRzLWppcmEifQ","")</f>
        <v/>
      </c>
      <c r="H2539" s="1" t="s">
        <v>1058</v>
      </c>
      <c r="I2539" s="1" t="s">
        <v>1071</v>
      </c>
      <c r="J2539" s="1" t="s">
        <v>26</v>
      </c>
      <c r="K2539" s="1" t="s">
        <v>1898</v>
      </c>
      <c r="L2539" s="1" t="s">
        <v>26</v>
      </c>
      <c r="M2539" s="1" t="s">
        <v>27</v>
      </c>
      <c r="N2539" s="1" t="s">
        <v>26</v>
      </c>
      <c r="O2539" s="1" t="s">
        <v>26</v>
      </c>
      <c r="P2539" s="4">
        <v>44404.76090277778</v>
      </c>
    </row>
    <row r="2540" hidden="1">
      <c r="A2540" s="1" t="s">
        <v>1055</v>
      </c>
      <c r="B2540" s="3" t="str">
        <f>HYPERLINK("https://hawk-eye.atlassian.net/browse/HWKREPORT-900?atlOrigin=eyJpIjoiYzgwYTQ0ZjEyNzQzNGJhN2JmNjEyZTM0NmRhZWZhNjIiLCJwIjoic2hlZXRzLWppcmEifQ","HWKREPORT-900")</f>
        <v>HWKREPORT-900</v>
      </c>
      <c r="C2540" s="1" t="s">
        <v>3838</v>
      </c>
      <c r="D2540" s="1" t="s">
        <v>23</v>
      </c>
      <c r="E2540" s="1" t="s">
        <v>35</v>
      </c>
      <c r="F2540" s="4">
        <v>44400.62903935185</v>
      </c>
      <c r="G2540" s="3" t="str">
        <f t="shared" si="172"/>
        <v/>
      </c>
      <c r="H2540" s="1" t="s">
        <v>1058</v>
      </c>
      <c r="I2540" s="1" t="s">
        <v>1071</v>
      </c>
      <c r="J2540" s="1" t="s">
        <v>26</v>
      </c>
      <c r="K2540" s="1" t="s">
        <v>3839</v>
      </c>
      <c r="L2540" s="1" t="s">
        <v>26</v>
      </c>
      <c r="M2540" s="1" t="s">
        <v>27</v>
      </c>
      <c r="N2540" s="1" t="s">
        <v>26</v>
      </c>
      <c r="O2540" s="1" t="s">
        <v>26</v>
      </c>
      <c r="P2540" s="4">
        <v>44627.79085648148</v>
      </c>
    </row>
    <row r="2541" hidden="1">
      <c r="A2541" s="1" t="s">
        <v>1055</v>
      </c>
      <c r="B2541" s="3" t="str">
        <f>HYPERLINK("https://hawk-eye.atlassian.net/browse/HWKREPORT-901?atlOrigin=eyJpIjoiYzgwYTQ0ZjEyNzQzNGJhN2JmNjEyZTM0NmRhZWZhNjIiLCJwIjoic2hlZXRzLWppcmEifQ","HWKREPORT-901")</f>
        <v>HWKREPORT-901</v>
      </c>
      <c r="C2541" s="1" t="s">
        <v>3840</v>
      </c>
      <c r="D2541" s="1" t="s">
        <v>23</v>
      </c>
      <c r="E2541" s="1" t="s">
        <v>35</v>
      </c>
      <c r="F2541" s="4">
        <v>44400.70649305556</v>
      </c>
      <c r="G2541" s="3" t="str">
        <f>HYPERLINK("https://hawk-eye.atlassian.net/browse/RTT-4267?atlOrigin=eyJpIjoiYzgwYTQ0ZjEyNzQzNGJhN2JmNjEyZTM0NmRhZWZhNjIiLCJwIjoic2hlZXRzLWppcmEifQ","RTT-4267")</f>
        <v>RTT-4267</v>
      </c>
      <c r="H2541" s="1" t="s">
        <v>1058</v>
      </c>
      <c r="I2541" s="1" t="s">
        <v>1071</v>
      </c>
      <c r="J2541" s="1" t="s">
        <v>26</v>
      </c>
      <c r="K2541" s="1" t="s">
        <v>1312</v>
      </c>
      <c r="L2541" s="1" t="s">
        <v>26</v>
      </c>
      <c r="M2541" s="1" t="s">
        <v>27</v>
      </c>
      <c r="N2541" s="1" t="s">
        <v>26</v>
      </c>
      <c r="O2541" s="1" t="s">
        <v>26</v>
      </c>
      <c r="P2541" s="4">
        <v>44645.68033564815</v>
      </c>
    </row>
    <row r="2542" hidden="1">
      <c r="A2542" s="1" t="s">
        <v>21</v>
      </c>
      <c r="B2542" s="3" t="str">
        <f>HYPERLINK("https://hawk-eye.atlassian.net/browse/HWKREPORT-902?atlOrigin=eyJpIjoiYzgwYTQ0ZjEyNzQzNGJhN2JmNjEyZTM0NmRhZWZhNjIiLCJwIjoic2hlZXRzLWppcmEifQ","HWKREPORT-902")</f>
        <v>HWKREPORT-902</v>
      </c>
      <c r="C2542" s="1" t="s">
        <v>3841</v>
      </c>
      <c r="D2542" s="1" t="s">
        <v>40</v>
      </c>
      <c r="E2542" s="1" t="s">
        <v>35</v>
      </c>
      <c r="F2542" s="4">
        <v>44403.54287037037</v>
      </c>
      <c r="G2542" s="3" t="str">
        <f>HYPERLINK("https://hawk-eye.atlassian.net/browse/RTT-4163?atlOrigin=eyJpIjoiYzgwYTQ0ZjEyNzQzNGJhN2JmNjEyZTM0NmRhZWZhNjIiLCJwIjoic2hlZXRzLWppcmEifQ","RTT-4163")</f>
        <v>RTT-4163</v>
      </c>
      <c r="H2542" s="1" t="s">
        <v>1058</v>
      </c>
      <c r="I2542" s="1" t="s">
        <v>1085</v>
      </c>
      <c r="J2542" s="1" t="s">
        <v>26</v>
      </c>
      <c r="K2542" s="1" t="s">
        <v>1072</v>
      </c>
      <c r="L2542" s="1" t="s">
        <v>26</v>
      </c>
      <c r="M2542" s="1" t="s">
        <v>27</v>
      </c>
      <c r="N2542" s="1" t="s">
        <v>26</v>
      </c>
      <c r="O2542" s="1" t="s">
        <v>26</v>
      </c>
      <c r="P2542" s="4">
        <v>44600.87478009259</v>
      </c>
    </row>
    <row r="2543" hidden="1">
      <c r="A2543" s="1" t="s">
        <v>21</v>
      </c>
      <c r="B2543" s="3" t="str">
        <f>HYPERLINK("https://hawk-eye.atlassian.net/browse/HWKREPORT-903?atlOrigin=eyJpIjoiYzgwYTQ0ZjEyNzQzNGJhN2JmNjEyZTM0NmRhZWZhNjIiLCJwIjoic2hlZXRzLWppcmEifQ","HWKREPORT-903")</f>
        <v>HWKREPORT-903</v>
      </c>
      <c r="C2543" s="1" t="s">
        <v>3842</v>
      </c>
      <c r="D2543" s="1" t="s">
        <v>23</v>
      </c>
      <c r="E2543" s="1" t="s">
        <v>35</v>
      </c>
      <c r="F2543" s="4">
        <v>44404.30069444444</v>
      </c>
      <c r="G2543" s="3" t="str">
        <f>HYPERLINK("https://hawk-eye.atlassian.net/browse/AL-8?atlOrigin=eyJpIjoiYzgwYTQ0ZjEyNzQzNGJhN2JmNjEyZTM0NmRhZWZhNjIiLCJwIjoic2hlZXRzLWppcmEifQ","AL-8")</f>
        <v>AL-8</v>
      </c>
      <c r="H2543" s="1" t="s">
        <v>1058</v>
      </c>
      <c r="I2543" s="1" t="s">
        <v>1071</v>
      </c>
      <c r="J2543" s="1" t="s">
        <v>26</v>
      </c>
      <c r="K2543" s="1" t="s">
        <v>1898</v>
      </c>
      <c r="L2543" s="1" t="s">
        <v>26</v>
      </c>
      <c r="M2543" s="1" t="s">
        <v>27</v>
      </c>
      <c r="N2543" s="1" t="s">
        <v>26</v>
      </c>
      <c r="O2543" s="1" t="s">
        <v>26</v>
      </c>
      <c r="P2543" s="4">
        <v>44600.87480324074</v>
      </c>
    </row>
    <row r="2544" hidden="1">
      <c r="A2544" s="1" t="s">
        <v>1055</v>
      </c>
      <c r="B2544" s="3" t="str">
        <f>HYPERLINK("https://hawk-eye.atlassian.net/browse/HWKREPORT-904?atlOrigin=eyJpIjoiYzgwYTQ0ZjEyNzQzNGJhN2JmNjEyZTM0NmRhZWZhNjIiLCJwIjoic2hlZXRzLWppcmEifQ","HWKREPORT-904")</f>
        <v>HWKREPORT-904</v>
      </c>
      <c r="C2544" s="1" t="s">
        <v>3843</v>
      </c>
      <c r="D2544" s="1" t="s">
        <v>23</v>
      </c>
      <c r="E2544" s="1" t="s">
        <v>35</v>
      </c>
      <c r="F2544" s="4">
        <v>44404.69042824074</v>
      </c>
      <c r="G2544" s="3" t="str">
        <f>HYPERLINK("https://hawk-eye.atlassian.net/browse/?atlOrigin=eyJpIjoiYzgwYTQ0ZjEyNzQzNGJhN2JmNjEyZTM0NmRhZWZhNjIiLCJwIjoic2hlZXRzLWppcmEifQ","")</f>
        <v/>
      </c>
      <c r="H2544" s="1" t="s">
        <v>1058</v>
      </c>
      <c r="I2544" s="1" t="s">
        <v>1071</v>
      </c>
      <c r="J2544" s="1" t="s">
        <v>26</v>
      </c>
      <c r="K2544" s="1" t="s">
        <v>1072</v>
      </c>
      <c r="L2544" s="1" t="s">
        <v>26</v>
      </c>
      <c r="M2544" s="1" t="s">
        <v>27</v>
      </c>
      <c r="N2544" s="1" t="s">
        <v>26</v>
      </c>
      <c r="O2544" s="1" t="s">
        <v>26</v>
      </c>
      <c r="P2544" s="4">
        <v>44503.37118055556</v>
      </c>
    </row>
    <row r="2545" hidden="1">
      <c r="A2545" s="1" t="s">
        <v>21</v>
      </c>
      <c r="B2545" s="3" t="str">
        <f>HYPERLINK("https://hawk-eye.atlassian.net/browse/HWKREPORT-905?atlOrigin=eyJpIjoiYzgwYTQ0ZjEyNzQzNGJhN2JmNjEyZTM0NmRhZWZhNjIiLCJwIjoic2hlZXRzLWppcmEifQ","HWKREPORT-905")</f>
        <v>HWKREPORT-905</v>
      </c>
      <c r="C2545" s="1" t="s">
        <v>3844</v>
      </c>
      <c r="D2545" s="1" t="s">
        <v>23</v>
      </c>
      <c r="E2545" s="1" t="s">
        <v>35</v>
      </c>
      <c r="F2545" s="4">
        <v>44406.37736111111</v>
      </c>
      <c r="G2545" s="3" t="str">
        <f>HYPERLINK("https://hawk-eye.atlassian.net/browse/RTT-4186?atlOrigin=eyJpIjoiYzgwYTQ0ZjEyNzQzNGJhN2JmNjEyZTM0NmRhZWZhNjIiLCJwIjoic2hlZXRzLWppcmEifQ","RTT-4186")</f>
        <v>RTT-4186</v>
      </c>
      <c r="H2545" s="1" t="s">
        <v>1058</v>
      </c>
      <c r="I2545" s="1" t="s">
        <v>1126</v>
      </c>
      <c r="J2545" s="1" t="s">
        <v>26</v>
      </c>
      <c r="K2545" s="1" t="s">
        <v>1312</v>
      </c>
      <c r="L2545" s="1" t="s">
        <v>26</v>
      </c>
      <c r="M2545" s="1" t="s">
        <v>27</v>
      </c>
      <c r="N2545" s="1" t="s">
        <v>26</v>
      </c>
      <c r="O2545" s="1" t="s">
        <v>26</v>
      </c>
      <c r="P2545" s="4">
        <v>44600.87464120371</v>
      </c>
    </row>
    <row r="2546" hidden="1">
      <c r="A2546" s="1" t="s">
        <v>21</v>
      </c>
      <c r="B2546" s="3" t="str">
        <f>HYPERLINK("https://hawk-eye.atlassian.net/browse/HWKREPORT-906?atlOrigin=eyJpIjoiYzgwYTQ0ZjEyNzQzNGJhN2JmNjEyZTM0NmRhZWZhNjIiLCJwIjoic2hlZXRzLWppcmEifQ","HWKREPORT-906")</f>
        <v>HWKREPORT-906</v>
      </c>
      <c r="C2546" s="1" t="s">
        <v>3845</v>
      </c>
      <c r="D2546" s="1" t="s">
        <v>23</v>
      </c>
      <c r="E2546" s="1" t="s">
        <v>35</v>
      </c>
      <c r="F2546" s="4">
        <v>44406.84212962963</v>
      </c>
      <c r="G2546" s="3" t="str">
        <f>HYPERLINK("https://hawk-eye.atlassian.net/browse/BDP-384?atlOrigin=eyJpIjoiYzgwYTQ0ZjEyNzQzNGJhN2JmNjEyZTM0NmRhZWZhNjIiLCJwIjoic2hlZXRzLWppcmEifQ","BDP-384")</f>
        <v>BDP-384</v>
      </c>
      <c r="H2546" s="1" t="s">
        <v>1058</v>
      </c>
      <c r="I2546" s="1" t="s">
        <v>1071</v>
      </c>
      <c r="J2546" s="1" t="s">
        <v>26</v>
      </c>
      <c r="K2546" s="1" t="s">
        <v>2841</v>
      </c>
      <c r="L2546" s="1" t="s">
        <v>26</v>
      </c>
      <c r="M2546" s="1" t="s">
        <v>27</v>
      </c>
      <c r="N2546" s="1" t="s">
        <v>26</v>
      </c>
      <c r="O2546" s="1" t="s">
        <v>26</v>
      </c>
      <c r="P2546" s="4">
        <v>44600.87461805555</v>
      </c>
    </row>
    <row r="2547" hidden="1">
      <c r="A2547" s="1" t="s">
        <v>21</v>
      </c>
      <c r="B2547" s="3" t="str">
        <f>HYPERLINK("https://hawk-eye.atlassian.net/browse/HWKREPORT-907?atlOrigin=eyJpIjoiYzgwYTQ0ZjEyNzQzNGJhN2JmNjEyZTM0NmRhZWZhNjIiLCJwIjoic2hlZXRzLWppcmEifQ","HWKREPORT-907")</f>
        <v>HWKREPORT-907</v>
      </c>
      <c r="C2547" s="1" t="s">
        <v>3846</v>
      </c>
      <c r="D2547" s="1" t="s">
        <v>23</v>
      </c>
      <c r="E2547" s="1" t="s">
        <v>35</v>
      </c>
      <c r="F2547" s="4">
        <v>44406.850127314814</v>
      </c>
      <c r="G2547" s="3" t="str">
        <f>HYPERLINK("https://hawk-eye.atlassian.net/browse/BDP-383?atlOrigin=eyJpIjoiYzgwYTQ0ZjEyNzQzNGJhN2JmNjEyZTM0NmRhZWZhNjIiLCJwIjoic2hlZXRzLWppcmEifQ","BDP-383")</f>
        <v>BDP-383</v>
      </c>
      <c r="H2547" s="1" t="s">
        <v>1058</v>
      </c>
      <c r="I2547" s="1" t="s">
        <v>1071</v>
      </c>
      <c r="J2547" s="1" t="s">
        <v>26</v>
      </c>
      <c r="K2547" s="1" t="s">
        <v>1130</v>
      </c>
      <c r="L2547" s="1" t="s">
        <v>26</v>
      </c>
      <c r="M2547" s="1" t="s">
        <v>27</v>
      </c>
      <c r="N2547" s="1" t="s">
        <v>26</v>
      </c>
      <c r="O2547" s="1" t="s">
        <v>26</v>
      </c>
      <c r="P2547" s="4">
        <v>44600.874606481484</v>
      </c>
    </row>
    <row r="2548" hidden="1">
      <c r="A2548" s="1" t="s">
        <v>21</v>
      </c>
      <c r="B2548" s="3" t="str">
        <f>HYPERLINK("https://hawk-eye.atlassian.net/browse/HWKREPORT-908?atlOrigin=eyJpIjoiYzgwYTQ0ZjEyNzQzNGJhN2JmNjEyZTM0NmRhZWZhNjIiLCJwIjoic2hlZXRzLWppcmEifQ","HWKREPORT-908")</f>
        <v>HWKREPORT-908</v>
      </c>
      <c r="C2548" s="1" t="s">
        <v>3847</v>
      </c>
      <c r="D2548" s="1" t="s">
        <v>23</v>
      </c>
      <c r="E2548" s="1" t="s">
        <v>35</v>
      </c>
      <c r="F2548" s="4">
        <v>44409.409849537034</v>
      </c>
      <c r="G2548" s="3" t="str">
        <f>HYPERLINK("https://hawk-eye.atlassian.net/browse/RTT-4187?atlOrigin=eyJpIjoiYzgwYTQ0ZjEyNzQzNGJhN2JmNjEyZTM0NmRhZWZhNjIiLCJwIjoic2hlZXRzLWppcmEifQ","RTT-4187")</f>
        <v>RTT-4187</v>
      </c>
      <c r="H2548" s="1" t="s">
        <v>1058</v>
      </c>
      <c r="I2548" s="1" t="s">
        <v>1085</v>
      </c>
      <c r="J2548" s="1" t="s">
        <v>26</v>
      </c>
      <c r="K2548" s="1" t="s">
        <v>1072</v>
      </c>
      <c r="L2548" s="1" t="s">
        <v>26</v>
      </c>
      <c r="M2548" s="1" t="s">
        <v>27</v>
      </c>
      <c r="N2548" s="1" t="s">
        <v>26</v>
      </c>
      <c r="O2548" s="1" t="s">
        <v>26</v>
      </c>
      <c r="P2548" s="4">
        <v>44600.874560185184</v>
      </c>
    </row>
    <row r="2549" hidden="1">
      <c r="A2549" s="1" t="s">
        <v>21</v>
      </c>
      <c r="B2549" s="3" t="str">
        <f>HYPERLINK("https://hawk-eye.atlassian.net/browse/HWKREPORT-909?atlOrigin=eyJpIjoiYzgwYTQ0ZjEyNzQzNGJhN2JmNjEyZTM0NmRhZWZhNjIiLCJwIjoic2hlZXRzLWppcmEifQ","HWKREPORT-909")</f>
        <v>HWKREPORT-909</v>
      </c>
      <c r="C2549" s="1" t="s">
        <v>3848</v>
      </c>
      <c r="D2549" s="1" t="s">
        <v>34</v>
      </c>
      <c r="E2549" s="1" t="s">
        <v>35</v>
      </c>
      <c r="F2549" s="4">
        <v>44409.41247685185</v>
      </c>
      <c r="G2549" s="3" t="str">
        <f>HYPERLINK("https://hawk-eye.atlassian.net/browse/RTT-4201?atlOrigin=eyJpIjoiYzgwYTQ0ZjEyNzQzNGJhN2JmNjEyZTM0NmRhZWZhNjIiLCJwIjoic2hlZXRzLWppcmEifQ","RTT-4201")</f>
        <v>RTT-4201</v>
      </c>
      <c r="H2549" s="1" t="s">
        <v>1058</v>
      </c>
      <c r="I2549" s="1" t="s">
        <v>1085</v>
      </c>
      <c r="J2549" s="1" t="s">
        <v>26</v>
      </c>
      <c r="K2549" s="1" t="s">
        <v>1072</v>
      </c>
      <c r="L2549" s="1" t="s">
        <v>26</v>
      </c>
      <c r="M2549" s="1" t="s">
        <v>27</v>
      </c>
      <c r="N2549" s="1" t="s">
        <v>26</v>
      </c>
      <c r="O2549" s="1" t="s">
        <v>26</v>
      </c>
      <c r="P2549" s="4">
        <v>44600.874548611115</v>
      </c>
    </row>
    <row r="2550" hidden="1">
      <c r="A2550" s="1" t="s">
        <v>21</v>
      </c>
      <c r="B2550" s="3" t="str">
        <f>HYPERLINK("https://hawk-eye.atlassian.net/browse/HWKREPORT-910?atlOrigin=eyJpIjoiYzgwYTQ0ZjEyNzQzNGJhN2JmNjEyZTM0NmRhZWZhNjIiLCJwIjoic2hlZXRzLWppcmEifQ","HWKREPORT-910")</f>
        <v>HWKREPORT-910</v>
      </c>
      <c r="C2550" s="1" t="s">
        <v>3849</v>
      </c>
      <c r="D2550" s="1" t="s">
        <v>23</v>
      </c>
      <c r="E2550" s="1" t="s">
        <v>35</v>
      </c>
      <c r="F2550" s="4">
        <v>44409.414872685185</v>
      </c>
      <c r="G2550" s="3" t="str">
        <f>HYPERLINK("https://hawk-eye.atlassian.net/browse/RTT-4200?atlOrigin=eyJpIjoiYzgwYTQ0ZjEyNzQzNGJhN2JmNjEyZTM0NmRhZWZhNjIiLCJwIjoic2hlZXRzLWppcmEifQ","RTT-4200")</f>
        <v>RTT-4200</v>
      </c>
      <c r="H2550" s="1" t="s">
        <v>1058</v>
      </c>
      <c r="I2550" s="1" t="s">
        <v>1085</v>
      </c>
      <c r="J2550" s="1" t="s">
        <v>26</v>
      </c>
      <c r="K2550" s="1" t="s">
        <v>1072</v>
      </c>
      <c r="L2550" s="1" t="s">
        <v>26</v>
      </c>
      <c r="M2550" s="1" t="s">
        <v>27</v>
      </c>
      <c r="N2550" s="1" t="s">
        <v>26</v>
      </c>
      <c r="O2550" s="1" t="s">
        <v>26</v>
      </c>
      <c r="P2550" s="4">
        <v>44600.87453703704</v>
      </c>
    </row>
    <row r="2551" hidden="1">
      <c r="A2551" s="1" t="s">
        <v>21</v>
      </c>
      <c r="B2551" s="3" t="str">
        <f>HYPERLINK("https://hawk-eye.atlassian.net/browse/HWKREPORT-911?atlOrigin=eyJpIjoiYzgwYTQ0ZjEyNzQzNGJhN2JmNjEyZTM0NmRhZWZhNjIiLCJwIjoic2hlZXRzLWppcmEifQ","HWKREPORT-911")</f>
        <v>HWKREPORT-911</v>
      </c>
      <c r="C2551" s="1" t="s">
        <v>3850</v>
      </c>
      <c r="D2551" s="1" t="s">
        <v>40</v>
      </c>
      <c r="E2551" s="1" t="s">
        <v>35</v>
      </c>
      <c r="F2551" s="4">
        <v>44409.41861111111</v>
      </c>
      <c r="G2551" s="3" t="str">
        <f>HYPERLINK("https://hawk-eye.atlassian.net/browse/RTT-4188?atlOrigin=eyJpIjoiYzgwYTQ0ZjEyNzQzNGJhN2JmNjEyZTM0NmRhZWZhNjIiLCJwIjoic2hlZXRzLWppcmEifQ","RTT-4188")</f>
        <v>RTT-4188</v>
      </c>
      <c r="H2551" s="1" t="s">
        <v>1058</v>
      </c>
      <c r="I2551" s="1" t="s">
        <v>1085</v>
      </c>
      <c r="J2551" s="1" t="s">
        <v>26</v>
      </c>
      <c r="K2551" s="1" t="s">
        <v>1072</v>
      </c>
      <c r="L2551" s="1" t="s">
        <v>26</v>
      </c>
      <c r="M2551" s="1" t="s">
        <v>27</v>
      </c>
      <c r="N2551" s="1" t="s">
        <v>26</v>
      </c>
      <c r="O2551" s="1" t="s">
        <v>26</v>
      </c>
      <c r="P2551" s="4">
        <v>44600.87453703704</v>
      </c>
    </row>
    <row r="2552" hidden="1">
      <c r="A2552" s="1" t="s">
        <v>21</v>
      </c>
      <c r="B2552" s="3" t="str">
        <f>HYPERLINK("https://hawk-eye.atlassian.net/browse/HWKREPORT-912?atlOrigin=eyJpIjoiYzgwYTQ0ZjEyNzQzNGJhN2JmNjEyZTM0NmRhZWZhNjIiLCJwIjoic2hlZXRzLWppcmEifQ","HWKREPORT-912")</f>
        <v>HWKREPORT-912</v>
      </c>
      <c r="C2552" s="1" t="s">
        <v>3851</v>
      </c>
      <c r="D2552" s="1" t="s">
        <v>34</v>
      </c>
      <c r="E2552" s="1" t="s">
        <v>35</v>
      </c>
      <c r="F2552" s="4">
        <v>44409.42333333333</v>
      </c>
      <c r="G2552" s="3" t="str">
        <f t="shared" ref="G2552:G2553" si="173">HYPERLINK("https://hawk-eye.atlassian.net/browse/?atlOrigin=eyJpIjoiYzgwYTQ0ZjEyNzQzNGJhN2JmNjEyZTM0NmRhZWZhNjIiLCJwIjoic2hlZXRzLWppcmEifQ","")</f>
        <v/>
      </c>
      <c r="H2552" s="1" t="s">
        <v>1058</v>
      </c>
      <c r="I2552" s="1" t="s">
        <v>1085</v>
      </c>
      <c r="J2552" s="1" t="s">
        <v>26</v>
      </c>
      <c r="K2552" s="1" t="s">
        <v>1134</v>
      </c>
      <c r="L2552" s="1" t="s">
        <v>26</v>
      </c>
      <c r="M2552" s="1" t="s">
        <v>27</v>
      </c>
      <c r="N2552" s="1" t="s">
        <v>26</v>
      </c>
      <c r="O2552" s="1" t="s">
        <v>26</v>
      </c>
      <c r="P2552" s="4">
        <v>44412.76451388889</v>
      </c>
    </row>
    <row r="2553" hidden="1">
      <c r="A2553" s="1" t="s">
        <v>1055</v>
      </c>
      <c r="B2553" s="3" t="str">
        <f>HYPERLINK("https://hawk-eye.atlassian.net/browse/HWKREPORT-913?atlOrigin=eyJpIjoiYzgwYTQ0ZjEyNzQzNGJhN2JmNjEyZTM0NmRhZWZhNjIiLCJwIjoic2hlZXRzLWppcmEifQ","HWKREPORT-913")</f>
        <v>HWKREPORT-913</v>
      </c>
      <c r="C2553" s="1" t="s">
        <v>3852</v>
      </c>
      <c r="D2553" s="1" t="s">
        <v>23</v>
      </c>
      <c r="E2553" s="1" t="s">
        <v>35</v>
      </c>
      <c r="F2553" s="4">
        <v>44411.881527777776</v>
      </c>
      <c r="G2553" s="3" t="str">
        <f t="shared" si="173"/>
        <v/>
      </c>
      <c r="H2553" s="1" t="s">
        <v>1058</v>
      </c>
      <c r="I2553" s="1" t="s">
        <v>1071</v>
      </c>
      <c r="J2553" s="1" t="s">
        <v>26</v>
      </c>
      <c r="K2553" s="1" t="s">
        <v>2841</v>
      </c>
      <c r="L2553" s="1" t="s">
        <v>26</v>
      </c>
      <c r="M2553" s="1" t="s">
        <v>27</v>
      </c>
      <c r="N2553" s="1" t="s">
        <v>26</v>
      </c>
      <c r="O2553" s="1" t="s">
        <v>26</v>
      </c>
      <c r="P2553" s="4">
        <v>44413.78841435185</v>
      </c>
    </row>
    <row r="2554" hidden="1">
      <c r="A2554" s="1" t="s">
        <v>21</v>
      </c>
      <c r="B2554" s="3" t="str">
        <f>HYPERLINK("https://hawk-eye.atlassian.net/browse/HWKREPORT-914?atlOrigin=eyJpIjoiYzgwYTQ0ZjEyNzQzNGJhN2JmNjEyZTM0NmRhZWZhNjIiLCJwIjoic2hlZXRzLWppcmEifQ","HWKREPORT-914")</f>
        <v>HWKREPORT-914</v>
      </c>
      <c r="C2554" s="1" t="s">
        <v>3853</v>
      </c>
      <c r="D2554" s="1" t="s">
        <v>23</v>
      </c>
      <c r="E2554" s="1" t="s">
        <v>35</v>
      </c>
      <c r="F2554" s="4">
        <v>44412.59857638889</v>
      </c>
      <c r="G2554" s="3" t="str">
        <f>HYPERLINK("https://hawk-eye.atlassian.net/browse/CONFIG-620?atlOrigin=eyJpIjoiYzgwYTQ0ZjEyNzQzNGJhN2JmNjEyZTM0NmRhZWZhNjIiLCJwIjoic2hlZXRzLWppcmEifQ","CONFIG-620")</f>
        <v>CONFIG-620</v>
      </c>
      <c r="H2554" s="1" t="s">
        <v>1058</v>
      </c>
      <c r="I2554" s="1" t="s">
        <v>1071</v>
      </c>
      <c r="J2554" s="1" t="s">
        <v>26</v>
      </c>
      <c r="K2554" s="1" t="s">
        <v>1134</v>
      </c>
      <c r="L2554" s="1" t="s">
        <v>26</v>
      </c>
      <c r="M2554" s="1" t="s">
        <v>27</v>
      </c>
      <c r="N2554" s="1" t="s">
        <v>26</v>
      </c>
      <c r="O2554" s="1" t="s">
        <v>26</v>
      </c>
      <c r="P2554" s="4">
        <v>44600.87466435185</v>
      </c>
    </row>
    <row r="2555" hidden="1">
      <c r="A2555" s="1" t="s">
        <v>1055</v>
      </c>
      <c r="B2555" s="3" t="str">
        <f>HYPERLINK("https://hawk-eye.atlassian.net/browse/HWKREPORT-915?atlOrigin=eyJpIjoiYzgwYTQ0ZjEyNzQzNGJhN2JmNjEyZTM0NmRhZWZhNjIiLCJwIjoic2hlZXRzLWppcmEifQ","HWKREPORT-915")</f>
        <v>HWKREPORT-915</v>
      </c>
      <c r="C2555" s="1" t="s">
        <v>3854</v>
      </c>
      <c r="D2555" s="1" t="s">
        <v>23</v>
      </c>
      <c r="E2555" s="1" t="s">
        <v>35</v>
      </c>
      <c r="F2555" s="4">
        <v>44412.71009259259</v>
      </c>
      <c r="G2555" s="3" t="str">
        <f>HYPERLINK("https://hawk-eye.atlassian.net/browse/?atlOrigin=eyJpIjoiYzgwYTQ0ZjEyNzQzNGJhN2JmNjEyZTM0NmRhZWZhNjIiLCJwIjoic2hlZXRzLWppcmEifQ","")</f>
        <v/>
      </c>
      <c r="H2555" s="1" t="s">
        <v>1058</v>
      </c>
      <c r="I2555" s="1" t="s">
        <v>1071</v>
      </c>
      <c r="J2555" s="1" t="s">
        <v>26</v>
      </c>
      <c r="K2555" s="1" t="s">
        <v>1134</v>
      </c>
      <c r="L2555" s="1" t="s">
        <v>26</v>
      </c>
      <c r="M2555" s="1" t="s">
        <v>27</v>
      </c>
      <c r="N2555" s="1" t="s">
        <v>26</v>
      </c>
      <c r="O2555" s="1" t="s">
        <v>26</v>
      </c>
      <c r="P2555" s="4">
        <v>44932.424942129626</v>
      </c>
    </row>
    <row r="2556" hidden="1">
      <c r="A2556" s="1" t="s">
        <v>21</v>
      </c>
      <c r="B2556" s="3" t="str">
        <f>HYPERLINK("https://hawk-eye.atlassian.net/browse/HWKREPORT-916?atlOrigin=eyJpIjoiYzgwYTQ0ZjEyNzQzNGJhN2JmNjEyZTM0NmRhZWZhNjIiLCJwIjoic2hlZXRzLWppcmEifQ","HWKREPORT-916")</f>
        <v>HWKREPORT-916</v>
      </c>
      <c r="C2556" s="1" t="s">
        <v>3855</v>
      </c>
      <c r="D2556" s="1" t="s">
        <v>23</v>
      </c>
      <c r="E2556" s="1" t="s">
        <v>35</v>
      </c>
      <c r="F2556" s="4">
        <v>44412.98844907407</v>
      </c>
      <c r="G2556" s="3" t="str">
        <f>HYPERLINK("https://hawk-eye.atlassian.net/browse/RTT-4259?atlOrigin=eyJpIjoiYzgwYTQ0ZjEyNzQzNGJhN2JmNjEyZTM0NmRhZWZhNjIiLCJwIjoic2hlZXRzLWppcmEifQ","RTT-4259")</f>
        <v>RTT-4259</v>
      </c>
      <c r="H2556" s="1" t="s">
        <v>1058</v>
      </c>
      <c r="I2556" s="1" t="s">
        <v>1071</v>
      </c>
      <c r="J2556" s="1" t="s">
        <v>26</v>
      </c>
      <c r="K2556" s="1" t="s">
        <v>1072</v>
      </c>
      <c r="L2556" s="1" t="s">
        <v>26</v>
      </c>
      <c r="M2556" s="1" t="s">
        <v>27</v>
      </c>
      <c r="N2556" s="1" t="s">
        <v>26</v>
      </c>
      <c r="O2556" s="1" t="s">
        <v>26</v>
      </c>
      <c r="P2556" s="4">
        <v>44600.87517361111</v>
      </c>
    </row>
    <row r="2557" hidden="1">
      <c r="A2557" s="1" t="s">
        <v>21</v>
      </c>
      <c r="B2557" s="3" t="str">
        <f>HYPERLINK("https://hawk-eye.atlassian.net/browse/HWKREPORT-917?atlOrigin=eyJpIjoiYzgwYTQ0ZjEyNzQzNGJhN2JmNjEyZTM0NmRhZWZhNjIiLCJwIjoic2hlZXRzLWppcmEifQ","HWKREPORT-917")</f>
        <v>HWKREPORT-917</v>
      </c>
      <c r="C2557" s="1" t="s">
        <v>3856</v>
      </c>
      <c r="D2557" s="1" t="s">
        <v>23</v>
      </c>
      <c r="E2557" s="1" t="s">
        <v>35</v>
      </c>
      <c r="F2557" s="4">
        <v>44412.99984953704</v>
      </c>
      <c r="G2557" s="3" t="str">
        <f>HYPERLINK("https://hawk-eye.atlassian.net/browse/RTT-4258?atlOrigin=eyJpIjoiYzgwYTQ0ZjEyNzQzNGJhN2JmNjEyZTM0NmRhZWZhNjIiLCJwIjoic2hlZXRzLWppcmEifQ","RTT-4258")</f>
        <v>RTT-4258</v>
      </c>
      <c r="H2557" s="1" t="s">
        <v>1058</v>
      </c>
      <c r="I2557" s="1" t="s">
        <v>1071</v>
      </c>
      <c r="J2557" s="1" t="s">
        <v>26</v>
      </c>
      <c r="K2557" s="1" t="s">
        <v>1072</v>
      </c>
      <c r="L2557" s="1" t="s">
        <v>26</v>
      </c>
      <c r="M2557" s="1" t="s">
        <v>27</v>
      </c>
      <c r="N2557" s="1" t="s">
        <v>26</v>
      </c>
      <c r="O2557" s="1" t="s">
        <v>26</v>
      </c>
      <c r="P2557" s="4">
        <v>44600.87516203704</v>
      </c>
    </row>
    <row r="2558" hidden="1">
      <c r="A2558" s="1" t="s">
        <v>21</v>
      </c>
      <c r="B2558" s="3" t="str">
        <f>HYPERLINK("https://hawk-eye.atlassian.net/browse/HWKREPORT-918?atlOrigin=eyJpIjoiYzgwYTQ0ZjEyNzQzNGJhN2JmNjEyZTM0NmRhZWZhNjIiLCJwIjoic2hlZXRzLWppcmEifQ","HWKREPORT-918")</f>
        <v>HWKREPORT-918</v>
      </c>
      <c r="C2558" s="1" t="s">
        <v>3857</v>
      </c>
      <c r="D2558" s="1" t="s">
        <v>23</v>
      </c>
      <c r="E2558" s="1" t="s">
        <v>35</v>
      </c>
      <c r="F2558" s="4">
        <v>44414.38914351852</v>
      </c>
      <c r="G2558" s="3" t="str">
        <f t="shared" ref="G2558:G2559" si="174">HYPERLINK("https://hawk-eye.atlassian.net/browse/?atlOrigin=eyJpIjoiYzgwYTQ0ZjEyNzQzNGJhN2JmNjEyZTM0NmRhZWZhNjIiLCJwIjoic2hlZXRzLWppcmEifQ","")</f>
        <v/>
      </c>
      <c r="H2558" s="1" t="s">
        <v>1058</v>
      </c>
      <c r="I2558" s="1" t="s">
        <v>1085</v>
      </c>
      <c r="J2558" s="1" t="s">
        <v>26</v>
      </c>
      <c r="K2558" s="1" t="s">
        <v>1072</v>
      </c>
      <c r="L2558" s="1" t="s">
        <v>26</v>
      </c>
      <c r="M2558" s="1" t="s">
        <v>27</v>
      </c>
      <c r="N2558" s="1" t="s">
        <v>26</v>
      </c>
      <c r="O2558" s="1" t="s">
        <v>26</v>
      </c>
      <c r="P2558" s="4">
        <v>44414.41364583333</v>
      </c>
    </row>
    <row r="2559" hidden="1">
      <c r="A2559" s="1" t="s">
        <v>1055</v>
      </c>
      <c r="B2559" s="3" t="str">
        <f>HYPERLINK("https://hawk-eye.atlassian.net/browse/HWKREPORT-919?atlOrigin=eyJpIjoiYzgwYTQ0ZjEyNzQzNGJhN2JmNjEyZTM0NmRhZWZhNjIiLCJwIjoic2hlZXRzLWppcmEifQ","HWKREPORT-919")</f>
        <v>HWKREPORT-919</v>
      </c>
      <c r="C2559" s="1" t="s">
        <v>3858</v>
      </c>
      <c r="D2559" s="1" t="s">
        <v>83</v>
      </c>
      <c r="E2559" s="1" t="s">
        <v>35</v>
      </c>
      <c r="F2559" s="4">
        <v>44418.00510416667</v>
      </c>
      <c r="G2559" s="3" t="str">
        <f t="shared" si="174"/>
        <v/>
      </c>
      <c r="H2559" s="1" t="s">
        <v>1058</v>
      </c>
      <c r="I2559" s="1" t="s">
        <v>1126</v>
      </c>
      <c r="J2559" s="1" t="s">
        <v>26</v>
      </c>
      <c r="K2559" s="1" t="s">
        <v>1508</v>
      </c>
      <c r="L2559" s="1" t="s">
        <v>26</v>
      </c>
      <c r="M2559" s="1" t="s">
        <v>27</v>
      </c>
      <c r="N2559" s="1" t="s">
        <v>26</v>
      </c>
      <c r="O2559" s="1" t="s">
        <v>26</v>
      </c>
      <c r="P2559" s="4">
        <v>45324.53991898148</v>
      </c>
    </row>
    <row r="2560" hidden="1">
      <c r="A2560" s="1" t="s">
        <v>21</v>
      </c>
      <c r="B2560" s="3" t="str">
        <f>HYPERLINK("https://hawk-eye.atlassian.net/browse/HWKREPORT-920?atlOrigin=eyJpIjoiYzgwYTQ0ZjEyNzQzNGJhN2JmNjEyZTM0NmRhZWZhNjIiLCJwIjoic2hlZXRzLWppcmEifQ","HWKREPORT-920")</f>
        <v>HWKREPORT-920</v>
      </c>
      <c r="C2560" s="1" t="s">
        <v>3859</v>
      </c>
      <c r="D2560" s="1" t="s">
        <v>23</v>
      </c>
      <c r="E2560" s="1" t="s">
        <v>35</v>
      </c>
      <c r="F2560" s="4">
        <v>44418.01075231482</v>
      </c>
      <c r="G2560" s="3" t="str">
        <f>HYPERLINK("https://hawk-eye.atlassian.net/browse/TRD-85?atlOrigin=eyJpIjoiYzgwYTQ0ZjEyNzQzNGJhN2JmNjEyZTM0NmRhZWZhNjIiLCJwIjoic2hlZXRzLWppcmEifQ","TRD-85")</f>
        <v>TRD-85</v>
      </c>
      <c r="H2560" s="1" t="s">
        <v>1058</v>
      </c>
      <c r="I2560" s="1" t="s">
        <v>1126</v>
      </c>
      <c r="J2560" s="1" t="s">
        <v>26</v>
      </c>
      <c r="K2560" s="1" t="s">
        <v>1211</v>
      </c>
      <c r="L2560" s="1" t="s">
        <v>26</v>
      </c>
      <c r="M2560" s="1" t="s">
        <v>27</v>
      </c>
      <c r="N2560" s="1" t="s">
        <v>26</v>
      </c>
      <c r="O2560" s="1" t="s">
        <v>26</v>
      </c>
      <c r="P2560" s="4">
        <v>44608.7343287037</v>
      </c>
    </row>
    <row r="2561" hidden="1">
      <c r="A2561" s="1" t="s">
        <v>21</v>
      </c>
      <c r="B2561" s="3" t="str">
        <f>HYPERLINK("https://hawk-eye.atlassian.net/browse/HWKREPORT-921?atlOrigin=eyJpIjoiYzgwYTQ0ZjEyNzQzNGJhN2JmNjEyZTM0NmRhZWZhNjIiLCJwIjoic2hlZXRzLWppcmEifQ","HWKREPORT-921")</f>
        <v>HWKREPORT-921</v>
      </c>
      <c r="C2561" s="1" t="s">
        <v>3860</v>
      </c>
      <c r="D2561" s="1" t="s">
        <v>23</v>
      </c>
      <c r="E2561" s="1" t="s">
        <v>35</v>
      </c>
      <c r="F2561" s="4">
        <v>44418.04555555555</v>
      </c>
      <c r="G2561" s="3" t="str">
        <f>HYPERLINK("https://hawk-eye.atlassian.net/browse/TRD-66?atlOrigin=eyJpIjoiYzgwYTQ0ZjEyNzQzNGJhN2JmNjEyZTM0NmRhZWZhNjIiLCJwIjoic2hlZXRzLWppcmEifQ","TRD-66")</f>
        <v>TRD-66</v>
      </c>
      <c r="H2561" s="1" t="s">
        <v>1058</v>
      </c>
      <c r="I2561" s="1" t="s">
        <v>1126</v>
      </c>
      <c r="J2561" s="1" t="s">
        <v>26</v>
      </c>
      <c r="K2561" s="1" t="s">
        <v>1211</v>
      </c>
      <c r="L2561" s="1" t="s">
        <v>26</v>
      </c>
      <c r="M2561" s="1" t="s">
        <v>27</v>
      </c>
      <c r="N2561" s="1" t="s">
        <v>26</v>
      </c>
      <c r="O2561" s="1" t="s">
        <v>26</v>
      </c>
      <c r="P2561" s="4">
        <v>44480.6987037037</v>
      </c>
    </row>
    <row r="2562" hidden="1">
      <c r="A2562" s="1" t="s">
        <v>1055</v>
      </c>
      <c r="B2562" s="3" t="str">
        <f>HYPERLINK("https://hawk-eye.atlassian.net/browse/HWKREPORT-922?atlOrigin=eyJpIjoiYzgwYTQ0ZjEyNzQzNGJhN2JmNjEyZTM0NmRhZWZhNjIiLCJwIjoic2hlZXRzLWppcmEifQ","HWKREPORT-922")</f>
        <v>HWKREPORT-922</v>
      </c>
      <c r="C2562" s="1" t="s">
        <v>3861</v>
      </c>
      <c r="D2562" s="1" t="s">
        <v>23</v>
      </c>
      <c r="E2562" s="1" t="s">
        <v>1057</v>
      </c>
      <c r="F2562" s="4">
        <v>44418.04956018519</v>
      </c>
      <c r="G2562" s="3" t="str">
        <f>HYPERLINK("https://hawk-eye.atlassian.net/browse/?atlOrigin=eyJpIjoiYzgwYTQ0ZjEyNzQzNGJhN2JmNjEyZTM0NmRhZWZhNjIiLCJwIjoic2hlZXRzLWppcmEifQ","")</f>
        <v/>
      </c>
      <c r="H2562" s="1" t="s">
        <v>1058</v>
      </c>
      <c r="I2562" s="1" t="s">
        <v>1126</v>
      </c>
      <c r="J2562" s="1" t="s">
        <v>26</v>
      </c>
      <c r="K2562" s="1" t="s">
        <v>1211</v>
      </c>
      <c r="L2562" s="1" t="s">
        <v>26</v>
      </c>
      <c r="M2562" s="1" t="s">
        <v>27</v>
      </c>
      <c r="N2562" s="1" t="s">
        <v>26</v>
      </c>
      <c r="O2562" s="1" t="s">
        <v>26</v>
      </c>
      <c r="P2562" s="4">
        <v>44418.04957175926</v>
      </c>
    </row>
    <row r="2563" hidden="1">
      <c r="A2563" s="1" t="s">
        <v>21</v>
      </c>
      <c r="B2563" s="3" t="str">
        <f>HYPERLINK("https://hawk-eye.atlassian.net/browse/HWKREPORT-923?atlOrigin=eyJpIjoiYzgwYTQ0ZjEyNzQzNGJhN2JmNjEyZTM0NmRhZWZhNjIiLCJwIjoic2hlZXRzLWppcmEifQ","HWKREPORT-923")</f>
        <v>HWKREPORT-923</v>
      </c>
      <c r="C2563" s="1" t="s">
        <v>3862</v>
      </c>
      <c r="D2563" s="1" t="s">
        <v>34</v>
      </c>
      <c r="E2563" s="1" t="s">
        <v>1057</v>
      </c>
      <c r="F2563" s="4">
        <v>44418.86752314815</v>
      </c>
      <c r="G2563" s="3" t="str">
        <f>HYPERLINK("https://hawk-eye.atlassian.net/browse/RTT-4275?atlOrigin=eyJpIjoiYzgwYTQ0ZjEyNzQzNGJhN2JmNjEyZTM0NmRhZWZhNjIiLCJwIjoic2hlZXRzLWppcmEifQ","RTT-4275")</f>
        <v>RTT-4275</v>
      </c>
      <c r="H2563" s="1" t="s">
        <v>1058</v>
      </c>
      <c r="I2563" s="1" t="s">
        <v>1126</v>
      </c>
      <c r="J2563" s="1" t="s">
        <v>26</v>
      </c>
      <c r="K2563" s="1" t="s">
        <v>1309</v>
      </c>
      <c r="L2563" s="1" t="s">
        <v>26</v>
      </c>
      <c r="M2563" s="1" t="s">
        <v>27</v>
      </c>
      <c r="N2563" s="1" t="s">
        <v>26</v>
      </c>
      <c r="O2563" s="1" t="s">
        <v>26</v>
      </c>
      <c r="P2563" s="4">
        <v>45000.63780092593</v>
      </c>
    </row>
    <row r="2564" hidden="1">
      <c r="A2564" s="1" t="s">
        <v>21</v>
      </c>
      <c r="B2564" s="3" t="str">
        <f>HYPERLINK("https://hawk-eye.atlassian.net/browse/HWKREPORT-924?atlOrigin=eyJpIjoiYzgwYTQ0ZjEyNzQzNGJhN2JmNjEyZTM0NmRhZWZhNjIiLCJwIjoic2hlZXRzLWppcmEifQ","HWKREPORT-924")</f>
        <v>HWKREPORT-924</v>
      </c>
      <c r="C2564" s="1" t="s">
        <v>3863</v>
      </c>
      <c r="D2564" s="1" t="s">
        <v>23</v>
      </c>
      <c r="E2564" s="1" t="s">
        <v>35</v>
      </c>
      <c r="F2564" s="4">
        <v>44419.60084490741</v>
      </c>
      <c r="G2564" s="3" t="str">
        <f>HYPERLINK("https://hawk-eye.atlassian.net/browse/VIEWER-1660?atlOrigin=eyJpIjoiYzgwYTQ0ZjEyNzQzNGJhN2JmNjEyZTM0NmRhZWZhNjIiLCJwIjoic2hlZXRzLWppcmEifQ","VIEWER-1660")</f>
        <v>VIEWER-1660</v>
      </c>
      <c r="H2564" s="1" t="s">
        <v>1058</v>
      </c>
      <c r="I2564" s="1" t="s">
        <v>3864</v>
      </c>
      <c r="J2564" s="1" t="s">
        <v>26</v>
      </c>
      <c r="K2564" s="1" t="s">
        <v>1116</v>
      </c>
      <c r="L2564" s="1" t="s">
        <v>26</v>
      </c>
      <c r="M2564" s="1" t="s">
        <v>27</v>
      </c>
      <c r="N2564" s="1" t="s">
        <v>26</v>
      </c>
      <c r="O2564" s="1" t="s">
        <v>26</v>
      </c>
      <c r="P2564" s="4">
        <v>44600.87458333333</v>
      </c>
    </row>
    <row r="2565" hidden="1">
      <c r="A2565" s="1" t="s">
        <v>1055</v>
      </c>
      <c r="B2565" s="3" t="str">
        <f>HYPERLINK("https://hawk-eye.atlassian.net/browse/HWKREPORT-925?atlOrigin=eyJpIjoiYzgwYTQ0ZjEyNzQzNGJhN2JmNjEyZTM0NmRhZWZhNjIiLCJwIjoic2hlZXRzLWppcmEifQ","HWKREPORT-925")</f>
        <v>HWKREPORT-925</v>
      </c>
      <c r="C2565" s="1" t="s">
        <v>3865</v>
      </c>
      <c r="D2565" s="1" t="s">
        <v>23</v>
      </c>
      <c r="E2565" s="1" t="s">
        <v>35</v>
      </c>
      <c r="F2565" s="4">
        <v>44419.6025</v>
      </c>
      <c r="G2565" s="3" t="str">
        <f>HYPERLINK("https://hawk-eye.atlassian.net/browse/VIEWER-1659?atlOrigin=eyJpIjoiYzgwYTQ0ZjEyNzQzNGJhN2JmNjEyZTM0NmRhZWZhNjIiLCJwIjoic2hlZXRzLWppcmEifQ","VIEWER-1659")</f>
        <v>VIEWER-1659</v>
      </c>
      <c r="H2565" s="1" t="s">
        <v>1058</v>
      </c>
      <c r="I2565" s="1" t="s">
        <v>3866</v>
      </c>
      <c r="J2565" s="1" t="s">
        <v>26</v>
      </c>
      <c r="K2565" s="1" t="s">
        <v>1116</v>
      </c>
      <c r="L2565" s="1" t="s">
        <v>26</v>
      </c>
      <c r="M2565" s="1" t="s">
        <v>27</v>
      </c>
      <c r="N2565" s="1" t="s">
        <v>26</v>
      </c>
      <c r="O2565" s="1" t="s">
        <v>26</v>
      </c>
      <c r="P2565" s="4">
        <v>44600.87458333333</v>
      </c>
    </row>
    <row r="2566" hidden="1">
      <c r="A2566" s="1" t="s">
        <v>1055</v>
      </c>
      <c r="B2566" s="3" t="str">
        <f>HYPERLINK("https://hawk-eye.atlassian.net/browse/HWKREPORT-926?atlOrigin=eyJpIjoiYzgwYTQ0ZjEyNzQzNGJhN2JmNjEyZTM0NmRhZWZhNjIiLCJwIjoic2hlZXRzLWppcmEifQ","HWKREPORT-926")</f>
        <v>HWKREPORT-926</v>
      </c>
      <c r="C2566" s="1" t="s">
        <v>3867</v>
      </c>
      <c r="D2566" s="1" t="s">
        <v>23</v>
      </c>
      <c r="E2566" s="1" t="s">
        <v>35</v>
      </c>
      <c r="F2566" s="4">
        <v>44419.60413194444</v>
      </c>
      <c r="G2566" s="3" t="str">
        <f>HYPERLINK("https://hawk-eye.atlassian.net/browse/VIEWER-1763?atlOrigin=eyJpIjoiYzgwYTQ0ZjEyNzQzNGJhN2JmNjEyZTM0NmRhZWZhNjIiLCJwIjoic2hlZXRzLWppcmEifQ","VIEWER-1763")</f>
        <v>VIEWER-1763</v>
      </c>
      <c r="H2566" s="1" t="s">
        <v>1058</v>
      </c>
      <c r="I2566" s="1" t="s">
        <v>3623</v>
      </c>
      <c r="J2566" s="1" t="s">
        <v>26</v>
      </c>
      <c r="K2566" s="1" t="s">
        <v>1116</v>
      </c>
      <c r="L2566" s="1" t="s">
        <v>26</v>
      </c>
      <c r="M2566" s="1" t="s">
        <v>27</v>
      </c>
      <c r="N2566" s="1" t="s">
        <v>26</v>
      </c>
      <c r="O2566" s="1" t="s">
        <v>26</v>
      </c>
      <c r="P2566" s="4">
        <v>44600.87457175926</v>
      </c>
    </row>
    <row r="2567" hidden="1">
      <c r="A2567" s="1" t="s">
        <v>1055</v>
      </c>
      <c r="B2567" s="3" t="str">
        <f>HYPERLINK("https://hawk-eye.atlassian.net/browse/HWKREPORT-927?atlOrigin=eyJpIjoiYzgwYTQ0ZjEyNzQzNGJhN2JmNjEyZTM0NmRhZWZhNjIiLCJwIjoic2hlZXRzLWppcmEifQ","HWKREPORT-927")</f>
        <v>HWKREPORT-927</v>
      </c>
      <c r="C2567" s="1" t="s">
        <v>3868</v>
      </c>
      <c r="D2567" s="1" t="s">
        <v>23</v>
      </c>
      <c r="E2567" s="1" t="s">
        <v>35</v>
      </c>
      <c r="F2567" s="4">
        <v>44419.60607638889</v>
      </c>
      <c r="G2567" s="3" t="str">
        <f>HYPERLINK("https://hawk-eye.atlassian.net/browse/?atlOrigin=eyJpIjoiYzgwYTQ0ZjEyNzQzNGJhN2JmNjEyZTM0NmRhZWZhNjIiLCJwIjoic2hlZXRzLWppcmEifQ","")</f>
        <v/>
      </c>
      <c r="H2567" s="1" t="s">
        <v>1058</v>
      </c>
      <c r="I2567" s="1" t="s">
        <v>3869</v>
      </c>
      <c r="J2567" s="1" t="s">
        <v>26</v>
      </c>
      <c r="K2567" s="1" t="s">
        <v>1116</v>
      </c>
      <c r="L2567" s="1" t="s">
        <v>26</v>
      </c>
      <c r="M2567" s="1" t="s">
        <v>27</v>
      </c>
      <c r="N2567" s="1" t="s">
        <v>26</v>
      </c>
      <c r="O2567" s="1" t="s">
        <v>26</v>
      </c>
      <c r="P2567" s="4">
        <v>44460.509305555555</v>
      </c>
    </row>
    <row r="2568" hidden="1">
      <c r="A2568" s="1" t="s">
        <v>21</v>
      </c>
      <c r="B2568" s="3" t="str">
        <f>HYPERLINK("https://hawk-eye.atlassian.net/browse/HWKREPORT-928?atlOrigin=eyJpIjoiYzgwYTQ0ZjEyNzQzNGJhN2JmNjEyZTM0NmRhZWZhNjIiLCJwIjoic2hlZXRzLWppcmEifQ","HWKREPORT-928")</f>
        <v>HWKREPORT-928</v>
      </c>
      <c r="C2568" s="1" t="s">
        <v>3870</v>
      </c>
      <c r="D2568" s="1" t="s">
        <v>34</v>
      </c>
      <c r="E2568" s="1" t="s">
        <v>1207</v>
      </c>
      <c r="F2568" s="4">
        <v>44422.87122685185</v>
      </c>
      <c r="G2568" s="3" t="str">
        <f>HYPERLINK("https://hawk-eye.atlassian.net/browse/TRD-80?atlOrigin=eyJpIjoiYzgwYTQ0ZjEyNzQzNGJhN2JmNjEyZTM0NmRhZWZhNjIiLCJwIjoic2hlZXRzLWppcmEifQ","TRD-80")</f>
        <v>TRD-80</v>
      </c>
      <c r="H2568" s="1" t="s">
        <v>1058</v>
      </c>
      <c r="I2568" s="1" t="s">
        <v>1126</v>
      </c>
      <c r="J2568" s="1" t="s">
        <v>26</v>
      </c>
      <c r="K2568" s="1" t="s">
        <v>1211</v>
      </c>
      <c r="L2568" s="1" t="s">
        <v>26</v>
      </c>
      <c r="M2568" s="1" t="s">
        <v>27</v>
      </c>
      <c r="N2568" s="1" t="s">
        <v>26</v>
      </c>
      <c r="O2568" s="1" t="s">
        <v>26</v>
      </c>
      <c r="P2568" s="4">
        <v>44929.4184837963</v>
      </c>
    </row>
    <row r="2569" hidden="1">
      <c r="A2569" s="1" t="s">
        <v>1055</v>
      </c>
      <c r="B2569" s="3" t="str">
        <f>HYPERLINK("https://hawk-eye.atlassian.net/browse/HWKREPORT-929?atlOrigin=eyJpIjoiYzgwYTQ0ZjEyNzQzNGJhN2JmNjEyZTM0NmRhZWZhNjIiLCJwIjoic2hlZXRzLWppcmEifQ","HWKREPORT-929")</f>
        <v>HWKREPORT-929</v>
      </c>
      <c r="C2569" s="1" t="s">
        <v>3871</v>
      </c>
      <c r="D2569" s="1" t="s">
        <v>23</v>
      </c>
      <c r="E2569" s="1" t="s">
        <v>1207</v>
      </c>
      <c r="F2569" s="4">
        <v>44424.65452546296</v>
      </c>
      <c r="G2569" s="3" t="str">
        <f>HYPERLINK("https://hawk-eye.atlassian.net/browse/RTT-5269?atlOrigin=eyJpIjoiYzgwYTQ0ZjEyNzQzNGJhN2JmNjEyZTM0NmRhZWZhNjIiLCJwIjoic2hlZXRzLWppcmEifQ","RTT-5269")</f>
        <v>RTT-5269</v>
      </c>
      <c r="H2569" s="1" t="s">
        <v>1058</v>
      </c>
      <c r="I2569" s="1" t="s">
        <v>1071</v>
      </c>
      <c r="J2569" s="1" t="s">
        <v>26</v>
      </c>
      <c r="K2569" s="1" t="s">
        <v>1072</v>
      </c>
      <c r="L2569" s="1" t="s">
        <v>26</v>
      </c>
      <c r="M2569" s="1" t="s">
        <v>27</v>
      </c>
      <c r="N2569" s="1" t="s">
        <v>26</v>
      </c>
      <c r="O2569" s="1" t="s">
        <v>26</v>
      </c>
      <c r="P2569" s="4">
        <v>44929.4184837963</v>
      </c>
    </row>
    <row r="2570" hidden="1">
      <c r="A2570" s="1" t="s">
        <v>21</v>
      </c>
      <c r="B2570" s="3" t="str">
        <f>HYPERLINK("https://hawk-eye.atlassian.net/browse/HWKREPORT-930?atlOrigin=eyJpIjoiYzgwYTQ0ZjEyNzQzNGJhN2JmNjEyZTM0NmRhZWZhNjIiLCJwIjoic2hlZXRzLWppcmEifQ","HWKREPORT-930")</f>
        <v>HWKREPORT-930</v>
      </c>
      <c r="C2570" s="1" t="s">
        <v>3872</v>
      </c>
      <c r="D2570" s="1" t="s">
        <v>23</v>
      </c>
      <c r="E2570" s="1" t="s">
        <v>35</v>
      </c>
      <c r="F2570" s="4">
        <v>44424.94986111111</v>
      </c>
      <c r="G2570" s="3" t="str">
        <f t="shared" ref="G2570:G2571" si="175">HYPERLINK("https://hawk-eye.atlassian.net/browse/?atlOrigin=eyJpIjoiYzgwYTQ0ZjEyNzQzNGJhN2JmNjEyZTM0NmRhZWZhNjIiLCJwIjoic2hlZXRzLWppcmEifQ","")</f>
        <v/>
      </c>
      <c r="H2570" s="1" t="s">
        <v>1058</v>
      </c>
      <c r="I2570" s="1" t="s">
        <v>1071</v>
      </c>
      <c r="J2570" s="1" t="s">
        <v>26</v>
      </c>
      <c r="K2570" s="1" t="s">
        <v>1099</v>
      </c>
      <c r="L2570" s="1" t="s">
        <v>26</v>
      </c>
      <c r="M2570" s="1" t="s">
        <v>27</v>
      </c>
      <c r="N2570" s="1" t="s">
        <v>26</v>
      </c>
      <c r="O2570" s="1" t="s">
        <v>26</v>
      </c>
      <c r="P2570" s="4">
        <v>44536.48105324074</v>
      </c>
    </row>
    <row r="2571" hidden="1">
      <c r="A2571" s="1" t="s">
        <v>21</v>
      </c>
      <c r="B2571" s="3" t="str">
        <f>HYPERLINK("https://hawk-eye.atlassian.net/browse/HWKREPORT-931?atlOrigin=eyJpIjoiYzgwYTQ0ZjEyNzQzNGJhN2JmNjEyZTM0NmRhZWZhNjIiLCJwIjoic2hlZXRzLWppcmEifQ","HWKREPORT-931")</f>
        <v>HWKREPORT-931</v>
      </c>
      <c r="C2571" s="1" t="s">
        <v>3873</v>
      </c>
      <c r="D2571" s="1" t="s">
        <v>23</v>
      </c>
      <c r="E2571" s="1" t="s">
        <v>35</v>
      </c>
      <c r="F2571" s="4">
        <v>44424.95355324074</v>
      </c>
      <c r="G2571" s="3" t="str">
        <f t="shared" si="175"/>
        <v/>
      </c>
      <c r="H2571" s="1" t="s">
        <v>1058</v>
      </c>
      <c r="I2571" s="1" t="s">
        <v>1071</v>
      </c>
      <c r="J2571" s="1" t="s">
        <v>26</v>
      </c>
      <c r="K2571" s="1" t="s">
        <v>1099</v>
      </c>
      <c r="L2571" s="1" t="s">
        <v>26</v>
      </c>
      <c r="M2571" s="1" t="s">
        <v>27</v>
      </c>
      <c r="N2571" s="1" t="s">
        <v>26</v>
      </c>
      <c r="O2571" s="1" t="s">
        <v>26</v>
      </c>
      <c r="P2571" s="4">
        <v>44579.50747685185</v>
      </c>
    </row>
    <row r="2572" hidden="1">
      <c r="A2572" s="1" t="s">
        <v>1055</v>
      </c>
      <c r="B2572" s="3" t="str">
        <f>HYPERLINK("https://hawk-eye.atlassian.net/browse/HWKREPORT-932?atlOrigin=eyJpIjoiYzgwYTQ0ZjEyNzQzNGJhN2JmNjEyZTM0NmRhZWZhNjIiLCJwIjoic2hlZXRzLWppcmEifQ","HWKREPORT-932")</f>
        <v>HWKREPORT-932</v>
      </c>
      <c r="C2572" s="1" t="s">
        <v>3874</v>
      </c>
      <c r="D2572" s="1" t="s">
        <v>23</v>
      </c>
      <c r="E2572" s="1" t="s">
        <v>35</v>
      </c>
      <c r="F2572" s="4">
        <v>44424.96873842592</v>
      </c>
      <c r="G2572" s="3" t="str">
        <f>HYPERLINK("https://hawk-eye.atlassian.net/browse/RTT-4252?atlOrigin=eyJpIjoiYzgwYTQ0ZjEyNzQzNGJhN2JmNjEyZTM0NmRhZWZhNjIiLCJwIjoic2hlZXRzLWppcmEifQ","RTT-4252")</f>
        <v>RTT-4252</v>
      </c>
      <c r="H2572" s="1" t="s">
        <v>1058</v>
      </c>
      <c r="I2572" s="1" t="s">
        <v>1071</v>
      </c>
      <c r="J2572" s="1" t="s">
        <v>26</v>
      </c>
      <c r="K2572" s="1" t="s">
        <v>1130</v>
      </c>
      <c r="L2572" s="1" t="s">
        <v>26</v>
      </c>
      <c r="M2572" s="1" t="s">
        <v>27</v>
      </c>
      <c r="N2572" s="1" t="s">
        <v>26</v>
      </c>
      <c r="O2572" s="1" t="s">
        <v>26</v>
      </c>
      <c r="P2572" s="4">
        <v>44600.874606481484</v>
      </c>
    </row>
    <row r="2573" hidden="1">
      <c r="A2573" s="1" t="s">
        <v>1055</v>
      </c>
      <c r="B2573" s="3" t="str">
        <f>HYPERLINK("https://hawk-eye.atlassian.net/browse/HWKREPORT-933?atlOrigin=eyJpIjoiYzgwYTQ0ZjEyNzQzNGJhN2JmNjEyZTM0NmRhZWZhNjIiLCJwIjoic2hlZXRzLWppcmEifQ","HWKREPORT-933")</f>
        <v>HWKREPORT-933</v>
      </c>
      <c r="C2573" s="1" t="s">
        <v>3875</v>
      </c>
      <c r="D2573" s="1" t="s">
        <v>23</v>
      </c>
      <c r="E2573" s="1" t="s">
        <v>35</v>
      </c>
      <c r="F2573" s="4">
        <v>44424.98278935185</v>
      </c>
      <c r="G2573" s="3" t="str">
        <f>HYPERLINK("https://hawk-eye.atlassian.net/browse/BDP-317?atlOrigin=eyJpIjoiYzgwYTQ0ZjEyNzQzNGJhN2JmNjEyZTM0NmRhZWZhNjIiLCJwIjoic2hlZXRzLWppcmEifQ","BDP-317")</f>
        <v>BDP-317</v>
      </c>
      <c r="H2573" s="1" t="s">
        <v>1058</v>
      </c>
      <c r="I2573" s="1" t="s">
        <v>1071</v>
      </c>
      <c r="J2573" s="1" t="s">
        <v>26</v>
      </c>
      <c r="K2573" s="1" t="s">
        <v>1523</v>
      </c>
      <c r="L2573" s="1" t="s">
        <v>26</v>
      </c>
      <c r="M2573" s="1" t="s">
        <v>27</v>
      </c>
      <c r="N2573" s="1" t="s">
        <v>26</v>
      </c>
      <c r="O2573" s="1" t="s">
        <v>26</v>
      </c>
      <c r="P2573" s="4">
        <v>44600.87458333333</v>
      </c>
    </row>
    <row r="2574" hidden="1">
      <c r="A2574" s="1" t="s">
        <v>21</v>
      </c>
      <c r="B2574" s="3" t="str">
        <f>HYPERLINK("https://hawk-eye.atlassian.net/browse/HWKREPORT-934?atlOrigin=eyJpIjoiYzgwYTQ0ZjEyNzQzNGJhN2JmNjEyZTM0NmRhZWZhNjIiLCJwIjoic2hlZXRzLWppcmEifQ","HWKREPORT-934")</f>
        <v>HWKREPORT-934</v>
      </c>
      <c r="C2574" s="1" t="s">
        <v>3876</v>
      </c>
      <c r="D2574" s="1" t="s">
        <v>23</v>
      </c>
      <c r="E2574" s="1" t="s">
        <v>1057</v>
      </c>
      <c r="F2574" s="4">
        <v>44425.500601851854</v>
      </c>
      <c r="G2574" s="3" t="str">
        <f>HYPERLINK("https://hawk-eye.atlassian.net/browse/RTT-4277?atlOrigin=eyJpIjoiYzgwYTQ0ZjEyNzQzNGJhN2JmNjEyZTM0NmRhZWZhNjIiLCJwIjoic2hlZXRzLWppcmEifQ","RTT-4277")</f>
        <v>RTT-4277</v>
      </c>
      <c r="H2574" s="1" t="s">
        <v>1058</v>
      </c>
      <c r="I2574" s="1" t="s">
        <v>1082</v>
      </c>
      <c r="J2574" s="1" t="s">
        <v>26</v>
      </c>
      <c r="K2574" s="1" t="s">
        <v>1173</v>
      </c>
      <c r="L2574" s="1" t="s">
        <v>26</v>
      </c>
      <c r="M2574" s="1" t="s">
        <v>27</v>
      </c>
      <c r="N2574" s="1" t="s">
        <v>26</v>
      </c>
      <c r="O2574" s="1" t="s">
        <v>26</v>
      </c>
      <c r="P2574" s="4">
        <v>44425.500613425924</v>
      </c>
    </row>
    <row r="2575" hidden="1">
      <c r="A2575" s="1" t="s">
        <v>1055</v>
      </c>
      <c r="B2575" s="3" t="str">
        <f>HYPERLINK("https://hawk-eye.atlassian.net/browse/HWKREPORT-935?atlOrigin=eyJpIjoiYzgwYTQ0ZjEyNzQzNGJhN2JmNjEyZTM0NmRhZWZhNjIiLCJwIjoic2hlZXRzLWppcmEifQ","HWKREPORT-935")</f>
        <v>HWKREPORT-935</v>
      </c>
      <c r="C2575" s="1" t="s">
        <v>3877</v>
      </c>
      <c r="D2575" s="1" t="s">
        <v>23</v>
      </c>
      <c r="E2575" s="1" t="s">
        <v>35</v>
      </c>
      <c r="F2575" s="4">
        <v>44425.68035879629</v>
      </c>
      <c r="G2575" s="3" t="str">
        <f>HYPERLINK("https://hawk-eye.atlassian.net/browse/VVC-239?atlOrigin=eyJpIjoiYzgwYTQ0ZjEyNzQzNGJhN2JmNjEyZTM0NmRhZWZhNjIiLCJwIjoic2hlZXRzLWppcmEifQ","VVC-239")</f>
        <v>VVC-239</v>
      </c>
      <c r="H2575" s="1" t="s">
        <v>1058</v>
      </c>
      <c r="I2575" s="1" t="s">
        <v>1082</v>
      </c>
      <c r="J2575" s="1" t="s">
        <v>26</v>
      </c>
      <c r="K2575" s="1" t="s">
        <v>1247</v>
      </c>
      <c r="L2575" s="1" t="s">
        <v>26</v>
      </c>
      <c r="M2575" s="1" t="s">
        <v>27</v>
      </c>
      <c r="N2575" s="1" t="s">
        <v>26</v>
      </c>
      <c r="O2575" s="1" t="s">
        <v>26</v>
      </c>
      <c r="P2575" s="4">
        <v>44600.874930555554</v>
      </c>
    </row>
    <row r="2576" hidden="1">
      <c r="A2576" s="1" t="s">
        <v>21</v>
      </c>
      <c r="B2576" s="3" t="str">
        <f>HYPERLINK("https://hawk-eye.atlassian.net/browse/HWKREPORT-936?atlOrigin=eyJpIjoiYzgwYTQ0ZjEyNzQzNGJhN2JmNjEyZTM0NmRhZWZhNjIiLCJwIjoic2hlZXRzLWppcmEifQ","HWKREPORT-936")</f>
        <v>HWKREPORT-936</v>
      </c>
      <c r="C2576" s="1" t="s">
        <v>3878</v>
      </c>
      <c r="D2576" s="1" t="s">
        <v>23</v>
      </c>
      <c r="E2576" s="1" t="s">
        <v>35</v>
      </c>
      <c r="F2576" s="4">
        <v>44430.92778935185</v>
      </c>
      <c r="G2576" s="3" t="str">
        <f>HYPERLINK("https://hawk-eye.atlassian.net/browse/RTT-4295?atlOrigin=eyJpIjoiYzgwYTQ0ZjEyNzQzNGJhN2JmNjEyZTM0NmRhZWZhNjIiLCJwIjoic2hlZXRzLWppcmEifQ","RTT-4295")</f>
        <v>RTT-4295</v>
      </c>
      <c r="H2576" s="1" t="s">
        <v>1058</v>
      </c>
      <c r="I2576" s="1" t="s">
        <v>1071</v>
      </c>
      <c r="J2576" s="1" t="s">
        <v>26</v>
      </c>
      <c r="K2576" s="1" t="s">
        <v>1312</v>
      </c>
      <c r="L2576" s="1" t="s">
        <v>26</v>
      </c>
      <c r="M2576" s="1" t="s">
        <v>27</v>
      </c>
      <c r="N2576" s="1" t="s">
        <v>26</v>
      </c>
      <c r="O2576" s="1" t="s">
        <v>26</v>
      </c>
      <c r="P2576" s="4">
        <v>44600.87479166667</v>
      </c>
    </row>
    <row r="2577" hidden="1">
      <c r="A2577" s="1" t="s">
        <v>1055</v>
      </c>
      <c r="B2577" s="3" t="str">
        <f>HYPERLINK("https://hawk-eye.atlassian.net/browse/HWKREPORT-937?atlOrigin=eyJpIjoiYzgwYTQ0ZjEyNzQzNGJhN2JmNjEyZTM0NmRhZWZhNjIiLCJwIjoic2hlZXRzLWppcmEifQ","HWKREPORT-937")</f>
        <v>HWKREPORT-937</v>
      </c>
      <c r="C2577" s="1" t="s">
        <v>3879</v>
      </c>
      <c r="D2577" s="1" t="s">
        <v>23</v>
      </c>
      <c r="E2577" s="1" t="s">
        <v>35</v>
      </c>
      <c r="F2577" s="4">
        <v>44430.93782407408</v>
      </c>
      <c r="G2577" s="3" t="str">
        <f>HYPERLINK("https://hawk-eye.atlassian.net/browse/RTT-4296?atlOrigin=eyJpIjoiYzgwYTQ0ZjEyNzQzNGJhN2JmNjEyZTM0NmRhZWZhNjIiLCJwIjoic2hlZXRzLWppcmEifQ","RTT-4296")</f>
        <v>RTT-4296</v>
      </c>
      <c r="H2577" s="1" t="s">
        <v>1058</v>
      </c>
      <c r="I2577" s="1" t="s">
        <v>1071</v>
      </c>
      <c r="J2577" s="1" t="s">
        <v>26</v>
      </c>
      <c r="K2577" s="1" t="s">
        <v>1072</v>
      </c>
      <c r="L2577" s="1" t="s">
        <v>26</v>
      </c>
      <c r="M2577" s="1" t="s">
        <v>27</v>
      </c>
      <c r="N2577" s="1" t="s">
        <v>26</v>
      </c>
      <c r="O2577" s="1" t="s">
        <v>26</v>
      </c>
      <c r="P2577" s="4">
        <v>44676.50131944445</v>
      </c>
    </row>
    <row r="2578" hidden="1">
      <c r="A2578" s="1" t="s">
        <v>21</v>
      </c>
      <c r="B2578" s="3" t="str">
        <f>HYPERLINK("https://hawk-eye.atlassian.net/browse/HWKREPORT-938?atlOrigin=eyJpIjoiYzgwYTQ0ZjEyNzQzNGJhN2JmNjEyZTM0NmRhZWZhNjIiLCJwIjoic2hlZXRzLWppcmEifQ","HWKREPORT-938")</f>
        <v>HWKREPORT-938</v>
      </c>
      <c r="C2578" s="1" t="s">
        <v>3880</v>
      </c>
      <c r="D2578" s="1" t="s">
        <v>23</v>
      </c>
      <c r="E2578" s="1" t="s">
        <v>35</v>
      </c>
      <c r="F2578" s="4">
        <v>44432.926030092596</v>
      </c>
      <c r="G2578" s="3" t="str">
        <f>HYPERLINK("https://hawk-eye.atlassian.net/browse/BDP-393?atlOrigin=eyJpIjoiYzgwYTQ0ZjEyNzQzNGJhN2JmNjEyZTM0NmRhZWZhNjIiLCJwIjoic2hlZXRzLWppcmEifQ","BDP-393")</f>
        <v>BDP-393</v>
      </c>
      <c r="H2578" s="1" t="s">
        <v>1058</v>
      </c>
      <c r="I2578" s="1" t="s">
        <v>1071</v>
      </c>
      <c r="J2578" s="1" t="s">
        <v>26</v>
      </c>
      <c r="K2578" s="1" t="s">
        <v>3696</v>
      </c>
      <c r="L2578" s="1" t="s">
        <v>26</v>
      </c>
      <c r="M2578" s="1" t="s">
        <v>27</v>
      </c>
      <c r="N2578" s="1" t="s">
        <v>26</v>
      </c>
      <c r="O2578" s="1" t="s">
        <v>26</v>
      </c>
      <c r="P2578" s="4">
        <v>44670.05037037037</v>
      </c>
    </row>
    <row r="2579" hidden="1">
      <c r="A2579" s="1" t="s">
        <v>21</v>
      </c>
      <c r="B2579" s="3" t="str">
        <f>HYPERLINK("https://hawk-eye.atlassian.net/browse/HWKREPORT-939?atlOrigin=eyJpIjoiYzgwYTQ0ZjEyNzQzNGJhN2JmNjEyZTM0NmRhZWZhNjIiLCJwIjoic2hlZXRzLWppcmEifQ","HWKREPORT-939")</f>
        <v>HWKREPORT-939</v>
      </c>
      <c r="C2579" s="1" t="s">
        <v>3881</v>
      </c>
      <c r="D2579" s="1" t="s">
        <v>23</v>
      </c>
      <c r="E2579" s="1" t="s">
        <v>35</v>
      </c>
      <c r="F2579" s="4">
        <v>44433.53959490741</v>
      </c>
      <c r="G2579" s="3" t="str">
        <f>HYPERLINK("https://hawk-eye.atlassian.net/browse/GT-315?atlOrigin=eyJpIjoiYzgwYTQ0ZjEyNzQzNGJhN2JmNjEyZTM0NmRhZWZhNjIiLCJwIjoic2hlZXRzLWppcmEifQ","GT-315")</f>
        <v>GT-315</v>
      </c>
      <c r="H2579" s="1" t="s">
        <v>1058</v>
      </c>
      <c r="I2579" s="1" t="s">
        <v>1126</v>
      </c>
      <c r="J2579" s="1" t="s">
        <v>26</v>
      </c>
      <c r="K2579" s="1" t="s">
        <v>1211</v>
      </c>
      <c r="L2579" s="1" t="s">
        <v>26</v>
      </c>
      <c r="M2579" s="1" t="s">
        <v>27</v>
      </c>
      <c r="N2579" s="1" t="s">
        <v>26</v>
      </c>
      <c r="O2579" s="1" t="s">
        <v>26</v>
      </c>
      <c r="P2579" s="4">
        <v>44434.40190972222</v>
      </c>
    </row>
    <row r="2580" hidden="1">
      <c r="A2580" s="1" t="s">
        <v>1055</v>
      </c>
      <c r="B2580" s="3" t="str">
        <f>HYPERLINK("https://hawk-eye.atlassian.net/browse/HWKREPORT-940?atlOrigin=eyJpIjoiYzgwYTQ0ZjEyNzQzNGJhN2JmNjEyZTM0NmRhZWZhNjIiLCJwIjoic2hlZXRzLWppcmEifQ","HWKREPORT-940")</f>
        <v>HWKREPORT-940</v>
      </c>
      <c r="C2580" s="1" t="s">
        <v>3882</v>
      </c>
      <c r="D2580" s="1" t="s">
        <v>23</v>
      </c>
      <c r="E2580" s="1" t="s">
        <v>35</v>
      </c>
      <c r="F2580" s="4">
        <v>44433.725277777776</v>
      </c>
      <c r="G2580" s="3" t="str">
        <f t="shared" ref="G2580:G2581" si="176">HYPERLINK("https://hawk-eye.atlassian.net/browse/?atlOrigin=eyJpIjoiYzgwYTQ0ZjEyNzQzNGJhN2JmNjEyZTM0NmRhZWZhNjIiLCJwIjoic2hlZXRzLWppcmEifQ","")</f>
        <v/>
      </c>
      <c r="H2580" s="1" t="s">
        <v>1058</v>
      </c>
      <c r="I2580" s="1" t="s">
        <v>1082</v>
      </c>
      <c r="J2580" s="1" t="s">
        <v>26</v>
      </c>
      <c r="K2580" s="1" t="s">
        <v>3883</v>
      </c>
      <c r="L2580" s="1" t="s">
        <v>26</v>
      </c>
      <c r="M2580" s="1" t="s">
        <v>27</v>
      </c>
      <c r="N2580" s="1" t="s">
        <v>26</v>
      </c>
      <c r="O2580" s="1" t="s">
        <v>26</v>
      </c>
      <c r="P2580" s="4">
        <v>44608.77930555555</v>
      </c>
    </row>
    <row r="2581" hidden="1">
      <c r="A2581" s="1" t="s">
        <v>1055</v>
      </c>
      <c r="B2581" s="3" t="str">
        <f>HYPERLINK("https://hawk-eye.atlassian.net/browse/HWKREPORT-941?atlOrigin=eyJpIjoiYzgwYTQ0ZjEyNzQzNGJhN2JmNjEyZTM0NmRhZWZhNjIiLCJwIjoic2hlZXRzLWppcmEifQ","HWKREPORT-941")</f>
        <v>HWKREPORT-941</v>
      </c>
      <c r="C2581" s="1" t="s">
        <v>3884</v>
      </c>
      <c r="D2581" s="1" t="s">
        <v>23</v>
      </c>
      <c r="E2581" s="1" t="s">
        <v>1057</v>
      </c>
      <c r="F2581" s="4">
        <v>44433.99862268518</v>
      </c>
      <c r="G2581" s="3" t="str">
        <f t="shared" si="176"/>
        <v/>
      </c>
      <c r="H2581" s="1" t="s">
        <v>1058</v>
      </c>
      <c r="I2581" s="1" t="s">
        <v>1126</v>
      </c>
      <c r="J2581" s="1" t="s">
        <v>26</v>
      </c>
      <c r="K2581" s="1" t="s">
        <v>1211</v>
      </c>
      <c r="L2581" s="1" t="s">
        <v>26</v>
      </c>
      <c r="M2581" s="1" t="s">
        <v>27</v>
      </c>
      <c r="N2581" s="1" t="s">
        <v>26</v>
      </c>
      <c r="O2581" s="1" t="s">
        <v>26</v>
      </c>
      <c r="P2581" s="4">
        <v>44433.99862268518</v>
      </c>
    </row>
    <row r="2582" hidden="1">
      <c r="A2582" s="1" t="s">
        <v>21</v>
      </c>
      <c r="B2582" s="3" t="str">
        <f>HYPERLINK("https://hawk-eye.atlassian.net/browse/HWKREPORT-942?atlOrigin=eyJpIjoiYzgwYTQ0ZjEyNzQzNGJhN2JmNjEyZTM0NmRhZWZhNjIiLCJwIjoic2hlZXRzLWppcmEifQ","HWKREPORT-942")</f>
        <v>HWKREPORT-942</v>
      </c>
      <c r="C2582" s="1" t="s">
        <v>3885</v>
      </c>
      <c r="D2582" s="1" t="s">
        <v>23</v>
      </c>
      <c r="E2582" s="1" t="s">
        <v>35</v>
      </c>
      <c r="F2582" s="4">
        <v>44434.70756944444</v>
      </c>
      <c r="G2582" s="3" t="str">
        <f>HYPERLINK("https://hawk-eye.atlassian.net/browse/AL-14?atlOrigin=eyJpIjoiYzgwYTQ0ZjEyNzQzNGJhN2JmNjEyZTM0NmRhZWZhNjIiLCJwIjoic2hlZXRzLWppcmEifQ","AL-14")</f>
        <v>AL-14</v>
      </c>
      <c r="H2582" s="1" t="s">
        <v>1058</v>
      </c>
      <c r="I2582" s="1" t="s">
        <v>1071</v>
      </c>
      <c r="J2582" s="1" t="s">
        <v>26</v>
      </c>
      <c r="K2582" s="1" t="s">
        <v>3886</v>
      </c>
      <c r="L2582" s="1" t="s">
        <v>26</v>
      </c>
      <c r="M2582" s="1" t="s">
        <v>27</v>
      </c>
      <c r="N2582" s="1" t="s">
        <v>26</v>
      </c>
      <c r="O2582" s="1" t="s">
        <v>26</v>
      </c>
      <c r="P2582" s="4">
        <v>44677.448912037034</v>
      </c>
    </row>
    <row r="2583" hidden="1">
      <c r="A2583" s="1" t="s">
        <v>1055</v>
      </c>
      <c r="B2583" s="3" t="str">
        <f>HYPERLINK("https://hawk-eye.atlassian.net/browse/HWKREPORT-943?atlOrigin=eyJpIjoiYzgwYTQ0ZjEyNzQzNGJhN2JmNjEyZTM0NmRhZWZhNjIiLCJwIjoic2hlZXRzLWppcmEifQ","HWKREPORT-943")</f>
        <v>HWKREPORT-943</v>
      </c>
      <c r="C2583" s="1" t="s">
        <v>3887</v>
      </c>
      <c r="D2583" s="1" t="s">
        <v>23</v>
      </c>
      <c r="E2583" s="1" t="s">
        <v>35</v>
      </c>
      <c r="F2583" s="4">
        <v>44434.76258101852</v>
      </c>
      <c r="G2583" s="3" t="str">
        <f>HYPERLINK("https://hawk-eye.atlassian.net/browse/TDP-1394?atlOrigin=eyJpIjoiYzgwYTQ0ZjEyNzQzNGJhN2JmNjEyZTM0NmRhZWZhNjIiLCJwIjoic2hlZXRzLWppcmEifQ","TDP-1394")</f>
        <v>TDP-1394</v>
      </c>
      <c r="H2583" s="1" t="s">
        <v>1058</v>
      </c>
      <c r="I2583" s="1" t="s">
        <v>1126</v>
      </c>
      <c r="J2583" s="1" t="s">
        <v>26</v>
      </c>
      <c r="K2583" s="1" t="s">
        <v>1211</v>
      </c>
      <c r="L2583" s="1" t="s">
        <v>26</v>
      </c>
      <c r="M2583" s="1" t="s">
        <v>27</v>
      </c>
      <c r="N2583" s="1" t="s">
        <v>26</v>
      </c>
      <c r="O2583" s="1" t="s">
        <v>26</v>
      </c>
      <c r="P2583" s="4">
        <v>45559.72540509259</v>
      </c>
    </row>
    <row r="2584" hidden="1">
      <c r="A2584" s="1" t="s">
        <v>1055</v>
      </c>
      <c r="B2584" s="3" t="str">
        <f>HYPERLINK("https://hawk-eye.atlassian.net/browse/HWKREPORT-944?atlOrigin=eyJpIjoiYzgwYTQ0ZjEyNzQzNGJhN2JmNjEyZTM0NmRhZWZhNjIiLCJwIjoic2hlZXRzLWppcmEifQ","HWKREPORT-944")</f>
        <v>HWKREPORT-944</v>
      </c>
      <c r="C2584" s="1" t="s">
        <v>3888</v>
      </c>
      <c r="D2584" s="1" t="s">
        <v>23</v>
      </c>
      <c r="E2584" s="1" t="s">
        <v>35</v>
      </c>
      <c r="F2584" s="4">
        <v>44435.496087962965</v>
      </c>
      <c r="G2584" s="3" t="str">
        <f>HYPERLINK("https://hawk-eye.atlassian.net/browse/VIEWER-1823?atlOrigin=eyJpIjoiYzgwYTQ0ZjEyNzQzNGJhN2JmNjEyZTM0NmRhZWZhNjIiLCJwIjoic2hlZXRzLWppcmEifQ","VIEWER-1823")</f>
        <v>VIEWER-1823</v>
      </c>
      <c r="H2584" s="1" t="s">
        <v>1058</v>
      </c>
      <c r="I2584" s="1" t="s">
        <v>3765</v>
      </c>
      <c r="J2584" s="1" t="s">
        <v>26</v>
      </c>
      <c r="K2584" s="1" t="s">
        <v>1116</v>
      </c>
      <c r="L2584" s="1" t="s">
        <v>26</v>
      </c>
      <c r="M2584" s="1" t="s">
        <v>27</v>
      </c>
      <c r="N2584" s="1" t="s">
        <v>26</v>
      </c>
      <c r="O2584" s="1" t="s">
        <v>26</v>
      </c>
      <c r="P2584" s="4">
        <v>44845.75134259259</v>
      </c>
    </row>
    <row r="2585" hidden="1">
      <c r="A2585" s="1" t="s">
        <v>21</v>
      </c>
      <c r="B2585" s="3" t="str">
        <f>HYPERLINK("https://hawk-eye.atlassian.net/browse/HWKREPORT-945?atlOrigin=eyJpIjoiYzgwYTQ0ZjEyNzQzNGJhN2JmNjEyZTM0NmRhZWZhNjIiLCJwIjoic2hlZXRzLWppcmEifQ","HWKREPORT-945")</f>
        <v>HWKREPORT-945</v>
      </c>
      <c r="C2585" s="1" t="s">
        <v>3889</v>
      </c>
      <c r="D2585" s="1" t="s">
        <v>34</v>
      </c>
      <c r="E2585" s="1" t="s">
        <v>35</v>
      </c>
      <c r="F2585" s="4">
        <v>44441.47487268518</v>
      </c>
      <c r="G2585" s="3" t="str">
        <f>HYPERLINK("https://hawk-eye.atlassian.net/browse/RTT-4292?atlOrigin=eyJpIjoiYzgwYTQ0ZjEyNzQzNGJhN2JmNjEyZTM0NmRhZWZhNjIiLCJwIjoic2hlZXRzLWppcmEifQ","RTT-4292")</f>
        <v>RTT-4292</v>
      </c>
      <c r="H2585" s="1" t="s">
        <v>1058</v>
      </c>
      <c r="I2585" s="1" t="s">
        <v>1085</v>
      </c>
      <c r="J2585" s="1" t="s">
        <v>26</v>
      </c>
      <c r="K2585" s="1" t="s">
        <v>1804</v>
      </c>
      <c r="L2585" s="1" t="s">
        <v>26</v>
      </c>
      <c r="M2585" s="1" t="s">
        <v>27</v>
      </c>
      <c r="N2585" s="1" t="s">
        <v>26</v>
      </c>
      <c r="O2585" s="1" t="s">
        <v>26</v>
      </c>
      <c r="P2585" s="4">
        <v>44509.65454861111</v>
      </c>
    </row>
    <row r="2586" hidden="1">
      <c r="A2586" s="1" t="s">
        <v>1055</v>
      </c>
      <c r="B2586" s="3" t="str">
        <f>HYPERLINK("https://hawk-eye.atlassian.net/browse/HWKREPORT-946?atlOrigin=eyJpIjoiYzgwYTQ0ZjEyNzQzNGJhN2JmNjEyZTM0NmRhZWZhNjIiLCJwIjoic2hlZXRzLWppcmEifQ","HWKREPORT-946")</f>
        <v>HWKREPORT-946</v>
      </c>
      <c r="C2586" s="1" t="s">
        <v>3890</v>
      </c>
      <c r="D2586" s="1" t="s">
        <v>23</v>
      </c>
      <c r="E2586" s="1" t="s">
        <v>35</v>
      </c>
      <c r="F2586" s="4">
        <v>44442.41979166667</v>
      </c>
      <c r="G2586" s="3" t="str">
        <f>HYPERLINK("https://hawk-eye.atlassian.net/browse/?atlOrigin=eyJpIjoiYzgwYTQ0ZjEyNzQzNGJhN2JmNjEyZTM0NmRhZWZhNjIiLCJwIjoic2hlZXRzLWppcmEifQ","")</f>
        <v/>
      </c>
      <c r="H2586" s="1" t="s">
        <v>1058</v>
      </c>
      <c r="I2586" s="1" t="s">
        <v>1085</v>
      </c>
      <c r="J2586" s="1" t="s">
        <v>26</v>
      </c>
      <c r="K2586" s="1" t="s">
        <v>1804</v>
      </c>
      <c r="L2586" s="1" t="s">
        <v>26</v>
      </c>
      <c r="M2586" s="1" t="s">
        <v>27</v>
      </c>
      <c r="N2586" s="1" t="s">
        <v>26</v>
      </c>
      <c r="O2586" s="1" t="s">
        <v>26</v>
      </c>
      <c r="P2586" s="4">
        <v>44704.59443287037</v>
      </c>
    </row>
    <row r="2587" hidden="1">
      <c r="A2587" s="1" t="s">
        <v>21</v>
      </c>
      <c r="B2587" s="3" t="str">
        <f>HYPERLINK("https://hawk-eye.atlassian.net/browse/HWKREPORT-947?atlOrigin=eyJpIjoiYzgwYTQ0ZjEyNzQzNGJhN2JmNjEyZTM0NmRhZWZhNjIiLCJwIjoic2hlZXRzLWppcmEifQ","HWKREPORT-947")</f>
        <v>HWKREPORT-947</v>
      </c>
      <c r="C2587" s="1" t="s">
        <v>3891</v>
      </c>
      <c r="D2587" s="1" t="s">
        <v>40</v>
      </c>
      <c r="E2587" s="1" t="s">
        <v>35</v>
      </c>
      <c r="F2587" s="4">
        <v>44442.478425925925</v>
      </c>
      <c r="G2587" s="3" t="str">
        <f>HYPERLINK("https://hawk-eye.atlassian.net/browse/AL-46?atlOrigin=eyJpIjoiYzgwYTQ0ZjEyNzQzNGJhN2JmNjEyZTM0NmRhZWZhNjIiLCJwIjoic2hlZXRzLWppcmEifQ","AL-46")</f>
        <v>AL-46</v>
      </c>
      <c r="H2587" s="1" t="s">
        <v>1058</v>
      </c>
      <c r="I2587" s="1" t="s">
        <v>1085</v>
      </c>
      <c r="J2587" s="1" t="s">
        <v>26</v>
      </c>
      <c r="K2587" s="1" t="s">
        <v>1072</v>
      </c>
      <c r="L2587" s="1" t="s">
        <v>26</v>
      </c>
      <c r="M2587" s="1" t="s">
        <v>27</v>
      </c>
      <c r="N2587" s="1" t="s">
        <v>26</v>
      </c>
      <c r="O2587" s="1" t="s">
        <v>26</v>
      </c>
      <c r="P2587" s="4">
        <v>44600.874756944446</v>
      </c>
    </row>
    <row r="2588" hidden="1">
      <c r="A2588" s="1" t="s">
        <v>21</v>
      </c>
      <c r="B2588" s="3" t="str">
        <f>HYPERLINK("https://hawk-eye.atlassian.net/browse/HWKREPORT-948?atlOrigin=eyJpIjoiYzgwYTQ0ZjEyNzQzNGJhN2JmNjEyZTM0NmRhZWZhNjIiLCJwIjoic2hlZXRzLWppcmEifQ","HWKREPORT-948")</f>
        <v>HWKREPORT-948</v>
      </c>
      <c r="C2588" s="1" t="s">
        <v>3892</v>
      </c>
      <c r="D2588" s="1" t="s">
        <v>23</v>
      </c>
      <c r="E2588" s="1" t="s">
        <v>35</v>
      </c>
      <c r="F2588" s="4">
        <v>44442.48923611111</v>
      </c>
      <c r="G2588" s="3" t="str">
        <f>HYPERLINK("https://hawk-eye.atlassian.net/browse/AL-33?atlOrigin=eyJpIjoiYzgwYTQ0ZjEyNzQzNGJhN2JmNjEyZTM0NmRhZWZhNjIiLCJwIjoic2hlZXRzLWppcmEifQ","AL-33")</f>
        <v>AL-33</v>
      </c>
      <c r="H2588" s="1" t="s">
        <v>1058</v>
      </c>
      <c r="I2588" s="1" t="s">
        <v>1085</v>
      </c>
      <c r="J2588" s="1" t="s">
        <v>26</v>
      </c>
      <c r="K2588" s="1" t="s">
        <v>1072</v>
      </c>
      <c r="L2588" s="1" t="s">
        <v>26</v>
      </c>
      <c r="M2588" s="1" t="s">
        <v>27</v>
      </c>
      <c r="N2588" s="1" t="s">
        <v>26</v>
      </c>
      <c r="O2588" s="1" t="s">
        <v>26</v>
      </c>
      <c r="P2588" s="4">
        <v>44582.43902777778</v>
      </c>
    </row>
    <row r="2589" hidden="1">
      <c r="A2589" s="1" t="s">
        <v>21</v>
      </c>
      <c r="B2589" s="3" t="str">
        <f>HYPERLINK("https://hawk-eye.atlassian.net/browse/HWKREPORT-949?atlOrigin=eyJpIjoiYzgwYTQ0ZjEyNzQzNGJhN2JmNjEyZTM0NmRhZWZhNjIiLCJwIjoic2hlZXRzLWppcmEifQ","HWKREPORT-949")</f>
        <v>HWKREPORT-949</v>
      </c>
      <c r="C2589" s="1" t="s">
        <v>3893</v>
      </c>
      <c r="D2589" s="1" t="s">
        <v>23</v>
      </c>
      <c r="E2589" s="1" t="s">
        <v>35</v>
      </c>
      <c r="F2589" s="4">
        <v>44442.49085648148</v>
      </c>
      <c r="G2589" s="3" t="str">
        <f>HYPERLINK("https://hawk-eye.atlassian.net/browse/RTT-4314?atlOrigin=eyJpIjoiYzgwYTQ0ZjEyNzQzNGJhN2JmNjEyZTM0NmRhZWZhNjIiLCJwIjoic2hlZXRzLWppcmEifQ","RTT-4314")</f>
        <v>RTT-4314</v>
      </c>
      <c r="H2589" s="1" t="s">
        <v>1058</v>
      </c>
      <c r="I2589" s="1" t="s">
        <v>1085</v>
      </c>
      <c r="J2589" s="1" t="s">
        <v>26</v>
      </c>
      <c r="K2589" s="1" t="s">
        <v>2197</v>
      </c>
      <c r="L2589" s="1" t="s">
        <v>26</v>
      </c>
      <c r="M2589" s="1" t="s">
        <v>27</v>
      </c>
      <c r="N2589" s="1" t="s">
        <v>26</v>
      </c>
      <c r="O2589" s="1" t="s">
        <v>26</v>
      </c>
      <c r="P2589" s="4">
        <v>44634.45599537037</v>
      </c>
    </row>
    <row r="2590" hidden="1">
      <c r="A2590" s="1" t="s">
        <v>21</v>
      </c>
      <c r="B2590" s="3" t="str">
        <f>HYPERLINK("https://hawk-eye.atlassian.net/browse/HWKREPORT-950?atlOrigin=eyJpIjoiYzgwYTQ0ZjEyNzQzNGJhN2JmNjEyZTM0NmRhZWZhNjIiLCJwIjoic2hlZXRzLWppcmEifQ","HWKREPORT-950")</f>
        <v>HWKREPORT-950</v>
      </c>
      <c r="C2590" s="1" t="s">
        <v>3894</v>
      </c>
      <c r="D2590" s="1" t="s">
        <v>23</v>
      </c>
      <c r="E2590" s="1" t="s">
        <v>1057</v>
      </c>
      <c r="F2590" s="4">
        <v>44442.49335648148</v>
      </c>
      <c r="G2590" s="3" t="str">
        <f>HYPERLINK("https://hawk-eye.atlassian.net/browse/RTT-7286?atlOrigin=eyJpIjoiYzgwYTQ0ZjEyNzQzNGJhN2JmNjEyZTM0NmRhZWZhNjIiLCJwIjoic2hlZXRzLWppcmEifQ","RTT-7286")</f>
        <v>RTT-7286</v>
      </c>
      <c r="H2590" s="1" t="s">
        <v>1058</v>
      </c>
      <c r="I2590" s="1" t="s">
        <v>1085</v>
      </c>
      <c r="J2590" s="1" t="s">
        <v>26</v>
      </c>
      <c r="K2590" s="1" t="s">
        <v>1072</v>
      </c>
      <c r="L2590" s="1" t="s">
        <v>26</v>
      </c>
      <c r="M2590" s="1" t="s">
        <v>27</v>
      </c>
      <c r="N2590" s="1" t="s">
        <v>26</v>
      </c>
      <c r="O2590" s="1" t="s">
        <v>26</v>
      </c>
      <c r="P2590" s="4">
        <v>44442.493368055555</v>
      </c>
    </row>
    <row r="2591" hidden="1">
      <c r="A2591" s="1" t="s">
        <v>21</v>
      </c>
      <c r="B2591" s="3" t="str">
        <f>HYPERLINK("https://hawk-eye.atlassian.net/browse/HWKREPORT-951?atlOrigin=eyJpIjoiYzgwYTQ0ZjEyNzQzNGJhN2JmNjEyZTM0NmRhZWZhNjIiLCJwIjoic2hlZXRzLWppcmEifQ","HWKREPORT-951")</f>
        <v>HWKREPORT-951</v>
      </c>
      <c r="C2591" s="1" t="s">
        <v>3895</v>
      </c>
      <c r="D2591" s="1" t="s">
        <v>34</v>
      </c>
      <c r="E2591" s="1" t="s">
        <v>35</v>
      </c>
      <c r="F2591" s="4">
        <v>44442.4978125</v>
      </c>
      <c r="G2591" s="3" t="str">
        <f>HYPERLINK("https://hawk-eye.atlassian.net/browse/AL-57?atlOrigin=eyJpIjoiYzgwYTQ0ZjEyNzQzNGJhN2JmNjEyZTM0NmRhZWZhNjIiLCJwIjoic2hlZXRzLWppcmEifQ","AL-57")</f>
        <v>AL-57</v>
      </c>
      <c r="H2591" s="1" t="s">
        <v>1058</v>
      </c>
      <c r="I2591" s="1" t="s">
        <v>1085</v>
      </c>
      <c r="J2591" s="1" t="s">
        <v>26</v>
      </c>
      <c r="K2591" s="1" t="s">
        <v>1219</v>
      </c>
      <c r="L2591" s="1" t="s">
        <v>26</v>
      </c>
      <c r="M2591" s="1" t="s">
        <v>27</v>
      </c>
      <c r="N2591" s="1" t="s">
        <v>26</v>
      </c>
      <c r="O2591" s="1" t="s">
        <v>26</v>
      </c>
      <c r="P2591" s="4">
        <v>44600.87474537037</v>
      </c>
    </row>
    <row r="2592" hidden="1">
      <c r="A2592" s="1" t="s">
        <v>21</v>
      </c>
      <c r="B2592" s="3" t="str">
        <f>HYPERLINK("https://hawk-eye.atlassian.net/browse/HWKREPORT-952?atlOrigin=eyJpIjoiYzgwYTQ0ZjEyNzQzNGJhN2JmNjEyZTM0NmRhZWZhNjIiLCJwIjoic2hlZXRzLWppcmEifQ","HWKREPORT-952")</f>
        <v>HWKREPORT-952</v>
      </c>
      <c r="C2592" s="1" t="s">
        <v>3896</v>
      </c>
      <c r="D2592" s="1" t="s">
        <v>34</v>
      </c>
      <c r="E2592" s="1" t="s">
        <v>35</v>
      </c>
      <c r="F2592" s="4">
        <v>44442.4997337963</v>
      </c>
      <c r="G2592" s="3" t="str">
        <f>HYPERLINK("https://hawk-eye.atlassian.net/browse/RTT-4312?atlOrigin=eyJpIjoiYzgwYTQ0ZjEyNzQzNGJhN2JmNjEyZTM0NmRhZWZhNjIiLCJwIjoic2hlZXRzLWppcmEifQ","RTT-4312")</f>
        <v>RTT-4312</v>
      </c>
      <c r="H2592" s="1" t="s">
        <v>1058</v>
      </c>
      <c r="I2592" s="1" t="s">
        <v>1085</v>
      </c>
      <c r="J2592" s="1" t="s">
        <v>26</v>
      </c>
      <c r="K2592" s="1" t="s">
        <v>1219</v>
      </c>
      <c r="L2592" s="1" t="s">
        <v>26</v>
      </c>
      <c r="M2592" s="1" t="s">
        <v>27</v>
      </c>
      <c r="N2592" s="1" t="s">
        <v>26</v>
      </c>
      <c r="O2592" s="1" t="s">
        <v>26</v>
      </c>
      <c r="P2592" s="4">
        <v>44600.8747337963</v>
      </c>
    </row>
    <row r="2593" hidden="1">
      <c r="A2593" s="1" t="s">
        <v>1055</v>
      </c>
      <c r="B2593" s="3" t="str">
        <f>HYPERLINK("https://hawk-eye.atlassian.net/browse/HWKREPORT-953?atlOrigin=eyJpIjoiYzgwYTQ0ZjEyNzQzNGJhN2JmNjEyZTM0NmRhZWZhNjIiLCJwIjoic2hlZXRzLWppcmEifQ","HWKREPORT-953")</f>
        <v>HWKREPORT-953</v>
      </c>
      <c r="C2593" s="1" t="s">
        <v>3897</v>
      </c>
      <c r="D2593" s="1" t="s">
        <v>23</v>
      </c>
      <c r="E2593" s="1" t="s">
        <v>35</v>
      </c>
      <c r="F2593" s="4">
        <v>44446.52394675926</v>
      </c>
      <c r="G2593" s="3" t="str">
        <f>HYPERLINK("https://hawk-eye.atlassian.net/browse/RTT-4321?atlOrigin=eyJpIjoiYzgwYTQ0ZjEyNzQzNGJhN2JmNjEyZTM0NmRhZWZhNjIiLCJwIjoic2hlZXRzLWppcmEifQ","RTT-4321")</f>
        <v>RTT-4321</v>
      </c>
      <c r="H2593" s="1" t="s">
        <v>1058</v>
      </c>
      <c r="I2593" s="1" t="s">
        <v>1082</v>
      </c>
      <c r="J2593" s="1" t="s">
        <v>26</v>
      </c>
      <c r="K2593" s="1" t="s">
        <v>1173</v>
      </c>
      <c r="L2593" s="1" t="s">
        <v>26</v>
      </c>
      <c r="M2593" s="1" t="s">
        <v>27</v>
      </c>
      <c r="N2593" s="1" t="s">
        <v>26</v>
      </c>
      <c r="O2593" s="1" t="s">
        <v>26</v>
      </c>
      <c r="P2593" s="4">
        <v>44600.875185185185</v>
      </c>
    </row>
    <row r="2594" hidden="1">
      <c r="A2594" s="1" t="s">
        <v>21</v>
      </c>
      <c r="B2594" s="3" t="str">
        <f>HYPERLINK("https://hawk-eye.atlassian.net/browse/HWKREPORT-954?atlOrigin=eyJpIjoiYzgwYTQ0ZjEyNzQzNGJhN2JmNjEyZTM0NmRhZWZhNjIiLCJwIjoic2hlZXRzLWppcmEifQ","HWKREPORT-954")</f>
        <v>HWKREPORT-954</v>
      </c>
      <c r="C2594" s="1" t="s">
        <v>3898</v>
      </c>
      <c r="D2594" s="1" t="s">
        <v>34</v>
      </c>
      <c r="E2594" s="1" t="s">
        <v>35</v>
      </c>
      <c r="F2594" s="4">
        <v>44447.369618055556</v>
      </c>
      <c r="G2594" s="3" t="str">
        <f>HYPERLINK("https://hawk-eye.atlassian.net/browse/BT-11?atlOrigin=eyJpIjoiYzgwYTQ0ZjEyNzQzNGJhN2JmNjEyZTM0NmRhZWZhNjIiLCJwIjoic2hlZXRzLWppcmEifQ","BT-11")</f>
        <v>BT-11</v>
      </c>
      <c r="H2594" s="1" t="s">
        <v>1058</v>
      </c>
      <c r="I2594" s="1" t="s">
        <v>1085</v>
      </c>
      <c r="J2594" s="1" t="s">
        <v>26</v>
      </c>
      <c r="K2594" s="1" t="s">
        <v>1116</v>
      </c>
      <c r="L2594" s="1" t="s">
        <v>26</v>
      </c>
      <c r="M2594" s="1" t="s">
        <v>27</v>
      </c>
      <c r="N2594" s="1" t="s">
        <v>26</v>
      </c>
      <c r="O2594" s="1" t="s">
        <v>26</v>
      </c>
      <c r="P2594" s="4">
        <v>44460.61145833333</v>
      </c>
    </row>
    <row r="2595" hidden="1">
      <c r="A2595" s="1" t="s">
        <v>21</v>
      </c>
      <c r="B2595" s="3" t="str">
        <f>HYPERLINK("https://hawk-eye.atlassian.net/browse/HWKREPORT-955?atlOrigin=eyJpIjoiYzgwYTQ0ZjEyNzQzNGJhN2JmNjEyZTM0NmRhZWZhNjIiLCJwIjoic2hlZXRzLWppcmEifQ","HWKREPORT-955")</f>
        <v>HWKREPORT-955</v>
      </c>
      <c r="C2595" s="1" t="s">
        <v>3899</v>
      </c>
      <c r="D2595" s="1" t="s">
        <v>40</v>
      </c>
      <c r="E2595" s="1" t="s">
        <v>35</v>
      </c>
      <c r="F2595" s="4">
        <v>44447.37650462963</v>
      </c>
      <c r="G2595" s="3" t="str">
        <f>HYPERLINK("https://hawk-eye.atlassian.net/browse/VIEWER-1715?atlOrigin=eyJpIjoiYzgwYTQ0ZjEyNzQzNGJhN2JmNjEyZTM0NmRhZWZhNjIiLCJwIjoic2hlZXRzLWppcmEifQ","VIEWER-1715")</f>
        <v>VIEWER-1715</v>
      </c>
      <c r="H2595" s="1" t="s">
        <v>1058</v>
      </c>
      <c r="I2595" s="1" t="s">
        <v>1085</v>
      </c>
      <c r="J2595" s="1" t="s">
        <v>26</v>
      </c>
      <c r="K2595" s="1" t="s">
        <v>1385</v>
      </c>
      <c r="L2595" s="1" t="s">
        <v>26</v>
      </c>
      <c r="M2595" s="1" t="s">
        <v>27</v>
      </c>
      <c r="N2595" s="1" t="s">
        <v>26</v>
      </c>
      <c r="O2595" s="1" t="s">
        <v>26</v>
      </c>
      <c r="P2595" s="4">
        <v>44588.767164351855</v>
      </c>
    </row>
    <row r="2596" hidden="1">
      <c r="A2596" s="1" t="s">
        <v>21</v>
      </c>
      <c r="B2596" s="3" t="str">
        <f>HYPERLINK("https://hawk-eye.atlassian.net/browse/HWKREPORT-956?atlOrigin=eyJpIjoiYzgwYTQ0ZjEyNzQzNGJhN2JmNjEyZTM0NmRhZWZhNjIiLCJwIjoic2hlZXRzLWppcmEifQ","HWKREPORT-956")</f>
        <v>HWKREPORT-956</v>
      </c>
      <c r="C2596" s="1" t="s">
        <v>3900</v>
      </c>
      <c r="D2596" s="1" t="s">
        <v>23</v>
      </c>
      <c r="E2596" s="1" t="s">
        <v>35</v>
      </c>
      <c r="F2596" s="4">
        <v>44448.54945601852</v>
      </c>
      <c r="G2596" s="3" t="str">
        <f>HYPERLINK("https://hawk-eye.atlassian.net/browse/AL-248?atlOrigin=eyJpIjoiYzgwYTQ0ZjEyNzQzNGJhN2JmNjEyZTM0NmRhZWZhNjIiLCJwIjoic2hlZXRzLWppcmEifQ","AL-248")</f>
        <v>AL-248</v>
      </c>
      <c r="H2596" s="1" t="s">
        <v>1058</v>
      </c>
      <c r="I2596" s="1" t="s">
        <v>1082</v>
      </c>
      <c r="J2596" s="1" t="s">
        <v>26</v>
      </c>
      <c r="K2596" s="1" t="s">
        <v>2302</v>
      </c>
      <c r="L2596" s="1" t="s">
        <v>26</v>
      </c>
      <c r="M2596" s="1" t="s">
        <v>27</v>
      </c>
      <c r="N2596" s="1" t="s">
        <v>26</v>
      </c>
      <c r="O2596" s="1" t="s">
        <v>26</v>
      </c>
      <c r="P2596" s="4">
        <v>44747.96258101852</v>
      </c>
    </row>
    <row r="2597" hidden="1">
      <c r="A2597" s="1" t="s">
        <v>21</v>
      </c>
      <c r="B2597" s="3" t="str">
        <f>HYPERLINK("https://hawk-eye.atlassian.net/browse/HWKREPORT-957?atlOrigin=eyJpIjoiYzgwYTQ0ZjEyNzQzNGJhN2JmNjEyZTM0NmRhZWZhNjIiLCJwIjoic2hlZXRzLWppcmEifQ","HWKREPORT-957")</f>
        <v>HWKREPORT-957</v>
      </c>
      <c r="C2597" s="1" t="s">
        <v>3901</v>
      </c>
      <c r="D2597" s="1" t="s">
        <v>23</v>
      </c>
      <c r="E2597" s="1" t="s">
        <v>1207</v>
      </c>
      <c r="F2597" s="4">
        <v>44454.797997685186</v>
      </c>
      <c r="G2597" s="3" t="str">
        <f>HYPERLINK("https://hawk-eye.atlassian.net/browse/RTT-4572?atlOrigin=eyJpIjoiYzgwYTQ0ZjEyNzQzNGJhN2JmNjEyZTM0NmRhZWZhNjIiLCJwIjoic2hlZXRzLWppcmEifQ","RTT-4572")</f>
        <v>RTT-4572</v>
      </c>
      <c r="H2597" s="1" t="s">
        <v>1058</v>
      </c>
      <c r="I2597" s="1" t="s">
        <v>1071</v>
      </c>
      <c r="J2597" s="1" t="s">
        <v>26</v>
      </c>
      <c r="K2597" s="1" t="s">
        <v>1072</v>
      </c>
      <c r="L2597" s="1" t="s">
        <v>26</v>
      </c>
      <c r="M2597" s="1" t="s">
        <v>27</v>
      </c>
      <c r="N2597" s="1" t="s">
        <v>26</v>
      </c>
      <c r="O2597" s="1" t="s">
        <v>26</v>
      </c>
      <c r="P2597" s="4">
        <v>44929.4184837963</v>
      </c>
    </row>
    <row r="2598" hidden="1">
      <c r="A2598" s="1" t="s">
        <v>21</v>
      </c>
      <c r="B2598" s="3" t="str">
        <f>HYPERLINK("https://hawk-eye.atlassian.net/browse/HWKREPORT-958?atlOrigin=eyJpIjoiYzgwYTQ0ZjEyNzQzNGJhN2JmNjEyZTM0NmRhZWZhNjIiLCJwIjoic2hlZXRzLWppcmEifQ","HWKREPORT-958")</f>
        <v>HWKREPORT-958</v>
      </c>
      <c r="C2598" s="1" t="s">
        <v>3902</v>
      </c>
      <c r="D2598" s="1" t="s">
        <v>83</v>
      </c>
      <c r="E2598" s="1" t="s">
        <v>35</v>
      </c>
      <c r="F2598" s="4">
        <v>44456.821851851855</v>
      </c>
      <c r="G2598" s="3" t="str">
        <f>HYPERLINK("https://hawk-eye.atlassian.net/browse/?atlOrigin=eyJpIjoiYzgwYTQ0ZjEyNzQzNGJhN2JmNjEyZTM0NmRhZWZhNjIiLCJwIjoic2hlZXRzLWppcmEifQ","")</f>
        <v/>
      </c>
      <c r="H2598" s="1" t="s">
        <v>1058</v>
      </c>
      <c r="I2598" s="1" t="s">
        <v>1071</v>
      </c>
      <c r="J2598" s="1" t="s">
        <v>26</v>
      </c>
      <c r="K2598" s="1" t="s">
        <v>1134</v>
      </c>
      <c r="L2598" s="1" t="s">
        <v>26</v>
      </c>
      <c r="M2598" s="1" t="s">
        <v>27</v>
      </c>
      <c r="N2598" s="1" t="s">
        <v>26</v>
      </c>
      <c r="O2598" s="1" t="s">
        <v>26</v>
      </c>
      <c r="P2598" s="4">
        <v>45329.36924768519</v>
      </c>
    </row>
    <row r="2599" hidden="1">
      <c r="A2599" s="1" t="s">
        <v>21</v>
      </c>
      <c r="B2599" s="3" t="str">
        <f>HYPERLINK("https://hawk-eye.atlassian.net/browse/HWKREPORT-959?atlOrigin=eyJpIjoiYzgwYTQ0ZjEyNzQzNGJhN2JmNjEyZTM0NmRhZWZhNjIiLCJwIjoic2hlZXRzLWppcmEifQ","HWKREPORT-959")</f>
        <v>HWKREPORT-959</v>
      </c>
      <c r="C2599" s="1" t="s">
        <v>3903</v>
      </c>
      <c r="D2599" s="1" t="s">
        <v>40</v>
      </c>
      <c r="E2599" s="1" t="s">
        <v>35</v>
      </c>
      <c r="F2599" s="4">
        <v>44458.59575231482</v>
      </c>
      <c r="G2599" s="3" t="str">
        <f>HYPERLINK("https://hawk-eye.atlassian.net/browse/VIEWER-1658?atlOrigin=eyJpIjoiYzgwYTQ0ZjEyNzQzNGJhN2JmNjEyZTM0NmRhZWZhNjIiLCJwIjoic2hlZXRzLWppcmEifQ","VIEWER-1658")</f>
        <v>VIEWER-1658</v>
      </c>
      <c r="H2599" s="1" t="s">
        <v>1058</v>
      </c>
      <c r="I2599" s="1" t="s">
        <v>1085</v>
      </c>
      <c r="J2599" s="1" t="s">
        <v>26</v>
      </c>
      <c r="K2599" s="1" t="s">
        <v>1116</v>
      </c>
      <c r="L2599" s="1" t="s">
        <v>26</v>
      </c>
      <c r="M2599" s="1" t="s">
        <v>27</v>
      </c>
      <c r="N2599" s="1" t="s">
        <v>26</v>
      </c>
      <c r="O2599" s="1" t="s">
        <v>26</v>
      </c>
      <c r="P2599" s="4">
        <v>44600.874560185184</v>
      </c>
    </row>
    <row r="2600" hidden="1">
      <c r="A2600" s="1" t="s">
        <v>21</v>
      </c>
      <c r="B2600" s="3" t="str">
        <f>HYPERLINK("https://hawk-eye.atlassian.net/browse/HWKREPORT-960?atlOrigin=eyJpIjoiYzgwYTQ0ZjEyNzQzNGJhN2JmNjEyZTM0NmRhZWZhNjIiLCJwIjoic2hlZXRzLWppcmEifQ","HWKREPORT-960")</f>
        <v>HWKREPORT-960</v>
      </c>
      <c r="C2600" s="1" t="s">
        <v>3904</v>
      </c>
      <c r="D2600" s="1" t="s">
        <v>83</v>
      </c>
      <c r="E2600" s="1" t="s">
        <v>1057</v>
      </c>
      <c r="F2600" s="4">
        <v>44460.544907407406</v>
      </c>
      <c r="G2600" s="3" t="str">
        <f>HYPERLINK("https://hawk-eye.atlassian.net/browse/SO-585?atlOrigin=eyJpIjoiYzgwYTQ0ZjEyNzQzNGJhN2JmNjEyZTM0NmRhZWZhNjIiLCJwIjoic2hlZXRzLWppcmEifQ","SO-585")</f>
        <v>SO-585</v>
      </c>
      <c r="H2600" s="1" t="s">
        <v>1058</v>
      </c>
      <c r="I2600" s="1" t="s">
        <v>1082</v>
      </c>
      <c r="J2600" s="1" t="s">
        <v>26</v>
      </c>
      <c r="K2600" s="1" t="s">
        <v>2302</v>
      </c>
      <c r="L2600" s="1" t="s">
        <v>26</v>
      </c>
      <c r="M2600" s="1" t="s">
        <v>27</v>
      </c>
      <c r="N2600" s="1" t="s">
        <v>26</v>
      </c>
      <c r="O2600" s="1" t="s">
        <v>26</v>
      </c>
      <c r="P2600" s="4">
        <v>44460.54491898148</v>
      </c>
    </row>
    <row r="2601" hidden="1">
      <c r="A2601" s="1" t="s">
        <v>21</v>
      </c>
      <c r="B2601" s="3" t="str">
        <f>HYPERLINK("https://hawk-eye.atlassian.net/browse/HWKREPORT-961?atlOrigin=eyJpIjoiYzgwYTQ0ZjEyNzQzNGJhN2JmNjEyZTM0NmRhZWZhNjIiLCJwIjoic2hlZXRzLWppcmEifQ","HWKREPORT-961")</f>
        <v>HWKREPORT-961</v>
      </c>
      <c r="C2601" s="1" t="s">
        <v>3905</v>
      </c>
      <c r="D2601" s="1" t="s">
        <v>23</v>
      </c>
      <c r="E2601" s="1" t="s">
        <v>1057</v>
      </c>
      <c r="F2601" s="4">
        <v>44460.638032407405</v>
      </c>
      <c r="G2601" s="3" t="str">
        <f>HYPERLINK("https://hawk-eye.atlassian.net/browse/AL-247?atlOrigin=eyJpIjoiYzgwYTQ0ZjEyNzQzNGJhN2JmNjEyZTM0NmRhZWZhNjIiLCJwIjoic2hlZXRzLWppcmEifQ","AL-247")</f>
        <v>AL-247</v>
      </c>
      <c r="H2601" s="1" t="s">
        <v>1058</v>
      </c>
      <c r="I2601" s="1" t="s">
        <v>1082</v>
      </c>
      <c r="J2601" s="1" t="s">
        <v>26</v>
      </c>
      <c r="K2601" s="1" t="s">
        <v>2302</v>
      </c>
      <c r="L2601" s="1" t="s">
        <v>26</v>
      </c>
      <c r="M2601" s="1" t="s">
        <v>27</v>
      </c>
      <c r="N2601" s="1" t="s">
        <v>26</v>
      </c>
      <c r="O2601" s="1" t="s">
        <v>26</v>
      </c>
      <c r="P2601" s="4">
        <v>44460.638032407405</v>
      </c>
    </row>
    <row r="2602" hidden="1">
      <c r="A2602" s="1" t="s">
        <v>21</v>
      </c>
      <c r="B2602" s="3" t="str">
        <f>HYPERLINK("https://hawk-eye.atlassian.net/browse/HWKREPORT-762?atlOrigin=eyJpIjoiYzgwYTQ0ZjEyNzQzNGJhN2JmNjEyZTM0NmRhZWZhNjIiLCJwIjoic2hlZXRzLWppcmEifQ","HWKREPORT-762")</f>
        <v>HWKREPORT-762</v>
      </c>
      <c r="C2602" s="1" t="s">
        <v>3906</v>
      </c>
      <c r="D2602" s="1" t="s">
        <v>23</v>
      </c>
      <c r="E2602" s="1" t="s">
        <v>35</v>
      </c>
      <c r="F2602" s="4">
        <v>44295.73320601852</v>
      </c>
      <c r="G2602" s="3" t="str">
        <f>HYPERLINK("https://hawk-eye.atlassian.net/browse/BDP-204?atlOrigin=eyJpIjoiYzgwYTQ0ZjEyNzQzNGJhN2JmNjEyZTM0NmRhZWZhNjIiLCJwIjoic2hlZXRzLWppcmEifQ","BDP-204")</f>
        <v>BDP-204</v>
      </c>
      <c r="H2602" s="1" t="s">
        <v>1058</v>
      </c>
      <c r="I2602" s="1" t="s">
        <v>1071</v>
      </c>
      <c r="J2602" s="1" t="s">
        <v>26</v>
      </c>
      <c r="K2602" s="1" t="s">
        <v>3907</v>
      </c>
      <c r="L2602" s="1" t="s">
        <v>26</v>
      </c>
      <c r="M2602" s="1" t="s">
        <v>27</v>
      </c>
      <c r="N2602" s="1" t="s">
        <v>26</v>
      </c>
      <c r="O2602" s="1" t="s">
        <v>26</v>
      </c>
      <c r="P2602" s="4">
        <v>44298.39046296296</v>
      </c>
    </row>
    <row r="2603" hidden="1">
      <c r="A2603" s="1" t="s">
        <v>21</v>
      </c>
      <c r="B2603" s="3" t="str">
        <f>HYPERLINK("https://hawk-eye.atlassian.net/browse/HWKREPORT-763?atlOrigin=eyJpIjoiYzgwYTQ0ZjEyNzQzNGJhN2JmNjEyZTM0NmRhZWZhNjIiLCJwIjoic2hlZXRzLWppcmEifQ","HWKREPORT-763")</f>
        <v>HWKREPORT-763</v>
      </c>
      <c r="C2603" s="1" t="s">
        <v>3908</v>
      </c>
      <c r="D2603" s="1" t="s">
        <v>34</v>
      </c>
      <c r="E2603" s="1" t="s">
        <v>35</v>
      </c>
      <c r="F2603" s="4">
        <v>44299.665613425925</v>
      </c>
      <c r="G2603" s="3" t="str">
        <f>HYPERLINK("https://hawk-eye.atlassian.net/browse/GFXPAKS-261?atlOrigin=eyJpIjoiYzgwYTQ0ZjEyNzQzNGJhN2JmNjEyZTM0NmRhZWZhNjIiLCJwIjoic2hlZXRzLWppcmEifQ","GFXPAKS-261")</f>
        <v>GFXPAKS-261</v>
      </c>
      <c r="H2603" s="1" t="s">
        <v>1058</v>
      </c>
      <c r="I2603" s="1" t="s">
        <v>1126</v>
      </c>
      <c r="J2603" s="1" t="s">
        <v>26</v>
      </c>
      <c r="K2603" s="1" t="s">
        <v>2937</v>
      </c>
      <c r="L2603" s="1" t="s">
        <v>26</v>
      </c>
      <c r="M2603" s="1" t="s">
        <v>27</v>
      </c>
      <c r="N2603" s="1" t="s">
        <v>26</v>
      </c>
      <c r="O2603" s="1" t="s">
        <v>26</v>
      </c>
      <c r="P2603" s="4">
        <v>44981.48857638889</v>
      </c>
    </row>
    <row r="2604" hidden="1">
      <c r="A2604" s="1" t="s">
        <v>21</v>
      </c>
      <c r="B2604" s="3" t="str">
        <f>HYPERLINK("https://hawk-eye.atlassian.net/browse/HWKREPORT-764?atlOrigin=eyJpIjoiYzgwYTQ0ZjEyNzQzNGJhN2JmNjEyZTM0NmRhZWZhNjIiLCJwIjoic2hlZXRzLWppcmEifQ","HWKREPORT-764")</f>
        <v>HWKREPORT-764</v>
      </c>
      <c r="C2604" s="1" t="s">
        <v>3909</v>
      </c>
      <c r="D2604" s="1" t="s">
        <v>23</v>
      </c>
      <c r="E2604" s="1" t="s">
        <v>35</v>
      </c>
      <c r="F2604" s="4">
        <v>44299.74322916667</v>
      </c>
      <c r="G2604" s="3" t="str">
        <f t="shared" ref="G2604:G2607" si="177">HYPERLINK("https://hawk-eye.atlassian.net/browse/?atlOrigin=eyJpIjoiYzgwYTQ0ZjEyNzQzNGJhN2JmNjEyZTM0NmRhZWZhNjIiLCJwIjoic2hlZXRzLWppcmEifQ","")</f>
        <v/>
      </c>
      <c r="H2604" s="1" t="s">
        <v>1058</v>
      </c>
      <c r="I2604" s="1" t="s">
        <v>1082</v>
      </c>
      <c r="J2604" s="1" t="s">
        <v>26</v>
      </c>
      <c r="K2604" s="1" t="s">
        <v>1105</v>
      </c>
      <c r="L2604" s="1" t="s">
        <v>26</v>
      </c>
      <c r="M2604" s="1" t="s">
        <v>27</v>
      </c>
      <c r="N2604" s="1" t="s">
        <v>26</v>
      </c>
      <c r="O2604" s="1" t="s">
        <v>26</v>
      </c>
      <c r="P2604" s="4">
        <v>45127.65903935185</v>
      </c>
    </row>
    <row r="2605" hidden="1">
      <c r="A2605" s="1" t="s">
        <v>1055</v>
      </c>
      <c r="B2605" s="3" t="str">
        <f>HYPERLINK("https://hawk-eye.atlassian.net/browse/HWKREPORT-765?atlOrigin=eyJpIjoiYzgwYTQ0ZjEyNzQzNGJhN2JmNjEyZTM0NmRhZWZhNjIiLCJwIjoic2hlZXRzLWppcmEifQ","HWKREPORT-765")</f>
        <v>HWKREPORT-765</v>
      </c>
      <c r="C2605" s="1" t="s">
        <v>3910</v>
      </c>
      <c r="D2605" s="1" t="s">
        <v>23</v>
      </c>
      <c r="E2605" s="1" t="s">
        <v>35</v>
      </c>
      <c r="F2605" s="4">
        <v>44299.75019675926</v>
      </c>
      <c r="G2605" s="3" t="str">
        <f t="shared" si="177"/>
        <v/>
      </c>
      <c r="H2605" s="1" t="s">
        <v>1058</v>
      </c>
      <c r="I2605" s="1" t="s">
        <v>1082</v>
      </c>
      <c r="J2605" s="1" t="s">
        <v>26</v>
      </c>
      <c r="K2605" s="1" t="s">
        <v>1114</v>
      </c>
      <c r="L2605" s="1" t="s">
        <v>26</v>
      </c>
      <c r="M2605" s="1" t="s">
        <v>27</v>
      </c>
      <c r="N2605" s="1" t="s">
        <v>26</v>
      </c>
      <c r="O2605" s="1" t="s">
        <v>26</v>
      </c>
      <c r="P2605" s="4">
        <v>45029.70761574074</v>
      </c>
    </row>
    <row r="2606" hidden="1">
      <c r="A2606" s="1" t="s">
        <v>21</v>
      </c>
      <c r="B2606" s="3" t="str">
        <f>HYPERLINK("https://hawk-eye.atlassian.net/browse/HWKREPORT-766?atlOrigin=eyJpIjoiYzgwYTQ0ZjEyNzQzNGJhN2JmNjEyZTM0NmRhZWZhNjIiLCJwIjoic2hlZXRzLWppcmEifQ","HWKREPORT-766")</f>
        <v>HWKREPORT-766</v>
      </c>
      <c r="C2606" s="1" t="s">
        <v>3911</v>
      </c>
      <c r="D2606" s="1" t="s">
        <v>23</v>
      </c>
      <c r="E2606" s="1" t="s">
        <v>35</v>
      </c>
      <c r="F2606" s="4">
        <v>44305.72483796296</v>
      </c>
      <c r="G2606" s="3" t="str">
        <f t="shared" si="177"/>
        <v/>
      </c>
      <c r="H2606" s="1" t="s">
        <v>1058</v>
      </c>
      <c r="I2606" s="1" t="s">
        <v>1085</v>
      </c>
      <c r="J2606" s="1" t="s">
        <v>26</v>
      </c>
      <c r="K2606" s="1" t="s">
        <v>1072</v>
      </c>
      <c r="L2606" s="1" t="s">
        <v>26</v>
      </c>
      <c r="M2606" s="1" t="s">
        <v>27</v>
      </c>
      <c r="N2606" s="1" t="s">
        <v>26</v>
      </c>
      <c r="O2606" s="1" t="s">
        <v>26</v>
      </c>
      <c r="P2606" s="4">
        <v>44322.44574074074</v>
      </c>
    </row>
    <row r="2607" hidden="1">
      <c r="A2607" s="1" t="s">
        <v>21</v>
      </c>
      <c r="B2607" s="3" t="str">
        <f>HYPERLINK("https://hawk-eye.atlassian.net/browse/HWKREPORT-767?atlOrigin=eyJpIjoiYzgwYTQ0ZjEyNzQzNGJhN2JmNjEyZTM0NmRhZWZhNjIiLCJwIjoic2hlZXRzLWppcmEifQ","HWKREPORT-767")</f>
        <v>HWKREPORT-767</v>
      </c>
      <c r="C2607" s="1" t="s">
        <v>3912</v>
      </c>
      <c r="D2607" s="1" t="s">
        <v>23</v>
      </c>
      <c r="E2607" s="1" t="s">
        <v>35</v>
      </c>
      <c r="F2607" s="4">
        <v>44305.75761574074</v>
      </c>
      <c r="G2607" s="3" t="str">
        <f t="shared" si="177"/>
        <v/>
      </c>
      <c r="H2607" s="1" t="s">
        <v>1058</v>
      </c>
      <c r="I2607" s="1" t="s">
        <v>1085</v>
      </c>
      <c r="J2607" s="1" t="s">
        <v>26</v>
      </c>
      <c r="K2607" s="1" t="s">
        <v>1072</v>
      </c>
      <c r="L2607" s="1" t="s">
        <v>26</v>
      </c>
      <c r="M2607" s="1" t="s">
        <v>27</v>
      </c>
      <c r="N2607" s="1" t="s">
        <v>26</v>
      </c>
      <c r="O2607" s="1" t="s">
        <v>26</v>
      </c>
      <c r="P2607" s="4">
        <v>44322.44613425926</v>
      </c>
    </row>
    <row r="2608" hidden="1">
      <c r="A2608" s="1" t="s">
        <v>21</v>
      </c>
      <c r="B2608" s="3" t="str">
        <f>HYPERLINK("https://hawk-eye.atlassian.net/browse/HWKREPORT-768?atlOrigin=eyJpIjoiYzgwYTQ0ZjEyNzQzNGJhN2JmNjEyZTM0NmRhZWZhNjIiLCJwIjoic2hlZXRzLWppcmEifQ","HWKREPORT-768")</f>
        <v>HWKREPORT-768</v>
      </c>
      <c r="C2608" s="1" t="s">
        <v>3913</v>
      </c>
      <c r="D2608" s="1" t="s">
        <v>83</v>
      </c>
      <c r="E2608" s="1" t="s">
        <v>35</v>
      </c>
      <c r="F2608" s="4">
        <v>44306.5803125</v>
      </c>
      <c r="G2608" s="3" t="str">
        <f>HYPERLINK("https://hawk-eye.atlassian.net/browse/RTT-3951?atlOrigin=eyJpIjoiYzgwYTQ0ZjEyNzQzNGJhN2JmNjEyZTM0NmRhZWZhNjIiLCJwIjoic2hlZXRzLWppcmEifQ","RTT-3951")</f>
        <v>RTT-3951</v>
      </c>
      <c r="H2608" s="1" t="s">
        <v>1058</v>
      </c>
      <c r="I2608" s="1" t="s">
        <v>1085</v>
      </c>
      <c r="J2608" s="1" t="s">
        <v>26</v>
      </c>
      <c r="K2608" s="1" t="s">
        <v>1312</v>
      </c>
      <c r="L2608" s="1" t="s">
        <v>26</v>
      </c>
      <c r="M2608" s="1" t="s">
        <v>27</v>
      </c>
      <c r="N2608" s="1" t="s">
        <v>26</v>
      </c>
      <c r="O2608" s="1" t="s">
        <v>26</v>
      </c>
      <c r="P2608" s="4">
        <v>44424.37496527778</v>
      </c>
    </row>
    <row r="2609" hidden="1">
      <c r="A2609" s="1" t="s">
        <v>21</v>
      </c>
      <c r="B2609" s="3" t="str">
        <f>HYPERLINK("https://hawk-eye.atlassian.net/browse/HWKREPORT-769?atlOrigin=eyJpIjoiYzgwYTQ0ZjEyNzQzNGJhN2JmNjEyZTM0NmRhZWZhNjIiLCJwIjoic2hlZXRzLWppcmEifQ","HWKREPORT-769")</f>
        <v>HWKREPORT-769</v>
      </c>
      <c r="C2609" s="1" t="s">
        <v>3914</v>
      </c>
      <c r="D2609" s="1" t="s">
        <v>83</v>
      </c>
      <c r="E2609" s="1" t="s">
        <v>35</v>
      </c>
      <c r="F2609" s="4">
        <v>44306.60579861111</v>
      </c>
      <c r="G2609" s="3" t="str">
        <f>HYPERLINK("https://hawk-eye.atlassian.net/browse/RTT-3921?atlOrigin=eyJpIjoiYzgwYTQ0ZjEyNzQzNGJhN2JmNjEyZTM0NmRhZWZhNjIiLCJwIjoic2hlZXRzLWppcmEifQ","RTT-3921")</f>
        <v>RTT-3921</v>
      </c>
      <c r="H2609" s="1" t="s">
        <v>1058</v>
      </c>
      <c r="I2609" s="1" t="s">
        <v>1085</v>
      </c>
      <c r="J2609" s="1" t="s">
        <v>26</v>
      </c>
      <c r="K2609" s="1" t="s">
        <v>1072</v>
      </c>
      <c r="L2609" s="1" t="s">
        <v>26</v>
      </c>
      <c r="M2609" s="1" t="s">
        <v>27</v>
      </c>
      <c r="N2609" s="1" t="s">
        <v>26</v>
      </c>
      <c r="O2609" s="1" t="s">
        <v>26</v>
      </c>
      <c r="P2609" s="4">
        <v>44600.87480324074</v>
      </c>
    </row>
    <row r="2610" hidden="1">
      <c r="A2610" s="1" t="s">
        <v>1055</v>
      </c>
      <c r="B2610" s="3" t="str">
        <f>HYPERLINK("https://hawk-eye.atlassian.net/browse/HWKREPORT-770?atlOrigin=eyJpIjoiYzgwYTQ0ZjEyNzQzNGJhN2JmNjEyZTM0NmRhZWZhNjIiLCJwIjoic2hlZXRzLWppcmEifQ","HWKREPORT-770")</f>
        <v>HWKREPORT-770</v>
      </c>
      <c r="C2610" s="1" t="s">
        <v>3915</v>
      </c>
      <c r="D2610" s="1" t="s">
        <v>23</v>
      </c>
      <c r="E2610" s="1" t="s">
        <v>35</v>
      </c>
      <c r="F2610" s="4">
        <v>44306.676145833335</v>
      </c>
      <c r="G2610" s="3" t="str">
        <f>HYPERLINK("https://hawk-eye.atlassian.net/browse/?atlOrigin=eyJpIjoiYzgwYTQ0ZjEyNzQzNGJhN2JmNjEyZTM0NmRhZWZhNjIiLCJwIjoic2hlZXRzLWppcmEifQ","")</f>
        <v/>
      </c>
      <c r="H2610" s="1" t="s">
        <v>1058</v>
      </c>
      <c r="I2610" s="1" t="s">
        <v>1126</v>
      </c>
      <c r="J2610" s="1" t="s">
        <v>26</v>
      </c>
      <c r="K2610" s="1" t="s">
        <v>1114</v>
      </c>
      <c r="L2610" s="1" t="s">
        <v>26</v>
      </c>
      <c r="M2610" s="1" t="s">
        <v>27</v>
      </c>
      <c r="N2610" s="1" t="s">
        <v>26</v>
      </c>
      <c r="O2610" s="1" t="s">
        <v>26</v>
      </c>
      <c r="P2610" s="4">
        <v>45057.74783564815</v>
      </c>
    </row>
    <row r="2611" hidden="1">
      <c r="A2611" s="1" t="s">
        <v>21</v>
      </c>
      <c r="B2611" s="3" t="str">
        <f>HYPERLINK("https://hawk-eye.atlassian.net/browse/HWKREPORT-771?atlOrigin=eyJpIjoiYzgwYTQ0ZjEyNzQzNGJhN2JmNjEyZTM0NmRhZWZhNjIiLCJwIjoic2hlZXRzLWppcmEifQ","HWKREPORT-771")</f>
        <v>HWKREPORT-771</v>
      </c>
      <c r="C2611" s="1" t="s">
        <v>3916</v>
      </c>
      <c r="D2611" s="1" t="s">
        <v>23</v>
      </c>
      <c r="E2611" s="1" t="s">
        <v>35</v>
      </c>
      <c r="F2611" s="4">
        <v>44307.4546412037</v>
      </c>
      <c r="G2611" s="3" t="str">
        <f>HYPERLINK("https://hawk-eye.atlassian.net/browse/RTT-3866?atlOrigin=eyJpIjoiYzgwYTQ0ZjEyNzQzNGJhN2JmNjEyZTM0NmRhZWZhNjIiLCJwIjoic2hlZXRzLWppcmEifQ","RTT-3866")</f>
        <v>RTT-3866</v>
      </c>
      <c r="H2611" s="1" t="s">
        <v>1058</v>
      </c>
      <c r="I2611" s="1" t="s">
        <v>1085</v>
      </c>
      <c r="J2611" s="1" t="s">
        <v>26</v>
      </c>
      <c r="K2611" s="1" t="s">
        <v>1072</v>
      </c>
      <c r="L2611" s="1" t="s">
        <v>26</v>
      </c>
      <c r="M2611" s="1" t="s">
        <v>27</v>
      </c>
      <c r="N2611" s="1" t="s">
        <v>26</v>
      </c>
      <c r="O2611" s="1" t="s">
        <v>26</v>
      </c>
      <c r="P2611" s="4">
        <v>44600.87515046296</v>
      </c>
    </row>
    <row r="2612" hidden="1">
      <c r="A2612" s="1" t="s">
        <v>1055</v>
      </c>
      <c r="B2612" s="3" t="str">
        <f>HYPERLINK("https://hawk-eye.atlassian.net/browse/HWKREPORT-772?atlOrigin=eyJpIjoiYzgwYTQ0ZjEyNzQzNGJhN2JmNjEyZTM0NmRhZWZhNjIiLCJwIjoic2hlZXRzLWppcmEifQ","HWKREPORT-772")</f>
        <v>HWKREPORT-772</v>
      </c>
      <c r="C2612" s="1" t="s">
        <v>3917</v>
      </c>
      <c r="D2612" s="1" t="s">
        <v>23</v>
      </c>
      <c r="E2612" s="1" t="s">
        <v>35</v>
      </c>
      <c r="F2612" s="4">
        <v>44308.40012731482</v>
      </c>
      <c r="G2612" s="3" t="str">
        <f>HYPERLINK("https://hawk-eye.atlassian.net/browse/?atlOrigin=eyJpIjoiYzgwYTQ0ZjEyNzQzNGJhN2JmNjEyZTM0NmRhZWZhNjIiLCJwIjoic2hlZXRzLWppcmEifQ","")</f>
        <v/>
      </c>
      <c r="H2612" s="1" t="s">
        <v>1058</v>
      </c>
      <c r="I2612" s="1" t="s">
        <v>1085</v>
      </c>
      <c r="J2612" s="1" t="s">
        <v>26</v>
      </c>
      <c r="K2612" s="1" t="s">
        <v>1072</v>
      </c>
      <c r="L2612" s="1" t="s">
        <v>26</v>
      </c>
      <c r="M2612" s="1" t="s">
        <v>27</v>
      </c>
      <c r="N2612" s="1" t="s">
        <v>26</v>
      </c>
      <c r="O2612" s="1" t="s">
        <v>26</v>
      </c>
      <c r="P2612" s="4">
        <v>44335.406851851854</v>
      </c>
    </row>
    <row r="2613" hidden="1">
      <c r="A2613" s="1" t="s">
        <v>1055</v>
      </c>
      <c r="B2613" s="3" t="str">
        <f>HYPERLINK("https://hawk-eye.atlassian.net/browse/HWKREPORT-773?atlOrigin=eyJpIjoiYzgwYTQ0ZjEyNzQzNGJhN2JmNjEyZTM0NmRhZWZhNjIiLCJwIjoic2hlZXRzLWppcmEifQ","HWKREPORT-773")</f>
        <v>HWKREPORT-773</v>
      </c>
      <c r="C2613" s="1" t="s">
        <v>3918</v>
      </c>
      <c r="D2613" s="1" t="s">
        <v>23</v>
      </c>
      <c r="E2613" s="1" t="s">
        <v>1207</v>
      </c>
      <c r="F2613" s="4">
        <v>44308.65895833333</v>
      </c>
      <c r="G2613" s="3" t="str">
        <f>HYPERLINK("https://hawk-eye.atlassian.net/browse/RTT-5419?atlOrigin=eyJpIjoiYzgwYTQ0ZjEyNzQzNGJhN2JmNjEyZTM0NmRhZWZhNjIiLCJwIjoic2hlZXRzLWppcmEifQ","RTT-5419")</f>
        <v>RTT-5419</v>
      </c>
      <c r="H2613" s="1" t="s">
        <v>1058</v>
      </c>
      <c r="I2613" s="1" t="s">
        <v>1071</v>
      </c>
      <c r="J2613" s="1" t="s">
        <v>26</v>
      </c>
      <c r="K2613" s="1" t="s">
        <v>1072</v>
      </c>
      <c r="L2613" s="1" t="s">
        <v>26</v>
      </c>
      <c r="M2613" s="1" t="s">
        <v>27</v>
      </c>
      <c r="N2613" s="1" t="s">
        <v>26</v>
      </c>
      <c r="O2613" s="1" t="s">
        <v>26</v>
      </c>
      <c r="P2613" s="4">
        <v>44929.4184837963</v>
      </c>
    </row>
    <row r="2614" hidden="1">
      <c r="A2614" s="1" t="s">
        <v>21</v>
      </c>
      <c r="B2614" s="3" t="str">
        <f>HYPERLINK("https://hawk-eye.atlassian.net/browse/HWKREPORT-774?atlOrigin=eyJpIjoiYzgwYTQ0ZjEyNzQzNGJhN2JmNjEyZTM0NmRhZWZhNjIiLCJwIjoic2hlZXRzLWppcmEifQ","HWKREPORT-774")</f>
        <v>HWKREPORT-774</v>
      </c>
      <c r="C2614" s="1" t="s">
        <v>3919</v>
      </c>
      <c r="D2614" s="1" t="s">
        <v>23</v>
      </c>
      <c r="E2614" s="1" t="s">
        <v>35</v>
      </c>
      <c r="F2614" s="4">
        <v>44308.67289351852</v>
      </c>
      <c r="G2614" s="3" t="str">
        <f>HYPERLINK("https://hawk-eye.atlassian.net/browse/RTT-3869?atlOrigin=eyJpIjoiYzgwYTQ0ZjEyNzQzNGJhN2JmNjEyZTM0NmRhZWZhNjIiLCJwIjoic2hlZXRzLWppcmEifQ","RTT-3869")</f>
        <v>RTT-3869</v>
      </c>
      <c r="H2614" s="1" t="s">
        <v>1058</v>
      </c>
      <c r="I2614" s="1" t="s">
        <v>1085</v>
      </c>
      <c r="J2614" s="1" t="s">
        <v>26</v>
      </c>
      <c r="K2614" s="1" t="s">
        <v>1072</v>
      </c>
      <c r="L2614" s="1" t="s">
        <v>26</v>
      </c>
      <c r="M2614" s="1" t="s">
        <v>27</v>
      </c>
      <c r="N2614" s="1" t="s">
        <v>26</v>
      </c>
      <c r="O2614" s="1" t="s">
        <v>26</v>
      </c>
      <c r="P2614" s="4">
        <v>44311.999606481484</v>
      </c>
    </row>
    <row r="2615" hidden="1">
      <c r="A2615" s="1" t="s">
        <v>1055</v>
      </c>
      <c r="B2615" s="3" t="str">
        <f>HYPERLINK("https://hawk-eye.atlassian.net/browse/HWKREPORT-775?atlOrigin=eyJpIjoiYzgwYTQ0ZjEyNzQzNGJhN2JmNjEyZTM0NmRhZWZhNjIiLCJwIjoic2hlZXRzLWppcmEifQ","HWKREPORT-775")</f>
        <v>HWKREPORT-775</v>
      </c>
      <c r="C2615" s="1" t="s">
        <v>3920</v>
      </c>
      <c r="D2615" s="1" t="s">
        <v>23</v>
      </c>
      <c r="E2615" s="1" t="s">
        <v>35</v>
      </c>
      <c r="F2615" s="4">
        <v>44308.74490740741</v>
      </c>
      <c r="G2615" s="3" t="str">
        <f>HYPERLINK("https://hawk-eye.atlassian.net/browse/?atlOrigin=eyJpIjoiYzgwYTQ0ZjEyNzQzNGJhN2JmNjEyZTM0NmRhZWZhNjIiLCJwIjoic2hlZXRzLWppcmEifQ","")</f>
        <v/>
      </c>
      <c r="H2615" s="1" t="s">
        <v>1058</v>
      </c>
      <c r="I2615" s="1" t="s">
        <v>1126</v>
      </c>
      <c r="J2615" s="1" t="s">
        <v>26</v>
      </c>
      <c r="K2615" s="1" t="s">
        <v>1105</v>
      </c>
      <c r="L2615" s="1" t="s">
        <v>26</v>
      </c>
      <c r="M2615" s="1" t="s">
        <v>27</v>
      </c>
      <c r="N2615" s="1" t="s">
        <v>26</v>
      </c>
      <c r="O2615" s="1" t="s">
        <v>26</v>
      </c>
      <c r="P2615" s="4">
        <v>44517.56076388889</v>
      </c>
    </row>
    <row r="2616" hidden="1">
      <c r="A2616" s="1" t="s">
        <v>1055</v>
      </c>
      <c r="B2616" s="3" t="str">
        <f>HYPERLINK("https://hawk-eye.atlassian.net/browse/HWKREPORT-776?atlOrigin=eyJpIjoiYzgwYTQ0ZjEyNzQzNGJhN2JmNjEyZTM0NmRhZWZhNjIiLCJwIjoic2hlZXRzLWppcmEifQ","HWKREPORT-776")</f>
        <v>HWKREPORT-776</v>
      </c>
      <c r="C2616" s="1" t="s">
        <v>3921</v>
      </c>
      <c r="D2616" s="1" t="s">
        <v>23</v>
      </c>
      <c r="E2616" s="1" t="s">
        <v>35</v>
      </c>
      <c r="F2616" s="4">
        <v>44312.63251157408</v>
      </c>
      <c r="G2616" s="3" t="str">
        <f>HYPERLINK("https://hawk-eye.atlassian.net/browse/RTT-3959?atlOrigin=eyJpIjoiYzgwYTQ0ZjEyNzQzNGJhN2JmNjEyZTM0NmRhZWZhNjIiLCJwIjoic2hlZXRzLWppcmEifQ","RTT-3959")</f>
        <v>RTT-3959</v>
      </c>
      <c r="H2616" s="1" t="s">
        <v>1058</v>
      </c>
      <c r="I2616" s="1" t="s">
        <v>1071</v>
      </c>
      <c r="J2616" s="1" t="s">
        <v>26</v>
      </c>
      <c r="K2616" s="1" t="s">
        <v>1093</v>
      </c>
      <c r="L2616" s="1" t="s">
        <v>26</v>
      </c>
      <c r="M2616" s="1" t="s">
        <v>27</v>
      </c>
      <c r="N2616" s="1" t="s">
        <v>26</v>
      </c>
      <c r="O2616" s="1" t="s">
        <v>26</v>
      </c>
      <c r="P2616" s="4">
        <v>44600.87501157408</v>
      </c>
    </row>
    <row r="2617" hidden="1">
      <c r="A2617" s="1" t="s">
        <v>21</v>
      </c>
      <c r="B2617" s="3" t="str">
        <f>HYPERLINK("https://hawk-eye.atlassian.net/browse/HWKREPORT-777?atlOrigin=eyJpIjoiYzgwYTQ0ZjEyNzQzNGJhN2JmNjEyZTM0NmRhZWZhNjIiLCJwIjoic2hlZXRzLWppcmEifQ","HWKREPORT-777")</f>
        <v>HWKREPORT-777</v>
      </c>
      <c r="C2617" s="1" t="s">
        <v>3922</v>
      </c>
      <c r="D2617" s="1" t="s">
        <v>23</v>
      </c>
      <c r="E2617" s="1" t="s">
        <v>1207</v>
      </c>
      <c r="F2617" s="4">
        <v>44312.6619212963</v>
      </c>
      <c r="G2617" s="3" t="str">
        <f>HYPERLINK("https://hawk-eye.atlassian.net/browse/RTT-3955?atlOrigin=eyJpIjoiYzgwYTQ0ZjEyNzQzNGJhN2JmNjEyZTM0NmRhZWZhNjIiLCJwIjoic2hlZXRzLWppcmEifQ","RTT-3955")</f>
        <v>RTT-3955</v>
      </c>
      <c r="H2617" s="1" t="s">
        <v>1058</v>
      </c>
      <c r="I2617" s="1" t="s">
        <v>1126</v>
      </c>
      <c r="J2617" s="1" t="s">
        <v>26</v>
      </c>
      <c r="K2617" s="1" t="s">
        <v>1309</v>
      </c>
      <c r="L2617" s="1" t="s">
        <v>26</v>
      </c>
      <c r="M2617" s="1" t="s">
        <v>27</v>
      </c>
      <c r="N2617" s="1" t="s">
        <v>26</v>
      </c>
      <c r="O2617" s="1" t="s">
        <v>26</v>
      </c>
      <c r="P2617" s="4">
        <v>44929.4184837963</v>
      </c>
    </row>
    <row r="2618" hidden="1">
      <c r="A2618" s="1" t="s">
        <v>21</v>
      </c>
      <c r="B2618" s="3" t="str">
        <f>HYPERLINK("https://hawk-eye.atlassian.net/browse/HWKREPORT-778?atlOrigin=eyJpIjoiYzgwYTQ0ZjEyNzQzNGJhN2JmNjEyZTM0NmRhZWZhNjIiLCJwIjoic2hlZXRzLWppcmEifQ","HWKREPORT-778")</f>
        <v>HWKREPORT-778</v>
      </c>
      <c r="C2618" s="1" t="s">
        <v>3923</v>
      </c>
      <c r="D2618" s="1" t="s">
        <v>23</v>
      </c>
      <c r="E2618" s="1" t="s">
        <v>1207</v>
      </c>
      <c r="F2618" s="4">
        <v>44312.67396990741</v>
      </c>
      <c r="G2618" s="3" t="str">
        <f>HYPERLINK("https://hawk-eye.atlassian.net/browse/RTT-3956?atlOrigin=eyJpIjoiYzgwYTQ0ZjEyNzQzNGJhN2JmNjEyZTM0NmRhZWZhNjIiLCJwIjoic2hlZXRzLWppcmEifQ","RTT-3956")</f>
        <v>RTT-3956</v>
      </c>
      <c r="H2618" s="1" t="s">
        <v>1058</v>
      </c>
      <c r="I2618" s="1" t="s">
        <v>1126</v>
      </c>
      <c r="J2618" s="1" t="s">
        <v>26</v>
      </c>
      <c r="K2618" s="1" t="s">
        <v>1309</v>
      </c>
      <c r="L2618" s="1" t="s">
        <v>26</v>
      </c>
      <c r="M2618" s="1" t="s">
        <v>27</v>
      </c>
      <c r="N2618" s="1" t="s">
        <v>26</v>
      </c>
      <c r="O2618" s="1" t="s">
        <v>26</v>
      </c>
      <c r="P2618" s="4">
        <v>44929.4184837963</v>
      </c>
    </row>
    <row r="2619" hidden="1">
      <c r="A2619" s="1" t="s">
        <v>1055</v>
      </c>
      <c r="B2619" s="3" t="str">
        <f>HYPERLINK("https://hawk-eye.atlassian.net/browse/HWKREPORT-779?atlOrigin=eyJpIjoiYzgwYTQ0ZjEyNzQzNGJhN2JmNjEyZTM0NmRhZWZhNjIiLCJwIjoic2hlZXRzLWppcmEifQ","HWKREPORT-779")</f>
        <v>HWKREPORT-779</v>
      </c>
      <c r="C2619" s="1" t="s">
        <v>3924</v>
      </c>
      <c r="D2619" s="1" t="s">
        <v>23</v>
      </c>
      <c r="E2619" s="1" t="s">
        <v>35</v>
      </c>
      <c r="F2619" s="4">
        <v>44312.67616898148</v>
      </c>
      <c r="G2619" s="3" t="str">
        <f t="shared" ref="G2619:G2620" si="178">HYPERLINK("https://hawk-eye.atlassian.net/browse/?atlOrigin=eyJpIjoiYzgwYTQ0ZjEyNzQzNGJhN2JmNjEyZTM0NmRhZWZhNjIiLCJwIjoic2hlZXRzLWppcmEifQ","")</f>
        <v/>
      </c>
      <c r="H2619" s="1" t="s">
        <v>1058</v>
      </c>
      <c r="I2619" s="1" t="s">
        <v>1126</v>
      </c>
      <c r="J2619" s="1" t="s">
        <v>26</v>
      </c>
      <c r="K2619" s="1" t="s">
        <v>1148</v>
      </c>
      <c r="L2619" s="1" t="s">
        <v>26</v>
      </c>
      <c r="M2619" s="1" t="s">
        <v>27</v>
      </c>
      <c r="N2619" s="1" t="s">
        <v>26</v>
      </c>
      <c r="O2619" s="1" t="s">
        <v>26</v>
      </c>
      <c r="P2619" s="4">
        <v>44312.76231481481</v>
      </c>
    </row>
    <row r="2620" hidden="1">
      <c r="A2620" s="1" t="s">
        <v>21</v>
      </c>
      <c r="B2620" s="3" t="str">
        <f>HYPERLINK("https://hawk-eye.atlassian.net/browse/HWKREPORT-780?atlOrigin=eyJpIjoiYzgwYTQ0ZjEyNzQzNGJhN2JmNjEyZTM0NmRhZWZhNjIiLCJwIjoic2hlZXRzLWppcmEifQ","HWKREPORT-780")</f>
        <v>HWKREPORT-780</v>
      </c>
      <c r="C2620" s="1" t="s">
        <v>3925</v>
      </c>
      <c r="D2620" s="1" t="s">
        <v>40</v>
      </c>
      <c r="E2620" s="1" t="s">
        <v>35</v>
      </c>
      <c r="F2620" s="4">
        <v>44313.6296875</v>
      </c>
      <c r="G2620" s="3" t="str">
        <f t="shared" si="178"/>
        <v/>
      </c>
      <c r="H2620" s="1" t="s">
        <v>1058</v>
      </c>
      <c r="I2620" s="1" t="s">
        <v>1126</v>
      </c>
      <c r="J2620" s="1" t="s">
        <v>26</v>
      </c>
      <c r="K2620" s="1" t="s">
        <v>1105</v>
      </c>
      <c r="L2620" s="1" t="s">
        <v>26</v>
      </c>
      <c r="M2620" s="1" t="s">
        <v>27</v>
      </c>
      <c r="N2620" s="1" t="s">
        <v>26</v>
      </c>
      <c r="O2620" s="1" t="s">
        <v>26</v>
      </c>
      <c r="P2620" s="4">
        <v>44329.02324074074</v>
      </c>
    </row>
    <row r="2621" hidden="1">
      <c r="A2621" s="1" t="s">
        <v>1055</v>
      </c>
      <c r="B2621" s="3" t="str">
        <f>HYPERLINK("https://hawk-eye.atlassian.net/browse/HWKREPORT-781?atlOrigin=eyJpIjoiYzgwYTQ0ZjEyNzQzNGJhN2JmNjEyZTM0NmRhZWZhNjIiLCJwIjoic2hlZXRzLWppcmEifQ","HWKREPORT-781")</f>
        <v>HWKREPORT-781</v>
      </c>
      <c r="C2621" s="1" t="s">
        <v>3926</v>
      </c>
      <c r="D2621" s="1" t="s">
        <v>23</v>
      </c>
      <c r="E2621" s="1" t="s">
        <v>35</v>
      </c>
      <c r="F2621" s="4">
        <v>44313.914456018516</v>
      </c>
      <c r="G2621" s="3" t="str">
        <f>HYPERLINK("https://hawk-eye.atlassian.net/browse/RTT-3886?atlOrigin=eyJpIjoiYzgwYTQ0ZjEyNzQzNGJhN2JmNjEyZTM0NmRhZWZhNjIiLCJwIjoic2hlZXRzLWppcmEifQ","RTT-3886")</f>
        <v>RTT-3886</v>
      </c>
      <c r="H2621" s="1" t="s">
        <v>1058</v>
      </c>
      <c r="I2621" s="1" t="s">
        <v>1071</v>
      </c>
      <c r="J2621" s="1" t="s">
        <v>26</v>
      </c>
      <c r="K2621" s="1" t="s">
        <v>1072</v>
      </c>
      <c r="L2621" s="1" t="s">
        <v>26</v>
      </c>
      <c r="M2621" s="1" t="s">
        <v>27</v>
      </c>
      <c r="N2621" s="1" t="s">
        <v>26</v>
      </c>
      <c r="O2621" s="1" t="s">
        <v>26</v>
      </c>
      <c r="P2621" s="4">
        <v>44684.46900462963</v>
      </c>
    </row>
    <row r="2622" hidden="1">
      <c r="A2622" s="1" t="s">
        <v>21</v>
      </c>
      <c r="B2622" s="3" t="str">
        <f>HYPERLINK("https://hawk-eye.atlassian.net/browse/HWKREPORT-782?atlOrigin=eyJpIjoiYzgwYTQ0ZjEyNzQzNGJhN2JmNjEyZTM0NmRhZWZhNjIiLCJwIjoic2hlZXRzLWppcmEifQ","HWKREPORT-782")</f>
        <v>HWKREPORT-782</v>
      </c>
      <c r="C2622" s="1" t="s">
        <v>3927</v>
      </c>
      <c r="D2622" s="1" t="s">
        <v>34</v>
      </c>
      <c r="E2622" s="1" t="s">
        <v>35</v>
      </c>
      <c r="F2622" s="4">
        <v>44313.94571759259</v>
      </c>
      <c r="G2622" s="3" t="str">
        <f>HYPERLINK("https://hawk-eye.atlassian.net/browse/RTT-3892?atlOrigin=eyJpIjoiYzgwYTQ0ZjEyNzQzNGJhN2JmNjEyZTM0NmRhZWZhNjIiLCJwIjoic2hlZXRzLWppcmEifQ","RTT-3892")</f>
        <v>RTT-3892</v>
      </c>
      <c r="H2622" s="1" t="s">
        <v>1058</v>
      </c>
      <c r="I2622" s="1" t="s">
        <v>1071</v>
      </c>
      <c r="J2622" s="1" t="s">
        <v>26</v>
      </c>
      <c r="K2622" s="1" t="s">
        <v>3928</v>
      </c>
      <c r="L2622" s="1" t="s">
        <v>26</v>
      </c>
      <c r="M2622" s="1" t="s">
        <v>27</v>
      </c>
      <c r="N2622" s="1" t="s">
        <v>26</v>
      </c>
      <c r="O2622" s="1" t="s">
        <v>26</v>
      </c>
      <c r="P2622" s="4">
        <v>44600.87472222222</v>
      </c>
    </row>
    <row r="2623" hidden="1">
      <c r="A2623" s="1" t="s">
        <v>21</v>
      </c>
      <c r="B2623" s="3" t="str">
        <f>HYPERLINK("https://hawk-eye.atlassian.net/browse/HWKREPORT-783?atlOrigin=eyJpIjoiYzgwYTQ0ZjEyNzQzNGJhN2JmNjEyZTM0NmRhZWZhNjIiLCJwIjoic2hlZXRzLWppcmEifQ","HWKREPORT-783")</f>
        <v>HWKREPORT-783</v>
      </c>
      <c r="C2623" s="1" t="s">
        <v>3929</v>
      </c>
      <c r="D2623" s="1" t="s">
        <v>23</v>
      </c>
      <c r="E2623" s="1" t="s">
        <v>35</v>
      </c>
      <c r="F2623" s="4">
        <v>44314.854525462964</v>
      </c>
      <c r="G2623" s="3" t="str">
        <f>HYPERLINK("https://hawk-eye.atlassian.net/browse/RTT-3902?atlOrigin=eyJpIjoiYzgwYTQ0ZjEyNzQzNGJhN2JmNjEyZTM0NmRhZWZhNjIiLCJwIjoic2hlZXRzLWppcmEifQ","RTT-3902")</f>
        <v>RTT-3902</v>
      </c>
      <c r="H2623" s="1" t="s">
        <v>1058</v>
      </c>
      <c r="I2623" s="1" t="s">
        <v>1071</v>
      </c>
      <c r="J2623" s="1" t="s">
        <v>26</v>
      </c>
      <c r="K2623" s="1" t="s">
        <v>1072</v>
      </c>
      <c r="L2623" s="1" t="s">
        <v>26</v>
      </c>
      <c r="M2623" s="1" t="s">
        <v>27</v>
      </c>
      <c r="N2623" s="1" t="s">
        <v>26</v>
      </c>
      <c r="O2623" s="1" t="s">
        <v>26</v>
      </c>
      <c r="P2623" s="4">
        <v>44627.79310185185</v>
      </c>
    </row>
    <row r="2624" hidden="1">
      <c r="A2624" s="1" t="s">
        <v>21</v>
      </c>
      <c r="B2624" s="3" t="str">
        <f>HYPERLINK("https://hawk-eye.atlassian.net/browse/HWKREPORT-784?atlOrigin=eyJpIjoiYzgwYTQ0ZjEyNzQzNGJhN2JmNjEyZTM0NmRhZWZhNjIiLCJwIjoic2hlZXRzLWppcmEifQ","HWKREPORT-784")</f>
        <v>HWKREPORT-784</v>
      </c>
      <c r="C2624" s="1" t="s">
        <v>3930</v>
      </c>
      <c r="D2624" s="1" t="s">
        <v>23</v>
      </c>
      <c r="E2624" s="1" t="s">
        <v>35</v>
      </c>
      <c r="F2624" s="4">
        <v>44314.911782407406</v>
      </c>
      <c r="G2624" s="3" t="str">
        <f>HYPERLINK("https://hawk-eye.atlassian.net/browse/RTT-4263?atlOrigin=eyJpIjoiYzgwYTQ0ZjEyNzQzNGJhN2JmNjEyZTM0NmRhZWZhNjIiLCJwIjoic2hlZXRzLWppcmEifQ","RTT-4263")</f>
        <v>RTT-4263</v>
      </c>
      <c r="H2624" s="1" t="s">
        <v>1058</v>
      </c>
      <c r="I2624" s="1" t="s">
        <v>1071</v>
      </c>
      <c r="J2624" s="1" t="s">
        <v>26</v>
      </c>
      <c r="K2624" s="1" t="s">
        <v>1072</v>
      </c>
      <c r="L2624" s="1" t="s">
        <v>26</v>
      </c>
      <c r="M2624" s="1" t="s">
        <v>27</v>
      </c>
      <c r="N2624" s="1" t="s">
        <v>26</v>
      </c>
      <c r="O2624" s="1" t="s">
        <v>26</v>
      </c>
      <c r="P2624" s="4">
        <v>44600.87465277778</v>
      </c>
    </row>
    <row r="2625" hidden="1">
      <c r="A2625" s="1" t="s">
        <v>21</v>
      </c>
      <c r="B2625" s="3" t="str">
        <f>HYPERLINK("https://hawk-eye.atlassian.net/browse/HWKREPORT-785?atlOrigin=eyJpIjoiYzgwYTQ0ZjEyNzQzNGJhN2JmNjEyZTM0NmRhZWZhNjIiLCJwIjoic2hlZXRzLWppcmEifQ","HWKREPORT-785")</f>
        <v>HWKREPORT-785</v>
      </c>
      <c r="C2625" s="1" t="s">
        <v>3931</v>
      </c>
      <c r="D2625" s="1" t="s">
        <v>34</v>
      </c>
      <c r="E2625" s="1" t="s">
        <v>35</v>
      </c>
      <c r="F2625" s="4">
        <v>44315.46324074074</v>
      </c>
      <c r="G2625" s="3" t="str">
        <f>HYPERLINK("https://hawk-eye.atlassian.net/browse/?atlOrigin=eyJpIjoiYzgwYTQ0ZjEyNzQzNGJhN2JmNjEyZTM0NmRhZWZhNjIiLCJwIjoic2hlZXRzLWppcmEifQ","")</f>
        <v/>
      </c>
      <c r="H2625" s="1" t="s">
        <v>1058</v>
      </c>
      <c r="I2625" s="1" t="s">
        <v>1126</v>
      </c>
      <c r="J2625" s="1" t="s">
        <v>26</v>
      </c>
      <c r="K2625" s="1" t="s">
        <v>1148</v>
      </c>
      <c r="L2625" s="1" t="s">
        <v>26</v>
      </c>
      <c r="M2625" s="1" t="s">
        <v>27</v>
      </c>
      <c r="N2625" s="1" t="s">
        <v>26</v>
      </c>
      <c r="O2625" s="1" t="s">
        <v>26</v>
      </c>
      <c r="P2625" s="4">
        <v>45258.69886574074</v>
      </c>
    </row>
    <row r="2626" hidden="1">
      <c r="A2626" s="1" t="s">
        <v>1055</v>
      </c>
      <c r="B2626" s="3" t="str">
        <f>HYPERLINK("https://hawk-eye.atlassian.net/browse/HWKREPORT-786?atlOrigin=eyJpIjoiYzgwYTQ0ZjEyNzQzNGJhN2JmNjEyZTM0NmRhZWZhNjIiLCJwIjoic2hlZXRzLWppcmEifQ","HWKREPORT-786")</f>
        <v>HWKREPORT-786</v>
      </c>
      <c r="C2626" s="1" t="s">
        <v>3932</v>
      </c>
      <c r="D2626" s="1" t="s">
        <v>83</v>
      </c>
      <c r="E2626" s="1" t="s">
        <v>1057</v>
      </c>
      <c r="F2626" s="4">
        <v>44315.60774305555</v>
      </c>
      <c r="G2626" s="3" t="str">
        <f>HYPERLINK("https://hawk-eye.atlassian.net/browse/SO-1204?atlOrigin=eyJpIjoiYzgwYTQ0ZjEyNzQzNGJhN2JmNjEyZTM0NmRhZWZhNjIiLCJwIjoic2hlZXRzLWppcmEifQ","SO-1204")</f>
        <v>SO-1204</v>
      </c>
      <c r="H2626" s="1" t="s">
        <v>1058</v>
      </c>
      <c r="I2626" s="1" t="s">
        <v>3765</v>
      </c>
      <c r="J2626" s="1" t="s">
        <v>26</v>
      </c>
      <c r="K2626" s="1" t="s">
        <v>1116</v>
      </c>
      <c r="L2626" s="1" t="s">
        <v>26</v>
      </c>
      <c r="M2626" s="1" t="s">
        <v>27</v>
      </c>
      <c r="N2626" s="1" t="s">
        <v>26</v>
      </c>
      <c r="O2626" s="1" t="s">
        <v>26</v>
      </c>
      <c r="P2626" s="4">
        <v>44315.60775462963</v>
      </c>
    </row>
    <row r="2627" hidden="1">
      <c r="A2627" s="1" t="s">
        <v>1055</v>
      </c>
      <c r="B2627" s="3" t="str">
        <f>HYPERLINK("https://hawk-eye.atlassian.net/browse/HWKREPORT-787?atlOrigin=eyJpIjoiYzgwYTQ0ZjEyNzQzNGJhN2JmNjEyZTM0NmRhZWZhNjIiLCJwIjoic2hlZXRzLWppcmEifQ","HWKREPORT-787")</f>
        <v>HWKREPORT-787</v>
      </c>
      <c r="C2627" s="1" t="s">
        <v>2000</v>
      </c>
      <c r="D2627" s="1" t="s">
        <v>83</v>
      </c>
      <c r="E2627" s="1" t="s">
        <v>1057</v>
      </c>
      <c r="F2627" s="4">
        <v>44315.643599537034</v>
      </c>
      <c r="G2627" s="3" t="str">
        <f>HYPERLINK("https://hawk-eye.atlassian.net/issues/?atlOrigin=eyJpIjoiYzgwYTQ0ZjEyNzQzNGJhN2JmNjEyZTM0NmRhZWZhNjIiLCJwIjoic2hlZXRzLWppcmEifQ&amp;jql=key+in+%28HWKREPORT-2581%2CSO-1205%29","HWKREPORT-2581;SO-1205")</f>
        <v>HWKREPORT-2581;SO-1205</v>
      </c>
      <c r="H2627" s="1" t="s">
        <v>1058</v>
      </c>
      <c r="I2627" s="1" t="s">
        <v>2001</v>
      </c>
      <c r="J2627" s="1" t="s">
        <v>26</v>
      </c>
      <c r="K2627" s="1" t="s">
        <v>1116</v>
      </c>
      <c r="L2627" s="1" t="s">
        <v>26</v>
      </c>
      <c r="M2627" s="1" t="s">
        <v>27</v>
      </c>
      <c r="N2627" s="1" t="s">
        <v>26</v>
      </c>
      <c r="O2627" s="1" t="s">
        <v>26</v>
      </c>
      <c r="P2627" s="4">
        <v>44315.643599537034</v>
      </c>
    </row>
    <row r="2628" hidden="1">
      <c r="A2628" s="1" t="s">
        <v>1055</v>
      </c>
      <c r="B2628" s="3" t="str">
        <f>HYPERLINK("https://hawk-eye.atlassian.net/browse/HWKREPORT-788?atlOrigin=eyJpIjoiYzgwYTQ0ZjEyNzQzNGJhN2JmNjEyZTM0NmRhZWZhNjIiLCJwIjoic2hlZXRzLWppcmEifQ","HWKREPORT-788")</f>
        <v>HWKREPORT-788</v>
      </c>
      <c r="C2628" s="1" t="s">
        <v>3933</v>
      </c>
      <c r="D2628" s="1" t="s">
        <v>83</v>
      </c>
      <c r="E2628" s="1" t="s">
        <v>35</v>
      </c>
      <c r="F2628" s="4">
        <v>44315.66946759259</v>
      </c>
      <c r="G2628" s="3" t="str">
        <f>HYPERLINK("https://hawk-eye.atlassian.net/browse/SO-1152?atlOrigin=eyJpIjoiYzgwYTQ0ZjEyNzQzNGJhN2JmNjEyZTM0NmRhZWZhNjIiLCJwIjoic2hlZXRzLWppcmEifQ","SO-1152")</f>
        <v>SO-1152</v>
      </c>
      <c r="H2628" s="1" t="s">
        <v>1058</v>
      </c>
      <c r="I2628" s="1" t="s">
        <v>3623</v>
      </c>
      <c r="J2628" s="1" t="s">
        <v>26</v>
      </c>
      <c r="K2628" s="1" t="s">
        <v>1116</v>
      </c>
      <c r="L2628" s="1" t="s">
        <v>26</v>
      </c>
      <c r="M2628" s="1" t="s">
        <v>27</v>
      </c>
      <c r="N2628" s="1" t="s">
        <v>26</v>
      </c>
      <c r="O2628" s="1" t="s">
        <v>26</v>
      </c>
      <c r="P2628" s="4">
        <v>45327.48474537037</v>
      </c>
    </row>
    <row r="2629" hidden="1">
      <c r="A2629" s="1" t="s">
        <v>1055</v>
      </c>
      <c r="B2629" s="3" t="str">
        <f>HYPERLINK("https://hawk-eye.atlassian.net/browse/HWKREPORT-789?atlOrigin=eyJpIjoiYzgwYTQ0ZjEyNzQzNGJhN2JmNjEyZTM0NmRhZWZhNjIiLCJwIjoic2hlZXRzLWppcmEifQ","HWKREPORT-789")</f>
        <v>HWKREPORT-789</v>
      </c>
      <c r="C2629" s="1" t="s">
        <v>3934</v>
      </c>
      <c r="D2629" s="1" t="s">
        <v>23</v>
      </c>
      <c r="E2629" s="1" t="s">
        <v>35</v>
      </c>
      <c r="F2629" s="4">
        <v>44319.046122685184</v>
      </c>
      <c r="G2629" s="3" t="str">
        <f t="shared" ref="G2629:G2632" si="179">HYPERLINK("https://hawk-eye.atlassian.net/browse/?atlOrigin=eyJpIjoiYzgwYTQ0ZjEyNzQzNGJhN2JmNjEyZTM0NmRhZWZhNjIiLCJwIjoic2hlZXRzLWppcmEifQ","")</f>
        <v/>
      </c>
      <c r="H2629" s="1" t="s">
        <v>1058</v>
      </c>
      <c r="I2629" s="1" t="s">
        <v>1126</v>
      </c>
      <c r="J2629" s="1" t="s">
        <v>26</v>
      </c>
      <c r="K2629" s="1" t="s">
        <v>1148</v>
      </c>
      <c r="L2629" s="1" t="s">
        <v>26</v>
      </c>
      <c r="M2629" s="1" t="s">
        <v>27</v>
      </c>
      <c r="N2629" s="1" t="s">
        <v>26</v>
      </c>
      <c r="O2629" s="1" t="s">
        <v>26</v>
      </c>
      <c r="P2629" s="4">
        <v>44517.561319444445</v>
      </c>
    </row>
    <row r="2630" hidden="1">
      <c r="A2630" s="1" t="s">
        <v>1055</v>
      </c>
      <c r="B2630" s="3" t="str">
        <f>HYPERLINK("https://hawk-eye.atlassian.net/browse/HWKREPORT-790?atlOrigin=eyJpIjoiYzgwYTQ0ZjEyNzQzNGJhN2JmNjEyZTM0NmRhZWZhNjIiLCJwIjoic2hlZXRzLWppcmEifQ","HWKREPORT-790")</f>
        <v>HWKREPORT-790</v>
      </c>
      <c r="C2630" s="1" t="s">
        <v>3935</v>
      </c>
      <c r="D2630" s="1" t="s">
        <v>23</v>
      </c>
      <c r="E2630" s="1" t="s">
        <v>35</v>
      </c>
      <c r="F2630" s="4">
        <v>44319.04722222222</v>
      </c>
      <c r="G2630" s="3" t="str">
        <f t="shared" si="179"/>
        <v/>
      </c>
      <c r="H2630" s="1" t="s">
        <v>1058</v>
      </c>
      <c r="I2630" s="1" t="s">
        <v>1126</v>
      </c>
      <c r="J2630" s="1" t="s">
        <v>26</v>
      </c>
      <c r="K2630" s="1" t="s">
        <v>1105</v>
      </c>
      <c r="L2630" s="1" t="s">
        <v>26</v>
      </c>
      <c r="M2630" s="1" t="s">
        <v>27</v>
      </c>
      <c r="N2630" s="1" t="s">
        <v>26</v>
      </c>
      <c r="O2630" s="1" t="s">
        <v>26</v>
      </c>
      <c r="P2630" s="4">
        <v>44329.019375</v>
      </c>
    </row>
    <row r="2631" hidden="1">
      <c r="A2631" s="1" t="s">
        <v>1055</v>
      </c>
      <c r="B2631" s="3" t="str">
        <f>HYPERLINK("https://hawk-eye.atlassian.net/browse/HWKREPORT-791?atlOrigin=eyJpIjoiYzgwYTQ0ZjEyNzQzNGJhN2JmNjEyZTM0NmRhZWZhNjIiLCJwIjoic2hlZXRzLWppcmEifQ","HWKREPORT-791")</f>
        <v>HWKREPORT-791</v>
      </c>
      <c r="C2631" s="1" t="s">
        <v>3936</v>
      </c>
      <c r="D2631" s="1" t="s">
        <v>23</v>
      </c>
      <c r="E2631" s="1" t="s">
        <v>35</v>
      </c>
      <c r="F2631" s="4">
        <v>44320.70429398148</v>
      </c>
      <c r="G2631" s="3" t="str">
        <f t="shared" si="179"/>
        <v/>
      </c>
      <c r="H2631" s="1" t="s">
        <v>1058</v>
      </c>
      <c r="I2631" s="1" t="s">
        <v>1085</v>
      </c>
      <c r="J2631" s="1" t="s">
        <v>26</v>
      </c>
      <c r="K2631" s="1" t="s">
        <v>1072</v>
      </c>
      <c r="L2631" s="1" t="s">
        <v>26</v>
      </c>
      <c r="M2631" s="1" t="s">
        <v>27</v>
      </c>
      <c r="N2631" s="1" t="s">
        <v>26</v>
      </c>
      <c r="O2631" s="1" t="s">
        <v>26</v>
      </c>
      <c r="P2631" s="4">
        <v>45216.374131944445</v>
      </c>
    </row>
    <row r="2632" hidden="1">
      <c r="A2632" s="1" t="s">
        <v>1055</v>
      </c>
      <c r="B2632" s="3" t="str">
        <f>HYPERLINK("https://hawk-eye.atlassian.net/browse/HWKREPORT-792?atlOrigin=eyJpIjoiYzgwYTQ0ZjEyNzQzNGJhN2JmNjEyZTM0NmRhZWZhNjIiLCJwIjoic2hlZXRzLWppcmEifQ","HWKREPORT-792")</f>
        <v>HWKREPORT-792</v>
      </c>
      <c r="C2632" s="1" t="s">
        <v>3937</v>
      </c>
      <c r="D2632" s="1" t="s">
        <v>23</v>
      </c>
      <c r="E2632" s="1" t="s">
        <v>35</v>
      </c>
      <c r="F2632" s="4">
        <v>44320.7415625</v>
      </c>
      <c r="G2632" s="3" t="str">
        <f t="shared" si="179"/>
        <v/>
      </c>
      <c r="H2632" s="1" t="s">
        <v>1058</v>
      </c>
      <c r="I2632" s="1" t="s">
        <v>1126</v>
      </c>
      <c r="J2632" s="1" t="s">
        <v>26</v>
      </c>
      <c r="K2632" s="1" t="s">
        <v>1148</v>
      </c>
      <c r="L2632" s="1" t="s">
        <v>26</v>
      </c>
      <c r="M2632" s="1" t="s">
        <v>27</v>
      </c>
      <c r="N2632" s="1" t="s">
        <v>26</v>
      </c>
      <c r="O2632" s="1" t="s">
        <v>26</v>
      </c>
      <c r="P2632" s="4">
        <v>45029.71800925926</v>
      </c>
    </row>
    <row r="2633" hidden="1">
      <c r="A2633" s="1" t="s">
        <v>1055</v>
      </c>
      <c r="B2633" s="3" t="str">
        <f>HYPERLINK("https://hawk-eye.atlassian.net/browse/HWKREPORT-793?atlOrigin=eyJpIjoiYzgwYTQ0ZjEyNzQzNGJhN2JmNjEyZTM0NmRhZWZhNjIiLCJwIjoic2hlZXRzLWppcmEifQ","HWKREPORT-793")</f>
        <v>HWKREPORT-793</v>
      </c>
      <c r="C2633" s="1" t="s">
        <v>3938</v>
      </c>
      <c r="D2633" s="1" t="s">
        <v>23</v>
      </c>
      <c r="E2633" s="1" t="s">
        <v>35</v>
      </c>
      <c r="F2633" s="4">
        <v>44320.77159722222</v>
      </c>
      <c r="G2633" s="3" t="str">
        <f>HYPERLINK("https://hawk-eye.atlassian.net/browse/RTT-3963?atlOrigin=eyJpIjoiYzgwYTQ0ZjEyNzQzNGJhN2JmNjEyZTM0NmRhZWZhNjIiLCJwIjoic2hlZXRzLWppcmEifQ","RTT-3963")</f>
        <v>RTT-3963</v>
      </c>
      <c r="H2633" s="1" t="s">
        <v>1058</v>
      </c>
      <c r="I2633" s="1" t="s">
        <v>1085</v>
      </c>
      <c r="J2633" s="1" t="s">
        <v>26</v>
      </c>
      <c r="K2633" s="1" t="s">
        <v>1072</v>
      </c>
      <c r="L2633" s="1" t="s">
        <v>26</v>
      </c>
      <c r="M2633" s="1" t="s">
        <v>27</v>
      </c>
      <c r="N2633" s="1" t="s">
        <v>26</v>
      </c>
      <c r="O2633" s="1" t="s">
        <v>26</v>
      </c>
      <c r="P2633" s="4">
        <v>44600.875069444446</v>
      </c>
    </row>
    <row r="2634" hidden="1">
      <c r="A2634" s="1" t="s">
        <v>21</v>
      </c>
      <c r="B2634" s="3" t="str">
        <f>HYPERLINK("https://hawk-eye.atlassian.net/browse/HWKREPORT-794?atlOrigin=eyJpIjoiYzgwYTQ0ZjEyNzQzNGJhN2JmNjEyZTM0NmRhZWZhNjIiLCJwIjoic2hlZXRzLWppcmEifQ","HWKREPORT-794")</f>
        <v>HWKREPORT-794</v>
      </c>
      <c r="C2634" s="1" t="s">
        <v>3939</v>
      </c>
      <c r="D2634" s="1" t="s">
        <v>23</v>
      </c>
      <c r="E2634" s="1" t="s">
        <v>35</v>
      </c>
      <c r="F2634" s="4">
        <v>44322.01751157407</v>
      </c>
      <c r="G2634" s="3" t="str">
        <f>HYPERLINK("https://hawk-eye.atlassian.net/browse/AL-24?atlOrigin=eyJpIjoiYzgwYTQ0ZjEyNzQzNGJhN2JmNjEyZTM0NmRhZWZhNjIiLCJwIjoic2hlZXRzLWppcmEifQ","AL-24")</f>
        <v>AL-24</v>
      </c>
      <c r="H2634" s="1" t="s">
        <v>1058</v>
      </c>
      <c r="I2634" s="1" t="s">
        <v>1071</v>
      </c>
      <c r="J2634" s="1" t="s">
        <v>26</v>
      </c>
      <c r="K2634" s="1" t="s">
        <v>1276</v>
      </c>
      <c r="L2634" s="1" t="s">
        <v>26</v>
      </c>
      <c r="M2634" s="1" t="s">
        <v>27</v>
      </c>
      <c r="N2634" s="1" t="s">
        <v>26</v>
      </c>
      <c r="O2634" s="1" t="s">
        <v>26</v>
      </c>
      <c r="P2634" s="4">
        <v>44322.74377314815</v>
      </c>
    </row>
    <row r="2635" hidden="1">
      <c r="A2635" s="1" t="s">
        <v>1055</v>
      </c>
      <c r="B2635" s="3" t="str">
        <f>HYPERLINK("https://hawk-eye.atlassian.net/browse/HWKREPORT-795?atlOrigin=eyJpIjoiYzgwYTQ0ZjEyNzQzNGJhN2JmNjEyZTM0NmRhZWZhNjIiLCJwIjoic2hlZXRzLWppcmEifQ","HWKREPORT-795")</f>
        <v>HWKREPORT-795</v>
      </c>
      <c r="C2635" s="1" t="s">
        <v>3940</v>
      </c>
      <c r="D2635" s="1" t="s">
        <v>23</v>
      </c>
      <c r="E2635" s="1" t="s">
        <v>35</v>
      </c>
      <c r="F2635" s="4">
        <v>44322.02005787037</v>
      </c>
      <c r="G2635" s="3" t="str">
        <f>HYPERLINK("https://hawk-eye.atlassian.net/browse/AL-16?atlOrigin=eyJpIjoiYzgwYTQ0ZjEyNzQzNGJhN2JmNjEyZTM0NmRhZWZhNjIiLCJwIjoic2hlZXRzLWppcmEifQ","AL-16")</f>
        <v>AL-16</v>
      </c>
      <c r="H2635" s="1" t="s">
        <v>1058</v>
      </c>
      <c r="I2635" s="1" t="s">
        <v>1071</v>
      </c>
      <c r="J2635" s="1" t="s">
        <v>26</v>
      </c>
      <c r="K2635" s="1" t="s">
        <v>1276</v>
      </c>
      <c r="L2635" s="1" t="s">
        <v>26</v>
      </c>
      <c r="M2635" s="1" t="s">
        <v>27</v>
      </c>
      <c r="N2635" s="1" t="s">
        <v>26</v>
      </c>
      <c r="O2635" s="1" t="s">
        <v>26</v>
      </c>
      <c r="P2635" s="4">
        <v>44322.743414351855</v>
      </c>
    </row>
    <row r="2636" hidden="1">
      <c r="A2636" s="1" t="s">
        <v>21</v>
      </c>
      <c r="B2636" s="3" t="str">
        <f>HYPERLINK("https://hawk-eye.atlassian.net/browse/HWKREPORT-796?atlOrigin=eyJpIjoiYzgwYTQ0ZjEyNzQzNGJhN2JmNjEyZTM0NmRhZWZhNjIiLCJwIjoic2hlZXRzLWppcmEifQ","HWKREPORT-796")</f>
        <v>HWKREPORT-796</v>
      </c>
      <c r="C2636" s="1" t="s">
        <v>3941</v>
      </c>
      <c r="D2636" s="1" t="s">
        <v>23</v>
      </c>
      <c r="E2636" s="1" t="s">
        <v>35</v>
      </c>
      <c r="F2636" s="4">
        <v>44322.03666666667</v>
      </c>
      <c r="G2636" s="3" t="str">
        <f>HYPERLINK("https://hawk-eye.atlassian.net/browse/BDP-231?atlOrigin=eyJpIjoiYzgwYTQ0ZjEyNzQzNGJhN2JmNjEyZTM0NmRhZWZhNjIiLCJwIjoic2hlZXRzLWppcmEifQ","BDP-231")</f>
        <v>BDP-231</v>
      </c>
      <c r="H2636" s="1" t="s">
        <v>1058</v>
      </c>
      <c r="I2636" s="1" t="s">
        <v>1071</v>
      </c>
      <c r="J2636" s="1" t="s">
        <v>26</v>
      </c>
      <c r="K2636" s="1" t="s">
        <v>2841</v>
      </c>
      <c r="L2636" s="1" t="s">
        <v>26</v>
      </c>
      <c r="M2636" s="1" t="s">
        <v>27</v>
      </c>
      <c r="N2636" s="1" t="s">
        <v>26</v>
      </c>
      <c r="O2636" s="1" t="s">
        <v>26</v>
      </c>
      <c r="P2636" s="4">
        <v>44600.8746875</v>
      </c>
    </row>
    <row r="2637" hidden="1">
      <c r="A2637" s="1" t="s">
        <v>21</v>
      </c>
      <c r="B2637" s="3" t="str">
        <f>HYPERLINK("https://hawk-eye.atlassian.net/browse/HWKREPORT-797?atlOrigin=eyJpIjoiYzgwYTQ0ZjEyNzQzNGJhN2JmNjEyZTM0NmRhZWZhNjIiLCJwIjoic2hlZXRzLWppcmEifQ","HWKREPORT-797")</f>
        <v>HWKREPORT-797</v>
      </c>
      <c r="C2637" s="1" t="s">
        <v>3942</v>
      </c>
      <c r="D2637" s="1" t="s">
        <v>23</v>
      </c>
      <c r="E2637" s="1" t="s">
        <v>35</v>
      </c>
      <c r="F2637" s="4">
        <v>44322.04021990741</v>
      </c>
      <c r="G2637" s="3" t="str">
        <f>HYPERLINK("https://hawk-eye.atlassian.net/browse/BDP-232?atlOrigin=eyJpIjoiYzgwYTQ0ZjEyNzQzNGJhN2JmNjEyZTM0NmRhZWZhNjIiLCJwIjoic2hlZXRzLWppcmEifQ","BDP-232")</f>
        <v>BDP-232</v>
      </c>
      <c r="H2637" s="1" t="s">
        <v>1058</v>
      </c>
      <c r="I2637" s="1" t="s">
        <v>1071</v>
      </c>
      <c r="J2637" s="1" t="s">
        <v>26</v>
      </c>
      <c r="K2637" s="1" t="s">
        <v>3907</v>
      </c>
      <c r="L2637" s="1" t="s">
        <v>26</v>
      </c>
      <c r="M2637" s="1" t="s">
        <v>27</v>
      </c>
      <c r="N2637" s="1" t="s">
        <v>26</v>
      </c>
      <c r="O2637" s="1" t="s">
        <v>26</v>
      </c>
      <c r="P2637" s="4">
        <v>44600.8746875</v>
      </c>
    </row>
    <row r="2638" hidden="1">
      <c r="A2638" s="1" t="s">
        <v>21</v>
      </c>
      <c r="B2638" s="3" t="str">
        <f>HYPERLINK("https://hawk-eye.atlassian.net/browse/HWKREPORT-798?atlOrigin=eyJpIjoiYzgwYTQ0ZjEyNzQzNGJhN2JmNjEyZTM0NmRhZWZhNjIiLCJwIjoic2hlZXRzLWppcmEifQ","HWKREPORT-798")</f>
        <v>HWKREPORT-798</v>
      </c>
      <c r="C2638" s="1" t="s">
        <v>3943</v>
      </c>
      <c r="D2638" s="1" t="s">
        <v>34</v>
      </c>
      <c r="E2638" s="1" t="s">
        <v>35</v>
      </c>
      <c r="F2638" s="4">
        <v>44324.78533564815</v>
      </c>
      <c r="G2638" s="3" t="str">
        <f>HYPERLINK("https://hawk-eye.atlassian.net/browse/RTT-3962?atlOrigin=eyJpIjoiYzgwYTQ0ZjEyNzQzNGJhN2JmNjEyZTM0NmRhZWZhNjIiLCJwIjoic2hlZXRzLWppcmEifQ","RTT-3962")</f>
        <v>RTT-3962</v>
      </c>
      <c r="H2638" s="1" t="s">
        <v>1058</v>
      </c>
      <c r="I2638" s="1" t="s">
        <v>1126</v>
      </c>
      <c r="J2638" s="1" t="s">
        <v>26</v>
      </c>
      <c r="K2638" s="1" t="s">
        <v>1362</v>
      </c>
      <c r="L2638" s="1" t="s">
        <v>26</v>
      </c>
      <c r="M2638" s="1" t="s">
        <v>27</v>
      </c>
      <c r="N2638" s="1" t="s">
        <v>26</v>
      </c>
      <c r="O2638" s="1" t="s">
        <v>26</v>
      </c>
      <c r="P2638" s="4">
        <v>44600.87527777778</v>
      </c>
    </row>
    <row r="2639" hidden="1">
      <c r="A2639" s="1" t="s">
        <v>21</v>
      </c>
      <c r="B2639" s="3" t="str">
        <f>HYPERLINK("https://hawk-eye.atlassian.net/browse/HWKREPORT-799?atlOrigin=eyJpIjoiYzgwYTQ0ZjEyNzQzNGJhN2JmNjEyZTM0NmRhZWZhNjIiLCJwIjoic2hlZXRzLWppcmEifQ","HWKREPORT-799")</f>
        <v>HWKREPORT-799</v>
      </c>
      <c r="C2639" s="1" t="s">
        <v>3944</v>
      </c>
      <c r="D2639" s="1" t="s">
        <v>23</v>
      </c>
      <c r="E2639" s="1" t="s">
        <v>35</v>
      </c>
      <c r="F2639" s="4">
        <v>44326.664502314816</v>
      </c>
      <c r="G2639" s="3" t="str">
        <f t="shared" ref="G2639:G2642" si="180">HYPERLINK("https://hawk-eye.atlassian.net/browse/?atlOrigin=eyJpIjoiYzgwYTQ0ZjEyNzQzNGJhN2JmNjEyZTM0NmRhZWZhNjIiLCJwIjoic2hlZXRzLWppcmEifQ","")</f>
        <v/>
      </c>
      <c r="H2639" s="1" t="s">
        <v>1058</v>
      </c>
      <c r="I2639" s="1" t="s">
        <v>1085</v>
      </c>
      <c r="J2639" s="1" t="s">
        <v>26</v>
      </c>
      <c r="K2639" s="1" t="s">
        <v>1114</v>
      </c>
      <c r="L2639" s="1" t="s">
        <v>26</v>
      </c>
      <c r="M2639" s="1" t="s">
        <v>27</v>
      </c>
      <c r="N2639" s="1" t="s">
        <v>26</v>
      </c>
      <c r="O2639" s="1" t="s">
        <v>26</v>
      </c>
      <c r="P2639" s="4">
        <v>45337.673310185186</v>
      </c>
    </row>
    <row r="2640" hidden="1">
      <c r="A2640" s="1" t="s">
        <v>21</v>
      </c>
      <c r="B2640" s="3" t="str">
        <f>HYPERLINK("https://hawk-eye.atlassian.net/browse/HWKREPORT-800?atlOrigin=eyJpIjoiYzgwYTQ0ZjEyNzQzNGJhN2JmNjEyZTM0NmRhZWZhNjIiLCJwIjoic2hlZXRzLWppcmEifQ","HWKREPORT-800")</f>
        <v>HWKREPORT-800</v>
      </c>
      <c r="C2640" s="1" t="s">
        <v>3945</v>
      </c>
      <c r="D2640" s="1" t="s">
        <v>23</v>
      </c>
      <c r="E2640" s="1" t="s">
        <v>35</v>
      </c>
      <c r="F2640" s="4">
        <v>44326.67400462963</v>
      </c>
      <c r="G2640" s="3" t="str">
        <f t="shared" si="180"/>
        <v/>
      </c>
      <c r="H2640" s="1" t="s">
        <v>1058</v>
      </c>
      <c r="I2640" s="1" t="s">
        <v>1085</v>
      </c>
      <c r="J2640" s="1" t="s">
        <v>26</v>
      </c>
      <c r="K2640" s="1" t="s">
        <v>1114</v>
      </c>
      <c r="L2640" s="1" t="s">
        <v>26</v>
      </c>
      <c r="M2640" s="1" t="s">
        <v>27</v>
      </c>
      <c r="N2640" s="1" t="s">
        <v>26</v>
      </c>
      <c r="O2640" s="1" t="s">
        <v>26</v>
      </c>
      <c r="P2640" s="4">
        <v>45337.673171296294</v>
      </c>
    </row>
    <row r="2641" hidden="1">
      <c r="A2641" s="1" t="s">
        <v>21</v>
      </c>
      <c r="B2641" s="3" t="str">
        <f>HYPERLINK("https://hawk-eye.atlassian.net/browse/HWKREPORT-801?atlOrigin=eyJpIjoiYzgwYTQ0ZjEyNzQzNGJhN2JmNjEyZTM0NmRhZWZhNjIiLCJwIjoic2hlZXRzLWppcmEifQ","HWKREPORT-801")</f>
        <v>HWKREPORT-801</v>
      </c>
      <c r="C2641" s="1" t="s">
        <v>3946</v>
      </c>
      <c r="D2641" s="1" t="s">
        <v>23</v>
      </c>
      <c r="E2641" s="1" t="s">
        <v>35</v>
      </c>
      <c r="F2641" s="4">
        <v>44326.67621527778</v>
      </c>
      <c r="G2641" s="3" t="str">
        <f t="shared" si="180"/>
        <v/>
      </c>
      <c r="H2641" s="1" t="s">
        <v>1058</v>
      </c>
      <c r="I2641" s="1" t="s">
        <v>1085</v>
      </c>
      <c r="J2641" s="1" t="s">
        <v>26</v>
      </c>
      <c r="K2641" s="1" t="s">
        <v>1148</v>
      </c>
      <c r="L2641" s="1" t="s">
        <v>26</v>
      </c>
      <c r="M2641" s="1" t="s">
        <v>27</v>
      </c>
      <c r="N2641" s="1" t="s">
        <v>26</v>
      </c>
      <c r="O2641" s="1" t="s">
        <v>26</v>
      </c>
      <c r="P2641" s="4">
        <v>45337.67287037037</v>
      </c>
    </row>
    <row r="2642" hidden="1">
      <c r="A2642" s="1" t="s">
        <v>21</v>
      </c>
      <c r="B2642" s="3" t="str">
        <f>HYPERLINK("https://hawk-eye.atlassian.net/browse/HWKREPORT-802?atlOrigin=eyJpIjoiYzgwYTQ0ZjEyNzQzNGJhN2JmNjEyZTM0NmRhZWZhNjIiLCJwIjoic2hlZXRzLWppcmEifQ","HWKREPORT-802")</f>
        <v>HWKREPORT-802</v>
      </c>
      <c r="C2642" s="1" t="s">
        <v>3947</v>
      </c>
      <c r="D2642" s="1" t="s">
        <v>23</v>
      </c>
      <c r="E2642" s="1" t="s">
        <v>35</v>
      </c>
      <c r="F2642" s="4">
        <v>44327.50069444445</v>
      </c>
      <c r="G2642" s="3" t="str">
        <f t="shared" si="180"/>
        <v/>
      </c>
      <c r="H2642" s="1" t="s">
        <v>1058</v>
      </c>
      <c r="I2642" s="1" t="s">
        <v>1085</v>
      </c>
      <c r="J2642" s="1" t="s">
        <v>26</v>
      </c>
      <c r="K2642" s="1" t="s">
        <v>1148</v>
      </c>
      <c r="L2642" s="1" t="s">
        <v>26</v>
      </c>
      <c r="M2642" s="1" t="s">
        <v>27</v>
      </c>
      <c r="N2642" s="1" t="s">
        <v>26</v>
      </c>
      <c r="O2642" s="1" t="s">
        <v>26</v>
      </c>
      <c r="P2642" s="4">
        <v>44336.72578703704</v>
      </c>
    </row>
    <row r="2643" hidden="1">
      <c r="A2643" s="1" t="s">
        <v>21</v>
      </c>
      <c r="B2643" s="3" t="str">
        <f>HYPERLINK("https://hawk-eye.atlassian.net/browse/HWKREPORT-803?atlOrigin=eyJpIjoiYzgwYTQ0ZjEyNzQzNGJhN2JmNjEyZTM0NmRhZWZhNjIiLCJwIjoic2hlZXRzLWppcmEifQ","HWKREPORT-803")</f>
        <v>HWKREPORT-803</v>
      </c>
      <c r="C2643" s="1" t="s">
        <v>3948</v>
      </c>
      <c r="D2643" s="1" t="s">
        <v>40</v>
      </c>
      <c r="E2643" s="1" t="s">
        <v>35</v>
      </c>
      <c r="F2643" s="4">
        <v>44327.63046296296</v>
      </c>
      <c r="G2643" s="3" t="str">
        <f>HYPERLINK("https://hawk-eye.atlassian.net/browse/BDP-242?atlOrigin=eyJpIjoiYzgwYTQ0ZjEyNzQzNGJhN2JmNjEyZTM0NmRhZWZhNjIiLCJwIjoic2hlZXRzLWppcmEifQ","BDP-242")</f>
        <v>BDP-242</v>
      </c>
      <c r="H2643" s="1" t="s">
        <v>1058</v>
      </c>
      <c r="I2643" s="1" t="s">
        <v>1071</v>
      </c>
      <c r="J2643" s="1" t="s">
        <v>26</v>
      </c>
      <c r="K2643" s="1" t="s">
        <v>2841</v>
      </c>
      <c r="L2643" s="1" t="s">
        <v>26</v>
      </c>
      <c r="M2643" s="1" t="s">
        <v>27</v>
      </c>
      <c r="N2643" s="1" t="s">
        <v>26</v>
      </c>
      <c r="O2643" s="1" t="s">
        <v>26</v>
      </c>
      <c r="P2643" s="4">
        <v>44600.87478009259</v>
      </c>
    </row>
    <row r="2644" hidden="1">
      <c r="A2644" s="1" t="s">
        <v>21</v>
      </c>
      <c r="B2644" s="3" t="str">
        <f>HYPERLINK("https://hawk-eye.atlassian.net/browse/HWKREPORT-804?atlOrigin=eyJpIjoiYzgwYTQ0ZjEyNzQzNGJhN2JmNjEyZTM0NmRhZWZhNjIiLCJwIjoic2hlZXRzLWppcmEifQ","HWKREPORT-804")</f>
        <v>HWKREPORT-804</v>
      </c>
      <c r="C2644" s="1" t="s">
        <v>3949</v>
      </c>
      <c r="D2644" s="1" t="s">
        <v>23</v>
      </c>
      <c r="E2644" s="1" t="s">
        <v>35</v>
      </c>
      <c r="F2644" s="4">
        <v>44327.64806712963</v>
      </c>
      <c r="G2644" s="3" t="str">
        <f>HYPERLINK("https://hawk-eye.atlassian.net/browse/?atlOrigin=eyJpIjoiYzgwYTQ0ZjEyNzQzNGJhN2JmNjEyZTM0NmRhZWZhNjIiLCJwIjoic2hlZXRzLWppcmEifQ","")</f>
        <v/>
      </c>
      <c r="H2644" s="1" t="s">
        <v>1058</v>
      </c>
      <c r="I2644" s="1" t="s">
        <v>1126</v>
      </c>
      <c r="J2644" s="1" t="s">
        <v>26</v>
      </c>
      <c r="K2644" s="1" t="s">
        <v>1105</v>
      </c>
      <c r="L2644" s="1" t="s">
        <v>26</v>
      </c>
      <c r="M2644" s="1" t="s">
        <v>27</v>
      </c>
      <c r="N2644" s="1" t="s">
        <v>26</v>
      </c>
      <c r="O2644" s="1" t="s">
        <v>26</v>
      </c>
      <c r="P2644" s="4">
        <v>44600.87480324074</v>
      </c>
    </row>
    <row r="2645" hidden="1">
      <c r="A2645" s="1" t="s">
        <v>1055</v>
      </c>
      <c r="B2645" s="3" t="str">
        <f>HYPERLINK("https://hawk-eye.atlassian.net/browse/HWKREPORT-805?atlOrigin=eyJpIjoiYzgwYTQ0ZjEyNzQzNGJhN2JmNjEyZTM0NmRhZWZhNjIiLCJwIjoic2hlZXRzLWppcmEifQ","HWKREPORT-805")</f>
        <v>HWKREPORT-805</v>
      </c>
      <c r="C2645" s="1" t="s">
        <v>3950</v>
      </c>
      <c r="D2645" s="1" t="s">
        <v>23</v>
      </c>
      <c r="E2645" s="1" t="s">
        <v>35</v>
      </c>
      <c r="F2645" s="4">
        <v>44327.81203703704</v>
      </c>
      <c r="G2645" s="3" t="str">
        <f>HYPERLINK("https://hawk-eye.atlassian.net/browse/AL-3?atlOrigin=eyJpIjoiYzgwYTQ0ZjEyNzQzNGJhN2JmNjEyZTM0NmRhZWZhNjIiLCJwIjoic2hlZXRzLWppcmEifQ","AL-3")</f>
        <v>AL-3</v>
      </c>
      <c r="H2645" s="1" t="s">
        <v>1058</v>
      </c>
      <c r="I2645" s="1" t="s">
        <v>1071</v>
      </c>
      <c r="J2645" s="1" t="s">
        <v>26</v>
      </c>
      <c r="K2645" s="1" t="s">
        <v>1898</v>
      </c>
      <c r="L2645" s="1" t="s">
        <v>26</v>
      </c>
      <c r="M2645" s="1" t="s">
        <v>27</v>
      </c>
      <c r="N2645" s="1" t="s">
        <v>26</v>
      </c>
      <c r="O2645" s="1" t="s">
        <v>26</v>
      </c>
      <c r="P2645" s="4">
        <v>44582.44496527778</v>
      </c>
    </row>
    <row r="2646" hidden="1">
      <c r="A2646" s="1" t="s">
        <v>1055</v>
      </c>
      <c r="B2646" s="3" t="str">
        <f>HYPERLINK("https://hawk-eye.atlassian.net/browse/HWKREPORT-806?atlOrigin=eyJpIjoiYzgwYTQ0ZjEyNzQzNGJhN2JmNjEyZTM0NmRhZWZhNjIiLCJwIjoic2hlZXRzLWppcmEifQ","HWKREPORT-806")</f>
        <v>HWKREPORT-806</v>
      </c>
      <c r="C2646" s="1" t="s">
        <v>3951</v>
      </c>
      <c r="D2646" s="1" t="s">
        <v>23</v>
      </c>
      <c r="E2646" s="1" t="s">
        <v>35</v>
      </c>
      <c r="F2646" s="4">
        <v>44327.82314814815</v>
      </c>
      <c r="G2646" s="3" t="str">
        <f>HYPERLINK("https://hawk-eye.atlassian.net/browse/AL-4?atlOrigin=eyJpIjoiYzgwYTQ0ZjEyNzQzNGJhN2JmNjEyZTM0NmRhZWZhNjIiLCJwIjoic2hlZXRzLWppcmEifQ","AL-4")</f>
        <v>AL-4</v>
      </c>
      <c r="H2646" s="1" t="s">
        <v>1058</v>
      </c>
      <c r="I2646" s="1" t="s">
        <v>1071</v>
      </c>
      <c r="J2646" s="1" t="s">
        <v>26</v>
      </c>
      <c r="K2646" s="1" t="s">
        <v>1898</v>
      </c>
      <c r="L2646" s="1" t="s">
        <v>26</v>
      </c>
      <c r="M2646" s="1" t="s">
        <v>27</v>
      </c>
      <c r="N2646" s="1" t="s">
        <v>26</v>
      </c>
      <c r="O2646" s="1" t="s">
        <v>26</v>
      </c>
      <c r="P2646" s="4">
        <v>44600.87466435185</v>
      </c>
    </row>
    <row r="2647" hidden="1">
      <c r="A2647" s="1" t="s">
        <v>21</v>
      </c>
      <c r="B2647" s="3" t="str">
        <f>HYPERLINK("https://hawk-eye.atlassian.net/browse/HWKREPORT-807?atlOrigin=eyJpIjoiYzgwYTQ0ZjEyNzQzNGJhN2JmNjEyZTM0NmRhZWZhNjIiLCJwIjoic2hlZXRzLWppcmEifQ","HWKREPORT-807")</f>
        <v>HWKREPORT-807</v>
      </c>
      <c r="C2647" s="1" t="s">
        <v>3952</v>
      </c>
      <c r="D2647" s="1" t="s">
        <v>34</v>
      </c>
      <c r="E2647" s="1" t="s">
        <v>35</v>
      </c>
      <c r="F2647" s="4">
        <v>44329.21439814815</v>
      </c>
      <c r="G2647" s="3" t="str">
        <f>HYPERLINK("https://hawk-eye.atlassian.net/browse/AL-6?atlOrigin=eyJpIjoiYzgwYTQ0ZjEyNzQzNGJhN2JmNjEyZTM0NmRhZWZhNjIiLCJwIjoic2hlZXRzLWppcmEifQ","AL-6")</f>
        <v>AL-6</v>
      </c>
      <c r="H2647" s="1" t="s">
        <v>1058</v>
      </c>
      <c r="I2647" s="1" t="s">
        <v>1071</v>
      </c>
      <c r="J2647" s="1" t="s">
        <v>26</v>
      </c>
      <c r="K2647" s="1" t="s">
        <v>1898</v>
      </c>
      <c r="L2647" s="1" t="s">
        <v>26</v>
      </c>
      <c r="M2647" s="1" t="s">
        <v>27</v>
      </c>
      <c r="N2647" s="1" t="s">
        <v>26</v>
      </c>
      <c r="O2647" s="1" t="s">
        <v>26</v>
      </c>
      <c r="P2647" s="4">
        <v>44600.87465277778</v>
      </c>
    </row>
    <row r="2648" hidden="1">
      <c r="A2648" s="1" t="s">
        <v>1055</v>
      </c>
      <c r="B2648" s="3" t="str">
        <f>HYPERLINK("https://hawk-eye.atlassian.net/browse/HWKREPORT-808?atlOrigin=eyJpIjoiYzgwYTQ0ZjEyNzQzNGJhN2JmNjEyZTM0NmRhZWZhNjIiLCJwIjoic2hlZXRzLWppcmEifQ","HWKREPORT-808")</f>
        <v>HWKREPORT-808</v>
      </c>
      <c r="C2648" s="1" t="s">
        <v>3953</v>
      </c>
      <c r="D2648" s="1" t="s">
        <v>23</v>
      </c>
      <c r="E2648" s="1" t="s">
        <v>35</v>
      </c>
      <c r="F2648" s="4">
        <v>44329.238958333335</v>
      </c>
      <c r="G2648" s="3" t="str">
        <f>HYPERLINK("https://hawk-eye.atlassian.net/browse/?atlOrigin=eyJpIjoiYzgwYTQ0ZjEyNzQzNGJhN2JmNjEyZTM0NmRhZWZhNjIiLCJwIjoic2hlZXRzLWppcmEifQ","")</f>
        <v/>
      </c>
      <c r="H2648" s="1" t="s">
        <v>1058</v>
      </c>
      <c r="I2648" s="1" t="s">
        <v>1071</v>
      </c>
      <c r="J2648" s="1" t="s">
        <v>26</v>
      </c>
      <c r="K2648" s="1" t="s">
        <v>1898</v>
      </c>
      <c r="L2648" s="1" t="s">
        <v>26</v>
      </c>
      <c r="M2648" s="1" t="s">
        <v>27</v>
      </c>
      <c r="N2648" s="1" t="s">
        <v>26</v>
      </c>
      <c r="O2648" s="1" t="s">
        <v>26</v>
      </c>
      <c r="P2648" s="4">
        <v>44582.44479166667</v>
      </c>
    </row>
    <row r="2649" hidden="1">
      <c r="A2649" s="1" t="s">
        <v>1055</v>
      </c>
      <c r="B2649" s="3" t="str">
        <f>HYPERLINK("https://hawk-eye.atlassian.net/browse/HWKREPORT-809?atlOrigin=eyJpIjoiYzgwYTQ0ZjEyNzQzNGJhN2JmNjEyZTM0NmRhZWZhNjIiLCJwIjoic2hlZXRzLWppcmEifQ","HWKREPORT-809")</f>
        <v>HWKREPORT-809</v>
      </c>
      <c r="C2649" s="1" t="s">
        <v>3954</v>
      </c>
      <c r="D2649" s="1" t="s">
        <v>23</v>
      </c>
      <c r="E2649" s="1" t="s">
        <v>35</v>
      </c>
      <c r="F2649" s="4">
        <v>44329.24689814815</v>
      </c>
      <c r="G2649" s="3" t="str">
        <f>HYPERLINK("https://hawk-eye.atlassian.net/browse/AL-2?atlOrigin=eyJpIjoiYzgwYTQ0ZjEyNzQzNGJhN2JmNjEyZTM0NmRhZWZhNjIiLCJwIjoic2hlZXRzLWppcmEifQ","AL-2")</f>
        <v>AL-2</v>
      </c>
      <c r="H2649" s="1" t="s">
        <v>1058</v>
      </c>
      <c r="I2649" s="1" t="s">
        <v>1071</v>
      </c>
      <c r="J2649" s="1" t="s">
        <v>26</v>
      </c>
      <c r="K2649" s="1" t="s">
        <v>1898</v>
      </c>
      <c r="L2649" s="1" t="s">
        <v>26</v>
      </c>
      <c r="M2649" s="1" t="s">
        <v>27</v>
      </c>
      <c r="N2649" s="1" t="s">
        <v>26</v>
      </c>
      <c r="O2649" s="1" t="s">
        <v>26</v>
      </c>
      <c r="P2649" s="4">
        <v>44337.361759259256</v>
      </c>
    </row>
    <row r="2650" hidden="1">
      <c r="A2650" s="1" t="s">
        <v>21</v>
      </c>
      <c r="B2650" s="3" t="str">
        <f>HYPERLINK("https://hawk-eye.atlassian.net/browse/HWKREPORT-810?atlOrigin=eyJpIjoiYzgwYTQ0ZjEyNzQzNGJhN2JmNjEyZTM0NmRhZWZhNjIiLCJwIjoic2hlZXRzLWppcmEifQ","HWKREPORT-810")</f>
        <v>HWKREPORT-810</v>
      </c>
      <c r="C2650" s="1" t="s">
        <v>3955</v>
      </c>
      <c r="D2650" s="1" t="s">
        <v>83</v>
      </c>
      <c r="E2650" s="1" t="s">
        <v>35</v>
      </c>
      <c r="F2650" s="4">
        <v>44329.34354166667</v>
      </c>
      <c r="G2650" s="3" t="str">
        <f>HYPERLINK("https://hawk-eye.atlassian.net/browse/AL-11?atlOrigin=eyJpIjoiYzgwYTQ0ZjEyNzQzNGJhN2JmNjEyZTM0NmRhZWZhNjIiLCJwIjoic2hlZXRzLWppcmEifQ","AL-11")</f>
        <v>AL-11</v>
      </c>
      <c r="H2650" s="1" t="s">
        <v>1058</v>
      </c>
      <c r="I2650" s="1" t="s">
        <v>1071</v>
      </c>
      <c r="J2650" s="1" t="s">
        <v>26</v>
      </c>
      <c r="K2650" s="1" t="s">
        <v>1898</v>
      </c>
      <c r="L2650" s="1" t="s">
        <v>26</v>
      </c>
      <c r="M2650" s="1" t="s">
        <v>27</v>
      </c>
      <c r="N2650" s="1" t="s">
        <v>26</v>
      </c>
      <c r="O2650" s="1" t="s">
        <v>26</v>
      </c>
      <c r="P2650" s="4">
        <v>44600.87513888889</v>
      </c>
    </row>
    <row r="2651" hidden="1">
      <c r="A2651" s="1" t="s">
        <v>21</v>
      </c>
      <c r="B2651" s="3" t="str">
        <f>HYPERLINK("https://hawk-eye.atlassian.net/browse/HWKREPORT-811?atlOrigin=eyJpIjoiYzgwYTQ0ZjEyNzQzNGJhN2JmNjEyZTM0NmRhZWZhNjIiLCJwIjoic2hlZXRzLWppcmEifQ","HWKREPORT-811")</f>
        <v>HWKREPORT-811</v>
      </c>
      <c r="C2651" s="1" t="s">
        <v>3956</v>
      </c>
      <c r="D2651" s="1" t="s">
        <v>34</v>
      </c>
      <c r="E2651" s="1" t="s">
        <v>35</v>
      </c>
      <c r="F2651" s="4">
        <v>44329.42700231481</v>
      </c>
      <c r="G2651" s="3" t="str">
        <f>HYPERLINK("https://hawk-eye.atlassian.net/browse/AL-10?atlOrigin=eyJpIjoiYzgwYTQ0ZjEyNzQzNGJhN2JmNjEyZTM0NmRhZWZhNjIiLCJwIjoic2hlZXRzLWppcmEifQ","AL-10")</f>
        <v>AL-10</v>
      </c>
      <c r="H2651" s="1" t="s">
        <v>1058</v>
      </c>
      <c r="I2651" s="1" t="s">
        <v>1071</v>
      </c>
      <c r="J2651" s="1" t="s">
        <v>26</v>
      </c>
      <c r="K2651" s="1" t="s">
        <v>1898</v>
      </c>
      <c r="L2651" s="1" t="s">
        <v>26</v>
      </c>
      <c r="M2651" s="1" t="s">
        <v>27</v>
      </c>
      <c r="N2651" s="1" t="s">
        <v>26</v>
      </c>
      <c r="O2651" s="1" t="s">
        <v>26</v>
      </c>
      <c r="P2651" s="4">
        <v>44334.499548611115</v>
      </c>
    </row>
    <row r="2652" hidden="1">
      <c r="A2652" s="1" t="s">
        <v>21</v>
      </c>
      <c r="B2652" s="3" t="str">
        <f>HYPERLINK("https://hawk-eye.atlassian.net/browse/HWKREPORT-812?atlOrigin=eyJpIjoiYzgwYTQ0ZjEyNzQzNGJhN2JmNjEyZTM0NmRhZWZhNjIiLCJwIjoic2hlZXRzLWppcmEifQ","HWKREPORT-812")</f>
        <v>HWKREPORT-812</v>
      </c>
      <c r="C2652" s="1" t="s">
        <v>3957</v>
      </c>
      <c r="D2652" s="1" t="s">
        <v>23</v>
      </c>
      <c r="E2652" s="1" t="s">
        <v>35</v>
      </c>
      <c r="F2652" s="4">
        <v>44329.494618055556</v>
      </c>
      <c r="G2652" s="3" t="str">
        <f>HYPERLINK("https://hawk-eye.atlassian.net/browse/VVC-228?atlOrigin=eyJpIjoiYzgwYTQ0ZjEyNzQzNGJhN2JmNjEyZTM0NmRhZWZhNjIiLCJwIjoic2hlZXRzLWppcmEifQ","VVC-228")</f>
        <v>VVC-228</v>
      </c>
      <c r="H2652" s="1" t="s">
        <v>1058</v>
      </c>
      <c r="I2652" s="1" t="s">
        <v>1082</v>
      </c>
      <c r="J2652" s="1" t="s">
        <v>26</v>
      </c>
      <c r="K2652" s="1" t="s">
        <v>1247</v>
      </c>
      <c r="L2652" s="1" t="s">
        <v>26</v>
      </c>
      <c r="M2652" s="1" t="s">
        <v>27</v>
      </c>
      <c r="N2652" s="1" t="s">
        <v>26</v>
      </c>
      <c r="O2652" s="1" t="s">
        <v>26</v>
      </c>
      <c r="P2652" s="4">
        <v>44600.87513888889</v>
      </c>
    </row>
    <row r="2653" hidden="1">
      <c r="A2653" s="1" t="s">
        <v>21</v>
      </c>
      <c r="B2653" s="3" t="str">
        <f>HYPERLINK("https://hawk-eye.atlassian.net/browse/HWKREPORT-813?atlOrigin=eyJpIjoiYzgwYTQ0ZjEyNzQzNGJhN2JmNjEyZTM0NmRhZWZhNjIiLCJwIjoic2hlZXRzLWppcmEifQ","HWKREPORT-813")</f>
        <v>HWKREPORT-813</v>
      </c>
      <c r="C2653" s="1" t="s">
        <v>3958</v>
      </c>
      <c r="D2653" s="1" t="s">
        <v>34</v>
      </c>
      <c r="E2653" s="1" t="s">
        <v>35</v>
      </c>
      <c r="F2653" s="4">
        <v>44329.65111111111</v>
      </c>
      <c r="G2653" s="3" t="str">
        <f>HYPERLINK("https://hawk-eye.atlassian.net/browse/?atlOrigin=eyJpIjoiYzgwYTQ0ZjEyNzQzNGJhN2JmNjEyZTM0NmRhZWZhNjIiLCJwIjoic2hlZXRzLWppcmEifQ","")</f>
        <v/>
      </c>
      <c r="H2653" s="1" t="s">
        <v>1058</v>
      </c>
      <c r="I2653" s="1" t="s">
        <v>1085</v>
      </c>
      <c r="J2653" s="1" t="s">
        <v>26</v>
      </c>
      <c r="K2653" s="1" t="s">
        <v>1134</v>
      </c>
      <c r="L2653" s="1" t="s">
        <v>26</v>
      </c>
      <c r="M2653" s="1" t="s">
        <v>27</v>
      </c>
      <c r="N2653" s="1" t="s">
        <v>26</v>
      </c>
      <c r="O2653" s="1" t="s">
        <v>26</v>
      </c>
      <c r="P2653" s="4">
        <v>44477.54540509259</v>
      </c>
    </row>
    <row r="2654" hidden="1">
      <c r="A2654" s="1" t="s">
        <v>21</v>
      </c>
      <c r="B2654" s="3" t="str">
        <f>HYPERLINK("https://hawk-eye.atlassian.net/browse/HWKREPORT-814?atlOrigin=eyJpIjoiYzgwYTQ0ZjEyNzQzNGJhN2JmNjEyZTM0NmRhZWZhNjIiLCJwIjoic2hlZXRzLWppcmEifQ","HWKREPORT-814")</f>
        <v>HWKREPORT-814</v>
      </c>
      <c r="C2654" s="1" t="s">
        <v>3959</v>
      </c>
      <c r="D2654" s="1" t="s">
        <v>34</v>
      </c>
      <c r="E2654" s="1" t="s">
        <v>35</v>
      </c>
      <c r="F2654" s="4">
        <v>44329.70400462963</v>
      </c>
      <c r="G2654" s="3" t="str">
        <f>HYPERLINK("https://hawk-eye.atlassian.net/browse/RTT-3961?atlOrigin=eyJpIjoiYzgwYTQ0ZjEyNzQzNGJhN2JmNjEyZTM0NmRhZWZhNjIiLCJwIjoic2hlZXRzLWppcmEifQ","RTT-3961")</f>
        <v>RTT-3961</v>
      </c>
      <c r="H2654" s="1" t="s">
        <v>1058</v>
      </c>
      <c r="I2654" s="1" t="s">
        <v>1126</v>
      </c>
      <c r="J2654" s="1" t="s">
        <v>26</v>
      </c>
      <c r="K2654" s="1" t="s">
        <v>2111</v>
      </c>
      <c r="L2654" s="1" t="s">
        <v>26</v>
      </c>
      <c r="M2654" s="1" t="s">
        <v>27</v>
      </c>
      <c r="N2654" s="1" t="s">
        <v>26</v>
      </c>
      <c r="O2654" s="1" t="s">
        <v>26</v>
      </c>
      <c r="P2654" s="4">
        <v>44600.87511574074</v>
      </c>
    </row>
    <row r="2655" hidden="1">
      <c r="A2655" s="1" t="s">
        <v>1055</v>
      </c>
      <c r="B2655" s="3" t="str">
        <f>HYPERLINK("https://hawk-eye.atlassian.net/browse/HWKREPORT-815?atlOrigin=eyJpIjoiYzgwYTQ0ZjEyNzQzNGJhN2JmNjEyZTM0NmRhZWZhNjIiLCJwIjoic2hlZXRzLWppcmEifQ","HWKREPORT-815")</f>
        <v>HWKREPORT-815</v>
      </c>
      <c r="C2655" s="1" t="s">
        <v>3960</v>
      </c>
      <c r="D2655" s="1" t="s">
        <v>23</v>
      </c>
      <c r="E2655" s="1" t="s">
        <v>35</v>
      </c>
      <c r="F2655" s="4">
        <v>44330.509375</v>
      </c>
      <c r="G2655" s="3" t="str">
        <f t="shared" ref="G2655:G2656" si="181">HYPERLINK("https://hawk-eye.atlassian.net/browse/?atlOrigin=eyJpIjoiYzgwYTQ0ZjEyNzQzNGJhN2JmNjEyZTM0NmRhZWZhNjIiLCJwIjoic2hlZXRzLWppcmEifQ","")</f>
        <v/>
      </c>
      <c r="H2655" s="1" t="s">
        <v>1058</v>
      </c>
      <c r="I2655" s="1" t="s">
        <v>1126</v>
      </c>
      <c r="J2655" s="1" t="s">
        <v>26</v>
      </c>
      <c r="K2655" s="1" t="s">
        <v>1312</v>
      </c>
      <c r="L2655" s="1" t="s">
        <v>26</v>
      </c>
      <c r="M2655" s="1" t="s">
        <v>27</v>
      </c>
      <c r="N2655" s="1" t="s">
        <v>26</v>
      </c>
      <c r="O2655" s="1" t="s">
        <v>26</v>
      </c>
      <c r="P2655" s="4">
        <v>44592.42212962963</v>
      </c>
    </row>
    <row r="2656" hidden="1">
      <c r="A2656" s="1" t="s">
        <v>21</v>
      </c>
      <c r="B2656" s="3" t="str">
        <f>HYPERLINK("https://hawk-eye.atlassian.net/browse/HWKREPORT-816?atlOrigin=eyJpIjoiYzgwYTQ0ZjEyNzQzNGJhN2JmNjEyZTM0NmRhZWZhNjIiLCJwIjoic2hlZXRzLWppcmEifQ","HWKREPORT-816")</f>
        <v>HWKREPORT-816</v>
      </c>
      <c r="C2656" s="1" t="s">
        <v>3961</v>
      </c>
      <c r="D2656" s="1" t="s">
        <v>23</v>
      </c>
      <c r="E2656" s="1" t="s">
        <v>35</v>
      </c>
      <c r="F2656" s="4">
        <v>44330.683645833335</v>
      </c>
      <c r="G2656" s="3" t="str">
        <f t="shared" si="181"/>
        <v/>
      </c>
      <c r="H2656" s="1" t="s">
        <v>1058</v>
      </c>
      <c r="I2656" s="1" t="s">
        <v>1071</v>
      </c>
      <c r="J2656" s="1" t="s">
        <v>26</v>
      </c>
      <c r="K2656" s="1" t="s">
        <v>2841</v>
      </c>
      <c r="L2656" s="1" t="s">
        <v>26</v>
      </c>
      <c r="M2656" s="1" t="s">
        <v>27</v>
      </c>
      <c r="N2656" s="1" t="s">
        <v>26</v>
      </c>
      <c r="O2656" s="1" t="s">
        <v>26</v>
      </c>
      <c r="P2656" s="4">
        <v>44992.48001157407</v>
      </c>
    </row>
    <row r="2657" hidden="1">
      <c r="A2657" s="1" t="s">
        <v>21</v>
      </c>
      <c r="B2657" s="3" t="str">
        <f>HYPERLINK("https://hawk-eye.atlassian.net/browse/HWKREPORT-817?atlOrigin=eyJpIjoiYzgwYTQ0ZjEyNzQzNGJhN2JmNjEyZTM0NmRhZWZhNjIiLCJwIjoic2hlZXRzLWppcmEifQ","HWKREPORT-817")</f>
        <v>HWKREPORT-817</v>
      </c>
      <c r="C2657" s="1" t="s">
        <v>3962</v>
      </c>
      <c r="D2657" s="1" t="s">
        <v>23</v>
      </c>
      <c r="E2657" s="1" t="s">
        <v>35</v>
      </c>
      <c r="F2657" s="4">
        <v>44330.687430555554</v>
      </c>
      <c r="G2657" s="3" t="str">
        <f>HYPERLINK("https://hawk-eye.atlassian.net/browse/BDP-247?atlOrigin=eyJpIjoiYzgwYTQ0ZjEyNzQzNGJhN2JmNjEyZTM0NmRhZWZhNjIiLCJwIjoic2hlZXRzLWppcmEifQ","BDP-247")</f>
        <v>BDP-247</v>
      </c>
      <c r="H2657" s="1" t="s">
        <v>1058</v>
      </c>
      <c r="I2657" s="1" t="s">
        <v>1071</v>
      </c>
      <c r="J2657" s="1" t="s">
        <v>26</v>
      </c>
      <c r="K2657" s="1" t="s">
        <v>2841</v>
      </c>
      <c r="L2657" s="1" t="s">
        <v>26</v>
      </c>
      <c r="M2657" s="1" t="s">
        <v>27</v>
      </c>
      <c r="N2657" s="1" t="s">
        <v>26</v>
      </c>
      <c r="O2657" s="1" t="s">
        <v>26</v>
      </c>
      <c r="P2657" s="4">
        <v>44600.87525462963</v>
      </c>
    </row>
    <row r="2658" hidden="1">
      <c r="A2658" s="1" t="s">
        <v>21</v>
      </c>
      <c r="B2658" s="3" t="str">
        <f>HYPERLINK("https://hawk-eye.atlassian.net/browse/HWKREPORT-818?atlOrigin=eyJpIjoiYzgwYTQ0ZjEyNzQzNGJhN2JmNjEyZTM0NmRhZWZhNjIiLCJwIjoic2hlZXRzLWppcmEifQ","HWKREPORT-818")</f>
        <v>HWKREPORT-818</v>
      </c>
      <c r="C2658" s="1" t="s">
        <v>3963</v>
      </c>
      <c r="D2658" s="1" t="s">
        <v>23</v>
      </c>
      <c r="E2658" s="1" t="s">
        <v>35</v>
      </c>
      <c r="F2658" s="4">
        <v>44330.69503472222</v>
      </c>
      <c r="G2658" s="3" t="str">
        <f>HYPERLINK("https://hawk-eye.atlassian.net/browse/BDS-412?atlOrigin=eyJpIjoiYzgwYTQ0ZjEyNzQzNGJhN2JmNjEyZTM0NmRhZWZhNjIiLCJwIjoic2hlZXRzLWppcmEifQ","BDS-412")</f>
        <v>BDS-412</v>
      </c>
      <c r="H2658" s="1" t="s">
        <v>1058</v>
      </c>
      <c r="I2658" s="1" t="s">
        <v>1071</v>
      </c>
      <c r="J2658" s="1" t="s">
        <v>26</v>
      </c>
      <c r="K2658" s="1" t="s">
        <v>1762</v>
      </c>
      <c r="L2658" s="1" t="s">
        <v>26</v>
      </c>
      <c r="M2658" s="1" t="s">
        <v>27</v>
      </c>
      <c r="N2658" s="1" t="s">
        <v>26</v>
      </c>
      <c r="O2658" s="1" t="s">
        <v>26</v>
      </c>
      <c r="P2658" s="4">
        <v>44600.875243055554</v>
      </c>
    </row>
    <row r="2659" hidden="1">
      <c r="A2659" s="1" t="s">
        <v>21</v>
      </c>
      <c r="B2659" s="3" t="str">
        <f>HYPERLINK("https://hawk-eye.atlassian.net/browse/HWKREPORT-819?atlOrigin=eyJpIjoiYzgwYTQ0ZjEyNzQzNGJhN2JmNjEyZTM0NmRhZWZhNjIiLCJwIjoic2hlZXRzLWppcmEifQ","HWKREPORT-819")</f>
        <v>HWKREPORT-819</v>
      </c>
      <c r="C2659" s="1" t="s">
        <v>3964</v>
      </c>
      <c r="D2659" s="1" t="s">
        <v>23</v>
      </c>
      <c r="E2659" s="1" t="s">
        <v>35</v>
      </c>
      <c r="F2659" s="4">
        <v>44330.696967592594</v>
      </c>
      <c r="G2659" s="3" t="str">
        <f>HYPERLINK("https://hawk-eye.atlassian.net/browse/RTT-3940?atlOrigin=eyJpIjoiYzgwYTQ0ZjEyNzQzNGJhN2JmNjEyZTM0NmRhZWZhNjIiLCJwIjoic2hlZXRzLWppcmEifQ","RTT-3940")</f>
        <v>RTT-3940</v>
      </c>
      <c r="H2659" s="1" t="s">
        <v>1058</v>
      </c>
      <c r="I2659" s="1" t="s">
        <v>1071</v>
      </c>
      <c r="J2659" s="1" t="s">
        <v>26</v>
      </c>
      <c r="K2659" s="1" t="s">
        <v>1312</v>
      </c>
      <c r="L2659" s="1" t="s">
        <v>26</v>
      </c>
      <c r="M2659" s="1" t="s">
        <v>27</v>
      </c>
      <c r="N2659" s="1" t="s">
        <v>26</v>
      </c>
      <c r="O2659" s="1" t="s">
        <v>26</v>
      </c>
      <c r="P2659" s="4">
        <v>44600.875243055554</v>
      </c>
    </row>
    <row r="2660" hidden="1">
      <c r="A2660" s="1" t="s">
        <v>21</v>
      </c>
      <c r="B2660" s="3" t="str">
        <f>HYPERLINK("https://hawk-eye.atlassian.net/browse/HWKREPORT-820?atlOrigin=eyJpIjoiYzgwYTQ0ZjEyNzQzNGJhN2JmNjEyZTM0NmRhZWZhNjIiLCJwIjoic2hlZXRzLWppcmEifQ","HWKREPORT-820")</f>
        <v>HWKREPORT-820</v>
      </c>
      <c r="C2660" s="1" t="s">
        <v>3965</v>
      </c>
      <c r="D2660" s="1" t="s">
        <v>23</v>
      </c>
      <c r="E2660" s="1" t="s">
        <v>35</v>
      </c>
      <c r="F2660" s="4">
        <v>44334.49548611111</v>
      </c>
      <c r="G2660" s="3" t="str">
        <f>HYPERLINK("https://hawk-eye.atlassian.net/browse/VVC-226?atlOrigin=eyJpIjoiYzgwYTQ0ZjEyNzQzNGJhN2JmNjEyZTM0NmRhZWZhNjIiLCJwIjoic2hlZXRzLWppcmEifQ","VVC-226")</f>
        <v>VVC-226</v>
      </c>
      <c r="H2660" s="1" t="s">
        <v>1058</v>
      </c>
      <c r="I2660" s="1" t="s">
        <v>1502</v>
      </c>
      <c r="J2660" s="1" t="s">
        <v>26</v>
      </c>
      <c r="K2660" s="1" t="s">
        <v>1247</v>
      </c>
      <c r="L2660" s="1" t="s">
        <v>26</v>
      </c>
      <c r="M2660" s="1" t="s">
        <v>27</v>
      </c>
      <c r="N2660" s="1" t="s">
        <v>26</v>
      </c>
      <c r="O2660" s="1" t="s">
        <v>26</v>
      </c>
      <c r="P2660" s="4">
        <v>44348.625243055554</v>
      </c>
    </row>
    <row r="2661" hidden="1">
      <c r="A2661" s="1" t="s">
        <v>1055</v>
      </c>
      <c r="B2661" s="3" t="str">
        <f>HYPERLINK("https://hawk-eye.atlassian.net/browse/HWKREPORT-821?atlOrigin=eyJpIjoiYzgwYTQ0ZjEyNzQzNGJhN2JmNjEyZTM0NmRhZWZhNjIiLCJwIjoic2hlZXRzLWppcmEifQ","HWKREPORT-821")</f>
        <v>HWKREPORT-821</v>
      </c>
      <c r="C2661" s="1" t="s">
        <v>3966</v>
      </c>
      <c r="D2661" s="1" t="s">
        <v>23</v>
      </c>
      <c r="E2661" s="1" t="s">
        <v>35</v>
      </c>
      <c r="F2661" s="4">
        <v>44335.705729166664</v>
      </c>
      <c r="G2661" s="3" t="str">
        <f>HYPERLINK("https://hawk-eye.atlassian.net/browse/RTT-4002?atlOrigin=eyJpIjoiYzgwYTQ0ZjEyNzQzNGJhN2JmNjEyZTM0NmRhZWZhNjIiLCJwIjoic2hlZXRzLWppcmEifQ","RTT-4002")</f>
        <v>RTT-4002</v>
      </c>
      <c r="H2661" s="1" t="s">
        <v>1058</v>
      </c>
      <c r="I2661" s="1" t="s">
        <v>1071</v>
      </c>
      <c r="J2661" s="1" t="s">
        <v>26</v>
      </c>
      <c r="K2661" s="1" t="s">
        <v>1099</v>
      </c>
      <c r="L2661" s="1" t="s">
        <v>26</v>
      </c>
      <c r="M2661" s="1" t="s">
        <v>27</v>
      </c>
      <c r="N2661" s="1" t="s">
        <v>26</v>
      </c>
      <c r="O2661" s="1" t="s">
        <v>26</v>
      </c>
      <c r="P2661" s="4">
        <v>44600.87467592592</v>
      </c>
    </row>
    <row r="2662" hidden="1">
      <c r="A2662" s="1" t="s">
        <v>1055</v>
      </c>
      <c r="B2662" s="3" t="str">
        <f>HYPERLINK("https://hawk-eye.atlassian.net/browse/HWKREPORT-822?atlOrigin=eyJpIjoiYzgwYTQ0ZjEyNzQzNGJhN2JmNjEyZTM0NmRhZWZhNjIiLCJwIjoic2hlZXRzLWppcmEifQ","HWKREPORT-822")</f>
        <v>HWKREPORT-822</v>
      </c>
      <c r="C2662" s="1" t="s">
        <v>3967</v>
      </c>
      <c r="D2662" s="1" t="s">
        <v>23</v>
      </c>
      <c r="E2662" s="1" t="s">
        <v>35</v>
      </c>
      <c r="F2662" s="4">
        <v>44335.809016203704</v>
      </c>
      <c r="G2662" s="3" t="str">
        <f>HYPERLINK("https://hawk-eye.atlassian.net/browse/RTT-4261?atlOrigin=eyJpIjoiYzgwYTQ0ZjEyNzQzNGJhN2JmNjEyZTM0NmRhZWZhNjIiLCJwIjoic2hlZXRzLWppcmEifQ","RTT-4261")</f>
        <v>RTT-4261</v>
      </c>
      <c r="H2662" s="1" t="s">
        <v>1058</v>
      </c>
      <c r="I2662" s="1" t="s">
        <v>1071</v>
      </c>
      <c r="J2662" s="1" t="s">
        <v>26</v>
      </c>
      <c r="K2662" s="1" t="s">
        <v>1099</v>
      </c>
      <c r="L2662" s="1" t="s">
        <v>26</v>
      </c>
      <c r="M2662" s="1" t="s">
        <v>27</v>
      </c>
      <c r="N2662" s="1" t="s">
        <v>26</v>
      </c>
      <c r="O2662" s="1" t="s">
        <v>26</v>
      </c>
      <c r="P2662" s="4">
        <v>44600.87464120371</v>
      </c>
    </row>
    <row r="2663" hidden="1">
      <c r="A2663" s="1" t="s">
        <v>21</v>
      </c>
      <c r="B2663" s="3" t="str">
        <f>HYPERLINK("https://hawk-eye.atlassian.net/browse/HWKREPORT-823?atlOrigin=eyJpIjoiYzgwYTQ0ZjEyNzQzNGJhN2JmNjEyZTM0NmRhZWZhNjIiLCJwIjoic2hlZXRzLWppcmEifQ","HWKREPORT-823")</f>
        <v>HWKREPORT-823</v>
      </c>
      <c r="C2663" s="1" t="s">
        <v>3968</v>
      </c>
      <c r="D2663" s="1" t="s">
        <v>34</v>
      </c>
      <c r="E2663" s="1" t="s">
        <v>35</v>
      </c>
      <c r="F2663" s="4">
        <v>44340.1865625</v>
      </c>
      <c r="G2663" s="3" t="str">
        <f>HYPERLINK("https://hawk-eye.atlassian.net/browse/RTT-3983?atlOrigin=eyJpIjoiYzgwYTQ0ZjEyNzQzNGJhN2JmNjEyZTM0NmRhZWZhNjIiLCJwIjoic2hlZXRzLWppcmEifQ","RTT-3983")</f>
        <v>RTT-3983</v>
      </c>
      <c r="H2663" s="1" t="s">
        <v>1058</v>
      </c>
      <c r="I2663" s="1" t="s">
        <v>1071</v>
      </c>
      <c r="J2663" s="1" t="s">
        <v>26</v>
      </c>
      <c r="K2663" s="1" t="s">
        <v>1898</v>
      </c>
      <c r="L2663" s="1" t="s">
        <v>26</v>
      </c>
      <c r="M2663" s="1" t="s">
        <v>27</v>
      </c>
      <c r="N2663" s="1" t="s">
        <v>26</v>
      </c>
      <c r="O2663" s="1" t="s">
        <v>26</v>
      </c>
      <c r="P2663" s="4">
        <v>44600.87480324074</v>
      </c>
    </row>
    <row r="2664" hidden="1">
      <c r="A2664" s="1" t="s">
        <v>21</v>
      </c>
      <c r="B2664" s="3" t="str">
        <f>HYPERLINK("https://hawk-eye.atlassian.net/browse/HWKREPORT-824?atlOrigin=eyJpIjoiYzgwYTQ0ZjEyNzQzNGJhN2JmNjEyZTM0NmRhZWZhNjIiLCJwIjoic2hlZXRzLWppcmEifQ","HWKREPORT-824")</f>
        <v>HWKREPORT-824</v>
      </c>
      <c r="C2664" s="1" t="s">
        <v>3969</v>
      </c>
      <c r="D2664" s="1" t="s">
        <v>34</v>
      </c>
      <c r="E2664" s="1" t="s">
        <v>35</v>
      </c>
      <c r="F2664" s="4">
        <v>44340.20243055555</v>
      </c>
      <c r="G2664" s="3" t="str">
        <f>HYPERLINK("https://hawk-eye.atlassian.net/browse/AL-45?atlOrigin=eyJpIjoiYzgwYTQ0ZjEyNzQzNGJhN2JmNjEyZTM0NmRhZWZhNjIiLCJwIjoic2hlZXRzLWppcmEifQ","AL-45")</f>
        <v>AL-45</v>
      </c>
      <c r="H2664" s="1" t="s">
        <v>1058</v>
      </c>
      <c r="I2664" s="1" t="s">
        <v>1071</v>
      </c>
      <c r="J2664" s="1" t="s">
        <v>26</v>
      </c>
      <c r="K2664" s="1" t="s">
        <v>1898</v>
      </c>
      <c r="L2664" s="1" t="s">
        <v>26</v>
      </c>
      <c r="M2664" s="1" t="s">
        <v>27</v>
      </c>
      <c r="N2664" s="1" t="s">
        <v>26</v>
      </c>
      <c r="O2664" s="1" t="s">
        <v>26</v>
      </c>
      <c r="P2664" s="4">
        <v>44600.874814814815</v>
      </c>
    </row>
    <row r="2665" hidden="1">
      <c r="A2665" s="1" t="s">
        <v>21</v>
      </c>
      <c r="B2665" s="3" t="str">
        <f>HYPERLINK("https://hawk-eye.atlassian.net/browse/HWKREPORT-825?atlOrigin=eyJpIjoiYzgwYTQ0ZjEyNzQzNGJhN2JmNjEyZTM0NmRhZWZhNjIiLCJwIjoic2hlZXRzLWppcmEifQ","HWKREPORT-825")</f>
        <v>HWKREPORT-825</v>
      </c>
      <c r="C2665" s="1" t="s">
        <v>3970</v>
      </c>
      <c r="D2665" s="1" t="s">
        <v>23</v>
      </c>
      <c r="E2665" s="1" t="s">
        <v>35</v>
      </c>
      <c r="F2665" s="4">
        <v>44340.7215162037</v>
      </c>
      <c r="G2665" s="3" t="str">
        <f>HYPERLINK("https://hawk-eye.atlassian.net/issues/?atlOrigin=eyJpIjoiYzgwYTQ0ZjEyNzQzNGJhN2JmNjEyZTM0NmRhZWZhNjIiLCJwIjoic2hlZXRzLWppcmEifQ&amp;jql=key+in+%28BDP-272%2CBDP-279%2CBDP-280%2CBDP-281%2CBDP-288%29","BDP-272;BDP-279;BDP-280;BDP-281;BDP-288")</f>
        <v>BDP-272;BDP-279;BDP-280;BDP-281;BDP-288</v>
      </c>
      <c r="H2665" s="1" t="s">
        <v>1058</v>
      </c>
      <c r="I2665" s="1" t="s">
        <v>1071</v>
      </c>
      <c r="J2665" s="1" t="s">
        <v>26</v>
      </c>
      <c r="K2665" s="1" t="s">
        <v>2841</v>
      </c>
      <c r="L2665" s="1" t="s">
        <v>26</v>
      </c>
      <c r="M2665" s="1" t="s">
        <v>27</v>
      </c>
      <c r="N2665" s="1" t="s">
        <v>26</v>
      </c>
      <c r="O2665" s="1" t="s">
        <v>26</v>
      </c>
      <c r="P2665" s="4">
        <v>44600.87457175926</v>
      </c>
    </row>
    <row r="2666" hidden="1">
      <c r="A2666" s="1" t="s">
        <v>21</v>
      </c>
      <c r="B2666" s="3" t="str">
        <f>HYPERLINK("https://hawk-eye.atlassian.net/browse/HWKREPORT-826?atlOrigin=eyJpIjoiYzgwYTQ0ZjEyNzQzNGJhN2JmNjEyZTM0NmRhZWZhNjIiLCJwIjoic2hlZXRzLWppcmEifQ","HWKREPORT-826")</f>
        <v>HWKREPORT-826</v>
      </c>
      <c r="C2666" s="1" t="s">
        <v>3971</v>
      </c>
      <c r="D2666" s="1" t="s">
        <v>83</v>
      </c>
      <c r="E2666" s="1" t="s">
        <v>35</v>
      </c>
      <c r="F2666" s="4">
        <v>44341.664247685185</v>
      </c>
      <c r="G2666" s="3" t="str">
        <f>HYPERLINK("https://hawk-eye.atlassian.net/browse/SO-182?atlOrigin=eyJpIjoiYzgwYTQ0ZjEyNzQzNGJhN2JmNjEyZTM0NmRhZWZhNjIiLCJwIjoic2hlZXRzLWppcmEifQ","SO-182")</f>
        <v>SO-182</v>
      </c>
      <c r="H2666" s="1" t="s">
        <v>1058</v>
      </c>
      <c r="I2666" s="1" t="s">
        <v>3866</v>
      </c>
      <c r="J2666" s="1" t="s">
        <v>26</v>
      </c>
      <c r="K2666" s="1" t="s">
        <v>1116</v>
      </c>
      <c r="L2666" s="1" t="s">
        <v>26</v>
      </c>
      <c r="M2666" s="1" t="s">
        <v>27</v>
      </c>
      <c r="N2666" s="1" t="s">
        <v>26</v>
      </c>
      <c r="O2666" s="1" t="s">
        <v>26</v>
      </c>
      <c r="P2666" s="4">
        <v>45414.589155092595</v>
      </c>
    </row>
    <row r="2667" hidden="1">
      <c r="A2667" s="1" t="s">
        <v>1055</v>
      </c>
      <c r="B2667" s="3" t="str">
        <f>HYPERLINK("https://hawk-eye.atlassian.net/browse/HWKREPORT-827?atlOrigin=eyJpIjoiYzgwYTQ0ZjEyNzQzNGJhN2JmNjEyZTM0NmRhZWZhNjIiLCJwIjoic2hlZXRzLWppcmEifQ","HWKREPORT-827")</f>
        <v>HWKREPORT-827</v>
      </c>
      <c r="C2667" s="1" t="s">
        <v>3972</v>
      </c>
      <c r="D2667" s="1" t="s">
        <v>23</v>
      </c>
      <c r="E2667" s="1" t="s">
        <v>35</v>
      </c>
      <c r="F2667" s="4">
        <v>44341.7022337963</v>
      </c>
      <c r="G2667" s="3" t="str">
        <f>HYPERLINK("https://hawk-eye.atlassian.net/browse/?atlOrigin=eyJpIjoiYzgwYTQ0ZjEyNzQzNGJhN2JmNjEyZTM0NmRhZWZhNjIiLCJwIjoic2hlZXRzLWppcmEifQ","")</f>
        <v/>
      </c>
      <c r="H2667" s="1" t="s">
        <v>1058</v>
      </c>
      <c r="I2667" s="1" t="s">
        <v>1071</v>
      </c>
      <c r="J2667" s="1" t="s">
        <v>26</v>
      </c>
      <c r="K2667" s="1" t="s">
        <v>1072</v>
      </c>
      <c r="L2667" s="1" t="s">
        <v>26</v>
      </c>
      <c r="M2667" s="1" t="s">
        <v>27</v>
      </c>
      <c r="N2667" s="1" t="s">
        <v>26</v>
      </c>
      <c r="O2667" s="1" t="s">
        <v>26</v>
      </c>
      <c r="P2667" s="4">
        <v>45216.374814814815</v>
      </c>
    </row>
    <row r="2668" hidden="1">
      <c r="A2668" s="1" t="s">
        <v>21</v>
      </c>
      <c r="B2668" s="3" t="str">
        <f>HYPERLINK("https://hawk-eye.atlassian.net/browse/HWKREPORT-828?atlOrigin=eyJpIjoiYzgwYTQ0ZjEyNzQzNGJhN2JmNjEyZTM0NmRhZWZhNjIiLCJwIjoic2hlZXRzLWppcmEifQ","HWKREPORT-828")</f>
        <v>HWKREPORT-828</v>
      </c>
      <c r="C2668" s="1" t="s">
        <v>3973</v>
      </c>
      <c r="D2668" s="1" t="s">
        <v>23</v>
      </c>
      <c r="E2668" s="1" t="s">
        <v>35</v>
      </c>
      <c r="F2668" s="4">
        <v>44341.977476851855</v>
      </c>
      <c r="G2668" s="3" t="str">
        <f>HYPERLINK("https://hawk-eye.atlassian.net/browse/RTT-3991?atlOrigin=eyJpIjoiYzgwYTQ0ZjEyNzQzNGJhN2JmNjEyZTM0NmRhZWZhNjIiLCJwIjoic2hlZXRzLWppcmEifQ","RTT-3991")</f>
        <v>RTT-3991</v>
      </c>
      <c r="H2668" s="1" t="s">
        <v>1058</v>
      </c>
      <c r="I2668" s="1" t="s">
        <v>1071</v>
      </c>
      <c r="J2668" s="1" t="s">
        <v>26</v>
      </c>
      <c r="K2668" s="1" t="s">
        <v>1312</v>
      </c>
      <c r="L2668" s="1" t="s">
        <v>26</v>
      </c>
      <c r="M2668" s="1" t="s">
        <v>27</v>
      </c>
      <c r="N2668" s="1" t="s">
        <v>26</v>
      </c>
      <c r="O2668" s="1" t="s">
        <v>26</v>
      </c>
      <c r="P2668" s="4">
        <v>44600.87465277778</v>
      </c>
    </row>
    <row r="2669" hidden="1">
      <c r="A2669" s="1" t="s">
        <v>21</v>
      </c>
      <c r="B2669" s="3" t="str">
        <f>HYPERLINK("https://hawk-eye.atlassian.net/browse/HWKREPORT-829?atlOrigin=eyJpIjoiYzgwYTQ0ZjEyNzQzNGJhN2JmNjEyZTM0NmRhZWZhNjIiLCJwIjoic2hlZXRzLWppcmEifQ","HWKREPORT-829")</f>
        <v>HWKREPORT-829</v>
      </c>
      <c r="C2669" s="1" t="s">
        <v>3974</v>
      </c>
      <c r="D2669" s="1" t="s">
        <v>23</v>
      </c>
      <c r="E2669" s="1" t="s">
        <v>35</v>
      </c>
      <c r="F2669" s="4">
        <v>44342.679085648146</v>
      </c>
      <c r="G2669" s="3" t="str">
        <f>HYPERLINK("https://hawk-eye.atlassian.net/browse/RTT-4010?atlOrigin=eyJpIjoiYzgwYTQ0ZjEyNzQzNGJhN2JmNjEyZTM0NmRhZWZhNjIiLCJwIjoic2hlZXRzLWppcmEifQ","RTT-4010")</f>
        <v>RTT-4010</v>
      </c>
      <c r="H2669" s="1" t="s">
        <v>1058</v>
      </c>
      <c r="I2669" s="1" t="s">
        <v>1071</v>
      </c>
      <c r="J2669" s="1" t="s">
        <v>26</v>
      </c>
      <c r="K2669" s="1" t="s">
        <v>1072</v>
      </c>
      <c r="L2669" s="1" t="s">
        <v>26</v>
      </c>
      <c r="M2669" s="1" t="s">
        <v>27</v>
      </c>
      <c r="N2669" s="1" t="s">
        <v>26</v>
      </c>
      <c r="O2669" s="1" t="s">
        <v>26</v>
      </c>
      <c r="P2669" s="4">
        <v>44600.87490740741</v>
      </c>
    </row>
    <row r="2670" hidden="1">
      <c r="A2670" s="1" t="s">
        <v>21</v>
      </c>
      <c r="B2670" s="3" t="str">
        <f>HYPERLINK("https://hawk-eye.atlassian.net/browse/HWKREPORT-830?atlOrigin=eyJpIjoiYzgwYTQ0ZjEyNzQzNGJhN2JmNjEyZTM0NmRhZWZhNjIiLCJwIjoic2hlZXRzLWppcmEifQ","HWKREPORT-830")</f>
        <v>HWKREPORT-830</v>
      </c>
      <c r="C2670" s="1" t="s">
        <v>3975</v>
      </c>
      <c r="D2670" s="1" t="s">
        <v>23</v>
      </c>
      <c r="E2670" s="1" t="s">
        <v>35</v>
      </c>
      <c r="F2670" s="4">
        <v>44344.2025</v>
      </c>
      <c r="G2670" s="3" t="str">
        <f>HYPERLINK("https://hawk-eye.atlassian.net/browse/RTT-3982?atlOrigin=eyJpIjoiYzgwYTQ0ZjEyNzQzNGJhN2JmNjEyZTM0NmRhZWZhNjIiLCJwIjoic2hlZXRzLWppcmEifQ","RTT-3982")</f>
        <v>RTT-3982</v>
      </c>
      <c r="H2670" s="1" t="s">
        <v>1058</v>
      </c>
      <c r="I2670" s="1" t="s">
        <v>1071</v>
      </c>
      <c r="J2670" s="1" t="s">
        <v>26</v>
      </c>
      <c r="K2670" s="1" t="s">
        <v>1093</v>
      </c>
      <c r="L2670" s="1" t="s">
        <v>26</v>
      </c>
      <c r="M2670" s="1" t="s">
        <v>27</v>
      </c>
      <c r="N2670" s="1" t="s">
        <v>26</v>
      </c>
      <c r="O2670" s="1" t="s">
        <v>26</v>
      </c>
      <c r="P2670" s="4">
        <v>44600.87474537037</v>
      </c>
    </row>
    <row r="2671" hidden="1">
      <c r="A2671" s="1" t="s">
        <v>21</v>
      </c>
      <c r="B2671" s="3" t="str">
        <f>HYPERLINK("https://hawk-eye.atlassian.net/browse/HWKREPORT-831?atlOrigin=eyJpIjoiYzgwYTQ0ZjEyNzQzNGJhN2JmNjEyZTM0NmRhZWZhNjIiLCJwIjoic2hlZXRzLWppcmEifQ","HWKREPORT-831")</f>
        <v>HWKREPORT-831</v>
      </c>
      <c r="C2671" s="1" t="s">
        <v>3976</v>
      </c>
      <c r="D2671" s="1" t="s">
        <v>23</v>
      </c>
      <c r="E2671" s="1" t="s">
        <v>35</v>
      </c>
      <c r="F2671" s="4">
        <v>44348.75236111111</v>
      </c>
      <c r="G2671" s="3" t="str">
        <f>HYPERLINK("https://hawk-eye.atlassian.net/browse/?atlOrigin=eyJpIjoiYzgwYTQ0ZjEyNzQzNGJhN2JmNjEyZTM0NmRhZWZhNjIiLCJwIjoic2hlZXRzLWppcmEifQ","")</f>
        <v/>
      </c>
      <c r="H2671" s="1" t="s">
        <v>1058</v>
      </c>
      <c r="I2671" s="1" t="s">
        <v>1071</v>
      </c>
      <c r="J2671" s="1" t="s">
        <v>26</v>
      </c>
      <c r="K2671" s="1" t="s">
        <v>1072</v>
      </c>
      <c r="L2671" s="1" t="s">
        <v>26</v>
      </c>
      <c r="M2671" s="1" t="s">
        <v>27</v>
      </c>
      <c r="N2671" s="1" t="s">
        <v>26</v>
      </c>
      <c r="O2671" s="1" t="s">
        <v>26</v>
      </c>
      <c r="P2671" s="4">
        <v>44536.482986111114</v>
      </c>
    </row>
    <row r="2672" hidden="1">
      <c r="A2672" s="1" t="s">
        <v>21</v>
      </c>
      <c r="B2672" s="3" t="str">
        <f>HYPERLINK("https://hawk-eye.atlassian.net/browse/HWKREPORT-832?atlOrigin=eyJpIjoiYzgwYTQ0ZjEyNzQzNGJhN2JmNjEyZTM0NmRhZWZhNjIiLCJwIjoic2hlZXRzLWppcmEifQ","HWKREPORT-832")</f>
        <v>HWKREPORT-832</v>
      </c>
      <c r="C2672" s="1" t="s">
        <v>3977</v>
      </c>
      <c r="D2672" s="1" t="s">
        <v>23</v>
      </c>
      <c r="E2672" s="1" t="s">
        <v>35</v>
      </c>
      <c r="F2672" s="4">
        <v>44349.65534722222</v>
      </c>
      <c r="G2672" s="3" t="str">
        <f>HYPERLINK("https://hawk-eye.atlassian.net/browse/AL-44?atlOrigin=eyJpIjoiYzgwYTQ0ZjEyNzQzNGJhN2JmNjEyZTM0NmRhZWZhNjIiLCJwIjoic2hlZXRzLWppcmEifQ","AL-44")</f>
        <v>AL-44</v>
      </c>
      <c r="H2672" s="1" t="s">
        <v>1058</v>
      </c>
      <c r="I2672" s="1" t="s">
        <v>1071</v>
      </c>
      <c r="J2672" s="1" t="s">
        <v>26</v>
      </c>
      <c r="K2672" s="1" t="s">
        <v>1093</v>
      </c>
      <c r="L2672" s="1" t="s">
        <v>26</v>
      </c>
      <c r="M2672" s="1" t="s">
        <v>27</v>
      </c>
      <c r="N2672" s="1" t="s">
        <v>26</v>
      </c>
      <c r="O2672" s="1" t="s">
        <v>26</v>
      </c>
      <c r="P2672" s="4">
        <v>44600.87452546296</v>
      </c>
    </row>
    <row r="2673" hidden="1">
      <c r="A2673" s="1" t="s">
        <v>21</v>
      </c>
      <c r="B2673" s="3" t="str">
        <f>HYPERLINK("https://hawk-eye.atlassian.net/browse/HWKREPORT-833?atlOrigin=eyJpIjoiYzgwYTQ0ZjEyNzQzNGJhN2JmNjEyZTM0NmRhZWZhNjIiLCJwIjoic2hlZXRzLWppcmEifQ","HWKREPORT-833")</f>
        <v>HWKREPORT-833</v>
      </c>
      <c r="C2673" s="1" t="s">
        <v>3978</v>
      </c>
      <c r="D2673" s="1" t="s">
        <v>40</v>
      </c>
      <c r="E2673" s="1" t="s">
        <v>35</v>
      </c>
      <c r="F2673" s="4">
        <v>44349.732766203706</v>
      </c>
      <c r="G2673" s="3" t="str">
        <f>HYPERLINK("https://hawk-eye.atlassian.net/browse/VVC-271?atlOrigin=eyJpIjoiYzgwYTQ0ZjEyNzQzNGJhN2JmNjEyZTM0NmRhZWZhNjIiLCJwIjoic2hlZXRzLWppcmEifQ","VVC-271")</f>
        <v>VVC-271</v>
      </c>
      <c r="H2673" s="1" t="s">
        <v>1058</v>
      </c>
      <c r="I2673" s="1" t="s">
        <v>1502</v>
      </c>
      <c r="J2673" s="1" t="s">
        <v>26</v>
      </c>
      <c r="K2673" s="1" t="s">
        <v>1247</v>
      </c>
      <c r="L2673" s="1" t="s">
        <v>26</v>
      </c>
      <c r="M2673" s="1" t="s">
        <v>27</v>
      </c>
      <c r="N2673" s="1" t="s">
        <v>26</v>
      </c>
      <c r="O2673" s="1" t="s">
        <v>26</v>
      </c>
      <c r="P2673" s="4">
        <v>44659.91547453704</v>
      </c>
    </row>
    <row r="2674" hidden="1">
      <c r="A2674" s="1" t="s">
        <v>21</v>
      </c>
      <c r="B2674" s="3" t="str">
        <f>HYPERLINK("https://hawk-eye.atlassian.net/browse/HWKREPORT-834?atlOrigin=eyJpIjoiYzgwYTQ0ZjEyNzQzNGJhN2JmNjEyZTM0NmRhZWZhNjIiLCJwIjoic2hlZXRzLWppcmEifQ","HWKREPORT-834")</f>
        <v>HWKREPORT-834</v>
      </c>
      <c r="C2674" s="1" t="s">
        <v>3979</v>
      </c>
      <c r="D2674" s="1" t="s">
        <v>34</v>
      </c>
      <c r="E2674" s="1" t="s">
        <v>35</v>
      </c>
      <c r="F2674" s="4">
        <v>44349.739953703705</v>
      </c>
      <c r="G2674" s="3" t="str">
        <f>HYPERLINK("https://hawk-eye.atlassian.net/browse/CORE-110?atlOrigin=eyJpIjoiYzgwYTQ0ZjEyNzQzNGJhN2JmNjEyZTM0NmRhZWZhNjIiLCJwIjoic2hlZXRzLWppcmEifQ","CORE-110")</f>
        <v>CORE-110</v>
      </c>
      <c r="H2674" s="1" t="s">
        <v>1058</v>
      </c>
      <c r="I2674" s="1" t="s">
        <v>1502</v>
      </c>
      <c r="J2674" s="1" t="s">
        <v>26</v>
      </c>
      <c r="K2674" s="1" t="s">
        <v>1247</v>
      </c>
      <c r="L2674" s="1" t="s">
        <v>26</v>
      </c>
      <c r="M2674" s="1" t="s">
        <v>27</v>
      </c>
      <c r="N2674" s="1" t="s">
        <v>26</v>
      </c>
      <c r="O2674" s="1" t="s">
        <v>26</v>
      </c>
      <c r="P2674" s="4">
        <v>45513.704305555555</v>
      </c>
    </row>
    <row r="2675" hidden="1">
      <c r="A2675" s="1" t="s">
        <v>1055</v>
      </c>
      <c r="B2675" s="3" t="str">
        <f>HYPERLINK("https://hawk-eye.atlassian.net/browse/HWKREPORT-835?atlOrigin=eyJpIjoiYzgwYTQ0ZjEyNzQzNGJhN2JmNjEyZTM0NmRhZWZhNjIiLCJwIjoic2hlZXRzLWppcmEifQ","HWKREPORT-835")</f>
        <v>HWKREPORT-835</v>
      </c>
      <c r="C2675" s="1" t="s">
        <v>3980</v>
      </c>
      <c r="D2675" s="1" t="s">
        <v>23</v>
      </c>
      <c r="E2675" s="1" t="s">
        <v>35</v>
      </c>
      <c r="F2675" s="4">
        <v>44350.41905092593</v>
      </c>
      <c r="G2675" s="3" t="str">
        <f>HYPERLINK("https://hawk-eye.atlassian.net/browse/?atlOrigin=eyJpIjoiYzgwYTQ0ZjEyNzQzNGJhN2JmNjEyZTM0NmRhZWZhNjIiLCJwIjoic2hlZXRzLWppcmEifQ","")</f>
        <v/>
      </c>
      <c r="H2675" s="1" t="s">
        <v>1058</v>
      </c>
      <c r="I2675" s="1" t="s">
        <v>1193</v>
      </c>
      <c r="J2675" s="1" t="s">
        <v>26</v>
      </c>
      <c r="K2675" s="1" t="s">
        <v>1312</v>
      </c>
      <c r="L2675" s="1" t="s">
        <v>26</v>
      </c>
      <c r="M2675" s="1" t="s">
        <v>27</v>
      </c>
      <c r="N2675" s="1" t="s">
        <v>26</v>
      </c>
      <c r="O2675" s="1" t="s">
        <v>26</v>
      </c>
      <c r="P2675" s="4">
        <v>44582.44298611111</v>
      </c>
    </row>
    <row r="2676" hidden="1">
      <c r="A2676" s="1" t="s">
        <v>1055</v>
      </c>
      <c r="B2676" s="3" t="str">
        <f>HYPERLINK("https://hawk-eye.atlassian.net/browse/HWKREPORT-836?atlOrigin=eyJpIjoiYzgwYTQ0ZjEyNzQzNGJhN2JmNjEyZTM0NmRhZWZhNjIiLCJwIjoic2hlZXRzLWppcmEifQ","HWKREPORT-836")</f>
        <v>HWKREPORT-836</v>
      </c>
      <c r="C2676" s="1" t="s">
        <v>3981</v>
      </c>
      <c r="D2676" s="1" t="s">
        <v>23</v>
      </c>
      <c r="E2676" s="1" t="s">
        <v>35</v>
      </c>
      <c r="F2676" s="4">
        <v>44350.63649305556</v>
      </c>
      <c r="G2676" s="3" t="str">
        <f>HYPERLINK("https://hawk-eye.atlassian.net/browse/RTT-3989?atlOrigin=eyJpIjoiYzgwYTQ0ZjEyNzQzNGJhN2JmNjEyZTM0NmRhZWZhNjIiLCJwIjoic2hlZXRzLWppcmEifQ","RTT-3989")</f>
        <v>RTT-3989</v>
      </c>
      <c r="H2676" s="1" t="s">
        <v>1058</v>
      </c>
      <c r="I2676" s="1" t="s">
        <v>1071</v>
      </c>
      <c r="J2676" s="1" t="s">
        <v>26</v>
      </c>
      <c r="K2676" s="1" t="s">
        <v>1072</v>
      </c>
      <c r="L2676" s="1" t="s">
        <v>26</v>
      </c>
      <c r="M2676" s="1" t="s">
        <v>27</v>
      </c>
      <c r="N2676" s="1" t="s">
        <v>26</v>
      </c>
      <c r="O2676" s="1" t="s">
        <v>26</v>
      </c>
      <c r="P2676" s="4">
        <v>44600.87474537037</v>
      </c>
    </row>
    <row r="2677" hidden="1">
      <c r="A2677" s="1" t="s">
        <v>21</v>
      </c>
      <c r="B2677" s="3" t="str">
        <f>HYPERLINK("https://hawk-eye.atlassian.net/browse/HWKREPORT-837?atlOrigin=eyJpIjoiYzgwYTQ0ZjEyNzQzNGJhN2JmNjEyZTM0NmRhZWZhNjIiLCJwIjoic2hlZXRzLWppcmEifQ","HWKREPORT-837")</f>
        <v>HWKREPORT-837</v>
      </c>
      <c r="C2677" s="1" t="s">
        <v>3982</v>
      </c>
      <c r="D2677" s="1" t="s">
        <v>23</v>
      </c>
      <c r="E2677" s="1" t="s">
        <v>35</v>
      </c>
      <c r="F2677" s="4">
        <v>44354.40488425926</v>
      </c>
      <c r="G2677" s="3" t="str">
        <f>HYPERLINK("https://hawk-eye.atlassian.net/browse/AL-9?atlOrigin=eyJpIjoiYzgwYTQ0ZjEyNzQzNGJhN2JmNjEyZTM0NmRhZWZhNjIiLCJwIjoic2hlZXRzLWppcmEifQ","AL-9")</f>
        <v>AL-9</v>
      </c>
      <c r="H2677" s="1" t="s">
        <v>1058</v>
      </c>
      <c r="I2677" s="1" t="s">
        <v>1071</v>
      </c>
      <c r="J2677" s="1" t="s">
        <v>26</v>
      </c>
      <c r="K2677" s="1" t="s">
        <v>1898</v>
      </c>
      <c r="L2677" s="1" t="s">
        <v>26</v>
      </c>
      <c r="M2677" s="1" t="s">
        <v>27</v>
      </c>
      <c r="N2677" s="1" t="s">
        <v>26</v>
      </c>
      <c r="O2677" s="1" t="s">
        <v>26</v>
      </c>
      <c r="P2677" s="4">
        <v>44600.87478009259</v>
      </c>
    </row>
    <row r="2678" hidden="1">
      <c r="A2678" s="1" t="s">
        <v>21</v>
      </c>
      <c r="B2678" s="3" t="str">
        <f>HYPERLINK("https://hawk-eye.atlassian.net/browse/HWKREPORT-838?atlOrigin=eyJpIjoiYzgwYTQ0ZjEyNzQzNGJhN2JmNjEyZTM0NmRhZWZhNjIiLCJwIjoic2hlZXRzLWppcmEifQ","HWKREPORT-838")</f>
        <v>HWKREPORT-838</v>
      </c>
      <c r="C2678" s="1" t="s">
        <v>3983</v>
      </c>
      <c r="D2678" s="1" t="s">
        <v>83</v>
      </c>
      <c r="E2678" s="1" t="s">
        <v>35</v>
      </c>
      <c r="F2678" s="4">
        <v>44354.48746527778</v>
      </c>
      <c r="G2678" s="3" t="str">
        <f>HYPERLINK("https://hawk-eye.atlassian.net/browse/RTT-4012?atlOrigin=eyJpIjoiYzgwYTQ0ZjEyNzQzNGJhN2JmNjEyZTM0NmRhZWZhNjIiLCJwIjoic2hlZXRzLWppcmEifQ","RTT-4012")</f>
        <v>RTT-4012</v>
      </c>
      <c r="H2678" s="1" t="s">
        <v>1058</v>
      </c>
      <c r="I2678" s="1" t="s">
        <v>1502</v>
      </c>
      <c r="J2678" s="1" t="s">
        <v>26</v>
      </c>
      <c r="K2678" s="1" t="s">
        <v>1312</v>
      </c>
      <c r="L2678" s="1" t="s">
        <v>26</v>
      </c>
      <c r="M2678" s="1" t="s">
        <v>27</v>
      </c>
      <c r="N2678" s="1" t="s">
        <v>26</v>
      </c>
      <c r="O2678" s="1" t="s">
        <v>26</v>
      </c>
      <c r="P2678" s="4">
        <v>45216.37537037037</v>
      </c>
    </row>
    <row r="2679" hidden="1">
      <c r="A2679" s="1" t="s">
        <v>1055</v>
      </c>
      <c r="B2679" s="3" t="str">
        <f>HYPERLINK("https://hawk-eye.atlassian.net/browse/HWKREPORT-839?atlOrigin=eyJpIjoiYzgwYTQ0ZjEyNzQzNGJhN2JmNjEyZTM0NmRhZWZhNjIiLCJwIjoic2hlZXRzLWppcmEifQ","HWKREPORT-839")</f>
        <v>HWKREPORT-839</v>
      </c>
      <c r="C2679" s="1" t="s">
        <v>3984</v>
      </c>
      <c r="D2679" s="1" t="s">
        <v>23</v>
      </c>
      <c r="E2679" s="1" t="s">
        <v>35</v>
      </c>
      <c r="F2679" s="4">
        <v>44355.417905092596</v>
      </c>
      <c r="G2679" s="3" t="str">
        <f>HYPERLINK("https://hawk-eye.atlassian.net/browse/RTT-4044?atlOrigin=eyJpIjoiYzgwYTQ0ZjEyNzQzNGJhN2JmNjEyZTM0NmRhZWZhNjIiLCJwIjoic2hlZXRzLWppcmEifQ","RTT-4044")</f>
        <v>RTT-4044</v>
      </c>
      <c r="H2679" s="1" t="s">
        <v>1058</v>
      </c>
      <c r="I2679" s="1" t="s">
        <v>2178</v>
      </c>
      <c r="J2679" s="1" t="s">
        <v>26</v>
      </c>
      <c r="K2679" s="1" t="s">
        <v>1072</v>
      </c>
      <c r="L2679" s="1" t="s">
        <v>26</v>
      </c>
      <c r="M2679" s="1" t="s">
        <v>27</v>
      </c>
      <c r="N2679" s="1" t="s">
        <v>26</v>
      </c>
      <c r="O2679" s="1" t="s">
        <v>26</v>
      </c>
      <c r="P2679" s="4">
        <v>44600.874548611115</v>
      </c>
    </row>
    <row r="2680" hidden="1">
      <c r="A2680" s="1" t="s">
        <v>1055</v>
      </c>
      <c r="B2680" s="3" t="str">
        <f>HYPERLINK("https://hawk-eye.atlassian.net/browse/HWKREPORT-840?atlOrigin=eyJpIjoiYzgwYTQ0ZjEyNzQzNGJhN2JmNjEyZTM0NmRhZWZhNjIiLCJwIjoic2hlZXRzLWppcmEifQ","HWKREPORT-840")</f>
        <v>HWKREPORT-840</v>
      </c>
      <c r="C2680" s="1" t="s">
        <v>3985</v>
      </c>
      <c r="D2680" s="1" t="s">
        <v>23</v>
      </c>
      <c r="E2680" s="1" t="s">
        <v>35</v>
      </c>
      <c r="F2680" s="4">
        <v>44355.434212962966</v>
      </c>
      <c r="G2680" s="3" t="str">
        <f>HYPERLINK("https://hawk-eye.atlassian.net/browse/RTT-4005?atlOrigin=eyJpIjoiYzgwYTQ0ZjEyNzQzNGJhN2JmNjEyZTM0NmRhZWZhNjIiLCJwIjoic2hlZXRzLWppcmEifQ","RTT-4005")</f>
        <v>RTT-4005</v>
      </c>
      <c r="H2680" s="1" t="s">
        <v>1058</v>
      </c>
      <c r="I2680" s="1" t="s">
        <v>1085</v>
      </c>
      <c r="J2680" s="1" t="s">
        <v>26</v>
      </c>
      <c r="K2680" s="1" t="s">
        <v>1072</v>
      </c>
      <c r="L2680" s="1" t="s">
        <v>26</v>
      </c>
      <c r="M2680" s="1" t="s">
        <v>27</v>
      </c>
      <c r="N2680" s="1" t="s">
        <v>26</v>
      </c>
      <c r="O2680" s="1" t="s">
        <v>26</v>
      </c>
      <c r="P2680" s="4">
        <v>44600.87452546296</v>
      </c>
    </row>
    <row r="2681" hidden="1">
      <c r="A2681" s="1" t="s">
        <v>21</v>
      </c>
      <c r="B2681" s="3" t="str">
        <f>HYPERLINK("https://hawk-eye.atlassian.net/browse/HWKREPORT-841?atlOrigin=eyJpIjoiYzgwYTQ0ZjEyNzQzNGJhN2JmNjEyZTM0NmRhZWZhNjIiLCJwIjoic2hlZXRzLWppcmEifQ","HWKREPORT-841")</f>
        <v>HWKREPORT-841</v>
      </c>
      <c r="C2681" s="1" t="s">
        <v>3986</v>
      </c>
      <c r="D2681" s="1" t="s">
        <v>23</v>
      </c>
      <c r="E2681" s="1" t="s">
        <v>35</v>
      </c>
      <c r="F2681" s="4">
        <v>44357.89869212963</v>
      </c>
      <c r="G2681" s="3" t="str">
        <f>HYPERLINK("https://hawk-eye.atlassian.net/browse/RTT-4023?atlOrigin=eyJpIjoiYzgwYTQ0ZjEyNzQzNGJhN2JmNjEyZTM0NmRhZWZhNjIiLCJwIjoic2hlZXRzLWppcmEifQ","RTT-4023")</f>
        <v>RTT-4023</v>
      </c>
      <c r="H2681" s="1" t="s">
        <v>1058</v>
      </c>
      <c r="I2681" s="1" t="s">
        <v>1071</v>
      </c>
      <c r="J2681" s="1" t="s">
        <v>26</v>
      </c>
      <c r="K2681" s="1" t="s">
        <v>1312</v>
      </c>
      <c r="L2681" s="1" t="s">
        <v>26</v>
      </c>
      <c r="M2681" s="1" t="s">
        <v>27</v>
      </c>
      <c r="N2681" s="1" t="s">
        <v>26</v>
      </c>
      <c r="O2681" s="1" t="s">
        <v>26</v>
      </c>
      <c r="P2681" s="4">
        <v>44600.87527777778</v>
      </c>
    </row>
    <row r="2682" hidden="1">
      <c r="A2682" s="1" t="s">
        <v>21</v>
      </c>
      <c r="B2682" s="3" t="str">
        <f>HYPERLINK("https://hawk-eye.atlassian.net/browse/HWKREPORT-842?atlOrigin=eyJpIjoiYzgwYTQ0ZjEyNzQzNGJhN2JmNjEyZTM0NmRhZWZhNjIiLCJwIjoic2hlZXRzLWppcmEifQ","HWKREPORT-842")</f>
        <v>HWKREPORT-842</v>
      </c>
      <c r="C2682" s="1" t="s">
        <v>3987</v>
      </c>
      <c r="D2682" s="1" t="s">
        <v>34</v>
      </c>
      <c r="E2682" s="1" t="s">
        <v>35</v>
      </c>
      <c r="F2682" s="4">
        <v>44361.43487268518</v>
      </c>
      <c r="G2682" s="3" t="str">
        <f>HYPERLINK("https://hawk-eye.atlassian.net/browse/VIEWER-1822?atlOrigin=eyJpIjoiYzgwYTQ0ZjEyNzQzNGJhN2JmNjEyZTM0NmRhZWZhNjIiLCJwIjoic2hlZXRzLWppcmEifQ","VIEWER-1822")</f>
        <v>VIEWER-1822</v>
      </c>
      <c r="H2682" s="1" t="s">
        <v>1058</v>
      </c>
      <c r="I2682" s="1" t="s">
        <v>1502</v>
      </c>
      <c r="J2682" s="1" t="s">
        <v>26</v>
      </c>
      <c r="K2682" s="1" t="s">
        <v>1116</v>
      </c>
      <c r="L2682" s="1" t="s">
        <v>26</v>
      </c>
      <c r="M2682" s="1" t="s">
        <v>27</v>
      </c>
      <c r="N2682" s="1" t="s">
        <v>26</v>
      </c>
      <c r="O2682" s="1" t="s">
        <v>26</v>
      </c>
      <c r="P2682" s="4">
        <v>44693.39302083333</v>
      </c>
    </row>
    <row r="2683" hidden="1">
      <c r="A2683" s="1" t="s">
        <v>21</v>
      </c>
      <c r="B2683" s="3" t="str">
        <f>HYPERLINK("https://hawk-eye.atlassian.net/browse/HWKREPORT-843?atlOrigin=eyJpIjoiYzgwYTQ0ZjEyNzQzNGJhN2JmNjEyZTM0NmRhZWZhNjIiLCJwIjoic2hlZXRzLWppcmEifQ","HWKREPORT-843")</f>
        <v>HWKREPORT-843</v>
      </c>
      <c r="C2683" s="1" t="s">
        <v>3988</v>
      </c>
      <c r="D2683" s="1" t="s">
        <v>34</v>
      </c>
      <c r="E2683" s="1" t="s">
        <v>35</v>
      </c>
      <c r="F2683" s="4">
        <v>44361.66898148148</v>
      </c>
      <c r="G2683" s="3" t="str">
        <f>HYPERLINK("https://hawk-eye.atlassian.net/browse/RTT-4026?atlOrigin=eyJpIjoiYzgwYTQ0ZjEyNzQzNGJhN2JmNjEyZTM0NmRhZWZhNjIiLCJwIjoic2hlZXRzLWppcmEifQ","RTT-4026")</f>
        <v>RTT-4026</v>
      </c>
      <c r="H2683" s="1" t="s">
        <v>1058</v>
      </c>
      <c r="I2683" s="1" t="s">
        <v>1085</v>
      </c>
      <c r="J2683" s="1" t="s">
        <v>26</v>
      </c>
      <c r="K2683" s="1" t="s">
        <v>1072</v>
      </c>
      <c r="L2683" s="1" t="s">
        <v>26</v>
      </c>
      <c r="M2683" s="1" t="s">
        <v>27</v>
      </c>
      <c r="N2683" s="1" t="s">
        <v>26</v>
      </c>
      <c r="O2683" s="1" t="s">
        <v>26</v>
      </c>
      <c r="P2683" s="4">
        <v>44600.87472222222</v>
      </c>
    </row>
    <row r="2684">
      <c r="A2684" s="1" t="s">
        <v>21</v>
      </c>
      <c r="B2684" s="3" t="str">
        <f>HYPERLINK("https://hawk-eye.atlassian.net/browse/HWKREPORT-844?atlOrigin=eyJpIjoiYzgwYTQ0ZjEyNzQzNGJhN2JmNjEyZTM0NmRhZWZhNjIiLCJwIjoic2hlZXRzLWppcmEifQ","HWKREPORT-844")</f>
        <v>HWKREPORT-844</v>
      </c>
      <c r="C2684" s="1" t="s">
        <v>3989</v>
      </c>
      <c r="D2684" s="1" t="s">
        <v>83</v>
      </c>
      <c r="E2684" s="1" t="s">
        <v>35</v>
      </c>
      <c r="F2684" s="4">
        <v>44362.70694444444</v>
      </c>
      <c r="G2684" s="3" t="str">
        <f>HYPERLINK("https://hawk-eye.atlassian.net/browse/RTT-4029?atlOrigin=eyJpIjoiYzgwYTQ0ZjEyNzQzNGJhN2JmNjEyZTM0NmRhZWZhNjIiLCJwIjoic2hlZXRzLWppcmEifQ","RTT-4029")</f>
        <v>RTT-4029</v>
      </c>
      <c r="H2684" s="1" t="s">
        <v>1058</v>
      </c>
      <c r="I2684" s="1" t="s">
        <v>28</v>
      </c>
      <c r="J2684" s="1" t="s">
        <v>26</v>
      </c>
      <c r="K2684" s="1" t="s">
        <v>1072</v>
      </c>
      <c r="L2684" s="1" t="s">
        <v>26</v>
      </c>
      <c r="M2684" s="1" t="s">
        <v>27</v>
      </c>
      <c r="N2684" s="1" t="s">
        <v>26</v>
      </c>
      <c r="O2684" s="1" t="s">
        <v>26</v>
      </c>
      <c r="P2684" s="4">
        <v>44600.87452546296</v>
      </c>
    </row>
    <row r="2685" hidden="1">
      <c r="A2685" s="1" t="s">
        <v>21</v>
      </c>
      <c r="B2685" s="3" t="str">
        <f>HYPERLINK("https://hawk-eye.atlassian.net/browse/HWKREPORT-845?atlOrigin=eyJpIjoiYzgwYTQ0ZjEyNzQzNGJhN2JmNjEyZTM0NmRhZWZhNjIiLCJwIjoic2hlZXRzLWppcmEifQ","HWKREPORT-845")</f>
        <v>HWKREPORT-845</v>
      </c>
      <c r="C2685" s="1" t="s">
        <v>3990</v>
      </c>
      <c r="D2685" s="1" t="s">
        <v>23</v>
      </c>
      <c r="E2685" s="1" t="s">
        <v>35</v>
      </c>
      <c r="F2685" s="4">
        <v>44362.71909722222</v>
      </c>
      <c r="G2685" s="3" t="str">
        <f>HYPERLINK("https://hawk-eye.atlassian.net/browse/AL-19?atlOrigin=eyJpIjoiYzgwYTQ0ZjEyNzQzNGJhN2JmNjEyZTM0NmRhZWZhNjIiLCJwIjoic2hlZXRzLWppcmEifQ","AL-19")</f>
        <v>AL-19</v>
      </c>
      <c r="H2685" s="1" t="s">
        <v>1058</v>
      </c>
      <c r="I2685" s="1" t="s">
        <v>1071</v>
      </c>
      <c r="J2685" s="1" t="s">
        <v>26</v>
      </c>
      <c r="K2685" s="1" t="s">
        <v>3928</v>
      </c>
      <c r="L2685" s="1" t="s">
        <v>26</v>
      </c>
      <c r="M2685" s="1" t="s">
        <v>27</v>
      </c>
      <c r="N2685" s="1" t="s">
        <v>26</v>
      </c>
      <c r="O2685" s="1" t="s">
        <v>26</v>
      </c>
      <c r="P2685" s="4">
        <v>44600.87453703704</v>
      </c>
    </row>
    <row r="2686" hidden="1">
      <c r="A2686" s="1" t="s">
        <v>21</v>
      </c>
      <c r="B2686" s="3" t="str">
        <f>HYPERLINK("https://hawk-eye.atlassian.net/browse/HWKREPORT-846?atlOrigin=eyJpIjoiYzgwYTQ0ZjEyNzQzNGJhN2JmNjEyZTM0NmRhZWZhNjIiLCJwIjoic2hlZXRzLWppcmEifQ","HWKREPORT-846")</f>
        <v>HWKREPORT-846</v>
      </c>
      <c r="C2686" s="1" t="s">
        <v>3991</v>
      </c>
      <c r="D2686" s="1" t="s">
        <v>23</v>
      </c>
      <c r="E2686" s="1" t="s">
        <v>35</v>
      </c>
      <c r="F2686" s="4">
        <v>44362.74248842592</v>
      </c>
      <c r="G2686" s="3" t="str">
        <f>HYPERLINK("https://hawk-eye.atlassian.net/browse/AL-21?atlOrigin=eyJpIjoiYzgwYTQ0ZjEyNzQzNGJhN2JmNjEyZTM0NmRhZWZhNjIiLCJwIjoic2hlZXRzLWppcmEifQ","AL-21")</f>
        <v>AL-21</v>
      </c>
      <c r="H2686" s="1" t="s">
        <v>1058</v>
      </c>
      <c r="I2686" s="1" t="s">
        <v>1071</v>
      </c>
      <c r="J2686" s="1" t="s">
        <v>26</v>
      </c>
      <c r="K2686" s="1" t="s">
        <v>1276</v>
      </c>
      <c r="L2686" s="1" t="s">
        <v>26</v>
      </c>
      <c r="M2686" s="1" t="s">
        <v>27</v>
      </c>
      <c r="N2686" s="1" t="s">
        <v>26</v>
      </c>
      <c r="O2686" s="1" t="s">
        <v>26</v>
      </c>
      <c r="P2686" s="4">
        <v>44600.874710648146</v>
      </c>
    </row>
    <row r="2687" hidden="1">
      <c r="A2687" s="1" t="s">
        <v>21</v>
      </c>
      <c r="B2687" s="3" t="str">
        <f>HYPERLINK("https://hawk-eye.atlassian.net/browse/HWKREPORT-847?atlOrigin=eyJpIjoiYzgwYTQ0ZjEyNzQzNGJhN2JmNjEyZTM0NmRhZWZhNjIiLCJwIjoic2hlZXRzLWppcmEifQ","HWKREPORT-847")</f>
        <v>HWKREPORT-847</v>
      </c>
      <c r="C2687" s="1" t="s">
        <v>3992</v>
      </c>
      <c r="D2687" s="1" t="s">
        <v>34</v>
      </c>
      <c r="E2687" s="1" t="s">
        <v>35</v>
      </c>
      <c r="F2687" s="4">
        <v>44365.4237037037</v>
      </c>
      <c r="G2687" s="3" t="str">
        <f>HYPERLINK("https://hawk-eye.atlassian.net/browse/RTT-4037?atlOrigin=eyJpIjoiYzgwYTQ0ZjEyNzQzNGJhN2JmNjEyZTM0NmRhZWZhNjIiLCJwIjoic2hlZXRzLWppcmEifQ","RTT-4037")</f>
        <v>RTT-4037</v>
      </c>
      <c r="H2687" s="1" t="s">
        <v>1058</v>
      </c>
      <c r="I2687" s="1" t="s">
        <v>1085</v>
      </c>
      <c r="J2687" s="1" t="s">
        <v>26</v>
      </c>
      <c r="K2687" s="1" t="s">
        <v>1312</v>
      </c>
      <c r="L2687" s="1" t="s">
        <v>26</v>
      </c>
      <c r="M2687" s="1" t="s">
        <v>27</v>
      </c>
      <c r="N2687" s="1" t="s">
        <v>26</v>
      </c>
      <c r="O2687" s="1" t="s">
        <v>26</v>
      </c>
      <c r="P2687" s="4">
        <v>44600.874976851854</v>
      </c>
    </row>
    <row r="2688" hidden="1">
      <c r="A2688" s="1" t="s">
        <v>1055</v>
      </c>
      <c r="B2688" s="3" t="str">
        <f>HYPERLINK("https://hawk-eye.atlassian.net/browse/HWKREPORT-848?atlOrigin=eyJpIjoiYzgwYTQ0ZjEyNzQzNGJhN2JmNjEyZTM0NmRhZWZhNjIiLCJwIjoic2hlZXRzLWppcmEifQ","HWKREPORT-848")</f>
        <v>HWKREPORT-848</v>
      </c>
      <c r="C2688" s="1" t="s">
        <v>3993</v>
      </c>
      <c r="D2688" s="1" t="s">
        <v>23</v>
      </c>
      <c r="E2688" s="1" t="s">
        <v>35</v>
      </c>
      <c r="F2688" s="4">
        <v>44368.14273148148</v>
      </c>
      <c r="G2688" s="3" t="str">
        <f>HYPERLINK("https://hawk-eye.atlassian.net/browse/AL-185?atlOrigin=eyJpIjoiYzgwYTQ0ZjEyNzQzNGJhN2JmNjEyZTM0NmRhZWZhNjIiLCJwIjoic2hlZXRzLWppcmEifQ","AL-185")</f>
        <v>AL-185</v>
      </c>
      <c r="H2688" s="1" t="s">
        <v>1058</v>
      </c>
      <c r="I2688" s="1" t="s">
        <v>1071</v>
      </c>
      <c r="J2688" s="1" t="s">
        <v>26</v>
      </c>
      <c r="K2688" s="1" t="s">
        <v>1898</v>
      </c>
      <c r="L2688" s="1" t="s">
        <v>26</v>
      </c>
      <c r="M2688" s="1" t="s">
        <v>27</v>
      </c>
      <c r="N2688" s="1" t="s">
        <v>26</v>
      </c>
      <c r="O2688" s="1" t="s">
        <v>26</v>
      </c>
      <c r="P2688" s="4">
        <v>44582.46108796296</v>
      </c>
    </row>
    <row r="2689" hidden="1">
      <c r="A2689" s="1" t="s">
        <v>1055</v>
      </c>
      <c r="B2689" s="3" t="str">
        <f>HYPERLINK("https://hawk-eye.atlassian.net/browse/HWKREPORT-849?atlOrigin=eyJpIjoiYzgwYTQ0ZjEyNzQzNGJhN2JmNjEyZTM0NmRhZWZhNjIiLCJwIjoic2hlZXRzLWppcmEifQ","HWKREPORT-849")</f>
        <v>HWKREPORT-849</v>
      </c>
      <c r="C2689" s="1" t="s">
        <v>3994</v>
      </c>
      <c r="D2689" s="1" t="s">
        <v>23</v>
      </c>
      <c r="E2689" s="1" t="s">
        <v>35</v>
      </c>
      <c r="F2689" s="4">
        <v>44368.547268518516</v>
      </c>
      <c r="G2689" s="3" t="str">
        <f>HYPERLINK("https://hawk-eye.atlassian.net/browse/RTT-4043?atlOrigin=eyJpIjoiYzgwYTQ0ZjEyNzQzNGJhN2JmNjEyZTM0NmRhZWZhNjIiLCJwIjoic2hlZXRzLWppcmEifQ","RTT-4043")</f>
        <v>RTT-4043</v>
      </c>
      <c r="H2689" s="1" t="s">
        <v>1058</v>
      </c>
      <c r="I2689" s="1" t="s">
        <v>1082</v>
      </c>
      <c r="J2689" s="1" t="s">
        <v>26</v>
      </c>
      <c r="K2689" s="1" t="s">
        <v>1173</v>
      </c>
      <c r="L2689" s="1" t="s">
        <v>26</v>
      </c>
      <c r="M2689" s="1" t="s">
        <v>27</v>
      </c>
      <c r="N2689" s="1" t="s">
        <v>26</v>
      </c>
      <c r="O2689" s="1" t="s">
        <v>26</v>
      </c>
      <c r="P2689" s="4">
        <v>45329.62762731482</v>
      </c>
    </row>
    <row r="2690" hidden="1">
      <c r="A2690" s="1" t="s">
        <v>1055</v>
      </c>
      <c r="B2690" s="3" t="str">
        <f>HYPERLINK("https://hawk-eye.atlassian.net/browse/HWKREPORT-850?atlOrigin=eyJpIjoiYzgwYTQ0ZjEyNzQzNGJhN2JmNjEyZTM0NmRhZWZhNjIiLCJwIjoic2hlZXRzLWppcmEifQ","HWKREPORT-850")</f>
        <v>HWKREPORT-850</v>
      </c>
      <c r="C2690" s="1" t="s">
        <v>3995</v>
      </c>
      <c r="D2690" s="1" t="s">
        <v>23</v>
      </c>
      <c r="E2690" s="1" t="s">
        <v>1057</v>
      </c>
      <c r="F2690" s="4">
        <v>44368.54924768519</v>
      </c>
      <c r="G2690" s="3" t="str">
        <f t="shared" ref="G2690:G2691" si="182">HYPERLINK("https://hawk-eye.atlassian.net/browse/?atlOrigin=eyJpIjoiYzgwYTQ0ZjEyNzQzNGJhN2JmNjEyZTM0NmRhZWZhNjIiLCJwIjoic2hlZXRzLWppcmEifQ","")</f>
        <v/>
      </c>
      <c r="H2690" s="1" t="s">
        <v>1058</v>
      </c>
      <c r="I2690" s="1" t="s">
        <v>1082</v>
      </c>
      <c r="J2690" s="1" t="s">
        <v>26</v>
      </c>
      <c r="K2690" s="1" t="s">
        <v>1173</v>
      </c>
      <c r="L2690" s="1" t="s">
        <v>26</v>
      </c>
      <c r="M2690" s="1" t="s">
        <v>27</v>
      </c>
      <c r="N2690" s="1" t="s">
        <v>26</v>
      </c>
      <c r="O2690" s="1" t="s">
        <v>26</v>
      </c>
      <c r="P2690" s="4">
        <v>44368.549259259256</v>
      </c>
    </row>
    <row r="2691" hidden="1">
      <c r="A2691" s="1" t="s">
        <v>1055</v>
      </c>
      <c r="B2691" s="3" t="str">
        <f>HYPERLINK("https://hawk-eye.atlassian.net/browse/HWKREPORT-851?atlOrigin=eyJpIjoiYzgwYTQ0ZjEyNzQzNGJhN2JmNjEyZTM0NmRhZWZhNjIiLCJwIjoic2hlZXRzLWppcmEifQ","HWKREPORT-851")</f>
        <v>HWKREPORT-851</v>
      </c>
      <c r="C2691" s="1" t="s">
        <v>3996</v>
      </c>
      <c r="D2691" s="1" t="s">
        <v>23</v>
      </c>
      <c r="E2691" s="1" t="s">
        <v>1057</v>
      </c>
      <c r="F2691" s="4">
        <v>44368.557858796295</v>
      </c>
      <c r="G2691" s="3" t="str">
        <f t="shared" si="182"/>
        <v/>
      </c>
      <c r="H2691" s="1" t="s">
        <v>1058</v>
      </c>
      <c r="I2691" s="1" t="s">
        <v>1082</v>
      </c>
      <c r="J2691" s="1" t="s">
        <v>26</v>
      </c>
      <c r="K2691" s="1" t="s">
        <v>1173</v>
      </c>
      <c r="L2691" s="1" t="s">
        <v>26</v>
      </c>
      <c r="M2691" s="1" t="s">
        <v>27</v>
      </c>
      <c r="N2691" s="1" t="s">
        <v>26</v>
      </c>
      <c r="O2691" s="1" t="s">
        <v>26</v>
      </c>
      <c r="P2691" s="4">
        <v>44368.55787037037</v>
      </c>
    </row>
    <row r="2692" hidden="1">
      <c r="A2692" s="1" t="s">
        <v>21</v>
      </c>
      <c r="B2692" s="3" t="str">
        <f>HYPERLINK("https://hawk-eye.atlassian.net/browse/HWKREPORT-852?atlOrigin=eyJpIjoiYzgwYTQ0ZjEyNzQzNGJhN2JmNjEyZTM0NmRhZWZhNjIiLCJwIjoic2hlZXRzLWppcmEifQ","HWKREPORT-852")</f>
        <v>HWKREPORT-852</v>
      </c>
      <c r="C2692" s="1" t="s">
        <v>3997</v>
      </c>
      <c r="D2692" s="1" t="s">
        <v>23</v>
      </c>
      <c r="E2692" s="1" t="s">
        <v>35</v>
      </c>
      <c r="F2692" s="4">
        <v>44368.5609375</v>
      </c>
      <c r="G2692" s="3" t="str">
        <f>HYPERLINK("https://hawk-eye.atlassian.net/browse/RTT-4042?atlOrigin=eyJpIjoiYzgwYTQ0ZjEyNzQzNGJhN2JmNjEyZTM0NmRhZWZhNjIiLCJwIjoic2hlZXRzLWppcmEifQ","RTT-4042")</f>
        <v>RTT-4042</v>
      </c>
      <c r="H2692" s="1" t="s">
        <v>1058</v>
      </c>
      <c r="I2692" s="1" t="s">
        <v>1082</v>
      </c>
      <c r="J2692" s="1" t="s">
        <v>26</v>
      </c>
      <c r="K2692" s="1" t="s">
        <v>1173</v>
      </c>
      <c r="L2692" s="1" t="s">
        <v>26</v>
      </c>
      <c r="M2692" s="1" t="s">
        <v>27</v>
      </c>
      <c r="N2692" s="1" t="s">
        <v>26</v>
      </c>
      <c r="O2692" s="1" t="s">
        <v>26</v>
      </c>
      <c r="P2692" s="4">
        <v>44600.87486111111</v>
      </c>
    </row>
    <row r="2693" hidden="1">
      <c r="A2693" s="1" t="s">
        <v>1055</v>
      </c>
      <c r="B2693" s="3" t="str">
        <f>HYPERLINK("https://hawk-eye.atlassian.net/browse/HWKREPORT-853?atlOrigin=eyJpIjoiYzgwYTQ0ZjEyNzQzNGJhN2JmNjEyZTM0NmRhZWZhNjIiLCJwIjoic2hlZXRzLWppcmEifQ","HWKREPORT-853")</f>
        <v>HWKREPORT-853</v>
      </c>
      <c r="C2693" s="1" t="s">
        <v>3998</v>
      </c>
      <c r="D2693" s="1" t="s">
        <v>23</v>
      </c>
      <c r="E2693" s="1" t="s">
        <v>1057</v>
      </c>
      <c r="F2693" s="4">
        <v>44368.56269675926</v>
      </c>
      <c r="G2693" s="3" t="str">
        <f t="shared" ref="G2693:G2697" si="183">HYPERLINK("https://hawk-eye.atlassian.net/browse/?atlOrigin=eyJpIjoiYzgwYTQ0ZjEyNzQzNGJhN2JmNjEyZTM0NmRhZWZhNjIiLCJwIjoic2hlZXRzLWppcmEifQ","")</f>
        <v/>
      </c>
      <c r="H2693" s="1" t="s">
        <v>1058</v>
      </c>
      <c r="I2693" s="1" t="s">
        <v>1082</v>
      </c>
      <c r="J2693" s="1" t="s">
        <v>26</v>
      </c>
      <c r="K2693" s="1" t="s">
        <v>1173</v>
      </c>
      <c r="L2693" s="1" t="s">
        <v>26</v>
      </c>
      <c r="M2693" s="1" t="s">
        <v>27</v>
      </c>
      <c r="N2693" s="1" t="s">
        <v>26</v>
      </c>
      <c r="O2693" s="1" t="s">
        <v>26</v>
      </c>
      <c r="P2693" s="4">
        <v>44368.56271990741</v>
      </c>
    </row>
    <row r="2694" hidden="1">
      <c r="A2694" s="1" t="s">
        <v>1055</v>
      </c>
      <c r="B2694" s="3" t="str">
        <f>HYPERLINK("https://hawk-eye.atlassian.net/browse/HWKREPORT-854?atlOrigin=eyJpIjoiYzgwYTQ0ZjEyNzQzNGJhN2JmNjEyZTM0NmRhZWZhNjIiLCJwIjoic2hlZXRzLWppcmEifQ","HWKREPORT-854")</f>
        <v>HWKREPORT-854</v>
      </c>
      <c r="C2694" s="1" t="s">
        <v>3999</v>
      </c>
      <c r="D2694" s="1" t="s">
        <v>23</v>
      </c>
      <c r="E2694" s="1" t="s">
        <v>1057</v>
      </c>
      <c r="F2694" s="4">
        <v>44368.715891203705</v>
      </c>
      <c r="G2694" s="3" t="str">
        <f t="shared" si="183"/>
        <v/>
      </c>
      <c r="H2694" s="1" t="s">
        <v>1058</v>
      </c>
      <c r="I2694" s="1" t="s">
        <v>1082</v>
      </c>
      <c r="J2694" s="1" t="s">
        <v>26</v>
      </c>
      <c r="K2694" s="1" t="s">
        <v>1173</v>
      </c>
      <c r="L2694" s="1" t="s">
        <v>26</v>
      </c>
      <c r="M2694" s="1" t="s">
        <v>27</v>
      </c>
      <c r="N2694" s="1" t="s">
        <v>26</v>
      </c>
      <c r="O2694" s="1" t="s">
        <v>26</v>
      </c>
      <c r="P2694" s="4">
        <v>44368.715902777774</v>
      </c>
    </row>
    <row r="2695" hidden="1">
      <c r="A2695" s="1" t="s">
        <v>1055</v>
      </c>
      <c r="B2695" s="3" t="str">
        <f>HYPERLINK("https://hawk-eye.atlassian.net/browse/HWKREPORT-855?atlOrigin=eyJpIjoiYzgwYTQ0ZjEyNzQzNGJhN2JmNjEyZTM0NmRhZWZhNjIiLCJwIjoic2hlZXRzLWppcmEifQ","HWKREPORT-855")</f>
        <v>HWKREPORT-855</v>
      </c>
      <c r="C2695" s="1" t="s">
        <v>4000</v>
      </c>
      <c r="D2695" s="1" t="s">
        <v>23</v>
      </c>
      <c r="E2695" s="1" t="s">
        <v>1057</v>
      </c>
      <c r="F2695" s="4">
        <v>44368.71761574074</v>
      </c>
      <c r="G2695" s="3" t="str">
        <f t="shared" si="183"/>
        <v/>
      </c>
      <c r="H2695" s="1" t="s">
        <v>1058</v>
      </c>
      <c r="I2695" s="1" t="s">
        <v>1082</v>
      </c>
      <c r="J2695" s="1" t="s">
        <v>26</v>
      </c>
      <c r="K2695" s="1" t="s">
        <v>1173</v>
      </c>
      <c r="L2695" s="1" t="s">
        <v>26</v>
      </c>
      <c r="M2695" s="1" t="s">
        <v>27</v>
      </c>
      <c r="N2695" s="1" t="s">
        <v>26</v>
      </c>
      <c r="O2695" s="1" t="s">
        <v>26</v>
      </c>
      <c r="P2695" s="4">
        <v>44368.71761574074</v>
      </c>
    </row>
    <row r="2696" hidden="1">
      <c r="A2696" s="1" t="s">
        <v>1055</v>
      </c>
      <c r="B2696" s="3" t="str">
        <f>HYPERLINK("https://hawk-eye.atlassian.net/browse/HWKREPORT-856?atlOrigin=eyJpIjoiYzgwYTQ0ZjEyNzQzNGJhN2JmNjEyZTM0NmRhZWZhNjIiLCJwIjoic2hlZXRzLWppcmEifQ","HWKREPORT-856")</f>
        <v>HWKREPORT-856</v>
      </c>
      <c r="C2696" s="1" t="s">
        <v>4001</v>
      </c>
      <c r="D2696" s="1" t="s">
        <v>23</v>
      </c>
      <c r="E2696" s="1" t="s">
        <v>1057</v>
      </c>
      <c r="F2696" s="4">
        <v>44368.71821759259</v>
      </c>
      <c r="G2696" s="3" t="str">
        <f t="shared" si="183"/>
        <v/>
      </c>
      <c r="H2696" s="1" t="s">
        <v>1058</v>
      </c>
      <c r="I2696" s="1" t="s">
        <v>1082</v>
      </c>
      <c r="J2696" s="1" t="s">
        <v>26</v>
      </c>
      <c r="K2696" s="1" t="s">
        <v>1173</v>
      </c>
      <c r="L2696" s="1" t="s">
        <v>26</v>
      </c>
      <c r="M2696" s="1" t="s">
        <v>27</v>
      </c>
      <c r="N2696" s="1" t="s">
        <v>26</v>
      </c>
      <c r="O2696" s="1" t="s">
        <v>26</v>
      </c>
      <c r="P2696" s="4">
        <v>44368.71822916667</v>
      </c>
    </row>
    <row r="2697" hidden="1">
      <c r="A2697" s="1" t="s">
        <v>1055</v>
      </c>
      <c r="B2697" s="3" t="str">
        <f>HYPERLINK("https://hawk-eye.atlassian.net/browse/HWKREPORT-857?atlOrigin=eyJpIjoiYzgwYTQ0ZjEyNzQzNGJhN2JmNjEyZTM0NmRhZWZhNjIiLCJwIjoic2hlZXRzLWppcmEifQ","HWKREPORT-857")</f>
        <v>HWKREPORT-857</v>
      </c>
      <c r="C2697" s="1" t="s">
        <v>4002</v>
      </c>
      <c r="D2697" s="1" t="s">
        <v>23</v>
      </c>
      <c r="E2697" s="1" t="s">
        <v>1057</v>
      </c>
      <c r="F2697" s="4">
        <v>44368.722708333335</v>
      </c>
      <c r="G2697" s="3" t="str">
        <f t="shared" si="183"/>
        <v/>
      </c>
      <c r="H2697" s="1" t="s">
        <v>1058</v>
      </c>
      <c r="I2697" s="1" t="s">
        <v>1082</v>
      </c>
      <c r="J2697" s="1" t="s">
        <v>26</v>
      </c>
      <c r="K2697" s="1" t="s">
        <v>1173</v>
      </c>
      <c r="L2697" s="1" t="s">
        <v>26</v>
      </c>
      <c r="M2697" s="1" t="s">
        <v>27</v>
      </c>
      <c r="N2697" s="1" t="s">
        <v>26</v>
      </c>
      <c r="O2697" s="1" t="s">
        <v>26</v>
      </c>
      <c r="P2697" s="4">
        <v>44368.722719907404</v>
      </c>
    </row>
    <row r="2698" hidden="1">
      <c r="A2698" s="1" t="s">
        <v>1055</v>
      </c>
      <c r="B2698" s="3" t="str">
        <f>HYPERLINK("https://hawk-eye.atlassian.net/browse/HWKREPORT-858?atlOrigin=eyJpIjoiYzgwYTQ0ZjEyNzQzNGJhN2JmNjEyZTM0NmRhZWZhNjIiLCJwIjoic2hlZXRzLWppcmEifQ","HWKREPORT-858")</f>
        <v>HWKREPORT-858</v>
      </c>
      <c r="C2698" s="1" t="s">
        <v>4003</v>
      </c>
      <c r="D2698" s="1" t="s">
        <v>23</v>
      </c>
      <c r="E2698" s="1" t="s">
        <v>35</v>
      </c>
      <c r="F2698" s="4">
        <v>44368.72373842593</v>
      </c>
      <c r="G2698" s="3" t="str">
        <f>HYPERLINK("https://hawk-eye.atlassian.net/browse/RTT-5204?atlOrigin=eyJpIjoiYzgwYTQ0ZjEyNzQzNGJhN2JmNjEyZTM0NmRhZWZhNjIiLCJwIjoic2hlZXRzLWppcmEifQ","RTT-5204")</f>
        <v>RTT-5204</v>
      </c>
      <c r="H2698" s="1" t="s">
        <v>1058</v>
      </c>
      <c r="I2698" s="1" t="s">
        <v>1082</v>
      </c>
      <c r="J2698" s="1" t="s">
        <v>26</v>
      </c>
      <c r="K2698" s="1" t="s">
        <v>1173</v>
      </c>
      <c r="L2698" s="1" t="s">
        <v>26</v>
      </c>
      <c r="M2698" s="1" t="s">
        <v>27</v>
      </c>
      <c r="N2698" s="1" t="s">
        <v>26</v>
      </c>
      <c r="O2698" s="1" t="s">
        <v>26</v>
      </c>
      <c r="P2698" s="4">
        <v>45264.59806712963</v>
      </c>
    </row>
    <row r="2699" hidden="1">
      <c r="A2699" s="1" t="s">
        <v>1055</v>
      </c>
      <c r="B2699" s="3" t="str">
        <f>HYPERLINK("https://hawk-eye.atlassian.net/browse/HWKREPORT-859?atlOrigin=eyJpIjoiYzgwYTQ0ZjEyNzQzNGJhN2JmNjEyZTM0NmRhZWZhNjIiLCJwIjoic2hlZXRzLWppcmEifQ","HWKREPORT-859")</f>
        <v>HWKREPORT-859</v>
      </c>
      <c r="C2699" s="1" t="s">
        <v>4004</v>
      </c>
      <c r="D2699" s="1" t="s">
        <v>23</v>
      </c>
      <c r="E2699" s="1" t="s">
        <v>1057</v>
      </c>
      <c r="F2699" s="4">
        <v>44368.73155092593</v>
      </c>
      <c r="G2699" s="3" t="str">
        <f>HYPERLINK("https://hawk-eye.atlassian.net/browse/?atlOrigin=eyJpIjoiYzgwYTQ0ZjEyNzQzNGJhN2JmNjEyZTM0NmRhZWZhNjIiLCJwIjoic2hlZXRzLWppcmEifQ","")</f>
        <v/>
      </c>
      <c r="H2699" s="1" t="s">
        <v>1058</v>
      </c>
      <c r="I2699" s="1" t="s">
        <v>1082</v>
      </c>
      <c r="J2699" s="1" t="s">
        <v>26</v>
      </c>
      <c r="K2699" s="1" t="s">
        <v>1173</v>
      </c>
      <c r="L2699" s="1" t="s">
        <v>26</v>
      </c>
      <c r="M2699" s="1" t="s">
        <v>27</v>
      </c>
      <c r="N2699" s="1" t="s">
        <v>26</v>
      </c>
      <c r="O2699" s="1" t="s">
        <v>26</v>
      </c>
      <c r="P2699" s="4">
        <v>44368.73155092593</v>
      </c>
    </row>
    <row r="2700" hidden="1">
      <c r="A2700" s="1" t="s">
        <v>21</v>
      </c>
      <c r="B2700" s="3" t="str">
        <f>HYPERLINK("https://hawk-eye.atlassian.net/browse/HWKREPORT-860?atlOrigin=eyJpIjoiYzgwYTQ0ZjEyNzQzNGJhN2JmNjEyZTM0NmRhZWZhNjIiLCJwIjoic2hlZXRzLWppcmEifQ","HWKREPORT-860")</f>
        <v>HWKREPORT-860</v>
      </c>
      <c r="C2700" s="1" t="s">
        <v>4005</v>
      </c>
      <c r="D2700" s="1" t="s">
        <v>23</v>
      </c>
      <c r="E2700" s="1" t="s">
        <v>35</v>
      </c>
      <c r="F2700" s="4">
        <v>44368.90215277778</v>
      </c>
      <c r="G2700" s="3" t="str">
        <f>HYPERLINK("https://hawk-eye.atlassian.net/browse/RTT-4049?atlOrigin=eyJpIjoiYzgwYTQ0ZjEyNzQzNGJhN2JmNjEyZTM0NmRhZWZhNjIiLCJwIjoic2hlZXRzLWppcmEifQ","RTT-4049")</f>
        <v>RTT-4049</v>
      </c>
      <c r="H2700" s="1" t="s">
        <v>1058</v>
      </c>
      <c r="I2700" s="1" t="s">
        <v>1071</v>
      </c>
      <c r="J2700" s="1" t="s">
        <v>26</v>
      </c>
      <c r="K2700" s="1" t="s">
        <v>1072</v>
      </c>
      <c r="L2700" s="1" t="s">
        <v>26</v>
      </c>
      <c r="M2700" s="1" t="s">
        <v>27</v>
      </c>
      <c r="N2700" s="1" t="s">
        <v>26</v>
      </c>
      <c r="O2700" s="1" t="s">
        <v>26</v>
      </c>
      <c r="P2700" s="4">
        <v>44600.87521990741</v>
      </c>
    </row>
    <row r="2701" hidden="1">
      <c r="A2701" s="1" t="s">
        <v>21</v>
      </c>
      <c r="B2701" s="3" t="str">
        <f>HYPERLINK("https://hawk-eye.atlassian.net/browse/HWKREPORT-861?atlOrigin=eyJpIjoiYzgwYTQ0ZjEyNzQzNGJhN2JmNjEyZTM0NmRhZWZhNjIiLCJwIjoic2hlZXRzLWppcmEifQ","HWKREPORT-861")</f>
        <v>HWKREPORT-861</v>
      </c>
      <c r="C2701" s="1" t="s">
        <v>4006</v>
      </c>
      <c r="D2701" s="1" t="s">
        <v>23</v>
      </c>
      <c r="E2701" s="1" t="s">
        <v>35</v>
      </c>
      <c r="F2701" s="4">
        <v>44369.88752314815</v>
      </c>
      <c r="G2701" s="3" t="str">
        <f>HYPERLINK("https://hawk-eye.atlassian.net/browse/RTT-4260?atlOrigin=eyJpIjoiYzgwYTQ0ZjEyNzQzNGJhN2JmNjEyZTM0NmRhZWZhNjIiLCJwIjoic2hlZXRzLWppcmEifQ","RTT-4260")</f>
        <v>RTT-4260</v>
      </c>
      <c r="H2701" s="1" t="s">
        <v>1058</v>
      </c>
      <c r="I2701" s="1" t="s">
        <v>1071</v>
      </c>
      <c r="J2701" s="1" t="s">
        <v>26</v>
      </c>
      <c r="K2701" s="1" t="s">
        <v>1312</v>
      </c>
      <c r="L2701" s="1" t="s">
        <v>26</v>
      </c>
      <c r="M2701" s="1" t="s">
        <v>27</v>
      </c>
      <c r="N2701" s="1" t="s">
        <v>26</v>
      </c>
      <c r="O2701" s="1" t="s">
        <v>26</v>
      </c>
      <c r="P2701" s="4">
        <v>44600.875069444446</v>
      </c>
    </row>
    <row r="2702" hidden="1">
      <c r="A2702" s="1" t="s">
        <v>21</v>
      </c>
      <c r="B2702" s="3" t="str">
        <f>HYPERLINK("https://hawk-eye.atlassian.net/browse/HWKREPORT-662?atlOrigin=eyJpIjoiYzgwYTQ0ZjEyNzQzNGJhN2JmNjEyZTM0NmRhZWZhNjIiLCJwIjoic2hlZXRzLWppcmEifQ","HWKREPORT-662")</f>
        <v>HWKREPORT-662</v>
      </c>
      <c r="C2702" s="1" t="s">
        <v>4007</v>
      </c>
      <c r="D2702" s="1" t="s">
        <v>23</v>
      </c>
      <c r="E2702" s="1" t="s">
        <v>35</v>
      </c>
      <c r="F2702" s="4">
        <v>44247.15378472222</v>
      </c>
      <c r="G2702" s="3" t="str">
        <f>HYPERLINK("https://hawk-eye.atlassian.net/browse/?atlOrigin=eyJpIjoiYzgwYTQ0ZjEyNzQzNGJhN2JmNjEyZTM0NmRhZWZhNjIiLCJwIjoic2hlZXRzLWppcmEifQ","")</f>
        <v/>
      </c>
      <c r="H2702" s="1" t="s">
        <v>1058</v>
      </c>
      <c r="I2702" s="1" t="s">
        <v>1071</v>
      </c>
      <c r="J2702" s="1" t="s">
        <v>26</v>
      </c>
      <c r="K2702" s="1" t="s">
        <v>1072</v>
      </c>
      <c r="L2702" s="1" t="s">
        <v>26</v>
      </c>
      <c r="M2702" s="1" t="s">
        <v>27</v>
      </c>
      <c r="N2702" s="1" t="s">
        <v>26</v>
      </c>
      <c r="O2702" s="1" t="s">
        <v>26</v>
      </c>
      <c r="P2702" s="4">
        <v>44286.77402777778</v>
      </c>
    </row>
    <row r="2703" hidden="1">
      <c r="A2703" s="1" t="s">
        <v>21</v>
      </c>
      <c r="B2703" s="3" t="str">
        <f>HYPERLINK("https://hawk-eye.atlassian.net/browse/HWKREPORT-663?atlOrigin=eyJpIjoiYzgwYTQ0ZjEyNzQzNGJhN2JmNjEyZTM0NmRhZWZhNjIiLCJwIjoic2hlZXRzLWppcmEifQ","HWKREPORT-663")</f>
        <v>HWKREPORT-663</v>
      </c>
      <c r="C2703" s="1" t="s">
        <v>4008</v>
      </c>
      <c r="D2703" s="1" t="s">
        <v>34</v>
      </c>
      <c r="E2703" s="1" t="s">
        <v>35</v>
      </c>
      <c r="F2703" s="4">
        <v>44249.0558912037</v>
      </c>
      <c r="G2703" s="3" t="str">
        <f>HYPERLINK("https://hawk-eye.atlassian.net/browse/BDP-151?atlOrigin=eyJpIjoiYzgwYTQ0ZjEyNzQzNGJhN2JmNjEyZTM0NmRhZWZhNjIiLCJwIjoic2hlZXRzLWppcmEifQ","BDP-151")</f>
        <v>BDP-151</v>
      </c>
      <c r="H2703" s="1" t="s">
        <v>1058</v>
      </c>
      <c r="I2703" s="1" t="s">
        <v>1071</v>
      </c>
      <c r="J2703" s="1" t="s">
        <v>26</v>
      </c>
      <c r="K2703" s="1" t="s">
        <v>2841</v>
      </c>
      <c r="L2703" s="1" t="s">
        <v>26</v>
      </c>
      <c r="M2703" s="1" t="s">
        <v>27</v>
      </c>
      <c r="N2703" s="1" t="s">
        <v>26</v>
      </c>
      <c r="O2703" s="1" t="s">
        <v>26</v>
      </c>
      <c r="P2703" s="4">
        <v>44299.56240740741</v>
      </c>
    </row>
    <row r="2704" hidden="1">
      <c r="A2704" s="1" t="s">
        <v>21</v>
      </c>
      <c r="B2704" s="3" t="str">
        <f>HYPERLINK("https://hawk-eye.atlassian.net/browse/HWKREPORT-664?atlOrigin=eyJpIjoiYzgwYTQ0ZjEyNzQzNGJhN2JmNjEyZTM0NmRhZWZhNjIiLCJwIjoic2hlZXRzLWppcmEifQ","HWKREPORT-664")</f>
        <v>HWKREPORT-664</v>
      </c>
      <c r="C2704" s="1" t="s">
        <v>4009</v>
      </c>
      <c r="D2704" s="1" t="s">
        <v>23</v>
      </c>
      <c r="E2704" s="1" t="s">
        <v>35</v>
      </c>
      <c r="F2704" s="4">
        <v>44249.05903935185</v>
      </c>
      <c r="G2704" s="3" t="str">
        <f>HYPERLINK("https://hawk-eye.atlassian.net/browse/AL-20?atlOrigin=eyJpIjoiYzgwYTQ0ZjEyNzQzNGJhN2JmNjEyZTM0NmRhZWZhNjIiLCJwIjoic2hlZXRzLWppcmEifQ","AL-20")</f>
        <v>AL-20</v>
      </c>
      <c r="H2704" s="1" t="s">
        <v>1058</v>
      </c>
      <c r="I2704" s="1" t="s">
        <v>1071</v>
      </c>
      <c r="J2704" s="1" t="s">
        <v>26</v>
      </c>
      <c r="K2704" s="1" t="s">
        <v>1276</v>
      </c>
      <c r="L2704" s="1" t="s">
        <v>26</v>
      </c>
      <c r="M2704" s="1" t="s">
        <v>27</v>
      </c>
      <c r="N2704" s="1" t="s">
        <v>26</v>
      </c>
      <c r="O2704" s="1" t="s">
        <v>26</v>
      </c>
      <c r="P2704" s="4">
        <v>44600.8749537037</v>
      </c>
    </row>
    <row r="2705" hidden="1">
      <c r="A2705" s="1" t="s">
        <v>21</v>
      </c>
      <c r="B2705" s="3" t="str">
        <f>HYPERLINK("https://hawk-eye.atlassian.net/browse/HWKREPORT-665?atlOrigin=eyJpIjoiYzgwYTQ0ZjEyNzQzNGJhN2JmNjEyZTM0NmRhZWZhNjIiLCJwIjoic2hlZXRzLWppcmEifQ","HWKREPORT-665")</f>
        <v>HWKREPORT-665</v>
      </c>
      <c r="C2705" s="1" t="s">
        <v>4010</v>
      </c>
      <c r="D2705" s="1" t="s">
        <v>23</v>
      </c>
      <c r="E2705" s="1" t="s">
        <v>35</v>
      </c>
      <c r="F2705" s="4">
        <v>44249.06113425926</v>
      </c>
      <c r="G2705" s="3" t="str">
        <f>HYPERLINK("https://hawk-eye.atlassian.net/browse/AL-18?atlOrigin=eyJpIjoiYzgwYTQ0ZjEyNzQzNGJhN2JmNjEyZTM0NmRhZWZhNjIiLCJwIjoic2hlZXRzLWppcmEifQ","AL-18")</f>
        <v>AL-18</v>
      </c>
      <c r="H2705" s="1" t="s">
        <v>1058</v>
      </c>
      <c r="I2705" s="1" t="s">
        <v>1071</v>
      </c>
      <c r="J2705" s="1" t="s">
        <v>26</v>
      </c>
      <c r="K2705" s="1" t="s">
        <v>1276</v>
      </c>
      <c r="L2705" s="1" t="s">
        <v>26</v>
      </c>
      <c r="M2705" s="1" t="s">
        <v>27</v>
      </c>
      <c r="N2705" s="1" t="s">
        <v>26</v>
      </c>
      <c r="O2705" s="1" t="s">
        <v>26</v>
      </c>
      <c r="P2705" s="4">
        <v>44600.874918981484</v>
      </c>
    </row>
    <row r="2706" hidden="1">
      <c r="A2706" s="1" t="s">
        <v>21</v>
      </c>
      <c r="B2706" s="3" t="str">
        <f>HYPERLINK("https://hawk-eye.atlassian.net/browse/HWKREPORT-666?atlOrigin=eyJpIjoiYzgwYTQ0ZjEyNzQzNGJhN2JmNjEyZTM0NmRhZWZhNjIiLCJwIjoic2hlZXRzLWppcmEifQ","HWKREPORT-666")</f>
        <v>HWKREPORT-666</v>
      </c>
      <c r="C2706" s="1" t="s">
        <v>4011</v>
      </c>
      <c r="D2706" s="1" t="s">
        <v>23</v>
      </c>
      <c r="E2706" s="1" t="s">
        <v>35</v>
      </c>
      <c r="F2706" s="4">
        <v>44249.93775462963</v>
      </c>
      <c r="G2706" s="3" t="str">
        <f>HYPERLINK("https://hawk-eye.atlassian.net/browse/AL-23?atlOrigin=eyJpIjoiYzgwYTQ0ZjEyNzQzNGJhN2JmNjEyZTM0NmRhZWZhNjIiLCJwIjoic2hlZXRzLWppcmEifQ","AL-23")</f>
        <v>AL-23</v>
      </c>
      <c r="H2706" s="1" t="s">
        <v>1058</v>
      </c>
      <c r="I2706" s="1" t="s">
        <v>1071</v>
      </c>
      <c r="J2706" s="1" t="s">
        <v>26</v>
      </c>
      <c r="K2706" s="1" t="s">
        <v>1276</v>
      </c>
      <c r="L2706" s="1" t="s">
        <v>26</v>
      </c>
      <c r="M2706" s="1" t="s">
        <v>27</v>
      </c>
      <c r="N2706" s="1" t="s">
        <v>26</v>
      </c>
      <c r="O2706" s="1" t="s">
        <v>26</v>
      </c>
      <c r="P2706" s="4">
        <v>44600.87498842592</v>
      </c>
    </row>
    <row r="2707" hidden="1">
      <c r="A2707" s="1" t="s">
        <v>21</v>
      </c>
      <c r="B2707" s="3" t="str">
        <f>HYPERLINK("https://hawk-eye.atlassian.net/browse/HWKREPORT-667?atlOrigin=eyJpIjoiYzgwYTQ0ZjEyNzQzNGJhN2JmNjEyZTM0NmRhZWZhNjIiLCJwIjoic2hlZXRzLWppcmEifQ","HWKREPORT-667")</f>
        <v>HWKREPORT-667</v>
      </c>
      <c r="C2707" s="1" t="s">
        <v>4012</v>
      </c>
      <c r="D2707" s="1" t="s">
        <v>23</v>
      </c>
      <c r="E2707" s="1" t="s">
        <v>35</v>
      </c>
      <c r="F2707" s="4">
        <v>44250.09391203704</v>
      </c>
      <c r="G2707" s="3" t="str">
        <f>HYPERLINK("https://hawk-eye.atlassian.net/browse/AL-22?atlOrigin=eyJpIjoiYzgwYTQ0ZjEyNzQzNGJhN2JmNjEyZTM0NmRhZWZhNjIiLCJwIjoic2hlZXRzLWppcmEifQ","AL-22")</f>
        <v>AL-22</v>
      </c>
      <c r="H2707" s="1" t="s">
        <v>1058</v>
      </c>
      <c r="I2707" s="1" t="s">
        <v>1071</v>
      </c>
      <c r="J2707" s="1" t="s">
        <v>26</v>
      </c>
      <c r="K2707" s="1" t="s">
        <v>1276</v>
      </c>
      <c r="L2707" s="1" t="s">
        <v>26</v>
      </c>
      <c r="M2707" s="1" t="s">
        <v>27</v>
      </c>
      <c r="N2707" s="1" t="s">
        <v>26</v>
      </c>
      <c r="O2707" s="1" t="s">
        <v>26</v>
      </c>
      <c r="P2707" s="4">
        <v>44600.87498842592</v>
      </c>
    </row>
    <row r="2708" hidden="1">
      <c r="A2708" s="1" t="s">
        <v>1055</v>
      </c>
      <c r="B2708" s="3" t="str">
        <f>HYPERLINK("https://hawk-eye.atlassian.net/browse/HWKREPORT-668?atlOrigin=eyJpIjoiYzgwYTQ0ZjEyNzQzNGJhN2JmNjEyZTM0NmRhZWZhNjIiLCJwIjoic2hlZXRzLWppcmEifQ","HWKREPORT-668")</f>
        <v>HWKREPORT-668</v>
      </c>
      <c r="C2708" s="1" t="s">
        <v>4013</v>
      </c>
      <c r="D2708" s="1" t="s">
        <v>23</v>
      </c>
      <c r="E2708" s="1" t="s">
        <v>35</v>
      </c>
      <c r="F2708" s="4">
        <v>44250.64685185185</v>
      </c>
      <c r="G2708" s="3" t="str">
        <f>HYPERLINK("https://hawk-eye.atlassian.net/browse/BDS-408?atlOrigin=eyJpIjoiYzgwYTQ0ZjEyNzQzNGJhN2JmNjEyZTM0NmRhZWZhNjIiLCJwIjoic2hlZXRzLWppcmEifQ","BDS-408")</f>
        <v>BDS-408</v>
      </c>
      <c r="H2708" s="1" t="s">
        <v>1058</v>
      </c>
      <c r="I2708" s="1" t="s">
        <v>1071</v>
      </c>
      <c r="J2708" s="1" t="s">
        <v>26</v>
      </c>
      <c r="K2708" s="1" t="s">
        <v>1072</v>
      </c>
      <c r="L2708" s="1" t="s">
        <v>26</v>
      </c>
      <c r="M2708" s="1" t="s">
        <v>27</v>
      </c>
      <c r="N2708" s="1" t="s">
        <v>26</v>
      </c>
      <c r="O2708" s="1" t="s">
        <v>26</v>
      </c>
      <c r="P2708" s="4">
        <v>44600.874768518515</v>
      </c>
    </row>
    <row r="2709" hidden="1">
      <c r="A2709" s="1" t="s">
        <v>21</v>
      </c>
      <c r="B2709" s="3" t="str">
        <f>HYPERLINK("https://hawk-eye.atlassian.net/browse/HWKREPORT-669?atlOrigin=eyJpIjoiYzgwYTQ0ZjEyNzQzNGJhN2JmNjEyZTM0NmRhZWZhNjIiLCJwIjoic2hlZXRzLWppcmEifQ","HWKREPORT-669")</f>
        <v>HWKREPORT-669</v>
      </c>
      <c r="C2709" s="1" t="s">
        <v>4014</v>
      </c>
      <c r="D2709" s="1" t="s">
        <v>23</v>
      </c>
      <c r="E2709" s="1" t="s">
        <v>35</v>
      </c>
      <c r="F2709" s="4">
        <v>44250.647372685184</v>
      </c>
      <c r="G2709" s="3" t="str">
        <f>HYPERLINK("https://hawk-eye.atlassian.net/browse/RTT-3612?atlOrigin=eyJpIjoiYzgwYTQ0ZjEyNzQzNGJhN2JmNjEyZTM0NmRhZWZhNjIiLCJwIjoic2hlZXRzLWppcmEifQ","RTT-3612")</f>
        <v>RTT-3612</v>
      </c>
      <c r="H2709" s="1" t="s">
        <v>1058</v>
      </c>
      <c r="I2709" s="1" t="s">
        <v>1071</v>
      </c>
      <c r="J2709" s="1" t="s">
        <v>26</v>
      </c>
      <c r="K2709" s="1" t="s">
        <v>1072</v>
      </c>
      <c r="L2709" s="1" t="s">
        <v>26</v>
      </c>
      <c r="M2709" s="1" t="s">
        <v>27</v>
      </c>
      <c r="N2709" s="1" t="s">
        <v>26</v>
      </c>
      <c r="O2709" s="1" t="s">
        <v>26</v>
      </c>
      <c r="P2709" s="4">
        <v>44600.874768518515</v>
      </c>
    </row>
    <row r="2710" hidden="1">
      <c r="A2710" s="1" t="s">
        <v>21</v>
      </c>
      <c r="B2710" s="3" t="str">
        <f>HYPERLINK("https://hawk-eye.atlassian.net/browse/HWKREPORT-670?atlOrigin=eyJpIjoiYzgwYTQ0ZjEyNzQzNGJhN2JmNjEyZTM0NmRhZWZhNjIiLCJwIjoic2hlZXRzLWppcmEifQ","HWKREPORT-670")</f>
        <v>HWKREPORT-670</v>
      </c>
      <c r="C2710" s="1" t="s">
        <v>4015</v>
      </c>
      <c r="D2710" s="1" t="s">
        <v>23</v>
      </c>
      <c r="E2710" s="1" t="s">
        <v>1057</v>
      </c>
      <c r="F2710" s="4">
        <v>44251.4533912037</v>
      </c>
      <c r="G2710" s="3" t="str">
        <f>HYPERLINK("https://hawk-eye.atlassian.net/browse/?atlOrigin=eyJpIjoiYzgwYTQ0ZjEyNzQzNGJhN2JmNjEyZTM0NmRhZWZhNjIiLCJwIjoic2hlZXRzLWppcmEifQ","")</f>
        <v/>
      </c>
      <c r="H2710" s="1" t="s">
        <v>1058</v>
      </c>
      <c r="I2710" s="1" t="s">
        <v>1502</v>
      </c>
      <c r="J2710" s="1" t="s">
        <v>26</v>
      </c>
      <c r="K2710" s="1" t="s">
        <v>1309</v>
      </c>
      <c r="L2710" s="1" t="s">
        <v>26</v>
      </c>
      <c r="M2710" s="1" t="s">
        <v>27</v>
      </c>
      <c r="N2710" s="1" t="s">
        <v>26</v>
      </c>
      <c r="O2710" s="1" t="s">
        <v>26</v>
      </c>
      <c r="P2710" s="4">
        <v>44251.4533912037</v>
      </c>
    </row>
    <row r="2711" hidden="1">
      <c r="A2711" s="1" t="s">
        <v>21</v>
      </c>
      <c r="B2711" s="3" t="str">
        <f>HYPERLINK("https://hawk-eye.atlassian.net/browse/HWKREPORT-671?atlOrigin=eyJpIjoiYzgwYTQ0ZjEyNzQzNGJhN2JmNjEyZTM0NmRhZWZhNjIiLCJwIjoic2hlZXRzLWppcmEifQ","HWKREPORT-671")</f>
        <v>HWKREPORT-671</v>
      </c>
      <c r="C2711" s="1" t="s">
        <v>4016</v>
      </c>
      <c r="D2711" s="1" t="s">
        <v>83</v>
      </c>
      <c r="E2711" s="1" t="s">
        <v>35</v>
      </c>
      <c r="F2711" s="4">
        <v>44251.49217592592</v>
      </c>
      <c r="G2711" s="3" t="str">
        <f>HYPERLINK("https://hawk-eye.atlassian.net/browse/RTT-3734?atlOrigin=eyJpIjoiYzgwYTQ0ZjEyNzQzNGJhN2JmNjEyZTM0NmRhZWZhNjIiLCJwIjoic2hlZXRzLWppcmEifQ","RTT-3734")</f>
        <v>RTT-3734</v>
      </c>
      <c r="H2711" s="1" t="s">
        <v>1058</v>
      </c>
      <c r="I2711" s="1" t="s">
        <v>1377</v>
      </c>
      <c r="J2711" s="1" t="s">
        <v>26</v>
      </c>
      <c r="K2711" s="1" t="s">
        <v>1309</v>
      </c>
      <c r="L2711" s="1" t="s">
        <v>26</v>
      </c>
      <c r="M2711" s="1" t="s">
        <v>27</v>
      </c>
      <c r="N2711" s="1" t="s">
        <v>26</v>
      </c>
      <c r="O2711" s="1" t="s">
        <v>26</v>
      </c>
      <c r="P2711" s="4">
        <v>44600.874560185184</v>
      </c>
    </row>
    <row r="2712" hidden="1">
      <c r="A2712" s="1" t="s">
        <v>21</v>
      </c>
      <c r="B2712" s="3" t="str">
        <f>HYPERLINK("https://hawk-eye.atlassian.net/browse/HWKREPORT-672?atlOrigin=eyJpIjoiYzgwYTQ0ZjEyNzQzNGJhN2JmNjEyZTM0NmRhZWZhNjIiLCJwIjoic2hlZXRzLWppcmEifQ","HWKREPORT-672")</f>
        <v>HWKREPORT-672</v>
      </c>
      <c r="C2712" s="1" t="s">
        <v>4017</v>
      </c>
      <c r="D2712" s="1" t="s">
        <v>23</v>
      </c>
      <c r="E2712" s="1" t="s">
        <v>1057</v>
      </c>
      <c r="F2712" s="4">
        <v>44251.70292824074</v>
      </c>
      <c r="G2712" s="3" t="str">
        <f t="shared" ref="G2712:G2713" si="184">HYPERLINK("https://hawk-eye.atlassian.net/browse/?atlOrigin=eyJpIjoiYzgwYTQ0ZjEyNzQzNGJhN2JmNjEyZTM0NmRhZWZhNjIiLCJwIjoic2hlZXRzLWppcmEifQ","")</f>
        <v/>
      </c>
      <c r="H2712" s="1" t="s">
        <v>1058</v>
      </c>
      <c r="I2712" s="1" t="s">
        <v>1502</v>
      </c>
      <c r="J2712" s="1" t="s">
        <v>26</v>
      </c>
      <c r="K2712" s="1" t="s">
        <v>1309</v>
      </c>
      <c r="L2712" s="1" t="s">
        <v>26</v>
      </c>
      <c r="M2712" s="1" t="s">
        <v>27</v>
      </c>
      <c r="N2712" s="1" t="s">
        <v>26</v>
      </c>
      <c r="O2712" s="1" t="s">
        <v>26</v>
      </c>
      <c r="P2712" s="4">
        <v>44251.702939814815</v>
      </c>
    </row>
    <row r="2713">
      <c r="A2713" s="1" t="s">
        <v>21</v>
      </c>
      <c r="B2713" s="3" t="str">
        <f>HYPERLINK("https://hawk-eye.atlassian.net/browse/HWKREPORT-673?atlOrigin=eyJpIjoiYzgwYTQ0ZjEyNzQzNGJhN2JmNjEyZTM0NmRhZWZhNjIiLCJwIjoic2hlZXRzLWppcmEifQ","HWKREPORT-673")</f>
        <v>HWKREPORT-673</v>
      </c>
      <c r="C2713" s="1" t="s">
        <v>4018</v>
      </c>
      <c r="D2713" s="1" t="s">
        <v>83</v>
      </c>
      <c r="E2713" s="1" t="s">
        <v>35</v>
      </c>
      <c r="F2713" s="4">
        <v>44252.59017361111</v>
      </c>
      <c r="G2713" s="3" t="str">
        <f t="shared" si="184"/>
        <v/>
      </c>
      <c r="H2713" s="1" t="s">
        <v>1058</v>
      </c>
      <c r="I2713" s="1" t="s">
        <v>28</v>
      </c>
      <c r="J2713" s="1" t="s">
        <v>26</v>
      </c>
      <c r="K2713" s="1" t="s">
        <v>1134</v>
      </c>
      <c r="L2713" s="1" t="s">
        <v>26</v>
      </c>
      <c r="M2713" s="1" t="s">
        <v>27</v>
      </c>
      <c r="N2713" s="1" t="s">
        <v>26</v>
      </c>
      <c r="O2713" s="1" t="s">
        <v>26</v>
      </c>
      <c r="P2713" s="4">
        <v>44363.761412037034</v>
      </c>
    </row>
    <row r="2714" hidden="1">
      <c r="A2714" s="1" t="s">
        <v>21</v>
      </c>
      <c r="B2714" s="3" t="str">
        <f>HYPERLINK("https://hawk-eye.atlassian.net/browse/HWKREPORT-674?atlOrigin=eyJpIjoiYzgwYTQ0ZjEyNzQzNGJhN2JmNjEyZTM0NmRhZWZhNjIiLCJwIjoic2hlZXRzLWppcmEifQ","HWKREPORT-674")</f>
        <v>HWKREPORT-674</v>
      </c>
      <c r="C2714" s="1" t="s">
        <v>4019</v>
      </c>
      <c r="D2714" s="1" t="s">
        <v>34</v>
      </c>
      <c r="E2714" s="1" t="s">
        <v>35</v>
      </c>
      <c r="F2714" s="4">
        <v>44252.625497685185</v>
      </c>
      <c r="G2714" s="3" t="str">
        <f>HYPERLINK("https://hawk-eye.atlassian.net/browse/RTT-3626?atlOrigin=eyJpIjoiYzgwYTQ0ZjEyNzQzNGJhN2JmNjEyZTM0NmRhZWZhNjIiLCJwIjoic2hlZXRzLWppcmEifQ","RTT-3626")</f>
        <v>RTT-3626</v>
      </c>
      <c r="H2714" s="1" t="s">
        <v>1058</v>
      </c>
      <c r="I2714" s="1" t="s">
        <v>1071</v>
      </c>
      <c r="J2714" s="1" t="s">
        <v>26</v>
      </c>
      <c r="K2714" s="1" t="s">
        <v>1072</v>
      </c>
      <c r="L2714" s="1" t="s">
        <v>26</v>
      </c>
      <c r="M2714" s="1" t="s">
        <v>27</v>
      </c>
      <c r="N2714" s="1" t="s">
        <v>26</v>
      </c>
      <c r="O2714" s="1" t="s">
        <v>26</v>
      </c>
      <c r="P2714" s="4">
        <v>44600.87466435185</v>
      </c>
    </row>
    <row r="2715" hidden="1">
      <c r="A2715" s="1" t="s">
        <v>21</v>
      </c>
      <c r="B2715" s="3" t="str">
        <f>HYPERLINK("https://hawk-eye.atlassian.net/browse/HWKREPORT-675?atlOrigin=eyJpIjoiYzgwYTQ0ZjEyNzQzNGJhN2JmNjEyZTM0NmRhZWZhNjIiLCJwIjoic2hlZXRzLWppcmEifQ","HWKREPORT-675")</f>
        <v>HWKREPORT-675</v>
      </c>
      <c r="C2715" s="1" t="s">
        <v>4020</v>
      </c>
      <c r="D2715" s="1" t="s">
        <v>23</v>
      </c>
      <c r="E2715" s="1" t="s">
        <v>35</v>
      </c>
      <c r="F2715" s="4">
        <v>44255.82696759259</v>
      </c>
      <c r="G2715" s="3" t="str">
        <f>HYPERLINK("https://hawk-eye.atlassian.net/browse/RTT-3639?atlOrigin=eyJpIjoiYzgwYTQ0ZjEyNzQzNGJhN2JmNjEyZTM0NmRhZWZhNjIiLCJwIjoic2hlZXRzLWppcmEifQ","RTT-3639")</f>
        <v>RTT-3639</v>
      </c>
      <c r="H2715" s="1" t="s">
        <v>1058</v>
      </c>
      <c r="I2715" s="1" t="s">
        <v>1071</v>
      </c>
      <c r="J2715" s="1" t="s">
        <v>26</v>
      </c>
      <c r="K2715" s="1" t="s">
        <v>1072</v>
      </c>
      <c r="L2715" s="1" t="s">
        <v>26</v>
      </c>
      <c r="M2715" s="1" t="s">
        <v>27</v>
      </c>
      <c r="N2715" s="1" t="s">
        <v>26</v>
      </c>
      <c r="O2715" s="1" t="s">
        <v>26</v>
      </c>
      <c r="P2715" s="4">
        <v>44600.87513888889</v>
      </c>
    </row>
    <row r="2716" hidden="1">
      <c r="A2716" s="1" t="s">
        <v>21</v>
      </c>
      <c r="B2716" s="3" t="str">
        <f>HYPERLINK("https://hawk-eye.atlassian.net/browse/HWKREPORT-676?atlOrigin=eyJpIjoiYzgwYTQ0ZjEyNzQzNGJhN2JmNjEyZTM0NmRhZWZhNjIiLCJwIjoic2hlZXRzLWppcmEifQ","HWKREPORT-676")</f>
        <v>HWKREPORT-676</v>
      </c>
      <c r="C2716" s="1" t="s">
        <v>4021</v>
      </c>
      <c r="D2716" s="1" t="s">
        <v>40</v>
      </c>
      <c r="E2716" s="1" t="s">
        <v>35</v>
      </c>
      <c r="F2716" s="4">
        <v>44256.43376157407</v>
      </c>
      <c r="G2716" s="3" t="str">
        <f>HYPERLINK("https://hawk-eye.atlassian.net/browse/CVR-68?atlOrigin=eyJpIjoiYzgwYTQ0ZjEyNzQzNGJhN2JmNjEyZTM0NmRhZWZhNjIiLCJwIjoic2hlZXRzLWppcmEifQ","CVR-68")</f>
        <v>CVR-68</v>
      </c>
      <c r="H2716" s="1" t="s">
        <v>1058</v>
      </c>
      <c r="I2716" s="1" t="s">
        <v>1082</v>
      </c>
      <c r="J2716" s="1" t="s">
        <v>26</v>
      </c>
      <c r="K2716" s="1" t="s">
        <v>1744</v>
      </c>
      <c r="L2716" s="1" t="s">
        <v>26</v>
      </c>
      <c r="M2716" s="1" t="s">
        <v>27</v>
      </c>
      <c r="N2716" s="1" t="s">
        <v>26</v>
      </c>
      <c r="O2716" s="1" t="s">
        <v>26</v>
      </c>
      <c r="P2716" s="4">
        <v>44600.87516203704</v>
      </c>
    </row>
    <row r="2717" hidden="1">
      <c r="A2717" s="1" t="s">
        <v>21</v>
      </c>
      <c r="B2717" s="3" t="str">
        <f>HYPERLINK("https://hawk-eye.atlassian.net/browse/HWKREPORT-677?atlOrigin=eyJpIjoiYzgwYTQ0ZjEyNzQzNGJhN2JmNjEyZTM0NmRhZWZhNjIiLCJwIjoic2hlZXRzLWppcmEifQ","HWKREPORT-677")</f>
        <v>HWKREPORT-677</v>
      </c>
      <c r="C2717" s="1" t="s">
        <v>4022</v>
      </c>
      <c r="D2717" s="1" t="s">
        <v>34</v>
      </c>
      <c r="E2717" s="1" t="s">
        <v>35</v>
      </c>
      <c r="F2717" s="4">
        <v>44256.50886574074</v>
      </c>
      <c r="G2717" s="3" t="str">
        <f>HYPERLINK("https://hawk-eye.atlassian.net/browse/VVC-222?atlOrigin=eyJpIjoiYzgwYTQ0ZjEyNzQzNGJhN2JmNjEyZTM0NmRhZWZhNjIiLCJwIjoic2hlZXRzLWppcmEifQ","VVC-222")</f>
        <v>VVC-222</v>
      </c>
      <c r="H2717" s="1" t="s">
        <v>1058</v>
      </c>
      <c r="I2717" s="1" t="s">
        <v>1502</v>
      </c>
      <c r="J2717" s="1" t="s">
        <v>26</v>
      </c>
      <c r="K2717" s="1" t="s">
        <v>1247</v>
      </c>
      <c r="L2717" s="1" t="s">
        <v>26</v>
      </c>
      <c r="M2717" s="1" t="s">
        <v>27</v>
      </c>
      <c r="N2717" s="1" t="s">
        <v>26</v>
      </c>
      <c r="O2717" s="1" t="s">
        <v>26</v>
      </c>
      <c r="P2717" s="4">
        <v>44600.87510416667</v>
      </c>
    </row>
    <row r="2718" hidden="1">
      <c r="A2718" s="1" t="s">
        <v>21</v>
      </c>
      <c r="B2718" s="3" t="str">
        <f>HYPERLINK("https://hawk-eye.atlassian.net/browse/HWKREPORT-678?atlOrigin=eyJpIjoiYzgwYTQ0ZjEyNzQzNGJhN2JmNjEyZTM0NmRhZWZhNjIiLCJwIjoic2hlZXRzLWppcmEifQ","HWKREPORT-678")</f>
        <v>HWKREPORT-678</v>
      </c>
      <c r="C2718" s="1" t="s">
        <v>4023</v>
      </c>
      <c r="D2718" s="1" t="s">
        <v>23</v>
      </c>
      <c r="E2718" s="1" t="s">
        <v>35</v>
      </c>
      <c r="F2718" s="4">
        <v>44256.94478009259</v>
      </c>
      <c r="G2718" s="3" t="str">
        <f>HYPERLINK("https://hawk-eye.atlassian.net/browse/RTT-3646?atlOrigin=eyJpIjoiYzgwYTQ0ZjEyNzQzNGJhN2JmNjEyZTM0NmRhZWZhNjIiLCJwIjoic2hlZXRzLWppcmEifQ","RTT-3646")</f>
        <v>RTT-3646</v>
      </c>
      <c r="H2718" s="1" t="s">
        <v>1058</v>
      </c>
      <c r="I2718" s="1" t="s">
        <v>1071</v>
      </c>
      <c r="J2718" s="1" t="s">
        <v>26</v>
      </c>
      <c r="K2718" s="1" t="s">
        <v>1072</v>
      </c>
      <c r="L2718" s="1" t="s">
        <v>26</v>
      </c>
      <c r="M2718" s="1" t="s">
        <v>27</v>
      </c>
      <c r="N2718" s="1" t="s">
        <v>26</v>
      </c>
      <c r="O2718" s="1" t="s">
        <v>26</v>
      </c>
      <c r="P2718" s="4">
        <v>44600.87520833333</v>
      </c>
    </row>
    <row r="2719" hidden="1">
      <c r="A2719" s="1" t="s">
        <v>1055</v>
      </c>
      <c r="B2719" s="3" t="str">
        <f>HYPERLINK("https://hawk-eye.atlassian.net/browse/HWKREPORT-679?atlOrigin=eyJpIjoiYzgwYTQ0ZjEyNzQzNGJhN2JmNjEyZTM0NmRhZWZhNjIiLCJwIjoic2hlZXRzLWppcmEifQ","HWKREPORT-679")</f>
        <v>HWKREPORT-679</v>
      </c>
      <c r="C2719" s="1" t="s">
        <v>4024</v>
      </c>
      <c r="D2719" s="1" t="s">
        <v>23</v>
      </c>
      <c r="E2719" s="1" t="s">
        <v>35</v>
      </c>
      <c r="F2719" s="4">
        <v>44257.651041666664</v>
      </c>
      <c r="G2719" s="3" t="str">
        <f>HYPERLINK("https://hawk-eye.atlassian.net/browse/RTT-3768?atlOrigin=eyJpIjoiYzgwYTQ0ZjEyNzQzNGJhN2JmNjEyZTM0NmRhZWZhNjIiLCJwIjoic2hlZXRzLWppcmEifQ","RTT-3768")</f>
        <v>RTT-3768</v>
      </c>
      <c r="H2719" s="1" t="s">
        <v>1058</v>
      </c>
      <c r="I2719" s="1" t="s">
        <v>1071</v>
      </c>
      <c r="J2719" s="1" t="s">
        <v>26</v>
      </c>
      <c r="K2719" s="1" t="s">
        <v>1072</v>
      </c>
      <c r="L2719" s="1" t="s">
        <v>26</v>
      </c>
      <c r="M2719" s="1" t="s">
        <v>27</v>
      </c>
      <c r="N2719" s="1" t="s">
        <v>26</v>
      </c>
      <c r="O2719" s="1" t="s">
        <v>26</v>
      </c>
      <c r="P2719" s="4">
        <v>44600.87490740741</v>
      </c>
    </row>
    <row r="2720" hidden="1">
      <c r="A2720" s="1" t="s">
        <v>1055</v>
      </c>
      <c r="B2720" s="3" t="str">
        <f>HYPERLINK("https://hawk-eye.atlassian.net/browse/HWKREPORT-680?atlOrigin=eyJpIjoiYzgwYTQ0ZjEyNzQzNGJhN2JmNjEyZTM0NmRhZWZhNjIiLCJwIjoic2hlZXRzLWppcmEifQ","HWKREPORT-680")</f>
        <v>HWKREPORT-680</v>
      </c>
      <c r="C2720" s="1" t="s">
        <v>4025</v>
      </c>
      <c r="D2720" s="1" t="s">
        <v>23</v>
      </c>
      <c r="E2720" s="1" t="s">
        <v>35</v>
      </c>
      <c r="F2720" s="4">
        <v>44258.42891203704</v>
      </c>
      <c r="G2720" s="3" t="str">
        <f>HYPERLINK("https://hawk-eye.atlassian.net/browse/?atlOrigin=eyJpIjoiYzgwYTQ0ZjEyNzQzNGJhN2JmNjEyZTM0NmRhZWZhNjIiLCJwIjoic2hlZXRzLWppcmEifQ","")</f>
        <v/>
      </c>
      <c r="H2720" s="1" t="s">
        <v>1058</v>
      </c>
      <c r="I2720" s="1" t="s">
        <v>1082</v>
      </c>
      <c r="J2720" s="1" t="s">
        <v>26</v>
      </c>
      <c r="K2720" s="1" t="s">
        <v>1105</v>
      </c>
      <c r="L2720" s="1" t="s">
        <v>26</v>
      </c>
      <c r="M2720" s="1" t="s">
        <v>27</v>
      </c>
      <c r="N2720" s="1" t="s">
        <v>26</v>
      </c>
      <c r="O2720" s="1" t="s">
        <v>26</v>
      </c>
      <c r="P2720" s="4">
        <v>45057.5084375</v>
      </c>
    </row>
    <row r="2721" hidden="1">
      <c r="A2721" s="1" t="s">
        <v>21</v>
      </c>
      <c r="B2721" s="3" t="str">
        <f>HYPERLINK("https://hawk-eye.atlassian.net/browse/HWKREPORT-681?atlOrigin=eyJpIjoiYzgwYTQ0ZjEyNzQzNGJhN2JmNjEyZTM0NmRhZWZhNjIiLCJwIjoic2hlZXRzLWppcmEifQ","HWKREPORT-681")</f>
        <v>HWKREPORT-681</v>
      </c>
      <c r="C2721" s="1" t="s">
        <v>4026</v>
      </c>
      <c r="D2721" s="1" t="s">
        <v>23</v>
      </c>
      <c r="E2721" s="1" t="s">
        <v>35</v>
      </c>
      <c r="F2721" s="4">
        <v>44258.550891203704</v>
      </c>
      <c r="G2721" s="3" t="str">
        <f>HYPERLINK("https://hawk-eye.atlassian.net/browse/RTT-3664?atlOrigin=eyJpIjoiYzgwYTQ0ZjEyNzQzNGJhN2JmNjEyZTM0NmRhZWZhNjIiLCJwIjoic2hlZXRzLWppcmEifQ","RTT-3664")</f>
        <v>RTT-3664</v>
      </c>
      <c r="H2721" s="1" t="s">
        <v>1058</v>
      </c>
      <c r="I2721" s="1" t="s">
        <v>1071</v>
      </c>
      <c r="J2721" s="1" t="s">
        <v>26</v>
      </c>
      <c r="K2721" s="1" t="s">
        <v>1072</v>
      </c>
      <c r="L2721" s="1" t="s">
        <v>26</v>
      </c>
      <c r="M2721" s="1" t="s">
        <v>27</v>
      </c>
      <c r="N2721" s="1" t="s">
        <v>26</v>
      </c>
      <c r="O2721" s="1" t="s">
        <v>26</v>
      </c>
      <c r="P2721" s="4">
        <v>44600.87467592592</v>
      </c>
    </row>
    <row r="2722" hidden="1">
      <c r="A2722" s="1" t="s">
        <v>21</v>
      </c>
      <c r="B2722" s="3" t="str">
        <f>HYPERLINK("https://hawk-eye.atlassian.net/browse/HWKREPORT-682?atlOrigin=eyJpIjoiYzgwYTQ0ZjEyNzQzNGJhN2JmNjEyZTM0NmRhZWZhNjIiLCJwIjoic2hlZXRzLWppcmEifQ","HWKREPORT-682")</f>
        <v>HWKREPORT-682</v>
      </c>
      <c r="C2722" s="1" t="s">
        <v>4027</v>
      </c>
      <c r="D2722" s="1" t="s">
        <v>23</v>
      </c>
      <c r="E2722" s="1" t="s">
        <v>35</v>
      </c>
      <c r="F2722" s="4">
        <v>44258.553391203706</v>
      </c>
      <c r="G2722" s="3" t="str">
        <f>HYPERLINK("https://hawk-eye.atlassian.net/browse/RTT-3665?atlOrigin=eyJpIjoiYzgwYTQ0ZjEyNzQzNGJhN2JmNjEyZTM0NmRhZWZhNjIiLCJwIjoic2hlZXRzLWppcmEifQ","RTT-3665")</f>
        <v>RTT-3665</v>
      </c>
      <c r="H2722" s="1" t="s">
        <v>1058</v>
      </c>
      <c r="I2722" s="1" t="s">
        <v>1071</v>
      </c>
      <c r="J2722" s="1" t="s">
        <v>26</v>
      </c>
      <c r="K2722" s="1" t="s">
        <v>1072</v>
      </c>
      <c r="L2722" s="1" t="s">
        <v>26</v>
      </c>
      <c r="M2722" s="1" t="s">
        <v>27</v>
      </c>
      <c r="N2722" s="1" t="s">
        <v>26</v>
      </c>
      <c r="O2722" s="1" t="s">
        <v>26</v>
      </c>
      <c r="P2722" s="4">
        <v>44600.87467592592</v>
      </c>
    </row>
    <row r="2723" hidden="1">
      <c r="A2723" s="1" t="s">
        <v>21</v>
      </c>
      <c r="B2723" s="3" t="str">
        <f>HYPERLINK("https://hawk-eye.atlassian.net/browse/HWKREPORT-683?atlOrigin=eyJpIjoiYzgwYTQ0ZjEyNzQzNGJhN2JmNjEyZTM0NmRhZWZhNjIiLCJwIjoic2hlZXRzLWppcmEifQ","HWKREPORT-683")</f>
        <v>HWKREPORT-683</v>
      </c>
      <c r="C2723" s="1" t="s">
        <v>4028</v>
      </c>
      <c r="D2723" s="1" t="s">
        <v>83</v>
      </c>
      <c r="E2723" s="1" t="s">
        <v>1057</v>
      </c>
      <c r="F2723" s="4">
        <v>44259.79423611111</v>
      </c>
      <c r="G2723" s="3" t="str">
        <f>HYPERLINK("https://hawk-eye.atlassian.net/browse/SO-205?atlOrigin=eyJpIjoiYzgwYTQ0ZjEyNzQzNGJhN2JmNjEyZTM0NmRhZWZhNjIiLCJwIjoic2hlZXRzLWppcmEifQ","SO-205")</f>
        <v>SO-205</v>
      </c>
      <c r="H2723" s="1" t="s">
        <v>1058</v>
      </c>
      <c r="I2723" s="1" t="s">
        <v>1126</v>
      </c>
      <c r="J2723" s="1" t="s">
        <v>26</v>
      </c>
      <c r="K2723" s="1" t="s">
        <v>1116</v>
      </c>
      <c r="L2723" s="1" t="s">
        <v>26</v>
      </c>
      <c r="M2723" s="1" t="s">
        <v>27</v>
      </c>
      <c r="N2723" s="1" t="s">
        <v>26</v>
      </c>
      <c r="O2723" s="1" t="s">
        <v>26</v>
      </c>
      <c r="P2723" s="4">
        <v>44259.79425925926</v>
      </c>
    </row>
    <row r="2724" hidden="1">
      <c r="A2724" s="1" t="s">
        <v>1055</v>
      </c>
      <c r="B2724" s="3" t="str">
        <f>HYPERLINK("https://hawk-eye.atlassian.net/browse/HWKREPORT-684?atlOrigin=eyJpIjoiYzgwYTQ0ZjEyNzQzNGJhN2JmNjEyZTM0NmRhZWZhNjIiLCJwIjoic2hlZXRzLWppcmEifQ","HWKREPORT-684")</f>
        <v>HWKREPORT-684</v>
      </c>
      <c r="C2724" s="1" t="s">
        <v>4029</v>
      </c>
      <c r="D2724" s="1" t="s">
        <v>23</v>
      </c>
      <c r="E2724" s="1" t="s">
        <v>35</v>
      </c>
      <c r="F2724" s="4">
        <v>44260.438101851854</v>
      </c>
      <c r="G2724" s="3" t="str">
        <f>HYPERLINK("https://hawk-eye.atlassian.net/browse/PB-2?atlOrigin=eyJpIjoiYzgwYTQ0ZjEyNzQzNGJhN2JmNjEyZTM0NmRhZWZhNjIiLCJwIjoic2hlZXRzLWppcmEifQ","PB-2")</f>
        <v>PB-2</v>
      </c>
      <c r="H2724" s="1" t="s">
        <v>1058</v>
      </c>
      <c r="I2724" s="1" t="s">
        <v>1126</v>
      </c>
      <c r="J2724" s="1" t="s">
        <v>26</v>
      </c>
      <c r="K2724" s="1" t="s">
        <v>1573</v>
      </c>
      <c r="L2724" s="1" t="s">
        <v>26</v>
      </c>
      <c r="M2724" s="1" t="s">
        <v>27</v>
      </c>
      <c r="N2724" s="1" t="s">
        <v>26</v>
      </c>
      <c r="O2724" s="1" t="s">
        <v>26</v>
      </c>
      <c r="P2724" s="4">
        <v>45057.50861111111</v>
      </c>
    </row>
    <row r="2725" hidden="1">
      <c r="A2725" s="1" t="s">
        <v>21</v>
      </c>
      <c r="B2725" s="3" t="str">
        <f>HYPERLINK("https://hawk-eye.atlassian.net/browse/HWKREPORT-685?atlOrigin=eyJpIjoiYzgwYTQ0ZjEyNzQzNGJhN2JmNjEyZTM0NmRhZWZhNjIiLCJwIjoic2hlZXRzLWppcmEifQ","HWKREPORT-685")</f>
        <v>HWKREPORT-685</v>
      </c>
      <c r="C2725" s="1" t="s">
        <v>4030</v>
      </c>
      <c r="D2725" s="1" t="s">
        <v>23</v>
      </c>
      <c r="E2725" s="1" t="s">
        <v>35</v>
      </c>
      <c r="F2725" s="4">
        <v>44263.083819444444</v>
      </c>
      <c r="G2725" s="3" t="str">
        <f>HYPERLINK("https://hawk-eye.atlassian.net/browse/BDP-162?atlOrigin=eyJpIjoiYzgwYTQ0ZjEyNzQzNGJhN2JmNjEyZTM0NmRhZWZhNjIiLCJwIjoic2hlZXRzLWppcmEifQ","BDP-162")</f>
        <v>BDP-162</v>
      </c>
      <c r="H2725" s="1" t="s">
        <v>1058</v>
      </c>
      <c r="I2725" s="1" t="s">
        <v>1071</v>
      </c>
      <c r="J2725" s="1" t="s">
        <v>26</v>
      </c>
      <c r="K2725" s="1" t="s">
        <v>4031</v>
      </c>
      <c r="L2725" s="1" t="s">
        <v>26</v>
      </c>
      <c r="M2725" s="1" t="s">
        <v>27</v>
      </c>
      <c r="N2725" s="1" t="s">
        <v>26</v>
      </c>
      <c r="O2725" s="1" t="s">
        <v>26</v>
      </c>
      <c r="P2725" s="4">
        <v>44300.034849537034</v>
      </c>
    </row>
    <row r="2726" hidden="1">
      <c r="A2726" s="1" t="s">
        <v>1055</v>
      </c>
      <c r="B2726" s="3" t="str">
        <f>HYPERLINK("https://hawk-eye.atlassian.net/browse/HWKREPORT-686?atlOrigin=eyJpIjoiYzgwYTQ0ZjEyNzQzNGJhN2JmNjEyZTM0NmRhZWZhNjIiLCJwIjoic2hlZXRzLWppcmEifQ","HWKREPORT-686")</f>
        <v>HWKREPORT-686</v>
      </c>
      <c r="C2726" s="1" t="s">
        <v>4032</v>
      </c>
      <c r="D2726" s="1" t="s">
        <v>23</v>
      </c>
      <c r="E2726" s="1" t="s">
        <v>35</v>
      </c>
      <c r="F2726" s="4">
        <v>44263.08969907407</v>
      </c>
      <c r="G2726" s="3" t="str">
        <f>HYPERLINK("https://hawk-eye.atlassian.net/browse/?atlOrigin=eyJpIjoiYzgwYTQ0ZjEyNzQzNGJhN2JmNjEyZTM0NmRhZWZhNjIiLCJwIjoic2hlZXRzLWppcmEifQ","")</f>
        <v/>
      </c>
      <c r="H2726" s="1" t="s">
        <v>1058</v>
      </c>
      <c r="I2726" s="1" t="s">
        <v>1071</v>
      </c>
      <c r="J2726" s="1" t="s">
        <v>26</v>
      </c>
      <c r="K2726" s="1" t="s">
        <v>4031</v>
      </c>
      <c r="L2726" s="1" t="s">
        <v>26</v>
      </c>
      <c r="M2726" s="1" t="s">
        <v>27</v>
      </c>
      <c r="N2726" s="1" t="s">
        <v>26</v>
      </c>
      <c r="O2726" s="1" t="s">
        <v>26</v>
      </c>
      <c r="P2726" s="4">
        <v>44992.479097222225</v>
      </c>
    </row>
    <row r="2727" hidden="1">
      <c r="A2727" s="1" t="s">
        <v>21</v>
      </c>
      <c r="B2727" s="3" t="str">
        <f>HYPERLINK("https://hawk-eye.atlassian.net/browse/HWKREPORT-687?atlOrigin=eyJpIjoiYzgwYTQ0ZjEyNzQzNGJhN2JmNjEyZTM0NmRhZWZhNjIiLCJwIjoic2hlZXRzLWppcmEifQ","HWKREPORT-687")</f>
        <v>HWKREPORT-687</v>
      </c>
      <c r="C2727" s="1" t="s">
        <v>4033</v>
      </c>
      <c r="D2727" s="1" t="s">
        <v>23</v>
      </c>
      <c r="E2727" s="1" t="s">
        <v>35</v>
      </c>
      <c r="F2727" s="4">
        <v>44263.10107638889</v>
      </c>
      <c r="G2727" s="3" t="str">
        <f>HYPERLINK("https://hawk-eye.atlassian.net/browse/RTT-3673?atlOrigin=eyJpIjoiYzgwYTQ0ZjEyNzQzNGJhN2JmNjEyZTM0NmRhZWZhNjIiLCJwIjoic2hlZXRzLWppcmEifQ","RTT-3673")</f>
        <v>RTT-3673</v>
      </c>
      <c r="H2727" s="1" t="s">
        <v>1058</v>
      </c>
      <c r="I2727" s="1" t="s">
        <v>1071</v>
      </c>
      <c r="J2727" s="1" t="s">
        <v>26</v>
      </c>
      <c r="K2727" s="1" t="s">
        <v>1072</v>
      </c>
      <c r="L2727" s="1" t="s">
        <v>26</v>
      </c>
      <c r="M2727" s="1" t="s">
        <v>27</v>
      </c>
      <c r="N2727" s="1" t="s">
        <v>26</v>
      </c>
      <c r="O2727" s="1" t="s">
        <v>26</v>
      </c>
      <c r="P2727" s="4">
        <v>44600.87521990741</v>
      </c>
    </row>
    <row r="2728" hidden="1">
      <c r="A2728" s="1" t="s">
        <v>1055</v>
      </c>
      <c r="B2728" s="3" t="str">
        <f>HYPERLINK("https://hawk-eye.atlassian.net/browse/HWKREPORT-688?atlOrigin=eyJpIjoiYzgwYTQ0ZjEyNzQzNGJhN2JmNjEyZTM0NmRhZWZhNjIiLCJwIjoic2hlZXRzLWppcmEifQ","HWKREPORT-688")</f>
        <v>HWKREPORT-688</v>
      </c>
      <c r="C2728" s="1" t="s">
        <v>4034</v>
      </c>
      <c r="D2728" s="1" t="s">
        <v>23</v>
      </c>
      <c r="E2728" s="1" t="s">
        <v>35</v>
      </c>
      <c r="F2728" s="4">
        <v>44263.10671296297</v>
      </c>
      <c r="G2728" s="3" t="str">
        <f>HYPERLINK("https://hawk-eye.atlassian.net/browse/?atlOrigin=eyJpIjoiYzgwYTQ0ZjEyNzQzNGJhN2JmNjEyZTM0NmRhZWZhNjIiLCJwIjoic2hlZXRzLWppcmEifQ","")</f>
        <v/>
      </c>
      <c r="H2728" s="1" t="s">
        <v>1058</v>
      </c>
      <c r="I2728" s="1" t="s">
        <v>1071</v>
      </c>
      <c r="J2728" s="1" t="s">
        <v>26</v>
      </c>
      <c r="K2728" s="1" t="s">
        <v>4031</v>
      </c>
      <c r="L2728" s="1" t="s">
        <v>26</v>
      </c>
      <c r="M2728" s="1" t="s">
        <v>27</v>
      </c>
      <c r="N2728" s="1" t="s">
        <v>26</v>
      </c>
      <c r="O2728" s="1" t="s">
        <v>26</v>
      </c>
      <c r="P2728" s="4">
        <v>44992.47943287037</v>
      </c>
    </row>
    <row r="2729" hidden="1">
      <c r="A2729" s="1" t="s">
        <v>21</v>
      </c>
      <c r="B2729" s="3" t="str">
        <f>HYPERLINK("https://hawk-eye.atlassian.net/browse/HWKREPORT-689?atlOrigin=eyJpIjoiYzgwYTQ0ZjEyNzQzNGJhN2JmNjEyZTM0NmRhZWZhNjIiLCJwIjoic2hlZXRzLWppcmEifQ","HWKREPORT-689")</f>
        <v>HWKREPORT-689</v>
      </c>
      <c r="C2729" s="1" t="s">
        <v>4035</v>
      </c>
      <c r="D2729" s="1" t="s">
        <v>23</v>
      </c>
      <c r="E2729" s="1" t="s">
        <v>35</v>
      </c>
      <c r="F2729" s="4">
        <v>44263.10875</v>
      </c>
      <c r="G2729" s="3" t="str">
        <f>HYPERLINK("https://hawk-eye.atlassian.net/browse/RTT-3670?atlOrigin=eyJpIjoiYzgwYTQ0ZjEyNzQzNGJhN2JmNjEyZTM0NmRhZWZhNjIiLCJwIjoic2hlZXRzLWppcmEifQ","RTT-3670")</f>
        <v>RTT-3670</v>
      </c>
      <c r="H2729" s="1" t="s">
        <v>1058</v>
      </c>
      <c r="I2729" s="1" t="s">
        <v>1071</v>
      </c>
      <c r="J2729" s="1" t="s">
        <v>26</v>
      </c>
      <c r="K2729" s="1" t="s">
        <v>1099</v>
      </c>
      <c r="L2729" s="1" t="s">
        <v>26</v>
      </c>
      <c r="M2729" s="1" t="s">
        <v>27</v>
      </c>
      <c r="N2729" s="1" t="s">
        <v>26</v>
      </c>
      <c r="O2729" s="1" t="s">
        <v>26</v>
      </c>
      <c r="P2729" s="4">
        <v>44600.875185185185</v>
      </c>
    </row>
    <row r="2730" hidden="1">
      <c r="A2730" s="1" t="s">
        <v>21</v>
      </c>
      <c r="B2730" s="3" t="str">
        <f>HYPERLINK("https://hawk-eye.atlassian.net/browse/HWKREPORT-690?atlOrigin=eyJpIjoiYzgwYTQ0ZjEyNzQzNGJhN2JmNjEyZTM0NmRhZWZhNjIiLCJwIjoic2hlZXRzLWppcmEifQ","HWKREPORT-690")</f>
        <v>HWKREPORT-690</v>
      </c>
      <c r="C2730" s="1" t="s">
        <v>4036</v>
      </c>
      <c r="D2730" s="1" t="s">
        <v>23</v>
      </c>
      <c r="E2730" s="1" t="s">
        <v>35</v>
      </c>
      <c r="F2730" s="4">
        <v>44263.11888888889</v>
      </c>
      <c r="G2730" s="3" t="str">
        <f>HYPERLINK("https://hawk-eye.atlassian.net/browse/RTT-3671?atlOrigin=eyJpIjoiYzgwYTQ0ZjEyNzQzNGJhN2JmNjEyZTM0NmRhZWZhNjIiLCJwIjoic2hlZXRzLWppcmEifQ","RTT-3671")</f>
        <v>RTT-3671</v>
      </c>
      <c r="H2730" s="1" t="s">
        <v>1058</v>
      </c>
      <c r="I2730" s="1" t="s">
        <v>1071</v>
      </c>
      <c r="J2730" s="1" t="s">
        <v>26</v>
      </c>
      <c r="K2730" s="1" t="s">
        <v>1072</v>
      </c>
      <c r="L2730" s="1" t="s">
        <v>26</v>
      </c>
      <c r="M2730" s="1" t="s">
        <v>27</v>
      </c>
      <c r="N2730" s="1" t="s">
        <v>26</v>
      </c>
      <c r="O2730" s="1" t="s">
        <v>26</v>
      </c>
      <c r="P2730" s="4">
        <v>44600.87519675926</v>
      </c>
    </row>
    <row r="2731" hidden="1">
      <c r="A2731" s="1" t="s">
        <v>21</v>
      </c>
      <c r="B2731" s="3" t="str">
        <f>HYPERLINK("https://hawk-eye.atlassian.net/browse/HWKREPORT-691?atlOrigin=eyJpIjoiYzgwYTQ0ZjEyNzQzNGJhN2JmNjEyZTM0NmRhZWZhNjIiLCJwIjoic2hlZXRzLWppcmEifQ","HWKREPORT-691")</f>
        <v>HWKREPORT-691</v>
      </c>
      <c r="C2731" s="1" t="s">
        <v>4037</v>
      </c>
      <c r="D2731" s="1" t="s">
        <v>23</v>
      </c>
      <c r="E2731" s="1" t="s">
        <v>35</v>
      </c>
      <c r="F2731" s="4">
        <v>44263.123078703706</v>
      </c>
      <c r="G2731" s="3" t="str">
        <f>HYPERLINK("https://hawk-eye.atlassian.net/browse/RTT-3672?atlOrigin=eyJpIjoiYzgwYTQ0ZjEyNzQzNGJhN2JmNjEyZTM0NmRhZWZhNjIiLCJwIjoic2hlZXRzLWppcmEifQ","RTT-3672")</f>
        <v>RTT-3672</v>
      </c>
      <c r="H2731" s="1" t="s">
        <v>1058</v>
      </c>
      <c r="I2731" s="1" t="s">
        <v>1071</v>
      </c>
      <c r="J2731" s="1" t="s">
        <v>26</v>
      </c>
      <c r="K2731" s="1" t="s">
        <v>1099</v>
      </c>
      <c r="L2731" s="1" t="s">
        <v>26</v>
      </c>
      <c r="M2731" s="1" t="s">
        <v>27</v>
      </c>
      <c r="N2731" s="1" t="s">
        <v>26</v>
      </c>
      <c r="O2731" s="1" t="s">
        <v>26</v>
      </c>
      <c r="P2731" s="4">
        <v>44600.87519675926</v>
      </c>
    </row>
    <row r="2732" hidden="1">
      <c r="A2732" s="1" t="s">
        <v>1055</v>
      </c>
      <c r="B2732" s="3" t="str">
        <f>HYPERLINK("https://hawk-eye.atlassian.net/browse/HWKREPORT-692?atlOrigin=eyJpIjoiYzgwYTQ0ZjEyNzQzNGJhN2JmNjEyZTM0NmRhZWZhNjIiLCJwIjoic2hlZXRzLWppcmEifQ","HWKREPORT-692")</f>
        <v>HWKREPORT-692</v>
      </c>
      <c r="C2732" s="1" t="s">
        <v>4038</v>
      </c>
      <c r="D2732" s="1" t="s">
        <v>23</v>
      </c>
      <c r="E2732" s="1" t="s">
        <v>35</v>
      </c>
      <c r="F2732" s="4">
        <v>44263.13172453704</v>
      </c>
      <c r="G2732" s="3" t="str">
        <f>HYPERLINK("https://hawk-eye.atlassian.net/browse/RTT-3676?atlOrigin=eyJpIjoiYzgwYTQ0ZjEyNzQzNGJhN2JmNjEyZTM0NmRhZWZhNjIiLCJwIjoic2hlZXRzLWppcmEifQ","RTT-3676")</f>
        <v>RTT-3676</v>
      </c>
      <c r="H2732" s="1" t="s">
        <v>1058</v>
      </c>
      <c r="I2732" s="1" t="s">
        <v>1071</v>
      </c>
      <c r="J2732" s="1" t="s">
        <v>26</v>
      </c>
      <c r="K2732" s="1" t="s">
        <v>1072</v>
      </c>
      <c r="L2732" s="1" t="s">
        <v>26</v>
      </c>
      <c r="M2732" s="1" t="s">
        <v>27</v>
      </c>
      <c r="N2732" s="1" t="s">
        <v>26</v>
      </c>
      <c r="O2732" s="1" t="s">
        <v>26</v>
      </c>
      <c r="P2732" s="4">
        <v>44600.87517361111</v>
      </c>
    </row>
    <row r="2733" hidden="1">
      <c r="A2733" s="1" t="s">
        <v>1055</v>
      </c>
      <c r="B2733" s="3" t="str">
        <f>HYPERLINK("https://hawk-eye.atlassian.net/browse/HWKREPORT-693?atlOrigin=eyJpIjoiYzgwYTQ0ZjEyNzQzNGJhN2JmNjEyZTM0NmRhZWZhNjIiLCJwIjoic2hlZXRzLWppcmEifQ","HWKREPORT-693")</f>
        <v>HWKREPORT-693</v>
      </c>
      <c r="C2733" s="1" t="s">
        <v>4039</v>
      </c>
      <c r="D2733" s="1" t="s">
        <v>23</v>
      </c>
      <c r="E2733" s="1" t="s">
        <v>35</v>
      </c>
      <c r="F2733" s="4">
        <v>44264.5690625</v>
      </c>
      <c r="G2733" s="3" t="str">
        <f>HYPERLINK("https://hawk-eye.atlassian.net/browse/VIEWER-968?atlOrigin=eyJpIjoiYzgwYTQ0ZjEyNzQzNGJhN2JmNjEyZTM0NmRhZWZhNjIiLCJwIjoic2hlZXRzLWppcmEifQ","VIEWER-968")</f>
        <v>VIEWER-968</v>
      </c>
      <c r="H2733" s="1" t="s">
        <v>1058</v>
      </c>
      <c r="I2733" s="1" t="s">
        <v>1126</v>
      </c>
      <c r="J2733" s="1" t="s">
        <v>26</v>
      </c>
      <c r="K2733" s="1" t="s">
        <v>1116</v>
      </c>
      <c r="L2733" s="1" t="s">
        <v>26</v>
      </c>
      <c r="M2733" s="1" t="s">
        <v>27</v>
      </c>
      <c r="N2733" s="1" t="s">
        <v>26</v>
      </c>
      <c r="O2733" s="1" t="s">
        <v>26</v>
      </c>
      <c r="P2733" s="4">
        <v>44693.395208333335</v>
      </c>
    </row>
    <row r="2734" hidden="1">
      <c r="A2734" s="1" t="s">
        <v>21</v>
      </c>
      <c r="B2734" s="3" t="str">
        <f>HYPERLINK("https://hawk-eye.atlassian.net/browse/HWKREPORT-694?atlOrigin=eyJpIjoiYzgwYTQ0ZjEyNzQzNGJhN2JmNjEyZTM0NmRhZWZhNjIiLCJwIjoic2hlZXRzLWppcmEifQ","HWKREPORT-694")</f>
        <v>HWKREPORT-694</v>
      </c>
      <c r="C2734" s="1" t="s">
        <v>4040</v>
      </c>
      <c r="D2734" s="1" t="s">
        <v>40</v>
      </c>
      <c r="E2734" s="1" t="s">
        <v>35</v>
      </c>
      <c r="F2734" s="4">
        <v>44264.65399305556</v>
      </c>
      <c r="G2734" s="3" t="str">
        <f>HYPERLINK("https://hawk-eye.atlassian.net/browse/RTT-3681?atlOrigin=eyJpIjoiYzgwYTQ0ZjEyNzQzNGJhN2JmNjEyZTM0NmRhZWZhNjIiLCJwIjoic2hlZXRzLWppcmEifQ","RTT-3681")</f>
        <v>RTT-3681</v>
      </c>
      <c r="H2734" s="1" t="s">
        <v>1058</v>
      </c>
      <c r="I2734" s="1" t="s">
        <v>1071</v>
      </c>
      <c r="J2734" s="1" t="s">
        <v>26</v>
      </c>
      <c r="K2734" s="1" t="s">
        <v>1072</v>
      </c>
      <c r="L2734" s="1" t="s">
        <v>26</v>
      </c>
      <c r="M2734" s="1" t="s">
        <v>27</v>
      </c>
      <c r="N2734" s="1" t="s">
        <v>26</v>
      </c>
      <c r="O2734" s="1" t="s">
        <v>26</v>
      </c>
      <c r="P2734" s="4">
        <v>44600.87479166667</v>
      </c>
    </row>
    <row r="2735" hidden="1">
      <c r="A2735" s="1" t="s">
        <v>21</v>
      </c>
      <c r="B2735" s="3" t="str">
        <f>HYPERLINK("https://hawk-eye.atlassian.net/browse/HWKREPORT-695?atlOrigin=eyJpIjoiYzgwYTQ0ZjEyNzQzNGJhN2JmNjEyZTM0NmRhZWZhNjIiLCJwIjoic2hlZXRzLWppcmEifQ","HWKREPORT-695")</f>
        <v>HWKREPORT-695</v>
      </c>
      <c r="C2735" s="1" t="s">
        <v>4041</v>
      </c>
      <c r="D2735" s="1" t="s">
        <v>23</v>
      </c>
      <c r="E2735" s="1" t="s">
        <v>35</v>
      </c>
      <c r="F2735" s="4">
        <v>44264.73626157407</v>
      </c>
      <c r="G2735" s="3" t="str">
        <f>HYPERLINK("https://hawk-eye.atlassian.net/browse/RTT-3683?atlOrigin=eyJpIjoiYzgwYTQ0ZjEyNzQzNGJhN2JmNjEyZTM0NmRhZWZhNjIiLCJwIjoic2hlZXRzLWppcmEifQ","RTT-3683")</f>
        <v>RTT-3683</v>
      </c>
      <c r="H2735" s="1" t="s">
        <v>1058</v>
      </c>
      <c r="I2735" s="1" t="s">
        <v>1071</v>
      </c>
      <c r="J2735" s="1" t="s">
        <v>26</v>
      </c>
      <c r="K2735" s="1" t="s">
        <v>1099</v>
      </c>
      <c r="L2735" s="1" t="s">
        <v>26</v>
      </c>
      <c r="M2735" s="1" t="s">
        <v>27</v>
      </c>
      <c r="N2735" s="1" t="s">
        <v>26</v>
      </c>
      <c r="O2735" s="1" t="s">
        <v>26</v>
      </c>
      <c r="P2735" s="4">
        <v>44600.87482638889</v>
      </c>
    </row>
    <row r="2736" hidden="1">
      <c r="A2736" s="1" t="s">
        <v>21</v>
      </c>
      <c r="B2736" s="3" t="str">
        <f>HYPERLINK("https://hawk-eye.atlassian.net/browse/HWKREPORT-696?atlOrigin=eyJpIjoiYzgwYTQ0ZjEyNzQzNGJhN2JmNjEyZTM0NmRhZWZhNjIiLCJwIjoic2hlZXRzLWppcmEifQ","HWKREPORT-696")</f>
        <v>HWKREPORT-696</v>
      </c>
      <c r="C2736" s="1" t="s">
        <v>4042</v>
      </c>
      <c r="D2736" s="1" t="s">
        <v>23</v>
      </c>
      <c r="E2736" s="1" t="s">
        <v>35</v>
      </c>
      <c r="F2736" s="4">
        <v>44264.781805555554</v>
      </c>
      <c r="G2736" s="3" t="str">
        <f>HYPERLINK("https://hawk-eye.atlassian.net/browse/RTT-3686?atlOrigin=eyJpIjoiYzgwYTQ0ZjEyNzQzNGJhN2JmNjEyZTM0NmRhZWZhNjIiLCJwIjoic2hlZXRzLWppcmEifQ","RTT-3686")</f>
        <v>RTT-3686</v>
      </c>
      <c r="H2736" s="1" t="s">
        <v>1058</v>
      </c>
      <c r="I2736" s="1" t="s">
        <v>1071</v>
      </c>
      <c r="J2736" s="1" t="s">
        <v>26</v>
      </c>
      <c r="K2736" s="1" t="s">
        <v>1099</v>
      </c>
      <c r="L2736" s="1" t="s">
        <v>26</v>
      </c>
      <c r="M2736" s="1" t="s">
        <v>27</v>
      </c>
      <c r="N2736" s="1" t="s">
        <v>26</v>
      </c>
      <c r="O2736" s="1" t="s">
        <v>26</v>
      </c>
      <c r="P2736" s="4">
        <v>44600.87459490741</v>
      </c>
    </row>
    <row r="2737" hidden="1">
      <c r="A2737" s="1" t="s">
        <v>21</v>
      </c>
      <c r="B2737" s="3" t="str">
        <f>HYPERLINK("https://hawk-eye.atlassian.net/browse/HWKREPORT-697?atlOrigin=eyJpIjoiYzgwYTQ0ZjEyNzQzNGJhN2JmNjEyZTM0NmRhZWZhNjIiLCJwIjoic2hlZXRzLWppcmEifQ","HWKREPORT-697")</f>
        <v>HWKREPORT-697</v>
      </c>
      <c r="C2737" s="1" t="s">
        <v>4043</v>
      </c>
      <c r="D2737" s="1" t="s">
        <v>23</v>
      </c>
      <c r="E2737" s="1" t="s">
        <v>35</v>
      </c>
      <c r="F2737" s="4">
        <v>44264.97230324074</v>
      </c>
      <c r="G2737" s="3" t="str">
        <f>HYPERLINK("https://hawk-eye.atlassian.net/browse/RTT-3688?atlOrigin=eyJpIjoiYzgwYTQ0ZjEyNzQzNGJhN2JmNjEyZTM0NmRhZWZhNjIiLCJwIjoic2hlZXRzLWppcmEifQ","RTT-3688")</f>
        <v>RTT-3688</v>
      </c>
      <c r="H2737" s="1" t="s">
        <v>1058</v>
      </c>
      <c r="I2737" s="1" t="s">
        <v>1071</v>
      </c>
      <c r="J2737" s="1" t="s">
        <v>26</v>
      </c>
      <c r="K2737" s="1" t="s">
        <v>1072</v>
      </c>
      <c r="L2737" s="1" t="s">
        <v>26</v>
      </c>
      <c r="M2737" s="1" t="s">
        <v>27</v>
      </c>
      <c r="N2737" s="1" t="s">
        <v>26</v>
      </c>
      <c r="O2737" s="1" t="s">
        <v>26</v>
      </c>
      <c r="P2737" s="4">
        <v>44600.87459490741</v>
      </c>
    </row>
    <row r="2738" hidden="1">
      <c r="A2738" s="1" t="s">
        <v>21</v>
      </c>
      <c r="B2738" s="3" t="str">
        <f>HYPERLINK("https://hawk-eye.atlassian.net/browse/HWKREPORT-698?atlOrigin=eyJpIjoiYzgwYTQ0ZjEyNzQzNGJhN2JmNjEyZTM0NmRhZWZhNjIiLCJwIjoic2hlZXRzLWppcmEifQ","HWKREPORT-698")</f>
        <v>HWKREPORT-698</v>
      </c>
      <c r="C2738" s="1" t="s">
        <v>4044</v>
      </c>
      <c r="D2738" s="1" t="s">
        <v>23</v>
      </c>
      <c r="E2738" s="1" t="s">
        <v>35</v>
      </c>
      <c r="F2738" s="4">
        <v>44264.97314814815</v>
      </c>
      <c r="G2738" s="3" t="str">
        <f>HYPERLINK("https://hawk-eye.atlassian.net/browse/?atlOrigin=eyJpIjoiYzgwYTQ0ZjEyNzQzNGJhN2JmNjEyZTM0NmRhZWZhNjIiLCJwIjoic2hlZXRzLWppcmEifQ","")</f>
        <v/>
      </c>
      <c r="H2738" s="1" t="s">
        <v>1058</v>
      </c>
      <c r="I2738" s="1" t="s">
        <v>1071</v>
      </c>
      <c r="J2738" s="1" t="s">
        <v>26</v>
      </c>
      <c r="K2738" s="1" t="s">
        <v>1762</v>
      </c>
      <c r="L2738" s="1" t="s">
        <v>26</v>
      </c>
      <c r="M2738" s="1" t="s">
        <v>27</v>
      </c>
      <c r="N2738" s="1" t="s">
        <v>26</v>
      </c>
      <c r="O2738" s="1" t="s">
        <v>26</v>
      </c>
      <c r="P2738" s="4">
        <v>44271.05875</v>
      </c>
    </row>
    <row r="2739" hidden="1">
      <c r="A2739" s="1" t="s">
        <v>21</v>
      </c>
      <c r="B2739" s="3" t="str">
        <f>HYPERLINK("https://hawk-eye.atlassian.net/browse/HWKREPORT-699?atlOrigin=eyJpIjoiYzgwYTQ0ZjEyNzQzNGJhN2JmNjEyZTM0NmRhZWZhNjIiLCJwIjoic2hlZXRzLWppcmEifQ","HWKREPORT-699")</f>
        <v>HWKREPORT-699</v>
      </c>
      <c r="C2739" s="1" t="s">
        <v>4045</v>
      </c>
      <c r="D2739" s="1" t="s">
        <v>23</v>
      </c>
      <c r="E2739" s="1" t="s">
        <v>35</v>
      </c>
      <c r="F2739" s="4">
        <v>44264.99883101852</v>
      </c>
      <c r="G2739" s="3" t="str">
        <f>HYPERLINK("https://hawk-eye.atlassian.net/browse/RTT-3685?atlOrigin=eyJpIjoiYzgwYTQ0ZjEyNzQzNGJhN2JmNjEyZTM0NmRhZWZhNjIiLCJwIjoic2hlZXRzLWppcmEifQ","RTT-3685")</f>
        <v>RTT-3685</v>
      </c>
      <c r="H2739" s="1" t="s">
        <v>1058</v>
      </c>
      <c r="I2739" s="1" t="s">
        <v>1071</v>
      </c>
      <c r="J2739" s="1" t="s">
        <v>26</v>
      </c>
      <c r="K2739" s="1" t="s">
        <v>1093</v>
      </c>
      <c r="L2739" s="1" t="s">
        <v>26</v>
      </c>
      <c r="M2739" s="1" t="s">
        <v>27</v>
      </c>
      <c r="N2739" s="1" t="s">
        <v>26</v>
      </c>
      <c r="O2739" s="1" t="s">
        <v>26</v>
      </c>
      <c r="P2739" s="4">
        <v>44600.87457175926</v>
      </c>
    </row>
    <row r="2740" hidden="1">
      <c r="A2740" s="1" t="s">
        <v>21</v>
      </c>
      <c r="B2740" s="3" t="str">
        <f>HYPERLINK("https://hawk-eye.atlassian.net/browse/HWKREPORT-700?atlOrigin=eyJpIjoiYzgwYTQ0ZjEyNzQzNGJhN2JmNjEyZTM0NmRhZWZhNjIiLCJwIjoic2hlZXRzLWppcmEifQ","HWKREPORT-700")</f>
        <v>HWKREPORT-700</v>
      </c>
      <c r="C2740" s="1" t="s">
        <v>4046</v>
      </c>
      <c r="D2740" s="1" t="s">
        <v>23</v>
      </c>
      <c r="E2740" s="1" t="s">
        <v>35</v>
      </c>
      <c r="F2740" s="4">
        <v>44265.01039351852</v>
      </c>
      <c r="G2740" s="3" t="str">
        <f>HYPERLINK("https://hawk-eye.atlassian.net/browse/RTT-3727?atlOrigin=eyJpIjoiYzgwYTQ0ZjEyNzQzNGJhN2JmNjEyZTM0NmRhZWZhNjIiLCJwIjoic2hlZXRzLWppcmEifQ","RTT-3727")</f>
        <v>RTT-3727</v>
      </c>
      <c r="H2740" s="1" t="s">
        <v>1058</v>
      </c>
      <c r="I2740" s="1" t="s">
        <v>1071</v>
      </c>
      <c r="J2740" s="1" t="s">
        <v>26</v>
      </c>
      <c r="K2740" s="1" t="s">
        <v>1072</v>
      </c>
      <c r="L2740" s="1" t="s">
        <v>26</v>
      </c>
      <c r="M2740" s="1" t="s">
        <v>27</v>
      </c>
      <c r="N2740" s="1" t="s">
        <v>26</v>
      </c>
      <c r="O2740" s="1" t="s">
        <v>26</v>
      </c>
      <c r="P2740" s="4">
        <v>44600.87457175926</v>
      </c>
    </row>
    <row r="2741" hidden="1">
      <c r="A2741" s="1" t="s">
        <v>21</v>
      </c>
      <c r="B2741" s="3" t="str">
        <f>HYPERLINK("https://hawk-eye.atlassian.net/browse/HWKREPORT-701?atlOrigin=eyJpIjoiYzgwYTQ0ZjEyNzQzNGJhN2JmNjEyZTM0NmRhZWZhNjIiLCJwIjoic2hlZXRzLWppcmEifQ","HWKREPORT-701")</f>
        <v>HWKREPORT-701</v>
      </c>
      <c r="C2741" s="1" t="s">
        <v>4047</v>
      </c>
      <c r="D2741" s="1" t="s">
        <v>23</v>
      </c>
      <c r="E2741" s="1" t="s">
        <v>35</v>
      </c>
      <c r="F2741" s="4">
        <v>44265.02637731482</v>
      </c>
      <c r="G2741" s="3" t="str">
        <f>HYPERLINK("https://hawk-eye.atlassian.net/browse/RTT-3687?atlOrigin=eyJpIjoiYzgwYTQ0ZjEyNzQzNGJhN2JmNjEyZTM0NmRhZWZhNjIiLCJwIjoic2hlZXRzLWppcmEifQ","RTT-3687")</f>
        <v>RTT-3687</v>
      </c>
      <c r="H2741" s="1" t="s">
        <v>1058</v>
      </c>
      <c r="I2741" s="1" t="s">
        <v>1071</v>
      </c>
      <c r="J2741" s="1" t="s">
        <v>26</v>
      </c>
      <c r="K2741" s="1" t="s">
        <v>1072</v>
      </c>
      <c r="L2741" s="1" t="s">
        <v>26</v>
      </c>
      <c r="M2741" s="1" t="s">
        <v>27</v>
      </c>
      <c r="N2741" s="1" t="s">
        <v>26</v>
      </c>
      <c r="O2741" s="1" t="s">
        <v>26</v>
      </c>
      <c r="P2741" s="4">
        <v>44286.644641203704</v>
      </c>
    </row>
    <row r="2742" hidden="1">
      <c r="A2742" s="1" t="s">
        <v>1055</v>
      </c>
      <c r="B2742" s="3" t="str">
        <f>HYPERLINK("https://hawk-eye.atlassian.net/browse/HWKREPORT-702?atlOrigin=eyJpIjoiYzgwYTQ0ZjEyNzQzNGJhN2JmNjEyZTM0NmRhZWZhNjIiLCJwIjoic2hlZXRzLWppcmEifQ","HWKREPORT-702")</f>
        <v>HWKREPORT-702</v>
      </c>
      <c r="C2742" s="1" t="s">
        <v>4048</v>
      </c>
      <c r="D2742" s="1" t="s">
        <v>23</v>
      </c>
      <c r="E2742" s="1" t="s">
        <v>35</v>
      </c>
      <c r="F2742" s="4">
        <v>44266.70972222222</v>
      </c>
      <c r="G2742" s="3" t="str">
        <f t="shared" ref="G2742:G2744" si="185">HYPERLINK("https://hawk-eye.atlassian.net/browse/?atlOrigin=eyJpIjoiYzgwYTQ0ZjEyNzQzNGJhN2JmNjEyZTM0NmRhZWZhNjIiLCJwIjoic2hlZXRzLWppcmEifQ","")</f>
        <v/>
      </c>
      <c r="H2742" s="1" t="s">
        <v>1058</v>
      </c>
      <c r="I2742" s="1" t="s">
        <v>1126</v>
      </c>
      <c r="J2742" s="1" t="s">
        <v>26</v>
      </c>
      <c r="K2742" s="1" t="s">
        <v>1105</v>
      </c>
      <c r="L2742" s="1" t="s">
        <v>26</v>
      </c>
      <c r="M2742" s="1" t="s">
        <v>27</v>
      </c>
      <c r="N2742" s="1" t="s">
        <v>26</v>
      </c>
      <c r="O2742" s="1" t="s">
        <v>26</v>
      </c>
      <c r="P2742" s="4">
        <v>45043.735497685186</v>
      </c>
    </row>
    <row r="2743" hidden="1">
      <c r="A2743" s="1" t="s">
        <v>1055</v>
      </c>
      <c r="B2743" s="3" t="str">
        <f>HYPERLINK("https://hawk-eye.atlassian.net/browse/HWKREPORT-703?atlOrigin=eyJpIjoiYzgwYTQ0ZjEyNzQzNGJhN2JmNjEyZTM0NmRhZWZhNjIiLCJwIjoic2hlZXRzLWppcmEifQ","HWKREPORT-703")</f>
        <v>HWKREPORT-703</v>
      </c>
      <c r="C2743" s="1" t="s">
        <v>4049</v>
      </c>
      <c r="D2743" s="1" t="s">
        <v>23</v>
      </c>
      <c r="E2743" s="1" t="s">
        <v>35</v>
      </c>
      <c r="F2743" s="4">
        <v>44266.70994212963</v>
      </c>
      <c r="G2743" s="3" t="str">
        <f t="shared" si="185"/>
        <v/>
      </c>
      <c r="H2743" s="1" t="s">
        <v>1058</v>
      </c>
      <c r="I2743" s="1" t="s">
        <v>1126</v>
      </c>
      <c r="J2743" s="1" t="s">
        <v>26</v>
      </c>
      <c r="K2743" s="1" t="s">
        <v>1105</v>
      </c>
      <c r="L2743" s="1" t="s">
        <v>26</v>
      </c>
      <c r="M2743" s="1" t="s">
        <v>27</v>
      </c>
      <c r="N2743" s="1" t="s">
        <v>26</v>
      </c>
      <c r="O2743" s="1" t="s">
        <v>26</v>
      </c>
      <c r="P2743" s="4">
        <v>45057.50890046296</v>
      </c>
    </row>
    <row r="2744" hidden="1">
      <c r="A2744" s="1" t="s">
        <v>21</v>
      </c>
      <c r="B2744" s="3" t="str">
        <f>HYPERLINK("https://hawk-eye.atlassian.net/browse/HWKREPORT-704?atlOrigin=eyJpIjoiYzgwYTQ0ZjEyNzQzNGJhN2JmNjEyZTM0NmRhZWZhNjIiLCJwIjoic2hlZXRzLWppcmEifQ","HWKREPORT-704")</f>
        <v>HWKREPORT-704</v>
      </c>
      <c r="C2744" s="1" t="s">
        <v>4050</v>
      </c>
      <c r="D2744" s="1" t="s">
        <v>23</v>
      </c>
      <c r="E2744" s="1" t="s">
        <v>35</v>
      </c>
      <c r="F2744" s="4">
        <v>44266.90767361111</v>
      </c>
      <c r="G2744" s="3" t="str">
        <f t="shared" si="185"/>
        <v/>
      </c>
      <c r="H2744" s="1" t="s">
        <v>1058</v>
      </c>
      <c r="I2744" s="1" t="s">
        <v>1071</v>
      </c>
      <c r="J2744" s="1" t="s">
        <v>26</v>
      </c>
      <c r="K2744" s="1" t="s">
        <v>3907</v>
      </c>
      <c r="L2744" s="1" t="s">
        <v>26</v>
      </c>
      <c r="M2744" s="1" t="s">
        <v>27</v>
      </c>
      <c r="N2744" s="1" t="s">
        <v>26</v>
      </c>
      <c r="O2744" s="1" t="s">
        <v>26</v>
      </c>
      <c r="P2744" s="4">
        <v>44282.36748842592</v>
      </c>
    </row>
    <row r="2745" hidden="1">
      <c r="A2745" s="1" t="s">
        <v>21</v>
      </c>
      <c r="B2745" s="3" t="str">
        <f>HYPERLINK("https://hawk-eye.atlassian.net/browse/HWKREPORT-705?atlOrigin=eyJpIjoiYzgwYTQ0ZjEyNzQzNGJhN2JmNjEyZTM0NmRhZWZhNjIiLCJwIjoic2hlZXRzLWppcmEifQ","HWKREPORT-705")</f>
        <v>HWKREPORT-705</v>
      </c>
      <c r="C2745" s="1" t="s">
        <v>4051</v>
      </c>
      <c r="D2745" s="1" t="s">
        <v>23</v>
      </c>
      <c r="E2745" s="1" t="s">
        <v>35</v>
      </c>
      <c r="F2745" s="4">
        <v>44267.62783564815</v>
      </c>
      <c r="G2745" s="3" t="str">
        <f>HYPERLINK("https://hawk-eye.atlassian.net/browse/CVR-69?atlOrigin=eyJpIjoiYzgwYTQ0ZjEyNzQzNGJhN2JmNjEyZTM0NmRhZWZhNjIiLCJwIjoic2hlZXRzLWppcmEifQ","CVR-69")</f>
        <v>CVR-69</v>
      </c>
      <c r="H2745" s="1" t="s">
        <v>1058</v>
      </c>
      <c r="I2745" s="1" t="s">
        <v>1082</v>
      </c>
      <c r="J2745" s="1" t="s">
        <v>26</v>
      </c>
      <c r="K2745" s="1" t="s">
        <v>1744</v>
      </c>
      <c r="L2745" s="1" t="s">
        <v>26</v>
      </c>
      <c r="M2745" s="1" t="s">
        <v>27</v>
      </c>
      <c r="N2745" s="1" t="s">
        <v>26</v>
      </c>
      <c r="O2745" s="1" t="s">
        <v>26</v>
      </c>
      <c r="P2745" s="4">
        <v>45021.78115740741</v>
      </c>
    </row>
    <row r="2746" hidden="1">
      <c r="A2746" s="1" t="s">
        <v>1055</v>
      </c>
      <c r="B2746" s="3" t="str">
        <f>HYPERLINK("https://hawk-eye.atlassian.net/browse/HWKREPORT-706?atlOrigin=eyJpIjoiYzgwYTQ0ZjEyNzQzNGJhN2JmNjEyZTM0NmRhZWZhNjIiLCJwIjoic2hlZXRzLWppcmEifQ","HWKREPORT-706")</f>
        <v>HWKREPORT-706</v>
      </c>
      <c r="C2746" s="1" t="s">
        <v>4052</v>
      </c>
      <c r="D2746" s="1" t="s">
        <v>23</v>
      </c>
      <c r="E2746" s="1" t="s">
        <v>35</v>
      </c>
      <c r="F2746" s="4">
        <v>44270.50206018519</v>
      </c>
      <c r="G2746" s="3" t="str">
        <f>HYPERLINK("https://hawk-eye.atlassian.net/browse/GT-775?atlOrigin=eyJpIjoiYzgwYTQ0ZjEyNzQzNGJhN2JmNjEyZTM0NmRhZWZhNjIiLCJwIjoic2hlZXRzLWppcmEifQ","GT-775")</f>
        <v>GT-775</v>
      </c>
      <c r="H2746" s="1" t="s">
        <v>1058</v>
      </c>
      <c r="I2746" s="1" t="s">
        <v>1082</v>
      </c>
      <c r="J2746" s="1" t="s">
        <v>26</v>
      </c>
      <c r="K2746" s="1" t="s">
        <v>1105</v>
      </c>
      <c r="L2746" s="1" t="s">
        <v>26</v>
      </c>
      <c r="M2746" s="1" t="s">
        <v>27</v>
      </c>
      <c r="N2746" s="1" t="s">
        <v>26</v>
      </c>
      <c r="O2746" s="1" t="s">
        <v>26</v>
      </c>
      <c r="P2746" s="4">
        <v>45057.50943287037</v>
      </c>
    </row>
    <row r="2747" hidden="1">
      <c r="A2747" s="1" t="s">
        <v>1055</v>
      </c>
      <c r="B2747" s="3" t="str">
        <f>HYPERLINK("https://hawk-eye.atlassian.net/browse/HWKREPORT-707?atlOrigin=eyJpIjoiYzgwYTQ0ZjEyNzQzNGJhN2JmNjEyZTM0NmRhZWZhNjIiLCJwIjoic2hlZXRzLWppcmEifQ","HWKREPORT-707")</f>
        <v>HWKREPORT-707</v>
      </c>
      <c r="C2747" s="1" t="s">
        <v>4053</v>
      </c>
      <c r="D2747" s="1" t="s">
        <v>23</v>
      </c>
      <c r="E2747" s="1" t="s">
        <v>35</v>
      </c>
      <c r="F2747" s="4">
        <v>44270.56337962963</v>
      </c>
      <c r="G2747" s="3" t="str">
        <f>HYPERLINK("https://hawk-eye.atlassian.net/browse/AT-77?atlOrigin=eyJpIjoiYzgwYTQ0ZjEyNzQzNGJhN2JmNjEyZTM0NmRhZWZhNjIiLCJwIjoic2hlZXRzLWppcmEifQ","AT-77")</f>
        <v>AT-77</v>
      </c>
      <c r="H2747" s="1" t="s">
        <v>1058</v>
      </c>
      <c r="I2747" s="1" t="s">
        <v>1082</v>
      </c>
      <c r="J2747" s="1" t="s">
        <v>26</v>
      </c>
      <c r="K2747" s="1" t="s">
        <v>1105</v>
      </c>
      <c r="L2747" s="1" t="s">
        <v>26</v>
      </c>
      <c r="M2747" s="1" t="s">
        <v>27</v>
      </c>
      <c r="N2747" s="1" t="s">
        <v>26</v>
      </c>
      <c r="O2747" s="1" t="s">
        <v>26</v>
      </c>
      <c r="P2747" s="4">
        <v>45029.63856481481</v>
      </c>
    </row>
    <row r="2748" hidden="1">
      <c r="A2748" s="1" t="s">
        <v>21</v>
      </c>
      <c r="B2748" s="3" t="str">
        <f>HYPERLINK("https://hawk-eye.atlassian.net/browse/HWKREPORT-708?atlOrigin=eyJpIjoiYzgwYTQ0ZjEyNzQzNGJhN2JmNjEyZTM0NmRhZWZhNjIiLCJwIjoic2hlZXRzLWppcmEifQ","HWKREPORT-708")</f>
        <v>HWKREPORT-708</v>
      </c>
      <c r="C2748" s="1" t="s">
        <v>4054</v>
      </c>
      <c r="D2748" s="1" t="s">
        <v>83</v>
      </c>
      <c r="E2748" s="1" t="s">
        <v>35</v>
      </c>
      <c r="F2748" s="4">
        <v>44270.59353009259</v>
      </c>
      <c r="G2748" s="3" t="str">
        <f>HYPERLINK("https://hawk-eye.atlassian.net/browse/RTT-3710?atlOrigin=eyJpIjoiYzgwYTQ0ZjEyNzQzNGJhN2JmNjEyZTM0NmRhZWZhNjIiLCJwIjoic2hlZXRzLWppcmEifQ","RTT-3710")</f>
        <v>RTT-3710</v>
      </c>
      <c r="H2748" s="1" t="s">
        <v>1058</v>
      </c>
      <c r="I2748" s="1" t="s">
        <v>1085</v>
      </c>
      <c r="J2748" s="1" t="s">
        <v>26</v>
      </c>
      <c r="K2748" s="1" t="s">
        <v>1072</v>
      </c>
      <c r="L2748" s="1" t="s">
        <v>26</v>
      </c>
      <c r="M2748" s="1" t="s">
        <v>27</v>
      </c>
      <c r="N2748" s="1" t="s">
        <v>26</v>
      </c>
      <c r="O2748" s="1" t="s">
        <v>26</v>
      </c>
      <c r="P2748" s="4">
        <v>44600.8752662037</v>
      </c>
    </row>
    <row r="2749" hidden="1">
      <c r="A2749" s="1" t="s">
        <v>21</v>
      </c>
      <c r="B2749" s="3" t="str">
        <f>HYPERLINK("https://hawk-eye.atlassian.net/browse/HWKREPORT-709?atlOrigin=eyJpIjoiYzgwYTQ0ZjEyNzQzNGJhN2JmNjEyZTM0NmRhZWZhNjIiLCJwIjoic2hlZXRzLWppcmEifQ","HWKREPORT-709")</f>
        <v>HWKREPORT-709</v>
      </c>
      <c r="C2749" s="1" t="s">
        <v>4055</v>
      </c>
      <c r="D2749" s="1" t="s">
        <v>23</v>
      </c>
      <c r="E2749" s="1" t="s">
        <v>35</v>
      </c>
      <c r="F2749" s="4">
        <v>44270.60550925926</v>
      </c>
      <c r="G2749" s="3" t="str">
        <f>HYPERLINK("https://hawk-eye.atlassian.net/browse/RTT-3716?atlOrigin=eyJpIjoiYzgwYTQ0ZjEyNzQzNGJhN2JmNjEyZTM0NmRhZWZhNjIiLCJwIjoic2hlZXRzLWppcmEifQ","RTT-3716")</f>
        <v>RTT-3716</v>
      </c>
      <c r="H2749" s="1" t="s">
        <v>1058</v>
      </c>
      <c r="I2749" s="1" t="s">
        <v>1085</v>
      </c>
      <c r="J2749" s="1" t="s">
        <v>26</v>
      </c>
      <c r="K2749" s="1" t="s">
        <v>1072</v>
      </c>
      <c r="L2749" s="1" t="s">
        <v>26</v>
      </c>
      <c r="M2749" s="1" t="s">
        <v>27</v>
      </c>
      <c r="N2749" s="1" t="s">
        <v>26</v>
      </c>
      <c r="O2749" s="1" t="s">
        <v>26</v>
      </c>
      <c r="P2749" s="4">
        <v>44600.8752662037</v>
      </c>
    </row>
    <row r="2750" hidden="1">
      <c r="A2750" s="1" t="s">
        <v>21</v>
      </c>
      <c r="B2750" s="3" t="str">
        <f>HYPERLINK("https://hawk-eye.atlassian.net/browse/HWKREPORT-710?atlOrigin=eyJpIjoiYzgwYTQ0ZjEyNzQzNGJhN2JmNjEyZTM0NmRhZWZhNjIiLCJwIjoic2hlZXRzLWppcmEifQ","HWKREPORT-710")</f>
        <v>HWKREPORT-710</v>
      </c>
      <c r="C2750" s="1" t="s">
        <v>4056</v>
      </c>
      <c r="D2750" s="1" t="s">
        <v>23</v>
      </c>
      <c r="E2750" s="1" t="s">
        <v>35</v>
      </c>
      <c r="F2750" s="4">
        <v>44270.60886574074</v>
      </c>
      <c r="G2750" s="3" t="str">
        <f>HYPERLINK("https://hawk-eye.atlassian.net/browse/RTT-3738?atlOrigin=eyJpIjoiYzgwYTQ0ZjEyNzQzNGJhN2JmNjEyZTM0NmRhZWZhNjIiLCJwIjoic2hlZXRzLWppcmEifQ","RTT-3738")</f>
        <v>RTT-3738</v>
      </c>
      <c r="H2750" s="1" t="s">
        <v>1058</v>
      </c>
      <c r="I2750" s="1" t="s">
        <v>1085</v>
      </c>
      <c r="J2750" s="1" t="s">
        <v>26</v>
      </c>
      <c r="K2750" s="1" t="s">
        <v>1072</v>
      </c>
      <c r="L2750" s="1" t="s">
        <v>26</v>
      </c>
      <c r="M2750" s="1" t="s">
        <v>27</v>
      </c>
      <c r="N2750" s="1" t="s">
        <v>26</v>
      </c>
      <c r="O2750" s="1" t="s">
        <v>26</v>
      </c>
      <c r="P2750" s="4">
        <v>44600.87527777778</v>
      </c>
    </row>
    <row r="2751" hidden="1">
      <c r="A2751" s="1" t="s">
        <v>21</v>
      </c>
      <c r="B2751" s="3" t="str">
        <f>HYPERLINK("https://hawk-eye.atlassian.net/browse/HWKREPORT-711?atlOrigin=eyJpIjoiYzgwYTQ0ZjEyNzQzNGJhN2JmNjEyZTM0NmRhZWZhNjIiLCJwIjoic2hlZXRzLWppcmEifQ","HWKREPORT-711")</f>
        <v>HWKREPORT-711</v>
      </c>
      <c r="C2751" s="1" t="s">
        <v>4057</v>
      </c>
      <c r="D2751" s="1" t="s">
        <v>83</v>
      </c>
      <c r="E2751" s="1" t="s">
        <v>35</v>
      </c>
      <c r="F2751" s="4">
        <v>44270.61298611111</v>
      </c>
      <c r="G2751" s="3" t="str">
        <f>HYPERLINK("https://hawk-eye.atlassian.net/browse/RTT-3725?atlOrigin=eyJpIjoiYzgwYTQ0ZjEyNzQzNGJhN2JmNjEyZTM0NmRhZWZhNjIiLCJwIjoic2hlZXRzLWppcmEifQ","RTT-3725")</f>
        <v>RTT-3725</v>
      </c>
      <c r="H2751" s="1" t="s">
        <v>1058</v>
      </c>
      <c r="I2751" s="1" t="s">
        <v>1085</v>
      </c>
      <c r="J2751" s="1" t="s">
        <v>26</v>
      </c>
      <c r="K2751" s="1" t="s">
        <v>1072</v>
      </c>
      <c r="L2751" s="1" t="s">
        <v>26</v>
      </c>
      <c r="M2751" s="1" t="s">
        <v>27</v>
      </c>
      <c r="N2751" s="1" t="s">
        <v>26</v>
      </c>
      <c r="O2751" s="1" t="s">
        <v>26</v>
      </c>
      <c r="P2751" s="4">
        <v>44600.87525462963</v>
      </c>
    </row>
    <row r="2752" hidden="1">
      <c r="A2752" s="1" t="s">
        <v>1055</v>
      </c>
      <c r="B2752" s="3" t="str">
        <f>HYPERLINK("https://hawk-eye.atlassian.net/browse/HWKREPORT-712?atlOrigin=eyJpIjoiYzgwYTQ0ZjEyNzQzNGJhN2JmNjEyZTM0NmRhZWZhNjIiLCJwIjoic2hlZXRzLWppcmEifQ","HWKREPORT-712")</f>
        <v>HWKREPORT-712</v>
      </c>
      <c r="C2752" s="1" t="s">
        <v>4058</v>
      </c>
      <c r="D2752" s="1" t="s">
        <v>23</v>
      </c>
      <c r="E2752" s="1" t="s">
        <v>35</v>
      </c>
      <c r="F2752" s="4">
        <v>44270.61875</v>
      </c>
      <c r="G2752" s="3" t="str">
        <f>HYPERLINK("https://hawk-eye.atlassian.net/browse/RTT-3814?atlOrigin=eyJpIjoiYzgwYTQ0ZjEyNzQzNGJhN2JmNjEyZTM0NmRhZWZhNjIiLCJwIjoic2hlZXRzLWppcmEifQ","RTT-3814")</f>
        <v>RTT-3814</v>
      </c>
      <c r="H2752" s="1" t="s">
        <v>1058</v>
      </c>
      <c r="I2752" s="1" t="s">
        <v>1085</v>
      </c>
      <c r="J2752" s="1" t="s">
        <v>26</v>
      </c>
      <c r="K2752" s="1" t="s">
        <v>1072</v>
      </c>
      <c r="L2752" s="1" t="s">
        <v>26</v>
      </c>
      <c r="M2752" s="1" t="s">
        <v>27</v>
      </c>
      <c r="N2752" s="1" t="s">
        <v>26</v>
      </c>
      <c r="O2752" s="1" t="s">
        <v>26</v>
      </c>
      <c r="P2752" s="4">
        <v>44600.8752662037</v>
      </c>
    </row>
    <row r="2753" hidden="1">
      <c r="A2753" s="1" t="s">
        <v>1055</v>
      </c>
      <c r="B2753" s="3" t="str">
        <f>HYPERLINK("https://hawk-eye.atlassian.net/browse/HWKREPORT-713?atlOrigin=eyJpIjoiYzgwYTQ0ZjEyNzQzNGJhN2JmNjEyZTM0NmRhZWZhNjIiLCJwIjoic2hlZXRzLWppcmEifQ","HWKREPORT-713")</f>
        <v>HWKREPORT-713</v>
      </c>
      <c r="C2753" s="1" t="s">
        <v>4059</v>
      </c>
      <c r="D2753" s="1" t="s">
        <v>23</v>
      </c>
      <c r="E2753" s="1" t="s">
        <v>35</v>
      </c>
      <c r="F2753" s="4">
        <v>44270.71496527778</v>
      </c>
      <c r="G2753" s="3" t="str">
        <f>HYPERLINK("https://hawk-eye.atlassian.net/browse/RTT-3699?atlOrigin=eyJpIjoiYzgwYTQ0ZjEyNzQzNGJhN2JmNjEyZTM0NmRhZWZhNjIiLCJwIjoic2hlZXRzLWppcmEifQ","RTT-3699")</f>
        <v>RTT-3699</v>
      </c>
      <c r="H2753" s="1" t="s">
        <v>1058</v>
      </c>
      <c r="I2753" s="1" t="s">
        <v>1071</v>
      </c>
      <c r="J2753" s="1" t="s">
        <v>26</v>
      </c>
      <c r="K2753" s="1" t="s">
        <v>1099</v>
      </c>
      <c r="L2753" s="1" t="s">
        <v>26</v>
      </c>
      <c r="M2753" s="1" t="s">
        <v>27</v>
      </c>
      <c r="N2753" s="1" t="s">
        <v>26</v>
      </c>
      <c r="O2753" s="1" t="s">
        <v>26</v>
      </c>
      <c r="P2753" s="4">
        <v>45216.372037037036</v>
      </c>
    </row>
    <row r="2754" hidden="1">
      <c r="A2754" s="1" t="s">
        <v>1055</v>
      </c>
      <c r="B2754" s="3" t="str">
        <f>HYPERLINK("https://hawk-eye.atlassian.net/browse/HWKREPORT-714?atlOrigin=eyJpIjoiYzgwYTQ0ZjEyNzQzNGJhN2JmNjEyZTM0NmRhZWZhNjIiLCJwIjoic2hlZXRzLWppcmEifQ","HWKREPORT-714")</f>
        <v>HWKREPORT-714</v>
      </c>
      <c r="C2754" s="1" t="s">
        <v>4060</v>
      </c>
      <c r="D2754" s="1" t="s">
        <v>23</v>
      </c>
      <c r="E2754" s="1" t="s">
        <v>35</v>
      </c>
      <c r="F2754" s="4">
        <v>44270.87658564815</v>
      </c>
      <c r="G2754" s="3" t="str">
        <f>HYPERLINK("https://hawk-eye.atlassian.net/browse/BDS-410?atlOrigin=eyJpIjoiYzgwYTQ0ZjEyNzQzNGJhN2JmNjEyZTM0NmRhZWZhNjIiLCJwIjoic2hlZXRzLWppcmEifQ","BDS-410")</f>
        <v>BDS-410</v>
      </c>
      <c r="H2754" s="1" t="s">
        <v>1058</v>
      </c>
      <c r="I2754" s="1" t="s">
        <v>1071</v>
      </c>
      <c r="J2754" s="1" t="s">
        <v>26</v>
      </c>
      <c r="K2754" s="1" t="s">
        <v>1762</v>
      </c>
      <c r="L2754" s="1" t="s">
        <v>26</v>
      </c>
      <c r="M2754" s="1" t="s">
        <v>27</v>
      </c>
      <c r="N2754" s="1" t="s">
        <v>26</v>
      </c>
      <c r="O2754" s="1" t="s">
        <v>26</v>
      </c>
      <c r="P2754" s="4">
        <v>45440.47903935185</v>
      </c>
    </row>
    <row r="2755" hidden="1">
      <c r="A2755" s="1" t="s">
        <v>1055</v>
      </c>
      <c r="B2755" s="3" t="str">
        <f>HYPERLINK("https://hawk-eye.atlassian.net/browse/HWKREPORT-715?atlOrigin=eyJpIjoiYzgwYTQ0ZjEyNzQzNGJhN2JmNjEyZTM0NmRhZWZhNjIiLCJwIjoic2hlZXRzLWppcmEifQ","HWKREPORT-715")</f>
        <v>HWKREPORT-715</v>
      </c>
      <c r="C2755" s="1" t="s">
        <v>4061</v>
      </c>
      <c r="D2755" s="1" t="s">
        <v>23</v>
      </c>
      <c r="E2755" s="1" t="s">
        <v>35</v>
      </c>
      <c r="F2755" s="4">
        <v>44271.74204861111</v>
      </c>
      <c r="G2755" s="3" t="str">
        <f>HYPERLINK("https://hawk-eye.atlassian.net/browse/CTK-84?atlOrigin=eyJpIjoiYzgwYTQ0ZjEyNzQzNGJhN2JmNjEyZTM0NmRhZWZhNjIiLCJwIjoic2hlZXRzLWppcmEifQ","CTK-84")</f>
        <v>CTK-84</v>
      </c>
      <c r="H2755" s="1" t="s">
        <v>1058</v>
      </c>
      <c r="I2755" s="1" t="s">
        <v>1082</v>
      </c>
      <c r="J2755" s="1" t="s">
        <v>26</v>
      </c>
      <c r="K2755" s="1" t="s">
        <v>1083</v>
      </c>
      <c r="L2755" s="1" t="s">
        <v>26</v>
      </c>
      <c r="M2755" s="1" t="s">
        <v>27</v>
      </c>
      <c r="N2755" s="1" t="s">
        <v>26</v>
      </c>
      <c r="O2755" s="1" t="s">
        <v>26</v>
      </c>
      <c r="P2755" s="4">
        <v>44600.87458333333</v>
      </c>
    </row>
    <row r="2756" hidden="1">
      <c r="A2756" s="1" t="s">
        <v>1055</v>
      </c>
      <c r="B2756" s="3" t="str">
        <f>HYPERLINK("https://hawk-eye.atlassian.net/browse/HWKREPORT-716?atlOrigin=eyJpIjoiYzgwYTQ0ZjEyNzQzNGJhN2JmNjEyZTM0NmRhZWZhNjIiLCJwIjoic2hlZXRzLWppcmEifQ","HWKREPORT-716")</f>
        <v>HWKREPORT-716</v>
      </c>
      <c r="C2756" s="1" t="s">
        <v>4062</v>
      </c>
      <c r="D2756" s="1" t="s">
        <v>23</v>
      </c>
      <c r="E2756" s="1" t="s">
        <v>1057</v>
      </c>
      <c r="F2756" s="4">
        <v>44271.80835648148</v>
      </c>
      <c r="G2756" s="3" t="str">
        <f t="shared" ref="G2756:G2757" si="186">HYPERLINK("https://hawk-eye.atlassian.net/browse/?atlOrigin=eyJpIjoiYzgwYTQ0ZjEyNzQzNGJhN2JmNjEyZTM0NmRhZWZhNjIiLCJwIjoic2hlZXRzLWppcmEifQ","")</f>
        <v/>
      </c>
      <c r="H2756" s="1" t="s">
        <v>1058</v>
      </c>
      <c r="I2756" s="1" t="s">
        <v>1071</v>
      </c>
      <c r="J2756" s="1" t="s">
        <v>26</v>
      </c>
      <c r="K2756" s="1" t="s">
        <v>1072</v>
      </c>
      <c r="L2756" s="1" t="s">
        <v>26</v>
      </c>
      <c r="M2756" s="1" t="s">
        <v>27</v>
      </c>
      <c r="N2756" s="1" t="s">
        <v>26</v>
      </c>
      <c r="O2756" s="1" t="s">
        <v>26</v>
      </c>
      <c r="P2756" s="4">
        <v>44271.80836805556</v>
      </c>
    </row>
    <row r="2757" hidden="1">
      <c r="A2757" s="1" t="s">
        <v>21</v>
      </c>
      <c r="B2757" s="3" t="str">
        <f>HYPERLINK("https://hawk-eye.atlassian.net/browse/HWKREPORT-717?atlOrigin=eyJpIjoiYzgwYTQ0ZjEyNzQzNGJhN2JmNjEyZTM0NmRhZWZhNjIiLCJwIjoic2hlZXRzLWppcmEifQ","HWKREPORT-717")</f>
        <v>HWKREPORT-717</v>
      </c>
      <c r="C2757" s="1" t="s">
        <v>4063</v>
      </c>
      <c r="D2757" s="1" t="s">
        <v>23</v>
      </c>
      <c r="E2757" s="1" t="s">
        <v>35</v>
      </c>
      <c r="F2757" s="4">
        <v>44272.71364583333</v>
      </c>
      <c r="G2757" s="3" t="str">
        <f t="shared" si="186"/>
        <v/>
      </c>
      <c r="H2757" s="1" t="s">
        <v>1058</v>
      </c>
      <c r="I2757" s="1" t="s">
        <v>1082</v>
      </c>
      <c r="J2757" s="1" t="s">
        <v>26</v>
      </c>
      <c r="K2757" s="1" t="s">
        <v>1105</v>
      </c>
      <c r="L2757" s="1" t="s">
        <v>26</v>
      </c>
      <c r="M2757" s="1" t="s">
        <v>27</v>
      </c>
      <c r="N2757" s="1" t="s">
        <v>26</v>
      </c>
      <c r="O2757" s="1" t="s">
        <v>26</v>
      </c>
      <c r="P2757" s="4">
        <v>45022.47755787037</v>
      </c>
    </row>
    <row r="2758" hidden="1">
      <c r="A2758" s="1" t="s">
        <v>21</v>
      </c>
      <c r="B2758" s="3" t="str">
        <f>HYPERLINK("https://hawk-eye.atlassian.net/browse/HWKREPORT-718?atlOrigin=eyJpIjoiYzgwYTQ0ZjEyNzQzNGJhN2JmNjEyZTM0NmRhZWZhNjIiLCJwIjoic2hlZXRzLWppcmEifQ","HWKREPORT-718")</f>
        <v>HWKREPORT-718</v>
      </c>
      <c r="C2758" s="1" t="s">
        <v>4064</v>
      </c>
      <c r="D2758" s="1" t="s">
        <v>34</v>
      </c>
      <c r="E2758" s="1" t="s">
        <v>35</v>
      </c>
      <c r="F2758" s="4">
        <v>44274.45265046296</v>
      </c>
      <c r="G2758" s="3" t="str">
        <f>HYPERLINK("https://hawk-eye.atlassian.net/browse/VVC-223?atlOrigin=eyJpIjoiYzgwYTQ0ZjEyNzQzNGJhN2JmNjEyZTM0NmRhZWZhNjIiLCJwIjoic2hlZXRzLWppcmEifQ","VVC-223")</f>
        <v>VVC-223</v>
      </c>
      <c r="H2758" s="1" t="s">
        <v>1058</v>
      </c>
      <c r="I2758" s="1" t="s">
        <v>1502</v>
      </c>
      <c r="J2758" s="1" t="s">
        <v>26</v>
      </c>
      <c r="K2758" s="1" t="s">
        <v>1247</v>
      </c>
      <c r="L2758" s="1" t="s">
        <v>26</v>
      </c>
      <c r="M2758" s="1" t="s">
        <v>27</v>
      </c>
      <c r="N2758" s="1" t="s">
        <v>26</v>
      </c>
      <c r="O2758" s="1" t="s">
        <v>26</v>
      </c>
      <c r="P2758" s="4">
        <v>44600.874918981484</v>
      </c>
    </row>
    <row r="2759" hidden="1">
      <c r="A2759" s="1" t="s">
        <v>21</v>
      </c>
      <c r="B2759" s="3" t="str">
        <f>HYPERLINK("https://hawk-eye.atlassian.net/browse/HWKREPORT-719?atlOrigin=eyJpIjoiYzgwYTQ0ZjEyNzQzNGJhN2JmNjEyZTM0NmRhZWZhNjIiLCJwIjoic2hlZXRzLWppcmEifQ","HWKREPORT-719")</f>
        <v>HWKREPORT-719</v>
      </c>
      <c r="C2759" s="1" t="s">
        <v>4065</v>
      </c>
      <c r="D2759" s="1" t="s">
        <v>40</v>
      </c>
      <c r="E2759" s="1" t="s">
        <v>35</v>
      </c>
      <c r="F2759" s="4">
        <v>44274.46502314815</v>
      </c>
      <c r="G2759" s="3" t="str">
        <f>HYPERLINK("https://hawk-eye.atlassian.net/browse/RTT-3736?atlOrigin=eyJpIjoiYzgwYTQ0ZjEyNzQzNGJhN2JmNjEyZTM0NmRhZWZhNjIiLCJwIjoic2hlZXRzLWppcmEifQ","RTT-3736")</f>
        <v>RTT-3736</v>
      </c>
      <c r="H2759" s="1" t="s">
        <v>1058</v>
      </c>
      <c r="I2759" s="1" t="s">
        <v>1377</v>
      </c>
      <c r="J2759" s="1" t="s">
        <v>26</v>
      </c>
      <c r="K2759" s="1" t="s">
        <v>1312</v>
      </c>
      <c r="L2759" s="1" t="s">
        <v>26</v>
      </c>
      <c r="M2759" s="1" t="s">
        <v>27</v>
      </c>
      <c r="N2759" s="1" t="s">
        <v>26</v>
      </c>
      <c r="O2759" s="1" t="s">
        <v>26</v>
      </c>
      <c r="P2759" s="4">
        <v>44600.875023148146</v>
      </c>
    </row>
    <row r="2760" hidden="1">
      <c r="A2760" s="1" t="s">
        <v>21</v>
      </c>
      <c r="B2760" s="3" t="str">
        <f>HYPERLINK("https://hawk-eye.atlassian.net/browse/HWKREPORT-720?atlOrigin=eyJpIjoiYzgwYTQ0ZjEyNzQzNGJhN2JmNjEyZTM0NmRhZWZhNjIiLCJwIjoic2hlZXRzLWppcmEifQ","HWKREPORT-720")</f>
        <v>HWKREPORT-720</v>
      </c>
      <c r="C2760" s="1" t="s">
        <v>4066</v>
      </c>
      <c r="D2760" s="1" t="s">
        <v>40</v>
      </c>
      <c r="E2760" s="1" t="s">
        <v>35</v>
      </c>
      <c r="F2760" s="4">
        <v>44277.10472222222</v>
      </c>
      <c r="G2760" s="3" t="str">
        <f>HYPERLINK("https://hawk-eye.atlassian.net/browse/?atlOrigin=eyJpIjoiYzgwYTQ0ZjEyNzQzNGJhN2JmNjEyZTM0NmRhZWZhNjIiLCJwIjoic2hlZXRzLWppcmEifQ","")</f>
        <v/>
      </c>
      <c r="H2760" s="1" t="s">
        <v>1058</v>
      </c>
      <c r="I2760" s="1" t="s">
        <v>1126</v>
      </c>
      <c r="J2760" s="1" t="s">
        <v>26</v>
      </c>
      <c r="K2760" s="1" t="s">
        <v>1105</v>
      </c>
      <c r="L2760" s="1" t="s">
        <v>26</v>
      </c>
      <c r="M2760" s="1" t="s">
        <v>27</v>
      </c>
      <c r="N2760" s="1" t="s">
        <v>26</v>
      </c>
      <c r="O2760" s="1" t="s">
        <v>26</v>
      </c>
      <c r="P2760" s="4">
        <v>44299.57650462963</v>
      </c>
    </row>
    <row r="2761" hidden="1">
      <c r="A2761" s="1" t="s">
        <v>21</v>
      </c>
      <c r="B2761" s="3" t="str">
        <f>HYPERLINK("https://hawk-eye.atlassian.net/browse/HWKREPORT-721?atlOrigin=eyJpIjoiYzgwYTQ0ZjEyNzQzNGJhN2JmNjEyZTM0NmRhZWZhNjIiLCJwIjoic2hlZXRzLWppcmEifQ","HWKREPORT-721")</f>
        <v>HWKREPORT-721</v>
      </c>
      <c r="C2761" s="1" t="s">
        <v>4067</v>
      </c>
      <c r="D2761" s="1" t="s">
        <v>23</v>
      </c>
      <c r="E2761" s="1" t="s">
        <v>35</v>
      </c>
      <c r="F2761" s="4">
        <v>44277.702199074076</v>
      </c>
      <c r="G2761" s="3" t="str">
        <f>HYPERLINK("https://hawk-eye.atlassian.net/browse/RTT-3815?atlOrigin=eyJpIjoiYzgwYTQ0ZjEyNzQzNGJhN2JmNjEyZTM0NmRhZWZhNjIiLCJwIjoic2hlZXRzLWppcmEifQ","RTT-3815")</f>
        <v>RTT-3815</v>
      </c>
      <c r="H2761" s="1" t="s">
        <v>1058</v>
      </c>
      <c r="I2761" s="1" t="s">
        <v>1085</v>
      </c>
      <c r="J2761" s="1" t="s">
        <v>26</v>
      </c>
      <c r="K2761" s="1" t="s">
        <v>1804</v>
      </c>
      <c r="L2761" s="1" t="s">
        <v>26</v>
      </c>
      <c r="M2761" s="1" t="s">
        <v>27</v>
      </c>
      <c r="N2761" s="1" t="s">
        <v>26</v>
      </c>
      <c r="O2761" s="1" t="s">
        <v>26</v>
      </c>
      <c r="P2761" s="4">
        <v>44579.50572916667</v>
      </c>
    </row>
    <row r="2762" hidden="1">
      <c r="A2762" s="1" t="s">
        <v>21</v>
      </c>
      <c r="B2762" s="3" t="str">
        <f>HYPERLINK("https://hawk-eye.atlassian.net/browse/HWKREPORT-722?atlOrigin=eyJpIjoiYzgwYTQ0ZjEyNzQzNGJhN2JmNjEyZTM0NmRhZWZhNjIiLCJwIjoic2hlZXRzLWppcmEifQ","HWKREPORT-722")</f>
        <v>HWKREPORT-722</v>
      </c>
      <c r="C2762" s="1" t="s">
        <v>4068</v>
      </c>
      <c r="D2762" s="1" t="s">
        <v>40</v>
      </c>
      <c r="E2762" s="1" t="s">
        <v>35</v>
      </c>
      <c r="F2762" s="4">
        <v>44277.758726851855</v>
      </c>
      <c r="G2762" s="3" t="str">
        <f>HYPERLINK("https://hawk-eye.atlassian.net/browse/?atlOrigin=eyJpIjoiYzgwYTQ0ZjEyNzQzNGJhN2JmNjEyZTM0NmRhZWZhNjIiLCJwIjoic2hlZXRzLWppcmEifQ","")</f>
        <v/>
      </c>
      <c r="H2762" s="1" t="s">
        <v>1058</v>
      </c>
      <c r="I2762" s="1" t="s">
        <v>1126</v>
      </c>
      <c r="J2762" s="1" t="s">
        <v>26</v>
      </c>
      <c r="K2762" s="1" t="s">
        <v>1114</v>
      </c>
      <c r="L2762" s="1" t="s">
        <v>26</v>
      </c>
      <c r="M2762" s="1" t="s">
        <v>27</v>
      </c>
      <c r="N2762" s="1" t="s">
        <v>26</v>
      </c>
      <c r="O2762" s="1" t="s">
        <v>26</v>
      </c>
      <c r="P2762" s="4">
        <v>44278.60642361111</v>
      </c>
    </row>
    <row r="2763" hidden="1">
      <c r="A2763" s="1" t="s">
        <v>1055</v>
      </c>
      <c r="B2763" s="3" t="str">
        <f>HYPERLINK("https://hawk-eye.atlassian.net/browse/HWKREPORT-723?atlOrigin=eyJpIjoiYzgwYTQ0ZjEyNzQzNGJhN2JmNjEyZTM0NmRhZWZhNjIiLCJwIjoic2hlZXRzLWppcmEifQ","HWKREPORT-723")</f>
        <v>HWKREPORT-723</v>
      </c>
      <c r="C2763" s="1" t="s">
        <v>4069</v>
      </c>
      <c r="D2763" s="1" t="s">
        <v>23</v>
      </c>
      <c r="E2763" s="1" t="s">
        <v>35</v>
      </c>
      <c r="F2763" s="4">
        <v>44278.10513888889</v>
      </c>
      <c r="G2763" s="3" t="str">
        <f>HYPERLINK("https://hawk-eye.atlassian.net/browse/AT-428?atlOrigin=eyJpIjoiYzgwYTQ0ZjEyNzQzNGJhN2JmNjEyZTM0NmRhZWZhNjIiLCJwIjoic2hlZXRzLWppcmEifQ","AT-428")</f>
        <v>AT-428</v>
      </c>
      <c r="H2763" s="1" t="s">
        <v>1058</v>
      </c>
      <c r="I2763" s="1" t="s">
        <v>1126</v>
      </c>
      <c r="J2763" s="1" t="s">
        <v>26</v>
      </c>
      <c r="K2763" s="1" t="s">
        <v>1105</v>
      </c>
      <c r="L2763" s="1" t="s">
        <v>26</v>
      </c>
      <c r="M2763" s="1" t="s">
        <v>27</v>
      </c>
      <c r="N2763" s="1" t="s">
        <v>26</v>
      </c>
      <c r="O2763" s="1" t="s">
        <v>26</v>
      </c>
      <c r="P2763" s="4">
        <v>45209.420023148145</v>
      </c>
    </row>
    <row r="2764" hidden="1">
      <c r="A2764" s="1" t="s">
        <v>21</v>
      </c>
      <c r="B2764" s="3" t="str">
        <f>HYPERLINK("https://hawk-eye.atlassian.net/browse/HWKREPORT-724?atlOrigin=eyJpIjoiYzgwYTQ0ZjEyNzQzNGJhN2JmNjEyZTM0NmRhZWZhNjIiLCJwIjoic2hlZXRzLWppcmEifQ","HWKREPORT-724")</f>
        <v>HWKREPORT-724</v>
      </c>
      <c r="C2764" s="1" t="s">
        <v>4070</v>
      </c>
      <c r="D2764" s="1" t="s">
        <v>40</v>
      </c>
      <c r="E2764" s="1" t="s">
        <v>35</v>
      </c>
      <c r="F2764" s="4">
        <v>44278.11988425926</v>
      </c>
      <c r="G2764" s="3" t="str">
        <f>HYPERLINK("https://hawk-eye.atlassian.net/browse/?atlOrigin=eyJpIjoiYzgwYTQ0ZjEyNzQzNGJhN2JmNjEyZTM0NmRhZWZhNjIiLCJwIjoic2hlZXRzLWppcmEifQ","")</f>
        <v/>
      </c>
      <c r="H2764" s="1" t="s">
        <v>1058</v>
      </c>
      <c r="I2764" s="1" t="s">
        <v>1126</v>
      </c>
      <c r="J2764" s="1" t="s">
        <v>26</v>
      </c>
      <c r="K2764" s="1" t="s">
        <v>1114</v>
      </c>
      <c r="L2764" s="1" t="s">
        <v>26</v>
      </c>
      <c r="M2764" s="1" t="s">
        <v>27</v>
      </c>
      <c r="N2764" s="1" t="s">
        <v>26</v>
      </c>
      <c r="O2764" s="1" t="s">
        <v>26</v>
      </c>
      <c r="P2764" s="4">
        <v>44278.69440972222</v>
      </c>
    </row>
    <row r="2765" hidden="1">
      <c r="A2765" s="1" t="s">
        <v>21</v>
      </c>
      <c r="B2765" s="3" t="str">
        <f>HYPERLINK("https://hawk-eye.atlassian.net/browse/HWKREPORT-725?atlOrigin=eyJpIjoiYzgwYTQ0ZjEyNzQzNGJhN2JmNjEyZTM0NmRhZWZhNjIiLCJwIjoic2hlZXRzLWppcmEifQ","HWKREPORT-725")</f>
        <v>HWKREPORT-725</v>
      </c>
      <c r="C2765" s="1" t="s">
        <v>4071</v>
      </c>
      <c r="D2765" s="1" t="s">
        <v>34</v>
      </c>
      <c r="E2765" s="1" t="s">
        <v>35</v>
      </c>
      <c r="F2765" s="4">
        <v>44278.86388888889</v>
      </c>
      <c r="G2765" s="3" t="str">
        <f>HYPERLINK("https://hawk-eye.atlassian.net/browse/GT-819?atlOrigin=eyJpIjoiYzgwYTQ0ZjEyNzQzNGJhN2JmNjEyZTM0NmRhZWZhNjIiLCJwIjoic2hlZXRzLWppcmEifQ","GT-819")</f>
        <v>GT-819</v>
      </c>
      <c r="H2765" s="1" t="s">
        <v>1058</v>
      </c>
      <c r="I2765" s="1" t="s">
        <v>1126</v>
      </c>
      <c r="J2765" s="1" t="s">
        <v>26</v>
      </c>
      <c r="K2765" s="1" t="s">
        <v>1105</v>
      </c>
      <c r="L2765" s="1" t="s">
        <v>26</v>
      </c>
      <c r="M2765" s="1" t="s">
        <v>27</v>
      </c>
      <c r="N2765" s="1" t="s">
        <v>26</v>
      </c>
      <c r="O2765" s="1" t="s">
        <v>26</v>
      </c>
      <c r="P2765" s="4">
        <v>45082.697430555556</v>
      </c>
    </row>
    <row r="2766" hidden="1">
      <c r="A2766" s="1" t="s">
        <v>21</v>
      </c>
      <c r="B2766" s="3" t="str">
        <f>HYPERLINK("https://hawk-eye.atlassian.net/browse/HWKREPORT-726?atlOrigin=eyJpIjoiYzgwYTQ0ZjEyNzQzNGJhN2JmNjEyZTM0NmRhZWZhNjIiLCJwIjoic2hlZXRzLWppcmEifQ","HWKREPORT-726")</f>
        <v>HWKREPORT-726</v>
      </c>
      <c r="C2766" s="1" t="s">
        <v>4072</v>
      </c>
      <c r="D2766" s="1" t="s">
        <v>34</v>
      </c>
      <c r="E2766" s="1" t="s">
        <v>35</v>
      </c>
      <c r="F2766" s="4">
        <v>44278.86554398148</v>
      </c>
      <c r="G2766" s="3" t="str">
        <f>HYPERLINK("https://hawk-eye.atlassian.net/browse/GT-828?atlOrigin=eyJpIjoiYzgwYTQ0ZjEyNzQzNGJhN2JmNjEyZTM0NmRhZWZhNjIiLCJwIjoic2hlZXRzLWppcmEifQ","GT-828")</f>
        <v>GT-828</v>
      </c>
      <c r="H2766" s="1" t="s">
        <v>1058</v>
      </c>
      <c r="I2766" s="1" t="s">
        <v>1126</v>
      </c>
      <c r="J2766" s="1" t="s">
        <v>26</v>
      </c>
      <c r="K2766" s="1" t="s">
        <v>1114</v>
      </c>
      <c r="L2766" s="1" t="s">
        <v>26</v>
      </c>
      <c r="M2766" s="1" t="s">
        <v>27</v>
      </c>
      <c r="N2766" s="1" t="s">
        <v>26</v>
      </c>
      <c r="O2766" s="1" t="s">
        <v>26</v>
      </c>
      <c r="P2766" s="4">
        <v>44994.46524305556</v>
      </c>
    </row>
    <row r="2767" hidden="1">
      <c r="A2767" s="1" t="s">
        <v>21</v>
      </c>
      <c r="B2767" s="3" t="str">
        <f>HYPERLINK("https://hawk-eye.atlassian.net/browse/HWKREPORT-727?atlOrigin=eyJpIjoiYzgwYTQ0ZjEyNzQzNGJhN2JmNjEyZTM0NmRhZWZhNjIiLCJwIjoic2hlZXRzLWppcmEifQ","HWKREPORT-727")</f>
        <v>HWKREPORT-727</v>
      </c>
      <c r="C2767" s="1" t="s">
        <v>4073</v>
      </c>
      <c r="D2767" s="1" t="s">
        <v>23</v>
      </c>
      <c r="E2767" s="1" t="s">
        <v>35</v>
      </c>
      <c r="F2767" s="4">
        <v>44279.55186342593</v>
      </c>
      <c r="G2767" s="3" t="str">
        <f>HYPERLINK("https://hawk-eye.atlassian.net/browse/?atlOrigin=eyJpIjoiYzgwYTQ0ZjEyNzQzNGJhN2JmNjEyZTM0NmRhZWZhNjIiLCJwIjoic2hlZXRzLWppcmEifQ","")</f>
        <v/>
      </c>
      <c r="H2767" s="1" t="s">
        <v>1058</v>
      </c>
      <c r="I2767" s="1" t="s">
        <v>1071</v>
      </c>
      <c r="J2767" s="1" t="s">
        <v>26</v>
      </c>
      <c r="K2767" s="1" t="s">
        <v>3829</v>
      </c>
      <c r="L2767" s="1" t="s">
        <v>26</v>
      </c>
      <c r="M2767" s="1" t="s">
        <v>27</v>
      </c>
      <c r="N2767" s="1" t="s">
        <v>26</v>
      </c>
      <c r="O2767" s="1" t="s">
        <v>26</v>
      </c>
      <c r="P2767" s="4">
        <v>44280.449907407405</v>
      </c>
    </row>
    <row r="2768" hidden="1">
      <c r="A2768" s="1" t="s">
        <v>21</v>
      </c>
      <c r="B2768" s="3" t="str">
        <f>HYPERLINK("https://hawk-eye.atlassian.net/browse/HWKREPORT-728?atlOrigin=eyJpIjoiYzgwYTQ0ZjEyNzQzNGJhN2JmNjEyZTM0NmRhZWZhNjIiLCJwIjoic2hlZXRzLWppcmEifQ","HWKREPORT-728")</f>
        <v>HWKREPORT-728</v>
      </c>
      <c r="C2768" s="1" t="s">
        <v>4074</v>
      </c>
      <c r="D2768" s="1" t="s">
        <v>23</v>
      </c>
      <c r="E2768" s="1" t="s">
        <v>35</v>
      </c>
      <c r="F2768" s="4">
        <v>44279.58525462963</v>
      </c>
      <c r="G2768" s="3" t="str">
        <f>HYPERLINK("https://hawk-eye.atlassian.net/issues/?atlOrigin=eyJpIjoiYzgwYTQ0ZjEyNzQzNGJhN2JmNjEyZTM0NmRhZWZhNjIiLCJwIjoic2hlZXRzLWppcmEifQ&amp;jql=key+in+%28RTT-3762%2CRTT-3764%29","RTT-3762;RTT-3764")</f>
        <v>RTT-3762;RTT-3764</v>
      </c>
      <c r="H2768" s="1" t="s">
        <v>1058</v>
      </c>
      <c r="I2768" s="1" t="s">
        <v>1071</v>
      </c>
      <c r="J2768" s="1" t="s">
        <v>26</v>
      </c>
      <c r="K2768" s="1" t="s">
        <v>3829</v>
      </c>
      <c r="L2768" s="1" t="s">
        <v>26</v>
      </c>
      <c r="M2768" s="1" t="s">
        <v>27</v>
      </c>
      <c r="N2768" s="1" t="s">
        <v>26</v>
      </c>
      <c r="O2768" s="1" t="s">
        <v>26</v>
      </c>
      <c r="P2768" s="4">
        <v>44600.87459490741</v>
      </c>
    </row>
    <row r="2769" hidden="1">
      <c r="A2769" s="1" t="s">
        <v>21</v>
      </c>
      <c r="B2769" s="3" t="str">
        <f>HYPERLINK("https://hawk-eye.atlassian.net/browse/HWKREPORT-729?atlOrigin=eyJpIjoiYzgwYTQ0ZjEyNzQzNGJhN2JmNjEyZTM0NmRhZWZhNjIiLCJwIjoic2hlZXRzLWppcmEifQ","HWKREPORT-729")</f>
        <v>HWKREPORT-729</v>
      </c>
      <c r="C2769" s="1" t="s">
        <v>4075</v>
      </c>
      <c r="D2769" s="1" t="s">
        <v>23</v>
      </c>
      <c r="E2769" s="1" t="s">
        <v>35</v>
      </c>
      <c r="F2769" s="4">
        <v>44279.714537037034</v>
      </c>
      <c r="G2769" s="3" t="str">
        <f>HYPERLINK("https://hawk-eye.atlassian.net/browse/RTT-3759?atlOrigin=eyJpIjoiYzgwYTQ0ZjEyNzQzNGJhN2JmNjEyZTM0NmRhZWZhNjIiLCJwIjoic2hlZXRzLWppcmEifQ","RTT-3759")</f>
        <v>RTT-3759</v>
      </c>
      <c r="H2769" s="1" t="s">
        <v>1058</v>
      </c>
      <c r="I2769" s="1" t="s">
        <v>1071</v>
      </c>
      <c r="J2769" s="1" t="s">
        <v>26</v>
      </c>
      <c r="K2769" s="1" t="s">
        <v>3907</v>
      </c>
      <c r="L2769" s="1" t="s">
        <v>26</v>
      </c>
      <c r="M2769" s="1" t="s">
        <v>27</v>
      </c>
      <c r="N2769" s="1" t="s">
        <v>26</v>
      </c>
      <c r="O2769" s="1" t="s">
        <v>26</v>
      </c>
      <c r="P2769" s="4">
        <v>44600.87462962963</v>
      </c>
    </row>
    <row r="2770" hidden="1">
      <c r="A2770" s="1" t="s">
        <v>21</v>
      </c>
      <c r="B2770" s="3" t="str">
        <f>HYPERLINK("https://hawk-eye.atlassian.net/browse/HWKREPORT-730?atlOrigin=eyJpIjoiYzgwYTQ0ZjEyNzQzNGJhN2JmNjEyZTM0NmRhZWZhNjIiLCJwIjoic2hlZXRzLWppcmEifQ","HWKREPORT-730")</f>
        <v>HWKREPORT-730</v>
      </c>
      <c r="C2770" s="1" t="s">
        <v>4076</v>
      </c>
      <c r="D2770" s="1" t="s">
        <v>34</v>
      </c>
      <c r="E2770" s="1" t="s">
        <v>35</v>
      </c>
      <c r="F2770" s="4">
        <v>44280.824212962965</v>
      </c>
      <c r="G2770" s="3" t="str">
        <f>HYPERLINK("https://hawk-eye.atlassian.net/browse/RTT-4490?atlOrigin=eyJpIjoiYzgwYTQ0ZjEyNzQzNGJhN2JmNjEyZTM0NmRhZWZhNjIiLCJwIjoic2hlZXRzLWppcmEifQ","RTT-4490")</f>
        <v>RTT-4490</v>
      </c>
      <c r="H2770" s="1" t="s">
        <v>1058</v>
      </c>
      <c r="I2770" s="1" t="s">
        <v>1085</v>
      </c>
      <c r="J2770" s="1" t="s">
        <v>26</v>
      </c>
      <c r="K2770" s="1" t="s">
        <v>1072</v>
      </c>
      <c r="L2770" s="1" t="s">
        <v>26</v>
      </c>
      <c r="M2770" s="1" t="s">
        <v>27</v>
      </c>
      <c r="N2770" s="1" t="s">
        <v>26</v>
      </c>
      <c r="O2770" s="1" t="s">
        <v>26</v>
      </c>
      <c r="P2770" s="4">
        <v>44623.64765046296</v>
      </c>
    </row>
    <row r="2771" hidden="1">
      <c r="A2771" s="1" t="s">
        <v>21</v>
      </c>
      <c r="B2771" s="3" t="str">
        <f>HYPERLINK("https://hawk-eye.atlassian.net/browse/HWKREPORT-731?atlOrigin=eyJpIjoiYzgwYTQ0ZjEyNzQzNGJhN2JmNjEyZTM0NmRhZWZhNjIiLCJwIjoic2hlZXRzLWppcmEifQ","HWKREPORT-731")</f>
        <v>HWKREPORT-731</v>
      </c>
      <c r="C2771" s="1" t="s">
        <v>4077</v>
      </c>
      <c r="D2771" s="1" t="s">
        <v>34</v>
      </c>
      <c r="E2771" s="1" t="s">
        <v>35</v>
      </c>
      <c r="F2771" s="4">
        <v>44280.82560185185</v>
      </c>
      <c r="G2771" s="3" t="str">
        <f t="shared" ref="G2771:G2773" si="187">HYPERLINK("https://hawk-eye.atlassian.net/browse/?atlOrigin=eyJpIjoiYzgwYTQ0ZjEyNzQzNGJhN2JmNjEyZTM0NmRhZWZhNjIiLCJwIjoic2hlZXRzLWppcmEifQ","")</f>
        <v/>
      </c>
      <c r="H2771" s="1" t="s">
        <v>1058</v>
      </c>
      <c r="I2771" s="1" t="s">
        <v>1085</v>
      </c>
      <c r="J2771" s="1" t="s">
        <v>26</v>
      </c>
      <c r="K2771" s="1" t="s">
        <v>1072</v>
      </c>
      <c r="L2771" s="1" t="s">
        <v>26</v>
      </c>
      <c r="M2771" s="1" t="s">
        <v>27</v>
      </c>
      <c r="N2771" s="1" t="s">
        <v>26</v>
      </c>
      <c r="O2771" s="1" t="s">
        <v>26</v>
      </c>
      <c r="P2771" s="4">
        <v>44844.55399305555</v>
      </c>
    </row>
    <row r="2772" hidden="1">
      <c r="A2772" s="1" t="s">
        <v>21</v>
      </c>
      <c r="B2772" s="3" t="str">
        <f>HYPERLINK("https://hawk-eye.atlassian.net/browse/HWKREPORT-732?atlOrigin=eyJpIjoiYzgwYTQ0ZjEyNzQzNGJhN2JmNjEyZTM0NmRhZWZhNjIiLCJwIjoic2hlZXRzLWppcmEifQ","HWKREPORT-732")</f>
        <v>HWKREPORT-732</v>
      </c>
      <c r="C2772" s="1" t="s">
        <v>4078</v>
      </c>
      <c r="D2772" s="1" t="s">
        <v>23</v>
      </c>
      <c r="E2772" s="1" t="s">
        <v>35</v>
      </c>
      <c r="F2772" s="4">
        <v>44280.828831018516</v>
      </c>
      <c r="G2772" s="3" t="str">
        <f t="shared" si="187"/>
        <v/>
      </c>
      <c r="H2772" s="1" t="s">
        <v>1058</v>
      </c>
      <c r="I2772" s="1" t="s">
        <v>1085</v>
      </c>
      <c r="J2772" s="1" t="s">
        <v>26</v>
      </c>
      <c r="K2772" s="1" t="s">
        <v>1072</v>
      </c>
      <c r="L2772" s="1" t="s">
        <v>26</v>
      </c>
      <c r="M2772" s="1" t="s">
        <v>27</v>
      </c>
      <c r="N2772" s="1" t="s">
        <v>26</v>
      </c>
      <c r="O2772" s="1" t="s">
        <v>26</v>
      </c>
      <c r="P2772" s="4">
        <v>44844.55435185185</v>
      </c>
    </row>
    <row r="2773" hidden="1">
      <c r="A2773" s="1" t="s">
        <v>21</v>
      </c>
      <c r="B2773" s="3" t="str">
        <f>HYPERLINK("https://hawk-eye.atlassian.net/browse/HWKREPORT-733?atlOrigin=eyJpIjoiYzgwYTQ0ZjEyNzQzNGJhN2JmNjEyZTM0NmRhZWZhNjIiLCJwIjoic2hlZXRzLWppcmEifQ","HWKREPORT-733")</f>
        <v>HWKREPORT-733</v>
      </c>
      <c r="C2773" s="1" t="s">
        <v>4079</v>
      </c>
      <c r="D2773" s="1" t="s">
        <v>23</v>
      </c>
      <c r="E2773" s="1" t="s">
        <v>35</v>
      </c>
      <c r="F2773" s="4">
        <v>44280.83020833333</v>
      </c>
      <c r="G2773" s="3" t="str">
        <f t="shared" si="187"/>
        <v/>
      </c>
      <c r="H2773" s="1" t="s">
        <v>1058</v>
      </c>
      <c r="I2773" s="1" t="s">
        <v>1085</v>
      </c>
      <c r="J2773" s="1" t="s">
        <v>26</v>
      </c>
      <c r="K2773" s="1" t="s">
        <v>1072</v>
      </c>
      <c r="L2773" s="1" t="s">
        <v>26</v>
      </c>
      <c r="M2773" s="1" t="s">
        <v>27</v>
      </c>
      <c r="N2773" s="1" t="s">
        <v>26</v>
      </c>
      <c r="O2773" s="1" t="s">
        <v>26</v>
      </c>
      <c r="P2773" s="4">
        <v>44844.55459490741</v>
      </c>
    </row>
    <row r="2774" hidden="1">
      <c r="A2774" s="1" t="s">
        <v>1055</v>
      </c>
      <c r="B2774" s="3" t="str">
        <f>HYPERLINK("https://hawk-eye.atlassian.net/browse/HWKREPORT-734?atlOrigin=eyJpIjoiYzgwYTQ0ZjEyNzQzNGJhN2JmNjEyZTM0NmRhZWZhNjIiLCJwIjoic2hlZXRzLWppcmEifQ","HWKREPORT-734")</f>
        <v>HWKREPORT-734</v>
      </c>
      <c r="C2774" s="1" t="s">
        <v>4080</v>
      </c>
      <c r="D2774" s="1" t="s">
        <v>23</v>
      </c>
      <c r="E2774" s="1" t="s">
        <v>1207</v>
      </c>
      <c r="F2774" s="4">
        <v>44280.97605324074</v>
      </c>
      <c r="G2774" s="3" t="str">
        <f>HYPERLINK("https://hawk-eye.atlassian.net/browse/RTT-3769?atlOrigin=eyJpIjoiYzgwYTQ0ZjEyNzQzNGJhN2JmNjEyZTM0NmRhZWZhNjIiLCJwIjoic2hlZXRzLWppcmEifQ","RTT-3769")</f>
        <v>RTT-3769</v>
      </c>
      <c r="H2774" s="1" t="s">
        <v>1058</v>
      </c>
      <c r="I2774" s="1" t="s">
        <v>1071</v>
      </c>
      <c r="J2774" s="1" t="s">
        <v>26</v>
      </c>
      <c r="K2774" s="1" t="s">
        <v>1093</v>
      </c>
      <c r="L2774" s="1" t="s">
        <v>26</v>
      </c>
      <c r="M2774" s="1" t="s">
        <v>27</v>
      </c>
      <c r="N2774" s="1" t="s">
        <v>26</v>
      </c>
      <c r="O2774" s="1" t="s">
        <v>26</v>
      </c>
      <c r="P2774" s="4">
        <v>44929.4184837963</v>
      </c>
    </row>
    <row r="2775" hidden="1">
      <c r="A2775" s="1" t="s">
        <v>21</v>
      </c>
      <c r="B2775" s="3" t="str">
        <f>HYPERLINK("https://hawk-eye.atlassian.net/browse/HWKREPORT-735?atlOrigin=eyJpIjoiYzgwYTQ0ZjEyNzQzNGJhN2JmNjEyZTM0NmRhZWZhNjIiLCJwIjoic2hlZXRzLWppcmEifQ","HWKREPORT-735")</f>
        <v>HWKREPORT-735</v>
      </c>
      <c r="C2775" s="1" t="s">
        <v>4081</v>
      </c>
      <c r="D2775" s="1" t="s">
        <v>23</v>
      </c>
      <c r="E2775" s="1" t="s">
        <v>35</v>
      </c>
      <c r="F2775" s="4">
        <v>44281.45686342593</v>
      </c>
      <c r="G2775" s="3" t="str">
        <f t="shared" ref="G2775:G2781" si="188">HYPERLINK("https://hawk-eye.atlassian.net/browse/?atlOrigin=eyJpIjoiYzgwYTQ0ZjEyNzQzNGJhN2JmNjEyZTM0NmRhZWZhNjIiLCJwIjoic2hlZXRzLWppcmEifQ","")</f>
        <v/>
      </c>
      <c r="H2775" s="1" t="s">
        <v>1058</v>
      </c>
      <c r="I2775" s="1" t="s">
        <v>1085</v>
      </c>
      <c r="J2775" s="1" t="s">
        <v>26</v>
      </c>
      <c r="K2775" s="1" t="s">
        <v>1372</v>
      </c>
      <c r="L2775" s="1" t="s">
        <v>26</v>
      </c>
      <c r="M2775" s="1" t="s">
        <v>27</v>
      </c>
      <c r="N2775" s="1" t="s">
        <v>26</v>
      </c>
      <c r="O2775" s="1" t="s">
        <v>26</v>
      </c>
      <c r="P2775" s="4">
        <v>44281.58954861111</v>
      </c>
    </row>
    <row r="2776" hidden="1">
      <c r="A2776" s="1" t="s">
        <v>21</v>
      </c>
      <c r="B2776" s="3" t="str">
        <f>HYPERLINK("https://hawk-eye.atlassian.net/browse/HWKREPORT-736?atlOrigin=eyJpIjoiYzgwYTQ0ZjEyNzQzNGJhN2JmNjEyZTM0NmRhZWZhNjIiLCJwIjoic2hlZXRzLWppcmEifQ","HWKREPORT-736")</f>
        <v>HWKREPORT-736</v>
      </c>
      <c r="C2776" s="1" t="s">
        <v>4082</v>
      </c>
      <c r="D2776" s="1" t="s">
        <v>34</v>
      </c>
      <c r="E2776" s="1" t="s">
        <v>35</v>
      </c>
      <c r="F2776" s="4">
        <v>44282.12747685185</v>
      </c>
      <c r="G2776" s="3" t="str">
        <f t="shared" si="188"/>
        <v/>
      </c>
      <c r="H2776" s="1" t="s">
        <v>1058</v>
      </c>
      <c r="I2776" s="1" t="s">
        <v>1126</v>
      </c>
      <c r="J2776" s="1" t="s">
        <v>26</v>
      </c>
      <c r="K2776" s="1" t="s">
        <v>1105</v>
      </c>
      <c r="L2776" s="1" t="s">
        <v>26</v>
      </c>
      <c r="M2776" s="1" t="s">
        <v>27</v>
      </c>
      <c r="N2776" s="1" t="s">
        <v>26</v>
      </c>
      <c r="O2776" s="1" t="s">
        <v>26</v>
      </c>
      <c r="P2776" s="4">
        <v>44293.44199074074</v>
      </c>
    </row>
    <row r="2777" hidden="1">
      <c r="A2777" s="1" t="s">
        <v>21</v>
      </c>
      <c r="B2777" s="3" t="str">
        <f>HYPERLINK("https://hawk-eye.atlassian.net/browse/HWKREPORT-737?atlOrigin=eyJpIjoiYzgwYTQ0ZjEyNzQzNGJhN2JmNjEyZTM0NmRhZWZhNjIiLCJwIjoic2hlZXRzLWppcmEifQ","HWKREPORT-737")</f>
        <v>HWKREPORT-737</v>
      </c>
      <c r="C2777" s="1" t="s">
        <v>4083</v>
      </c>
      <c r="D2777" s="1" t="s">
        <v>34</v>
      </c>
      <c r="E2777" s="1" t="s">
        <v>35</v>
      </c>
      <c r="F2777" s="4">
        <v>44282.13846064815</v>
      </c>
      <c r="G2777" s="3" t="str">
        <f t="shared" si="188"/>
        <v/>
      </c>
      <c r="H2777" s="1" t="s">
        <v>1058</v>
      </c>
      <c r="I2777" s="1" t="s">
        <v>1126</v>
      </c>
      <c r="J2777" s="1" t="s">
        <v>26</v>
      </c>
      <c r="K2777" s="1" t="s">
        <v>1105</v>
      </c>
      <c r="L2777" s="1" t="s">
        <v>26</v>
      </c>
      <c r="M2777" s="1" t="s">
        <v>27</v>
      </c>
      <c r="N2777" s="1" t="s">
        <v>26</v>
      </c>
      <c r="O2777" s="1" t="s">
        <v>26</v>
      </c>
      <c r="P2777" s="4">
        <v>44994.484247685185</v>
      </c>
    </row>
    <row r="2778" hidden="1">
      <c r="A2778" s="1" t="s">
        <v>21</v>
      </c>
      <c r="B2778" s="3" t="str">
        <f>HYPERLINK("https://hawk-eye.atlassian.net/browse/HWKREPORT-738?atlOrigin=eyJpIjoiYzgwYTQ0ZjEyNzQzNGJhN2JmNjEyZTM0NmRhZWZhNjIiLCJwIjoic2hlZXRzLWppcmEifQ","HWKREPORT-738")</f>
        <v>HWKREPORT-738</v>
      </c>
      <c r="C2778" s="1" t="s">
        <v>4084</v>
      </c>
      <c r="D2778" s="1" t="s">
        <v>34</v>
      </c>
      <c r="E2778" s="1" t="s">
        <v>35</v>
      </c>
      <c r="F2778" s="4">
        <v>44282.87783564815</v>
      </c>
      <c r="G2778" s="3" t="str">
        <f t="shared" si="188"/>
        <v/>
      </c>
      <c r="H2778" s="1" t="s">
        <v>1058</v>
      </c>
      <c r="I2778" s="1" t="s">
        <v>1126</v>
      </c>
      <c r="J2778" s="1" t="s">
        <v>26</v>
      </c>
      <c r="K2778" s="1" t="s">
        <v>1148</v>
      </c>
      <c r="L2778" s="1" t="s">
        <v>26</v>
      </c>
      <c r="M2778" s="1" t="s">
        <v>27</v>
      </c>
      <c r="N2778" s="1" t="s">
        <v>26</v>
      </c>
      <c r="O2778" s="1" t="s">
        <v>26</v>
      </c>
      <c r="P2778" s="4">
        <v>44294.74013888889</v>
      </c>
    </row>
    <row r="2779" hidden="1">
      <c r="A2779" s="1" t="s">
        <v>21</v>
      </c>
      <c r="B2779" s="3" t="str">
        <f>HYPERLINK("https://hawk-eye.atlassian.net/browse/HWKREPORT-739?atlOrigin=eyJpIjoiYzgwYTQ0ZjEyNzQzNGJhN2JmNjEyZTM0NmRhZWZhNjIiLCJwIjoic2hlZXRzLWppcmEifQ","HWKREPORT-739")</f>
        <v>HWKREPORT-739</v>
      </c>
      <c r="C2779" s="1" t="s">
        <v>4085</v>
      </c>
      <c r="D2779" s="1" t="s">
        <v>34</v>
      </c>
      <c r="E2779" s="1" t="s">
        <v>35</v>
      </c>
      <c r="F2779" s="4">
        <v>44283.761967592596</v>
      </c>
      <c r="G2779" s="3" t="str">
        <f t="shared" si="188"/>
        <v/>
      </c>
      <c r="H2779" s="1" t="s">
        <v>1058</v>
      </c>
      <c r="I2779" s="1" t="s">
        <v>1126</v>
      </c>
      <c r="J2779" s="1" t="s">
        <v>26</v>
      </c>
      <c r="K2779" s="1" t="s">
        <v>1148</v>
      </c>
      <c r="L2779" s="1" t="s">
        <v>26</v>
      </c>
      <c r="M2779" s="1" t="s">
        <v>27</v>
      </c>
      <c r="N2779" s="1" t="s">
        <v>26</v>
      </c>
      <c r="O2779" s="1" t="s">
        <v>26</v>
      </c>
      <c r="P2779" s="4">
        <v>44287.647465277776</v>
      </c>
    </row>
    <row r="2780" hidden="1">
      <c r="A2780" s="1" t="s">
        <v>1055</v>
      </c>
      <c r="B2780" s="3" t="str">
        <f>HYPERLINK("https://hawk-eye.atlassian.net/browse/HWKREPORT-740?atlOrigin=eyJpIjoiYzgwYTQ0ZjEyNzQzNGJhN2JmNjEyZTM0NmRhZWZhNjIiLCJwIjoic2hlZXRzLWppcmEifQ","HWKREPORT-740")</f>
        <v>HWKREPORT-740</v>
      </c>
      <c r="C2780" s="1" t="s">
        <v>4086</v>
      </c>
      <c r="D2780" s="1" t="s">
        <v>23</v>
      </c>
      <c r="E2780" s="1" t="s">
        <v>35</v>
      </c>
      <c r="F2780" s="4">
        <v>44283.9803125</v>
      </c>
      <c r="G2780" s="3" t="str">
        <f t="shared" si="188"/>
        <v/>
      </c>
      <c r="H2780" s="1" t="s">
        <v>1058</v>
      </c>
      <c r="I2780" s="1" t="s">
        <v>1071</v>
      </c>
      <c r="J2780" s="1" t="s">
        <v>26</v>
      </c>
      <c r="K2780" s="1" t="s">
        <v>1072</v>
      </c>
      <c r="L2780" s="1" t="s">
        <v>26</v>
      </c>
      <c r="M2780" s="1" t="s">
        <v>27</v>
      </c>
      <c r="N2780" s="1" t="s">
        <v>26</v>
      </c>
      <c r="O2780" s="1" t="s">
        <v>26</v>
      </c>
      <c r="P2780" s="4">
        <v>44284.38261574074</v>
      </c>
    </row>
    <row r="2781" hidden="1">
      <c r="A2781" s="1" t="s">
        <v>1055</v>
      </c>
      <c r="B2781" s="3" t="str">
        <f>HYPERLINK("https://hawk-eye.atlassian.net/browse/HWKREPORT-741?atlOrigin=eyJpIjoiYzgwYTQ0ZjEyNzQzNGJhN2JmNjEyZTM0NmRhZWZhNjIiLCJwIjoic2hlZXRzLWppcmEifQ","HWKREPORT-741")</f>
        <v>HWKREPORT-741</v>
      </c>
      <c r="C2781" s="1" t="s">
        <v>4087</v>
      </c>
      <c r="D2781" s="1" t="s">
        <v>23</v>
      </c>
      <c r="E2781" s="1" t="s">
        <v>35</v>
      </c>
      <c r="F2781" s="4">
        <v>44283.98127314815</v>
      </c>
      <c r="G2781" s="3" t="str">
        <f t="shared" si="188"/>
        <v/>
      </c>
      <c r="H2781" s="1" t="s">
        <v>1058</v>
      </c>
      <c r="I2781" s="1" t="s">
        <v>1071</v>
      </c>
      <c r="J2781" s="1" t="s">
        <v>26</v>
      </c>
      <c r="K2781" s="1" t="s">
        <v>1072</v>
      </c>
      <c r="L2781" s="1" t="s">
        <v>26</v>
      </c>
      <c r="M2781" s="1" t="s">
        <v>27</v>
      </c>
      <c r="N2781" s="1" t="s">
        <v>26</v>
      </c>
      <c r="O2781" s="1" t="s">
        <v>26</v>
      </c>
      <c r="P2781" s="4">
        <v>45216.580671296295</v>
      </c>
    </row>
    <row r="2782" hidden="1">
      <c r="A2782" s="1" t="s">
        <v>1055</v>
      </c>
      <c r="B2782" s="3" t="str">
        <f>HYPERLINK("https://hawk-eye.atlassian.net/browse/HWKREPORT-742?atlOrigin=eyJpIjoiYzgwYTQ0ZjEyNzQzNGJhN2JmNjEyZTM0NmRhZWZhNjIiLCJwIjoic2hlZXRzLWppcmEifQ","HWKREPORT-742")</f>
        <v>HWKREPORT-742</v>
      </c>
      <c r="C2782" s="1" t="s">
        <v>4088</v>
      </c>
      <c r="D2782" s="1" t="s">
        <v>23</v>
      </c>
      <c r="E2782" s="1" t="s">
        <v>35</v>
      </c>
      <c r="F2782" s="4">
        <v>44284.09361111111</v>
      </c>
      <c r="G2782" s="3" t="str">
        <f>HYPERLINK("https://hawk-eye.atlassian.net/browse/RTT-3912?atlOrigin=eyJpIjoiYzgwYTQ0ZjEyNzQzNGJhN2JmNjEyZTM0NmRhZWZhNjIiLCJwIjoic2hlZXRzLWppcmEifQ","RTT-3912")</f>
        <v>RTT-3912</v>
      </c>
      <c r="H2782" s="1" t="s">
        <v>1058</v>
      </c>
      <c r="I2782" s="1" t="s">
        <v>1071</v>
      </c>
      <c r="J2782" s="1" t="s">
        <v>26</v>
      </c>
      <c r="K2782" s="1" t="s">
        <v>1072</v>
      </c>
      <c r="L2782" s="1" t="s">
        <v>26</v>
      </c>
      <c r="M2782" s="1" t="s">
        <v>27</v>
      </c>
      <c r="N2782" s="1" t="s">
        <v>26</v>
      </c>
      <c r="O2782" s="1" t="s">
        <v>26</v>
      </c>
      <c r="P2782" s="4">
        <v>44600.87505787037</v>
      </c>
    </row>
    <row r="2783" hidden="1">
      <c r="A2783" s="1" t="s">
        <v>21</v>
      </c>
      <c r="B2783" s="3" t="str">
        <f>HYPERLINK("https://hawk-eye.atlassian.net/browse/HWKREPORT-743?atlOrigin=eyJpIjoiYzgwYTQ0ZjEyNzQzNGJhN2JmNjEyZTM0NmRhZWZhNjIiLCJwIjoic2hlZXRzLWppcmEifQ","HWKREPORT-743")</f>
        <v>HWKREPORT-743</v>
      </c>
      <c r="C2783" s="1" t="s">
        <v>4089</v>
      </c>
      <c r="D2783" s="1" t="s">
        <v>34</v>
      </c>
      <c r="E2783" s="1" t="s">
        <v>35</v>
      </c>
      <c r="F2783" s="4">
        <v>44284.69898148148</v>
      </c>
      <c r="G2783" s="3" t="str">
        <f>HYPERLINK("https://hawk-eye.atlassian.net/browse/RTT-3791?atlOrigin=eyJpIjoiYzgwYTQ0ZjEyNzQzNGJhN2JmNjEyZTM0NmRhZWZhNjIiLCJwIjoic2hlZXRzLWppcmEifQ","RTT-3791")</f>
        <v>RTT-3791</v>
      </c>
      <c r="H2783" s="1" t="s">
        <v>1058</v>
      </c>
      <c r="I2783" s="1" t="s">
        <v>1126</v>
      </c>
      <c r="J2783" s="1" t="s">
        <v>26</v>
      </c>
      <c r="K2783" s="1" t="s">
        <v>1312</v>
      </c>
      <c r="L2783" s="1" t="s">
        <v>26</v>
      </c>
      <c r="M2783" s="1" t="s">
        <v>27</v>
      </c>
      <c r="N2783" s="1" t="s">
        <v>26</v>
      </c>
      <c r="O2783" s="1" t="s">
        <v>26</v>
      </c>
      <c r="P2783" s="4">
        <v>44600.87472222222</v>
      </c>
    </row>
    <row r="2784" hidden="1">
      <c r="A2784" s="1" t="s">
        <v>21</v>
      </c>
      <c r="B2784" s="3" t="str">
        <f>HYPERLINK("https://hawk-eye.atlassian.net/browse/HWKREPORT-744?atlOrigin=eyJpIjoiYzgwYTQ0ZjEyNzQzNGJhN2JmNjEyZTM0NmRhZWZhNjIiLCJwIjoic2hlZXRzLWppcmEifQ","HWKREPORT-744")</f>
        <v>HWKREPORT-744</v>
      </c>
      <c r="C2784" s="1" t="s">
        <v>4090</v>
      </c>
      <c r="D2784" s="1" t="s">
        <v>83</v>
      </c>
      <c r="E2784" s="1" t="s">
        <v>35</v>
      </c>
      <c r="F2784" s="4">
        <v>44284.69924768519</v>
      </c>
      <c r="G2784" s="3" t="str">
        <f>HYPERLINK("https://hawk-eye.atlassian.net/browse/RTT-3790?atlOrigin=eyJpIjoiYzgwYTQ0ZjEyNzQzNGJhN2JmNjEyZTM0NmRhZWZhNjIiLCJwIjoic2hlZXRzLWppcmEifQ","RTT-3790")</f>
        <v>RTT-3790</v>
      </c>
      <c r="H2784" s="1" t="s">
        <v>1058</v>
      </c>
      <c r="I2784" s="1" t="s">
        <v>1085</v>
      </c>
      <c r="J2784" s="1" t="s">
        <v>26</v>
      </c>
      <c r="K2784" s="1" t="s">
        <v>1072</v>
      </c>
      <c r="L2784" s="1" t="s">
        <v>26</v>
      </c>
      <c r="M2784" s="1" t="s">
        <v>27</v>
      </c>
      <c r="N2784" s="1" t="s">
        <v>26</v>
      </c>
      <c r="O2784" s="1" t="s">
        <v>26</v>
      </c>
      <c r="P2784" s="4">
        <v>44600.8747337963</v>
      </c>
    </row>
    <row r="2785" hidden="1">
      <c r="A2785" s="1" t="s">
        <v>1055</v>
      </c>
      <c r="B2785" s="3" t="str">
        <f>HYPERLINK("https://hawk-eye.atlassian.net/browse/HWKREPORT-745?atlOrigin=eyJpIjoiYzgwYTQ0ZjEyNzQzNGJhN2JmNjEyZTM0NmRhZWZhNjIiLCJwIjoic2hlZXRzLWppcmEifQ","HWKREPORT-745")</f>
        <v>HWKREPORT-745</v>
      </c>
      <c r="C2785" s="1" t="s">
        <v>4091</v>
      </c>
      <c r="D2785" s="1" t="s">
        <v>23</v>
      </c>
      <c r="E2785" s="1" t="s">
        <v>35</v>
      </c>
      <c r="F2785" s="4">
        <v>44285.65204861111</v>
      </c>
      <c r="G2785" s="3" t="str">
        <f t="shared" ref="G2785:G2786" si="189">HYPERLINK("https://hawk-eye.atlassian.net/browse/?atlOrigin=eyJpIjoiYzgwYTQ0ZjEyNzQzNGJhN2JmNjEyZTM0NmRhZWZhNjIiLCJwIjoic2hlZXRzLWppcmEifQ","")</f>
        <v/>
      </c>
      <c r="H2785" s="1" t="s">
        <v>1058</v>
      </c>
      <c r="I2785" s="1" t="s">
        <v>1082</v>
      </c>
      <c r="J2785" s="1" t="s">
        <v>26</v>
      </c>
      <c r="K2785" s="1" t="s">
        <v>1083</v>
      </c>
      <c r="L2785" s="1" t="s">
        <v>26</v>
      </c>
      <c r="M2785" s="1" t="s">
        <v>27</v>
      </c>
      <c r="N2785" s="1" t="s">
        <v>26</v>
      </c>
      <c r="O2785" s="1" t="s">
        <v>26</v>
      </c>
      <c r="P2785" s="4">
        <v>45058.464780092596</v>
      </c>
    </row>
    <row r="2786" hidden="1">
      <c r="A2786" s="1" t="s">
        <v>21</v>
      </c>
      <c r="B2786" s="3" t="str">
        <f>HYPERLINK("https://hawk-eye.atlassian.net/browse/HWKREPORT-746?atlOrigin=eyJpIjoiYzgwYTQ0ZjEyNzQzNGJhN2JmNjEyZTM0NmRhZWZhNjIiLCJwIjoic2hlZXRzLWppcmEifQ","HWKREPORT-746")</f>
        <v>HWKREPORT-746</v>
      </c>
      <c r="C2786" s="1" t="s">
        <v>4092</v>
      </c>
      <c r="D2786" s="1" t="s">
        <v>40</v>
      </c>
      <c r="E2786" s="1" t="s">
        <v>35</v>
      </c>
      <c r="F2786" s="4">
        <v>44286.71355324074</v>
      </c>
      <c r="G2786" s="3" t="str">
        <f t="shared" si="189"/>
        <v/>
      </c>
      <c r="H2786" s="1" t="s">
        <v>1058</v>
      </c>
      <c r="I2786" s="1" t="s">
        <v>1126</v>
      </c>
      <c r="J2786" s="1" t="s">
        <v>26</v>
      </c>
      <c r="K2786" s="1" t="s">
        <v>1105</v>
      </c>
      <c r="L2786" s="1" t="s">
        <v>26</v>
      </c>
      <c r="M2786" s="1" t="s">
        <v>27</v>
      </c>
      <c r="N2786" s="1" t="s">
        <v>26</v>
      </c>
      <c r="O2786" s="1" t="s">
        <v>26</v>
      </c>
      <c r="P2786" s="4">
        <v>44600.874710648146</v>
      </c>
    </row>
    <row r="2787" hidden="1">
      <c r="A2787" s="1" t="s">
        <v>21</v>
      </c>
      <c r="B2787" s="3" t="str">
        <f>HYPERLINK("https://hawk-eye.atlassian.net/browse/HWKREPORT-747?atlOrigin=eyJpIjoiYzgwYTQ0ZjEyNzQzNGJhN2JmNjEyZTM0NmRhZWZhNjIiLCJwIjoic2hlZXRzLWppcmEifQ","HWKREPORT-747")</f>
        <v>HWKREPORT-747</v>
      </c>
      <c r="C2787" s="1" t="s">
        <v>4093</v>
      </c>
      <c r="D2787" s="1" t="s">
        <v>23</v>
      </c>
      <c r="E2787" s="1" t="s">
        <v>35</v>
      </c>
      <c r="F2787" s="4">
        <v>44286.75299768519</v>
      </c>
      <c r="G2787" s="3" t="str">
        <f>HYPERLINK("https://hawk-eye.atlassian.net/browse/RTT-3805?atlOrigin=eyJpIjoiYzgwYTQ0ZjEyNzQzNGJhN2JmNjEyZTM0NmRhZWZhNjIiLCJwIjoic2hlZXRzLWppcmEifQ","RTT-3805")</f>
        <v>RTT-3805</v>
      </c>
      <c r="H2787" s="1" t="s">
        <v>1058</v>
      </c>
      <c r="I2787" s="1" t="s">
        <v>1071</v>
      </c>
      <c r="J2787" s="1" t="s">
        <v>26</v>
      </c>
      <c r="K2787" s="1" t="s">
        <v>1072</v>
      </c>
      <c r="L2787" s="1" t="s">
        <v>26</v>
      </c>
      <c r="M2787" s="1" t="s">
        <v>27</v>
      </c>
      <c r="N2787" s="1" t="s">
        <v>26</v>
      </c>
      <c r="O2787" s="1" t="s">
        <v>26</v>
      </c>
      <c r="P2787" s="4">
        <v>44302.40456018518</v>
      </c>
    </row>
    <row r="2788" hidden="1">
      <c r="A2788" s="1" t="s">
        <v>1055</v>
      </c>
      <c r="B2788" s="3" t="str">
        <f>HYPERLINK("https://hawk-eye.atlassian.net/browse/HWKREPORT-748?atlOrigin=eyJpIjoiYzgwYTQ0ZjEyNzQzNGJhN2JmNjEyZTM0NmRhZWZhNjIiLCJwIjoic2hlZXRzLWppcmEifQ","HWKREPORT-748")</f>
        <v>HWKREPORT-748</v>
      </c>
      <c r="C2788" s="1" t="s">
        <v>4094</v>
      </c>
      <c r="D2788" s="1" t="s">
        <v>23</v>
      </c>
      <c r="E2788" s="1" t="s">
        <v>35</v>
      </c>
      <c r="F2788" s="4">
        <v>44286.8208912037</v>
      </c>
      <c r="G2788" s="3" t="str">
        <f>HYPERLINK("https://hawk-eye.atlassian.net/browse/RTT-3849?atlOrigin=eyJpIjoiYzgwYTQ0ZjEyNzQzNGJhN2JmNjEyZTM0NmRhZWZhNjIiLCJwIjoic2hlZXRzLWppcmEifQ","RTT-3849")</f>
        <v>RTT-3849</v>
      </c>
      <c r="H2788" s="1" t="s">
        <v>1058</v>
      </c>
      <c r="I2788" s="1" t="s">
        <v>1071</v>
      </c>
      <c r="J2788" s="1" t="s">
        <v>26</v>
      </c>
      <c r="K2788" s="1" t="s">
        <v>1072</v>
      </c>
      <c r="L2788" s="1" t="s">
        <v>26</v>
      </c>
      <c r="M2788" s="1" t="s">
        <v>27</v>
      </c>
      <c r="N2788" s="1" t="s">
        <v>26</v>
      </c>
      <c r="O2788" s="1" t="s">
        <v>26</v>
      </c>
      <c r="P2788" s="4">
        <v>44327.609456018516</v>
      </c>
    </row>
    <row r="2789" hidden="1">
      <c r="A2789" s="1" t="s">
        <v>21</v>
      </c>
      <c r="B2789" s="3" t="str">
        <f>HYPERLINK("https://hawk-eye.atlassian.net/browse/HWKREPORT-749?atlOrigin=eyJpIjoiYzgwYTQ0ZjEyNzQzNGJhN2JmNjEyZTM0NmRhZWZhNjIiLCJwIjoic2hlZXRzLWppcmEifQ","HWKREPORT-749")</f>
        <v>HWKREPORT-749</v>
      </c>
      <c r="C2789" s="1" t="s">
        <v>4095</v>
      </c>
      <c r="D2789" s="1" t="s">
        <v>23</v>
      </c>
      <c r="E2789" s="1" t="s">
        <v>35</v>
      </c>
      <c r="F2789" s="4">
        <v>44286.82412037037</v>
      </c>
      <c r="G2789" s="3" t="str">
        <f>HYPERLINK("https://hawk-eye.atlassian.net/browse/RTT-3911?atlOrigin=eyJpIjoiYzgwYTQ0ZjEyNzQzNGJhN2JmNjEyZTM0NmRhZWZhNjIiLCJwIjoic2hlZXRzLWppcmEifQ","RTT-3911")</f>
        <v>RTT-3911</v>
      </c>
      <c r="H2789" s="1" t="s">
        <v>1058</v>
      </c>
      <c r="I2789" s="1" t="s">
        <v>1071</v>
      </c>
      <c r="J2789" s="1" t="s">
        <v>26</v>
      </c>
      <c r="K2789" s="1" t="s">
        <v>1072</v>
      </c>
      <c r="L2789" s="1" t="s">
        <v>26</v>
      </c>
      <c r="M2789" s="1" t="s">
        <v>27</v>
      </c>
      <c r="N2789" s="1" t="s">
        <v>26</v>
      </c>
      <c r="O2789" s="1" t="s">
        <v>26</v>
      </c>
      <c r="P2789" s="4">
        <v>44600.87486111111</v>
      </c>
    </row>
    <row r="2790" hidden="1">
      <c r="A2790" s="1" t="s">
        <v>1055</v>
      </c>
      <c r="B2790" s="3" t="str">
        <f>HYPERLINK("https://hawk-eye.atlassian.net/browse/HWKREPORT-750?atlOrigin=eyJpIjoiYzgwYTQ0ZjEyNzQzNGJhN2JmNjEyZTM0NmRhZWZhNjIiLCJwIjoic2hlZXRzLWppcmEifQ","HWKREPORT-750")</f>
        <v>HWKREPORT-750</v>
      </c>
      <c r="C2790" s="1" t="s">
        <v>4096</v>
      </c>
      <c r="D2790" s="1" t="s">
        <v>23</v>
      </c>
      <c r="E2790" s="1" t="s">
        <v>35</v>
      </c>
      <c r="F2790" s="4">
        <v>44286.83322916667</v>
      </c>
      <c r="G2790" s="3" t="str">
        <f t="shared" ref="G2790:G2793" si="190">HYPERLINK("https://hawk-eye.atlassian.net/browse/?atlOrigin=eyJpIjoiYzgwYTQ0ZjEyNzQzNGJhN2JmNjEyZTM0NmRhZWZhNjIiLCJwIjoic2hlZXRzLWppcmEifQ","")</f>
        <v/>
      </c>
      <c r="H2790" s="1" t="s">
        <v>1058</v>
      </c>
      <c r="I2790" s="1" t="s">
        <v>1071</v>
      </c>
      <c r="J2790" s="1" t="s">
        <v>26</v>
      </c>
      <c r="K2790" s="1" t="s">
        <v>1072</v>
      </c>
      <c r="L2790" s="1" t="s">
        <v>26</v>
      </c>
      <c r="M2790" s="1" t="s">
        <v>27</v>
      </c>
      <c r="N2790" s="1" t="s">
        <v>26</v>
      </c>
      <c r="O2790" s="1" t="s">
        <v>26</v>
      </c>
      <c r="P2790" s="4">
        <v>45216.373564814814</v>
      </c>
    </row>
    <row r="2791" hidden="1">
      <c r="A2791" s="1" t="s">
        <v>1055</v>
      </c>
      <c r="B2791" s="3" t="str">
        <f>HYPERLINK("https://hawk-eye.atlassian.net/browse/HWKREPORT-751?atlOrigin=eyJpIjoiYzgwYTQ0ZjEyNzQzNGJhN2JmNjEyZTM0NmRhZWZhNjIiLCJwIjoic2hlZXRzLWppcmEifQ","HWKREPORT-751")</f>
        <v>HWKREPORT-751</v>
      </c>
      <c r="C2791" s="1" t="s">
        <v>4097</v>
      </c>
      <c r="D2791" s="1" t="s">
        <v>23</v>
      </c>
      <c r="E2791" s="1" t="s">
        <v>35</v>
      </c>
      <c r="F2791" s="4">
        <v>44286.84405092592</v>
      </c>
      <c r="G2791" s="3" t="str">
        <f t="shared" si="190"/>
        <v/>
      </c>
      <c r="H2791" s="1" t="s">
        <v>1058</v>
      </c>
      <c r="I2791" s="1" t="s">
        <v>1071</v>
      </c>
      <c r="J2791" s="1" t="s">
        <v>26</v>
      </c>
      <c r="K2791" s="1" t="s">
        <v>1072</v>
      </c>
      <c r="L2791" s="1" t="s">
        <v>26</v>
      </c>
      <c r="M2791" s="1" t="s">
        <v>27</v>
      </c>
      <c r="N2791" s="1" t="s">
        <v>26</v>
      </c>
      <c r="O2791" s="1" t="s">
        <v>26</v>
      </c>
      <c r="P2791" s="4">
        <v>45216.37262731481</v>
      </c>
    </row>
    <row r="2792" hidden="1">
      <c r="A2792" s="1" t="s">
        <v>1055</v>
      </c>
      <c r="B2792" s="3" t="str">
        <f>HYPERLINK("https://hawk-eye.atlassian.net/browse/HWKREPORT-752?atlOrigin=eyJpIjoiYzgwYTQ0ZjEyNzQzNGJhN2JmNjEyZTM0NmRhZWZhNjIiLCJwIjoic2hlZXRzLWppcmEifQ","HWKREPORT-752")</f>
        <v>HWKREPORT-752</v>
      </c>
      <c r="C2792" s="1" t="s">
        <v>4098</v>
      </c>
      <c r="D2792" s="1" t="s">
        <v>23</v>
      </c>
      <c r="E2792" s="1" t="s">
        <v>35</v>
      </c>
      <c r="F2792" s="4">
        <v>44286.846354166664</v>
      </c>
      <c r="G2792" s="3" t="str">
        <f t="shared" si="190"/>
        <v/>
      </c>
      <c r="H2792" s="1" t="s">
        <v>1058</v>
      </c>
      <c r="I2792" s="1" t="s">
        <v>1071</v>
      </c>
      <c r="J2792" s="1" t="s">
        <v>26</v>
      </c>
      <c r="K2792" s="1" t="s">
        <v>4099</v>
      </c>
      <c r="L2792" s="1" t="s">
        <v>26</v>
      </c>
      <c r="M2792" s="1" t="s">
        <v>27</v>
      </c>
      <c r="N2792" s="1" t="s">
        <v>26</v>
      </c>
      <c r="O2792" s="1" t="s">
        <v>26</v>
      </c>
      <c r="P2792" s="4">
        <v>45216.37378472222</v>
      </c>
    </row>
    <row r="2793" hidden="1">
      <c r="A2793" s="1" t="s">
        <v>1055</v>
      </c>
      <c r="B2793" s="3" t="str">
        <f>HYPERLINK("https://hawk-eye.atlassian.net/browse/HWKREPORT-753?atlOrigin=eyJpIjoiYzgwYTQ0ZjEyNzQzNGJhN2JmNjEyZTM0NmRhZWZhNjIiLCJwIjoic2hlZXRzLWppcmEifQ","HWKREPORT-753")</f>
        <v>HWKREPORT-753</v>
      </c>
      <c r="C2793" s="1" t="s">
        <v>4100</v>
      </c>
      <c r="D2793" s="1" t="s">
        <v>23</v>
      </c>
      <c r="E2793" s="1" t="s">
        <v>35</v>
      </c>
      <c r="F2793" s="4">
        <v>44287.42364583333</v>
      </c>
      <c r="G2793" s="3" t="str">
        <f t="shared" si="190"/>
        <v/>
      </c>
      <c r="H2793" s="1" t="s">
        <v>1058</v>
      </c>
      <c r="I2793" s="1" t="s">
        <v>28</v>
      </c>
      <c r="J2793" s="1" t="s">
        <v>26</v>
      </c>
      <c r="K2793" s="1" t="s">
        <v>1116</v>
      </c>
      <c r="L2793" s="1" t="s">
        <v>26</v>
      </c>
      <c r="M2793" s="1" t="s">
        <v>27</v>
      </c>
      <c r="N2793" s="1" t="s">
        <v>26</v>
      </c>
      <c r="O2793" s="1" t="s">
        <v>26</v>
      </c>
      <c r="P2793" s="4">
        <v>44295.69978009259</v>
      </c>
    </row>
    <row r="2794" hidden="1">
      <c r="A2794" s="1" t="s">
        <v>1055</v>
      </c>
      <c r="B2794" s="3" t="str">
        <f>HYPERLINK("https://hawk-eye.atlassian.net/browse/HWKREPORT-754?atlOrigin=eyJpIjoiYzgwYTQ0ZjEyNzQzNGJhN2JmNjEyZTM0NmRhZWZhNjIiLCJwIjoic2hlZXRzLWppcmEifQ","HWKREPORT-754")</f>
        <v>HWKREPORT-754</v>
      </c>
      <c r="C2794" s="1" t="s">
        <v>4101</v>
      </c>
      <c r="D2794" s="1" t="s">
        <v>23</v>
      </c>
      <c r="E2794" s="1" t="s">
        <v>35</v>
      </c>
      <c r="F2794" s="4">
        <v>44287.42563657407</v>
      </c>
      <c r="G2794" s="3" t="str">
        <f>HYPERLINK("https://hawk-eye.atlassian.net/browse/VIEWER-1455?atlOrigin=eyJpIjoiYzgwYTQ0ZjEyNzQzNGJhN2JmNjEyZTM0NmRhZWZhNjIiLCJwIjoic2hlZXRzLWppcmEifQ","VIEWER-1455")</f>
        <v>VIEWER-1455</v>
      </c>
      <c r="H2794" s="1" t="s">
        <v>1058</v>
      </c>
      <c r="I2794" s="1" t="s">
        <v>3765</v>
      </c>
      <c r="J2794" s="1" t="s">
        <v>26</v>
      </c>
      <c r="K2794" s="1" t="s">
        <v>1116</v>
      </c>
      <c r="L2794" s="1" t="s">
        <v>26</v>
      </c>
      <c r="M2794" s="1" t="s">
        <v>27</v>
      </c>
      <c r="N2794" s="1" t="s">
        <v>26</v>
      </c>
      <c r="O2794" s="1" t="s">
        <v>26</v>
      </c>
      <c r="P2794" s="4">
        <v>44489.48119212963</v>
      </c>
    </row>
    <row r="2795" hidden="1">
      <c r="A2795" s="1" t="s">
        <v>1055</v>
      </c>
      <c r="B2795" s="3" t="str">
        <f>HYPERLINK("https://hawk-eye.atlassian.net/browse/HWKREPORT-755?atlOrigin=eyJpIjoiYzgwYTQ0ZjEyNzQzNGJhN2JmNjEyZTM0NmRhZWZhNjIiLCJwIjoic2hlZXRzLWppcmEifQ","HWKREPORT-755")</f>
        <v>HWKREPORT-755</v>
      </c>
      <c r="C2795" s="1" t="s">
        <v>4102</v>
      </c>
      <c r="D2795" s="1" t="s">
        <v>23</v>
      </c>
      <c r="E2795" s="1" t="s">
        <v>35</v>
      </c>
      <c r="F2795" s="4">
        <v>44292.61456018518</v>
      </c>
      <c r="G2795" s="3" t="str">
        <f>HYPERLINK("https://hawk-eye.atlassian.net/browse/RTT-3829?atlOrigin=eyJpIjoiYzgwYTQ0ZjEyNzQzNGJhN2JmNjEyZTM0NmRhZWZhNjIiLCJwIjoic2hlZXRzLWppcmEifQ","RTT-3829")</f>
        <v>RTT-3829</v>
      </c>
      <c r="H2795" s="1" t="s">
        <v>1058</v>
      </c>
      <c r="I2795" s="1" t="s">
        <v>1085</v>
      </c>
      <c r="J2795" s="1" t="s">
        <v>26</v>
      </c>
      <c r="K2795" s="1" t="s">
        <v>1804</v>
      </c>
      <c r="L2795" s="1" t="s">
        <v>26</v>
      </c>
      <c r="M2795" s="1" t="s">
        <v>27</v>
      </c>
      <c r="N2795" s="1" t="s">
        <v>26</v>
      </c>
      <c r="O2795" s="1" t="s">
        <v>26</v>
      </c>
      <c r="P2795" s="4">
        <v>44600.87469907408</v>
      </c>
    </row>
    <row r="2796" hidden="1">
      <c r="A2796" s="1" t="s">
        <v>1055</v>
      </c>
      <c r="B2796" s="3" t="str">
        <f>HYPERLINK("https://hawk-eye.atlassian.net/browse/HWKREPORT-756?atlOrigin=eyJpIjoiYzgwYTQ0ZjEyNzQzNGJhN2JmNjEyZTM0NmRhZWZhNjIiLCJwIjoic2hlZXRzLWppcmEifQ","HWKREPORT-756")</f>
        <v>HWKREPORT-756</v>
      </c>
      <c r="C2796" s="1" t="s">
        <v>4103</v>
      </c>
      <c r="D2796" s="1" t="s">
        <v>23</v>
      </c>
      <c r="E2796" s="1" t="s">
        <v>35</v>
      </c>
      <c r="F2796" s="4">
        <v>44292.617731481485</v>
      </c>
      <c r="G2796" s="3" t="str">
        <f>HYPERLINK("https://hawk-eye.atlassian.net/browse/RTT-3831?atlOrigin=eyJpIjoiYzgwYTQ0ZjEyNzQzNGJhN2JmNjEyZTM0NmRhZWZhNjIiLCJwIjoic2hlZXRzLWppcmEifQ","RTT-3831")</f>
        <v>RTT-3831</v>
      </c>
      <c r="H2796" s="1" t="s">
        <v>1058</v>
      </c>
      <c r="I2796" s="1" t="s">
        <v>1085</v>
      </c>
      <c r="J2796" s="1" t="s">
        <v>26</v>
      </c>
      <c r="K2796" s="1" t="s">
        <v>1804</v>
      </c>
      <c r="L2796" s="1" t="s">
        <v>26</v>
      </c>
      <c r="M2796" s="1" t="s">
        <v>27</v>
      </c>
      <c r="N2796" s="1" t="s">
        <v>26</v>
      </c>
      <c r="O2796" s="1" t="s">
        <v>26</v>
      </c>
      <c r="P2796" s="4">
        <v>45068.71890046296</v>
      </c>
    </row>
    <row r="2797" hidden="1">
      <c r="A2797" s="1" t="s">
        <v>1055</v>
      </c>
      <c r="B2797" s="3" t="str">
        <f>HYPERLINK("https://hawk-eye.atlassian.net/browse/HWKREPORT-757?atlOrigin=eyJpIjoiYzgwYTQ0ZjEyNzQzNGJhN2JmNjEyZTM0NmRhZWZhNjIiLCJwIjoic2hlZXRzLWppcmEifQ","HWKREPORT-757")</f>
        <v>HWKREPORT-757</v>
      </c>
      <c r="C2797" s="1" t="s">
        <v>4104</v>
      </c>
      <c r="D2797" s="1" t="s">
        <v>23</v>
      </c>
      <c r="E2797" s="1" t="s">
        <v>35</v>
      </c>
      <c r="F2797" s="4">
        <v>44292.62005787037</v>
      </c>
      <c r="G2797" s="3" t="str">
        <f>HYPERLINK("https://hawk-eye.atlassian.net/browse/RTT-3998?atlOrigin=eyJpIjoiYzgwYTQ0ZjEyNzQzNGJhN2JmNjEyZTM0NmRhZWZhNjIiLCJwIjoic2hlZXRzLWppcmEifQ","RTT-3998")</f>
        <v>RTT-3998</v>
      </c>
      <c r="H2797" s="1" t="s">
        <v>1058</v>
      </c>
      <c r="I2797" s="1" t="s">
        <v>1085</v>
      </c>
      <c r="J2797" s="1" t="s">
        <v>26</v>
      </c>
      <c r="K2797" s="1" t="s">
        <v>1116</v>
      </c>
      <c r="L2797" s="1" t="s">
        <v>26</v>
      </c>
      <c r="M2797" s="1" t="s">
        <v>27</v>
      </c>
      <c r="N2797" s="1" t="s">
        <v>26</v>
      </c>
      <c r="O2797" s="1" t="s">
        <v>26</v>
      </c>
      <c r="P2797" s="4">
        <v>44657.65756944445</v>
      </c>
    </row>
    <row r="2798" hidden="1">
      <c r="A2798" s="1" t="s">
        <v>1055</v>
      </c>
      <c r="B2798" s="3" t="str">
        <f>HYPERLINK("https://hawk-eye.atlassian.net/browse/HWKREPORT-758?atlOrigin=eyJpIjoiYzgwYTQ0ZjEyNzQzNGJhN2JmNjEyZTM0NmRhZWZhNjIiLCJwIjoic2hlZXRzLWppcmEifQ","HWKREPORT-758")</f>
        <v>HWKREPORT-758</v>
      </c>
      <c r="C2798" s="1" t="s">
        <v>4105</v>
      </c>
      <c r="D2798" s="1" t="s">
        <v>23</v>
      </c>
      <c r="E2798" s="1" t="s">
        <v>35</v>
      </c>
      <c r="F2798" s="4">
        <v>44292.62513888889</v>
      </c>
      <c r="G2798" s="3" t="str">
        <f>HYPERLINK("https://hawk-eye.atlassian.net/issues/?atlOrigin=eyJpIjoiYzgwYTQ0ZjEyNzQzNGJhN2JmNjEyZTM0NmRhZWZhNjIiLCJwIjoic2hlZXRzLWppcmEifQ&amp;jql=key+in+%28SO-156%2CSO-742%29","SO-156;SO-742")</f>
        <v>SO-156;SO-742</v>
      </c>
      <c r="H2798" s="1" t="s">
        <v>1058</v>
      </c>
      <c r="I2798" s="1" t="s">
        <v>1085</v>
      </c>
      <c r="J2798" s="1" t="s">
        <v>26</v>
      </c>
      <c r="K2798" s="1" t="s">
        <v>1116</v>
      </c>
      <c r="L2798" s="1" t="s">
        <v>26</v>
      </c>
      <c r="M2798" s="1" t="s">
        <v>27</v>
      </c>
      <c r="N2798" s="1" t="s">
        <v>26</v>
      </c>
      <c r="O2798" s="1" t="s">
        <v>26</v>
      </c>
      <c r="P2798" s="4">
        <v>45015.64574074074</v>
      </c>
    </row>
    <row r="2799" hidden="1">
      <c r="A2799" s="1" t="s">
        <v>1055</v>
      </c>
      <c r="B2799" s="3" t="str">
        <f>HYPERLINK("https://hawk-eye.atlassian.net/browse/HWKREPORT-759?atlOrigin=eyJpIjoiYzgwYTQ0ZjEyNzQzNGJhN2JmNjEyZTM0NmRhZWZhNjIiLCJwIjoic2hlZXRzLWppcmEifQ","HWKREPORT-759")</f>
        <v>HWKREPORT-759</v>
      </c>
      <c r="C2799" s="1" t="s">
        <v>4106</v>
      </c>
      <c r="D2799" s="1" t="s">
        <v>23</v>
      </c>
      <c r="E2799" s="1" t="s">
        <v>1057</v>
      </c>
      <c r="F2799" s="4">
        <v>44292.714108796295</v>
      </c>
      <c r="G2799" s="3" t="str">
        <f>HYPERLINK("https://hawk-eye.atlassian.net/browse/?atlOrigin=eyJpIjoiYzgwYTQ0ZjEyNzQzNGJhN2JmNjEyZTM0NmRhZWZhNjIiLCJwIjoic2hlZXRzLWppcmEifQ","")</f>
        <v/>
      </c>
      <c r="H2799" s="1" t="s">
        <v>1058</v>
      </c>
      <c r="I2799" s="1" t="s">
        <v>1085</v>
      </c>
      <c r="J2799" s="1" t="s">
        <v>26</v>
      </c>
      <c r="K2799" s="1" t="s">
        <v>1072</v>
      </c>
      <c r="L2799" s="1" t="s">
        <v>26</v>
      </c>
      <c r="M2799" s="1" t="s">
        <v>27</v>
      </c>
      <c r="N2799" s="1" t="s">
        <v>26</v>
      </c>
      <c r="O2799" s="1" t="s">
        <v>26</v>
      </c>
      <c r="P2799" s="4">
        <v>44292.71412037037</v>
      </c>
    </row>
    <row r="2800" hidden="1">
      <c r="A2800" s="1" t="s">
        <v>21</v>
      </c>
      <c r="B2800" s="3" t="str">
        <f>HYPERLINK("https://hawk-eye.atlassian.net/browse/HWKREPORT-760?atlOrigin=eyJpIjoiYzgwYTQ0ZjEyNzQzNGJhN2JmNjEyZTM0NmRhZWZhNjIiLCJwIjoic2hlZXRzLWppcmEifQ","HWKREPORT-760")</f>
        <v>HWKREPORT-760</v>
      </c>
      <c r="C2800" s="1" t="s">
        <v>4107</v>
      </c>
      <c r="D2800" s="1" t="s">
        <v>83</v>
      </c>
      <c r="E2800" s="1" t="s">
        <v>35</v>
      </c>
      <c r="F2800" s="4">
        <v>44292.71740740741</v>
      </c>
      <c r="G2800" s="3" t="str">
        <f>HYPERLINK("https://hawk-eye.atlassian.net/browse/VIEWER-1514?atlOrigin=eyJpIjoiYzgwYTQ0ZjEyNzQzNGJhN2JmNjEyZTM0NmRhZWZhNjIiLCJwIjoic2hlZXRzLWppcmEifQ","VIEWER-1514")</f>
        <v>VIEWER-1514</v>
      </c>
      <c r="H2800" s="1" t="s">
        <v>1058</v>
      </c>
      <c r="I2800" s="1" t="s">
        <v>1085</v>
      </c>
      <c r="J2800" s="1" t="s">
        <v>26</v>
      </c>
      <c r="K2800" s="1" t="s">
        <v>1116</v>
      </c>
      <c r="L2800" s="1" t="s">
        <v>26</v>
      </c>
      <c r="M2800" s="1" t="s">
        <v>27</v>
      </c>
      <c r="N2800" s="1" t="s">
        <v>26</v>
      </c>
      <c r="O2800" s="1" t="s">
        <v>26</v>
      </c>
      <c r="P2800" s="4">
        <v>44608.5212962963</v>
      </c>
    </row>
    <row r="2801" hidden="1">
      <c r="A2801" s="1" t="s">
        <v>21</v>
      </c>
      <c r="B2801" s="3" t="str">
        <f>HYPERLINK("https://hawk-eye.atlassian.net/browse/HWKREPORT-761?atlOrigin=eyJpIjoiYzgwYTQ0ZjEyNzQzNGJhN2JmNjEyZTM0NmRhZWZhNjIiLCJwIjoic2hlZXRzLWppcmEifQ","HWKREPORT-761")</f>
        <v>HWKREPORT-761</v>
      </c>
      <c r="C2801" s="1" t="s">
        <v>4108</v>
      </c>
      <c r="D2801" s="1" t="s">
        <v>23</v>
      </c>
      <c r="E2801" s="1" t="s">
        <v>35</v>
      </c>
      <c r="F2801" s="4">
        <v>44292.75282407407</v>
      </c>
      <c r="G2801" s="3" t="str">
        <f>HYPERLINK("https://hawk-eye.atlassian.net/browse/?atlOrigin=eyJpIjoiYzgwYTQ0ZjEyNzQzNGJhN2JmNjEyZTM0NmRhZWZhNjIiLCJwIjoic2hlZXRzLWppcmEifQ","")</f>
        <v/>
      </c>
      <c r="H2801" s="1" t="s">
        <v>1058</v>
      </c>
      <c r="I2801" s="1" t="s">
        <v>1085</v>
      </c>
      <c r="J2801" s="1" t="s">
        <v>26</v>
      </c>
      <c r="K2801" s="1" t="s">
        <v>1116</v>
      </c>
      <c r="L2801" s="1" t="s">
        <v>26</v>
      </c>
      <c r="M2801" s="1" t="s">
        <v>27</v>
      </c>
      <c r="N2801" s="1" t="s">
        <v>26</v>
      </c>
      <c r="O2801" s="1" t="s">
        <v>26</v>
      </c>
      <c r="P2801" s="4">
        <v>44524.714375</v>
      </c>
    </row>
    <row r="2802" hidden="1">
      <c r="A2802" s="1" t="s">
        <v>1055</v>
      </c>
      <c r="B2802" s="3" t="str">
        <f>HYPERLINK("https://hawk-eye.atlassian.net/browse/HWKREPORT-562?atlOrigin=eyJpIjoiYzgwYTQ0ZjEyNzQzNGJhN2JmNjEyZTM0NmRhZWZhNjIiLCJwIjoic2hlZXRzLWppcmEifQ","HWKREPORT-562")</f>
        <v>HWKREPORT-562</v>
      </c>
      <c r="C2802" s="1" t="s">
        <v>4109</v>
      </c>
      <c r="D2802" s="1" t="s">
        <v>23</v>
      </c>
      <c r="E2802" s="1" t="s">
        <v>35</v>
      </c>
      <c r="F2802" s="4">
        <v>44124.72300925926</v>
      </c>
      <c r="G2802" s="3" t="str">
        <f>HYPERLINK("https://hawk-eye.atlassian.net/issues/?atlOrigin=eyJpIjoiYzgwYTQ0ZjEyNzQzNGJhN2JmNjEyZTM0NmRhZWZhNjIiLCJwIjoic2hlZXRzLWppcmEifQ&amp;jql=key+in+%28RTT-3009%2CAL-22%29","RTT-3009;AL-22")</f>
        <v>RTT-3009;AL-22</v>
      </c>
      <c r="H2802" s="1" t="s">
        <v>1058</v>
      </c>
      <c r="I2802" s="1" t="s">
        <v>1071</v>
      </c>
      <c r="J2802" s="1" t="s">
        <v>26</v>
      </c>
      <c r="K2802" s="1" t="s">
        <v>1072</v>
      </c>
      <c r="L2802" s="1" t="s">
        <v>26</v>
      </c>
      <c r="M2802" s="1" t="s">
        <v>27</v>
      </c>
      <c r="N2802" s="1" t="s">
        <v>26</v>
      </c>
      <c r="O2802" s="1" t="s">
        <v>26</v>
      </c>
      <c r="P2802" s="4">
        <v>44600.87503472222</v>
      </c>
    </row>
    <row r="2803" hidden="1">
      <c r="A2803" s="1" t="s">
        <v>21</v>
      </c>
      <c r="B2803" s="3" t="str">
        <f>HYPERLINK("https://hawk-eye.atlassian.net/browse/HWKREPORT-563?atlOrigin=eyJpIjoiYzgwYTQ0ZjEyNzQzNGJhN2JmNjEyZTM0NmRhZWZhNjIiLCJwIjoic2hlZXRzLWppcmEifQ","HWKREPORT-563")</f>
        <v>HWKREPORT-563</v>
      </c>
      <c r="C2803" s="1" t="s">
        <v>4110</v>
      </c>
      <c r="D2803" s="1" t="s">
        <v>23</v>
      </c>
      <c r="E2803" s="1" t="s">
        <v>35</v>
      </c>
      <c r="F2803" s="4">
        <v>44125.1565162037</v>
      </c>
      <c r="G2803" s="3" t="str">
        <f t="shared" ref="G2803:G2806" si="191">HYPERLINK("https://hawk-eye.atlassian.net/browse/?atlOrigin=eyJpIjoiYzgwYTQ0ZjEyNzQzNGJhN2JmNjEyZTM0NmRhZWZhNjIiLCJwIjoic2hlZXRzLWppcmEifQ","")</f>
        <v/>
      </c>
      <c r="H2803" s="1" t="s">
        <v>1058</v>
      </c>
      <c r="I2803" s="1" t="s">
        <v>1071</v>
      </c>
      <c r="J2803" s="1" t="s">
        <v>26</v>
      </c>
      <c r="K2803" s="1" t="s">
        <v>1312</v>
      </c>
      <c r="L2803" s="1" t="s">
        <v>26</v>
      </c>
      <c r="M2803" s="1" t="s">
        <v>27</v>
      </c>
      <c r="N2803" s="1" t="s">
        <v>26</v>
      </c>
      <c r="O2803" s="1" t="s">
        <v>26</v>
      </c>
      <c r="P2803" s="4">
        <v>44363.760671296295</v>
      </c>
    </row>
    <row r="2804" hidden="1">
      <c r="A2804" s="1" t="s">
        <v>21</v>
      </c>
      <c r="B2804" s="3" t="str">
        <f>HYPERLINK("https://hawk-eye.atlassian.net/browse/HWKREPORT-564?atlOrigin=eyJpIjoiYzgwYTQ0ZjEyNzQzNGJhN2JmNjEyZTM0NmRhZWZhNjIiLCJwIjoic2hlZXRzLWppcmEifQ","HWKREPORT-564")</f>
        <v>HWKREPORT-564</v>
      </c>
      <c r="C2804" s="1" t="s">
        <v>4111</v>
      </c>
      <c r="D2804" s="1" t="s">
        <v>40</v>
      </c>
      <c r="E2804" s="1" t="s">
        <v>35</v>
      </c>
      <c r="F2804" s="4">
        <v>44125.49254629629</v>
      </c>
      <c r="G2804" s="3" t="str">
        <f t="shared" si="191"/>
        <v/>
      </c>
      <c r="H2804" s="1" t="s">
        <v>1058</v>
      </c>
      <c r="I2804" s="1" t="s">
        <v>1126</v>
      </c>
      <c r="J2804" s="1" t="s">
        <v>26</v>
      </c>
      <c r="K2804" s="1" t="s">
        <v>1105</v>
      </c>
      <c r="L2804" s="1" t="s">
        <v>26</v>
      </c>
      <c r="M2804" s="1" t="s">
        <v>27</v>
      </c>
      <c r="N2804" s="1" t="s">
        <v>26</v>
      </c>
      <c r="O2804" s="1" t="s">
        <v>26</v>
      </c>
      <c r="P2804" s="4">
        <v>44600.87501157408</v>
      </c>
    </row>
    <row r="2805" hidden="1">
      <c r="A2805" s="1" t="s">
        <v>1055</v>
      </c>
      <c r="B2805" s="3" t="str">
        <f>HYPERLINK("https://hawk-eye.atlassian.net/browse/HWKREPORT-565?atlOrigin=eyJpIjoiYzgwYTQ0ZjEyNzQzNGJhN2JmNjEyZTM0NmRhZWZhNjIiLCJwIjoic2hlZXRzLWppcmEifQ","HWKREPORT-565")</f>
        <v>HWKREPORT-565</v>
      </c>
      <c r="C2805" s="1" t="s">
        <v>4112</v>
      </c>
      <c r="D2805" s="1" t="s">
        <v>23</v>
      </c>
      <c r="E2805" s="1" t="s">
        <v>35</v>
      </c>
      <c r="F2805" s="4">
        <v>44127.7078125</v>
      </c>
      <c r="G2805" s="3" t="str">
        <f t="shared" si="191"/>
        <v/>
      </c>
      <c r="H2805" s="1" t="s">
        <v>1058</v>
      </c>
      <c r="I2805" s="1" t="s">
        <v>1126</v>
      </c>
      <c r="J2805" s="1" t="s">
        <v>26</v>
      </c>
      <c r="K2805" s="1" t="s">
        <v>1114</v>
      </c>
      <c r="L2805" s="1" t="s">
        <v>26</v>
      </c>
      <c r="M2805" s="1" t="s">
        <v>27</v>
      </c>
      <c r="N2805" s="1" t="s">
        <v>26</v>
      </c>
      <c r="O2805" s="1" t="s">
        <v>26</v>
      </c>
      <c r="P2805" s="4">
        <v>44600.874606481484</v>
      </c>
    </row>
    <row r="2806" hidden="1">
      <c r="A2806" s="1" t="s">
        <v>21</v>
      </c>
      <c r="B2806" s="3" t="str">
        <f>HYPERLINK("https://hawk-eye.atlassian.net/browse/HWKREPORT-566?atlOrigin=eyJpIjoiYzgwYTQ0ZjEyNzQzNGJhN2JmNjEyZTM0NmRhZWZhNjIiLCJwIjoic2hlZXRzLWppcmEifQ","HWKREPORT-566")</f>
        <v>HWKREPORT-566</v>
      </c>
      <c r="C2806" s="1" t="s">
        <v>4113</v>
      </c>
      <c r="D2806" s="1" t="s">
        <v>34</v>
      </c>
      <c r="E2806" s="1" t="s">
        <v>35</v>
      </c>
      <c r="F2806" s="4">
        <v>44127.774097222224</v>
      </c>
      <c r="G2806" s="3" t="str">
        <f t="shared" si="191"/>
        <v/>
      </c>
      <c r="H2806" s="1" t="s">
        <v>1058</v>
      </c>
      <c r="I2806" s="1" t="s">
        <v>1126</v>
      </c>
      <c r="J2806" s="1" t="s">
        <v>26</v>
      </c>
      <c r="K2806" s="1" t="s">
        <v>1148</v>
      </c>
      <c r="L2806" s="1" t="s">
        <v>26</v>
      </c>
      <c r="M2806" s="1" t="s">
        <v>27</v>
      </c>
      <c r="N2806" s="1" t="s">
        <v>26</v>
      </c>
      <c r="O2806" s="1" t="s">
        <v>26</v>
      </c>
      <c r="P2806" s="4">
        <v>44600.87459490741</v>
      </c>
    </row>
    <row r="2807" hidden="1">
      <c r="A2807" s="1" t="s">
        <v>21</v>
      </c>
      <c r="B2807" s="3" t="str">
        <f>HYPERLINK("https://hawk-eye.atlassian.net/browse/HWKREPORT-567?atlOrigin=eyJpIjoiYzgwYTQ0ZjEyNzQzNGJhN2JmNjEyZTM0NmRhZWZhNjIiLCJwIjoic2hlZXRzLWppcmEifQ","HWKREPORT-567")</f>
        <v>HWKREPORT-567</v>
      </c>
      <c r="C2807" s="1" t="s">
        <v>4114</v>
      </c>
      <c r="D2807" s="1" t="s">
        <v>34</v>
      </c>
      <c r="E2807" s="1" t="s">
        <v>35</v>
      </c>
      <c r="F2807" s="4">
        <v>44131.452997685185</v>
      </c>
      <c r="G2807" s="3" t="str">
        <f>HYPERLINK("https://hawk-eye.atlassian.net/browse/RTT-3190?atlOrigin=eyJpIjoiYzgwYTQ0ZjEyNzQzNGJhN2JmNjEyZTM0NmRhZWZhNjIiLCJwIjoic2hlZXRzLWppcmEifQ","RTT-3190")</f>
        <v>RTT-3190</v>
      </c>
      <c r="H2807" s="1" t="s">
        <v>1058</v>
      </c>
      <c r="I2807" s="1" t="s">
        <v>1126</v>
      </c>
      <c r="J2807" s="1" t="s">
        <v>26</v>
      </c>
      <c r="K2807" s="1" t="s">
        <v>1312</v>
      </c>
      <c r="L2807" s="1" t="s">
        <v>26</v>
      </c>
      <c r="M2807" s="1" t="s">
        <v>27</v>
      </c>
      <c r="N2807" s="1" t="s">
        <v>26</v>
      </c>
      <c r="O2807" s="1" t="s">
        <v>26</v>
      </c>
      <c r="P2807" s="4">
        <v>44600.87494212963</v>
      </c>
    </row>
    <row r="2808" hidden="1">
      <c r="A2808" s="1" t="s">
        <v>1055</v>
      </c>
      <c r="B2808" s="3" t="str">
        <f>HYPERLINK("https://hawk-eye.atlassian.net/browse/HWKREPORT-568?atlOrigin=eyJpIjoiYzgwYTQ0ZjEyNzQzNGJhN2JmNjEyZTM0NmRhZWZhNjIiLCJwIjoic2hlZXRzLWppcmEifQ","HWKREPORT-568")</f>
        <v>HWKREPORT-568</v>
      </c>
      <c r="C2808" s="1" t="s">
        <v>4115</v>
      </c>
      <c r="D2808" s="1" t="s">
        <v>23</v>
      </c>
      <c r="E2808" s="1" t="s">
        <v>35</v>
      </c>
      <c r="F2808" s="4">
        <v>44132.57087962963</v>
      </c>
      <c r="G2808" s="3" t="str">
        <f>HYPERLINK("https://hawk-eye.atlassian.net/browse/AT-80?atlOrigin=eyJpIjoiYzgwYTQ0ZjEyNzQzNGJhN2JmNjEyZTM0NmRhZWZhNjIiLCJwIjoic2hlZXRzLWppcmEifQ","AT-80")</f>
        <v>AT-80</v>
      </c>
      <c r="H2808" s="1" t="s">
        <v>1058</v>
      </c>
      <c r="I2808" s="1" t="s">
        <v>1126</v>
      </c>
      <c r="J2808" s="1" t="s">
        <v>26</v>
      </c>
      <c r="K2808" s="1" t="s">
        <v>1105</v>
      </c>
      <c r="L2808" s="1" t="s">
        <v>26</v>
      </c>
      <c r="M2808" s="1" t="s">
        <v>27</v>
      </c>
      <c r="N2808" s="1" t="s">
        <v>26</v>
      </c>
      <c r="O2808" s="1" t="s">
        <v>26</v>
      </c>
      <c r="P2808" s="4">
        <v>44600.875081018516</v>
      </c>
    </row>
    <row r="2809" hidden="1">
      <c r="A2809" s="1" t="s">
        <v>21</v>
      </c>
      <c r="B2809" s="3" t="str">
        <f>HYPERLINK("https://hawk-eye.atlassian.net/browse/HWKREPORT-569?atlOrigin=eyJpIjoiYzgwYTQ0ZjEyNzQzNGJhN2JmNjEyZTM0NmRhZWZhNjIiLCJwIjoic2hlZXRzLWppcmEifQ","HWKREPORT-569")</f>
        <v>HWKREPORT-569</v>
      </c>
      <c r="C2809" s="1" t="s">
        <v>4116</v>
      </c>
      <c r="D2809" s="1" t="s">
        <v>34</v>
      </c>
      <c r="E2809" s="1" t="s">
        <v>35</v>
      </c>
      <c r="F2809" s="4">
        <v>44133.42474537037</v>
      </c>
      <c r="G2809" s="3" t="str">
        <f t="shared" ref="G2809:G2810" si="192">HYPERLINK("https://hawk-eye.atlassian.net/browse/?atlOrigin=eyJpIjoiYzgwYTQ0ZjEyNzQzNGJhN2JmNjEyZTM0NmRhZWZhNjIiLCJwIjoic2hlZXRzLWppcmEifQ","")</f>
        <v/>
      </c>
      <c r="H2809" s="1" t="s">
        <v>1058</v>
      </c>
      <c r="I2809" s="1" t="s">
        <v>1126</v>
      </c>
      <c r="J2809" s="1" t="s">
        <v>26</v>
      </c>
      <c r="K2809" s="1" t="s">
        <v>1105</v>
      </c>
      <c r="L2809" s="1" t="s">
        <v>26</v>
      </c>
      <c r="M2809" s="1" t="s">
        <v>27</v>
      </c>
      <c r="N2809" s="1" t="s">
        <v>26</v>
      </c>
      <c r="O2809" s="1" t="s">
        <v>26</v>
      </c>
      <c r="P2809" s="4">
        <v>44600.875</v>
      </c>
    </row>
    <row r="2810" hidden="1">
      <c r="A2810" s="1" t="s">
        <v>21</v>
      </c>
      <c r="B2810" s="3" t="str">
        <f>HYPERLINK("https://hawk-eye.atlassian.net/browse/HWKREPORT-570?atlOrigin=eyJpIjoiYzgwYTQ0ZjEyNzQzNGJhN2JmNjEyZTM0NmRhZWZhNjIiLCJwIjoic2hlZXRzLWppcmEifQ","HWKREPORT-570")</f>
        <v>HWKREPORT-570</v>
      </c>
      <c r="C2810" s="1" t="s">
        <v>4117</v>
      </c>
      <c r="D2810" s="1" t="s">
        <v>34</v>
      </c>
      <c r="E2810" s="1" t="s">
        <v>35</v>
      </c>
      <c r="F2810" s="4">
        <v>44133.44976851852</v>
      </c>
      <c r="G2810" s="3" t="str">
        <f t="shared" si="192"/>
        <v/>
      </c>
      <c r="H2810" s="1" t="s">
        <v>1058</v>
      </c>
      <c r="I2810" s="1" t="s">
        <v>1126</v>
      </c>
      <c r="J2810" s="1" t="s">
        <v>26</v>
      </c>
      <c r="K2810" s="1" t="s">
        <v>1105</v>
      </c>
      <c r="L2810" s="1" t="s">
        <v>26</v>
      </c>
      <c r="M2810" s="1" t="s">
        <v>27</v>
      </c>
      <c r="N2810" s="1" t="s">
        <v>26</v>
      </c>
      <c r="O2810" s="1" t="s">
        <v>26</v>
      </c>
      <c r="P2810" s="4">
        <v>44600.875</v>
      </c>
    </row>
    <row r="2811" hidden="1">
      <c r="A2811" s="1" t="s">
        <v>21</v>
      </c>
      <c r="B2811" s="3" t="str">
        <f>HYPERLINK("https://hawk-eye.atlassian.net/browse/HWKREPORT-571?atlOrigin=eyJpIjoiYzgwYTQ0ZjEyNzQzNGJhN2JmNjEyZTM0NmRhZWZhNjIiLCJwIjoic2hlZXRzLWppcmEifQ","HWKREPORT-571")</f>
        <v>HWKREPORT-571</v>
      </c>
      <c r="C2811" s="1" t="s">
        <v>4118</v>
      </c>
      <c r="D2811" s="1" t="s">
        <v>34</v>
      </c>
      <c r="E2811" s="1" t="s">
        <v>35</v>
      </c>
      <c r="F2811" s="4">
        <v>44134.818506944444</v>
      </c>
      <c r="G2811" s="3" t="str">
        <f>HYPERLINK("https://hawk-eye.atlassian.net/browse/RTT-3099?atlOrigin=eyJpIjoiYzgwYTQ0ZjEyNzQzNGJhN2JmNjEyZTM0NmRhZWZhNjIiLCJwIjoic2hlZXRzLWppcmEifQ","RTT-3099")</f>
        <v>RTT-3099</v>
      </c>
      <c r="H2811" s="1" t="s">
        <v>1058</v>
      </c>
      <c r="I2811" s="1" t="s">
        <v>1126</v>
      </c>
      <c r="J2811" s="1" t="s">
        <v>26</v>
      </c>
      <c r="K2811" s="1" t="s">
        <v>1309</v>
      </c>
      <c r="L2811" s="1" t="s">
        <v>26</v>
      </c>
      <c r="M2811" s="1" t="s">
        <v>27</v>
      </c>
      <c r="N2811" s="1" t="s">
        <v>26</v>
      </c>
      <c r="O2811" s="1" t="s">
        <v>26</v>
      </c>
      <c r="P2811" s="4">
        <v>44600.87483796296</v>
      </c>
    </row>
    <row r="2812" hidden="1">
      <c r="A2812" s="1" t="s">
        <v>1055</v>
      </c>
      <c r="B2812" s="3" t="str">
        <f>HYPERLINK("https://hawk-eye.atlassian.net/browse/HWKREPORT-572?atlOrigin=eyJpIjoiYzgwYTQ0ZjEyNzQzNGJhN2JmNjEyZTM0NmRhZWZhNjIiLCJwIjoic2hlZXRzLWppcmEifQ","HWKREPORT-572")</f>
        <v>HWKREPORT-572</v>
      </c>
      <c r="C2812" s="1" t="s">
        <v>4119</v>
      </c>
      <c r="D2812" s="1" t="s">
        <v>23</v>
      </c>
      <c r="E2812" s="1" t="s">
        <v>1057</v>
      </c>
      <c r="F2812" s="4">
        <v>44139.78439814815</v>
      </c>
      <c r="G2812" s="3" t="str">
        <f>HYPERLINK("https://hawk-eye.atlassian.net/browse/?atlOrigin=eyJpIjoiYzgwYTQ0ZjEyNzQzNGJhN2JmNjEyZTM0NmRhZWZhNjIiLCJwIjoic2hlZXRzLWppcmEifQ","")</f>
        <v/>
      </c>
      <c r="H2812" s="1" t="s">
        <v>1058</v>
      </c>
      <c r="I2812" s="1" t="s">
        <v>1126</v>
      </c>
      <c r="J2812" s="1" t="s">
        <v>26</v>
      </c>
      <c r="K2812" s="1" t="s">
        <v>1105</v>
      </c>
      <c r="L2812" s="1" t="s">
        <v>26</v>
      </c>
      <c r="M2812" s="1" t="s">
        <v>27</v>
      </c>
      <c r="N2812" s="1" t="s">
        <v>26</v>
      </c>
      <c r="O2812" s="1" t="s">
        <v>26</v>
      </c>
      <c r="P2812" s="4">
        <v>44139.78439814815</v>
      </c>
    </row>
    <row r="2813" hidden="1">
      <c r="A2813" s="1" t="s">
        <v>21</v>
      </c>
      <c r="B2813" s="3" t="str">
        <f>HYPERLINK("https://hawk-eye.atlassian.net/browse/HWKREPORT-573?atlOrigin=eyJpIjoiYzgwYTQ0ZjEyNzQzNGJhN2JmNjEyZTM0NmRhZWZhNjIiLCJwIjoic2hlZXRzLWppcmEifQ","HWKREPORT-573")</f>
        <v>HWKREPORT-573</v>
      </c>
      <c r="C2813" s="1" t="s">
        <v>4120</v>
      </c>
      <c r="D2813" s="1" t="s">
        <v>34</v>
      </c>
      <c r="E2813" s="1" t="s">
        <v>35</v>
      </c>
      <c r="F2813" s="4">
        <v>44139.8034375</v>
      </c>
      <c r="G2813" s="3" t="str">
        <f>HYPERLINK("https://hawk-eye.atlassian.net/browse/RTT-3094?atlOrigin=eyJpIjoiYzgwYTQ0ZjEyNzQzNGJhN2JmNjEyZTM0NmRhZWZhNjIiLCJwIjoic2hlZXRzLWppcmEifQ","RTT-3094")</f>
        <v>RTT-3094</v>
      </c>
      <c r="H2813" s="1" t="s">
        <v>1058</v>
      </c>
      <c r="I2813" s="1" t="s">
        <v>1126</v>
      </c>
      <c r="J2813" s="1" t="s">
        <v>26</v>
      </c>
      <c r="K2813" s="1" t="s">
        <v>1362</v>
      </c>
      <c r="L2813" s="1" t="s">
        <v>26</v>
      </c>
      <c r="M2813" s="1" t="s">
        <v>27</v>
      </c>
      <c r="N2813" s="1" t="s">
        <v>26</v>
      </c>
      <c r="O2813" s="1" t="s">
        <v>26</v>
      </c>
      <c r="P2813" s="4">
        <v>44600.87488425926</v>
      </c>
    </row>
    <row r="2814" hidden="1">
      <c r="A2814" s="1" t="s">
        <v>1055</v>
      </c>
      <c r="B2814" s="3" t="str">
        <f>HYPERLINK("https://hawk-eye.atlassian.net/browse/HWKREPORT-574?atlOrigin=eyJpIjoiYzgwYTQ0ZjEyNzQzNGJhN2JmNjEyZTM0NmRhZWZhNjIiLCJwIjoic2hlZXRzLWppcmEifQ","HWKREPORT-574")</f>
        <v>HWKREPORT-574</v>
      </c>
      <c r="C2814" s="1" t="s">
        <v>4121</v>
      </c>
      <c r="D2814" s="1" t="s">
        <v>23</v>
      </c>
      <c r="E2814" s="1" t="s">
        <v>35</v>
      </c>
      <c r="F2814" s="4">
        <v>44140.809328703705</v>
      </c>
      <c r="G2814" s="3" t="str">
        <f>HYPERLINK("https://hawk-eye.atlassian.net/browse/RTT-3100?atlOrigin=eyJpIjoiYzgwYTQ0ZjEyNzQzNGJhN2JmNjEyZTM0NmRhZWZhNjIiLCJwIjoic2hlZXRzLWppcmEifQ","RTT-3100")</f>
        <v>RTT-3100</v>
      </c>
      <c r="H2814" s="1" t="s">
        <v>1058</v>
      </c>
      <c r="I2814" s="1" t="s">
        <v>1126</v>
      </c>
      <c r="J2814" s="1" t="s">
        <v>26</v>
      </c>
      <c r="K2814" s="1" t="s">
        <v>2111</v>
      </c>
      <c r="L2814" s="1" t="s">
        <v>26</v>
      </c>
      <c r="M2814" s="1" t="s">
        <v>27</v>
      </c>
      <c r="N2814" s="1" t="s">
        <v>26</v>
      </c>
      <c r="O2814" s="1" t="s">
        <v>26</v>
      </c>
      <c r="P2814" s="4">
        <v>44600.87501157408</v>
      </c>
    </row>
    <row r="2815" hidden="1">
      <c r="A2815" s="1" t="s">
        <v>21</v>
      </c>
      <c r="B2815" s="3" t="str">
        <f>HYPERLINK("https://hawk-eye.atlassian.net/browse/HWKREPORT-575?atlOrigin=eyJpIjoiYzgwYTQ0ZjEyNzQzNGJhN2JmNjEyZTM0NmRhZWZhNjIiLCJwIjoic2hlZXRzLWppcmEifQ","HWKREPORT-575")</f>
        <v>HWKREPORT-575</v>
      </c>
      <c r="C2815" s="1" t="s">
        <v>4122</v>
      </c>
      <c r="D2815" s="1" t="s">
        <v>34</v>
      </c>
      <c r="E2815" s="1" t="s">
        <v>35</v>
      </c>
      <c r="F2815" s="4">
        <v>44141.70019675926</v>
      </c>
      <c r="G2815" s="3" t="str">
        <f t="shared" ref="G2815:G2816" si="193">HYPERLINK("https://hawk-eye.atlassian.net/browse/?atlOrigin=eyJpIjoiYzgwYTQ0ZjEyNzQzNGJhN2JmNjEyZTM0NmRhZWZhNjIiLCJwIjoic2hlZXRzLWppcmEifQ","")</f>
        <v/>
      </c>
      <c r="H2815" s="1" t="s">
        <v>1058</v>
      </c>
      <c r="I2815" s="1" t="s">
        <v>1082</v>
      </c>
      <c r="J2815" s="1" t="s">
        <v>26</v>
      </c>
      <c r="K2815" s="1" t="s">
        <v>1114</v>
      </c>
      <c r="L2815" s="1" t="s">
        <v>26</v>
      </c>
      <c r="M2815" s="1" t="s">
        <v>27</v>
      </c>
      <c r="N2815" s="1" t="s">
        <v>26</v>
      </c>
      <c r="O2815" s="1" t="s">
        <v>26</v>
      </c>
      <c r="P2815" s="4">
        <v>44151.704722222225</v>
      </c>
    </row>
    <row r="2816" hidden="1">
      <c r="A2816" s="1" t="s">
        <v>1055</v>
      </c>
      <c r="B2816" s="3" t="str">
        <f>HYPERLINK("https://hawk-eye.atlassian.net/browse/HWKREPORT-576?atlOrigin=eyJpIjoiYzgwYTQ0ZjEyNzQzNGJhN2JmNjEyZTM0NmRhZWZhNjIiLCJwIjoic2hlZXRzLWppcmEifQ","HWKREPORT-576")</f>
        <v>HWKREPORT-576</v>
      </c>
      <c r="C2816" s="1" t="s">
        <v>4123</v>
      </c>
      <c r="D2816" s="1" t="s">
        <v>23</v>
      </c>
      <c r="E2816" s="1" t="s">
        <v>35</v>
      </c>
      <c r="F2816" s="4">
        <v>44141.70878472222</v>
      </c>
      <c r="G2816" s="3" t="str">
        <f t="shared" si="193"/>
        <v/>
      </c>
      <c r="H2816" s="1" t="s">
        <v>1058</v>
      </c>
      <c r="I2816" s="1" t="s">
        <v>1126</v>
      </c>
      <c r="J2816" s="1" t="s">
        <v>26</v>
      </c>
      <c r="K2816" s="1" t="s">
        <v>1105</v>
      </c>
      <c r="L2816" s="1" t="s">
        <v>26</v>
      </c>
      <c r="M2816" s="1" t="s">
        <v>27</v>
      </c>
      <c r="N2816" s="1" t="s">
        <v>26</v>
      </c>
      <c r="O2816" s="1" t="s">
        <v>26</v>
      </c>
      <c r="P2816" s="4">
        <v>44600.87511574074</v>
      </c>
    </row>
    <row r="2817" hidden="1">
      <c r="A2817" s="1" t="s">
        <v>1055</v>
      </c>
      <c r="B2817" s="3" t="str">
        <f>HYPERLINK("https://hawk-eye.atlassian.net/browse/HWKREPORT-577?atlOrigin=eyJpIjoiYzgwYTQ0ZjEyNzQzNGJhN2JmNjEyZTM0NmRhZWZhNjIiLCJwIjoic2hlZXRzLWppcmEifQ","HWKREPORT-577")</f>
        <v>HWKREPORT-577</v>
      </c>
      <c r="C2817" s="1" t="s">
        <v>4124</v>
      </c>
      <c r="D2817" s="1" t="s">
        <v>23</v>
      </c>
      <c r="E2817" s="1" t="s">
        <v>35</v>
      </c>
      <c r="F2817" s="4">
        <v>44145.75412037037</v>
      </c>
      <c r="G2817" s="3" t="str">
        <f>HYPERLINK("https://hawk-eye.atlassian.net/browse/RTTDB-56?atlOrigin=eyJpIjoiYzgwYTQ0ZjEyNzQzNGJhN2JmNjEyZTM0NmRhZWZhNjIiLCJwIjoic2hlZXRzLWppcmEifQ","RTTDB-56")</f>
        <v>RTTDB-56</v>
      </c>
      <c r="H2817" s="1" t="s">
        <v>1058</v>
      </c>
      <c r="I2817" s="1" t="s">
        <v>1126</v>
      </c>
      <c r="J2817" s="1" t="s">
        <v>26</v>
      </c>
      <c r="K2817" s="1" t="s">
        <v>1127</v>
      </c>
      <c r="L2817" s="1" t="s">
        <v>26</v>
      </c>
      <c r="M2817" s="1" t="s">
        <v>27</v>
      </c>
      <c r="N2817" s="1" t="s">
        <v>26</v>
      </c>
      <c r="O2817" s="1" t="s">
        <v>26</v>
      </c>
      <c r="P2817" s="4">
        <v>44600.874918981484</v>
      </c>
    </row>
    <row r="2818" hidden="1">
      <c r="A2818" s="1" t="s">
        <v>1055</v>
      </c>
      <c r="B2818" s="3" t="str">
        <f>HYPERLINK("https://hawk-eye.atlassian.net/browse/HWKREPORT-578?atlOrigin=eyJpIjoiYzgwYTQ0ZjEyNzQzNGJhN2JmNjEyZTM0NmRhZWZhNjIiLCJwIjoic2hlZXRzLWppcmEifQ","HWKREPORT-578")</f>
        <v>HWKREPORT-578</v>
      </c>
      <c r="C2818" s="1" t="s">
        <v>4125</v>
      </c>
      <c r="D2818" s="1" t="s">
        <v>23</v>
      </c>
      <c r="E2818" s="1" t="s">
        <v>1057</v>
      </c>
      <c r="F2818" s="4">
        <v>44145.76428240741</v>
      </c>
      <c r="G2818" s="3" t="str">
        <f>HYPERLINK("https://hawk-eye.atlassian.net/browse/?atlOrigin=eyJpIjoiYzgwYTQ0ZjEyNzQzNGJhN2JmNjEyZTM0NmRhZWZhNjIiLCJwIjoic2hlZXRzLWppcmEifQ","")</f>
        <v/>
      </c>
      <c r="H2818" s="1" t="s">
        <v>1058</v>
      </c>
      <c r="I2818" s="1" t="s">
        <v>1126</v>
      </c>
      <c r="J2818" s="1" t="s">
        <v>26</v>
      </c>
      <c r="K2818" s="1" t="s">
        <v>1573</v>
      </c>
      <c r="L2818" s="1" t="s">
        <v>26</v>
      </c>
      <c r="M2818" s="1" t="s">
        <v>27</v>
      </c>
      <c r="N2818" s="1" t="s">
        <v>26</v>
      </c>
      <c r="O2818" s="1" t="s">
        <v>26</v>
      </c>
      <c r="P2818" s="4">
        <v>44145.76429398148</v>
      </c>
    </row>
    <row r="2819" hidden="1">
      <c r="A2819" s="1" t="s">
        <v>1055</v>
      </c>
      <c r="B2819" s="3" t="str">
        <f>HYPERLINK("https://hawk-eye.atlassian.net/browse/HWKREPORT-579?atlOrigin=eyJpIjoiYzgwYTQ0ZjEyNzQzNGJhN2JmNjEyZTM0NmRhZWZhNjIiLCJwIjoic2hlZXRzLWppcmEifQ","HWKREPORT-579")</f>
        <v>HWKREPORT-579</v>
      </c>
      <c r="C2819" s="1" t="s">
        <v>4126</v>
      </c>
      <c r="D2819" s="1" t="s">
        <v>23</v>
      </c>
      <c r="E2819" s="1" t="s">
        <v>35</v>
      </c>
      <c r="F2819" s="4">
        <v>44145.89548611111</v>
      </c>
      <c r="G2819" s="3" t="str">
        <f>HYPERLINK("https://hawk-eye.atlassian.net/browse/RTTDB-55?atlOrigin=eyJpIjoiYzgwYTQ0ZjEyNzQzNGJhN2JmNjEyZTM0NmRhZWZhNjIiLCJwIjoic2hlZXRzLWppcmEifQ","RTTDB-55")</f>
        <v>RTTDB-55</v>
      </c>
      <c r="H2819" s="1" t="s">
        <v>1058</v>
      </c>
      <c r="I2819" s="1" t="s">
        <v>1126</v>
      </c>
      <c r="J2819" s="1" t="s">
        <v>26</v>
      </c>
      <c r="K2819" s="1" t="s">
        <v>1127</v>
      </c>
      <c r="L2819" s="1" t="s">
        <v>26</v>
      </c>
      <c r="M2819" s="1" t="s">
        <v>27</v>
      </c>
      <c r="N2819" s="1" t="s">
        <v>26</v>
      </c>
      <c r="O2819" s="1" t="s">
        <v>26</v>
      </c>
      <c r="P2819" s="4">
        <v>44600.87503472222</v>
      </c>
    </row>
    <row r="2820" hidden="1">
      <c r="A2820" s="1" t="s">
        <v>1055</v>
      </c>
      <c r="B2820" s="3" t="str">
        <f>HYPERLINK("https://hawk-eye.atlassian.net/browse/HWKREPORT-580?atlOrigin=eyJpIjoiYzgwYTQ0ZjEyNzQzNGJhN2JmNjEyZTM0NmRhZWZhNjIiLCJwIjoic2hlZXRzLWppcmEifQ","HWKREPORT-580")</f>
        <v>HWKREPORT-580</v>
      </c>
      <c r="C2820" s="1" t="s">
        <v>4127</v>
      </c>
      <c r="D2820" s="1" t="s">
        <v>23</v>
      </c>
      <c r="E2820" s="1" t="s">
        <v>35</v>
      </c>
      <c r="F2820" s="4">
        <v>44146.56958333333</v>
      </c>
      <c r="G2820" s="3" t="str">
        <f>HYPERLINK("https://hawk-eye.atlassian.net/browse/LOG-8?atlOrigin=eyJpIjoiYzgwYTQ0ZjEyNzQzNGJhN2JmNjEyZTM0NmRhZWZhNjIiLCJwIjoic2hlZXRzLWppcmEifQ","LOG-8")</f>
        <v>LOG-8</v>
      </c>
      <c r="H2820" s="1" t="s">
        <v>1058</v>
      </c>
      <c r="I2820" s="1" t="s">
        <v>1082</v>
      </c>
      <c r="J2820" s="1" t="s">
        <v>26</v>
      </c>
      <c r="K2820" s="1" t="s">
        <v>2423</v>
      </c>
      <c r="L2820" s="1" t="s">
        <v>26</v>
      </c>
      <c r="M2820" s="1" t="s">
        <v>27</v>
      </c>
      <c r="N2820" s="1" t="s">
        <v>26</v>
      </c>
      <c r="O2820" s="1" t="s">
        <v>26</v>
      </c>
      <c r="P2820" s="4">
        <v>44600.874756944446</v>
      </c>
    </row>
    <row r="2821" hidden="1">
      <c r="A2821" s="1" t="s">
        <v>21</v>
      </c>
      <c r="B2821" s="3" t="str">
        <f>HYPERLINK("https://hawk-eye.atlassian.net/browse/HWKREPORT-581?atlOrigin=eyJpIjoiYzgwYTQ0ZjEyNzQzNGJhN2JmNjEyZTM0NmRhZWZhNjIiLCJwIjoic2hlZXRzLWppcmEifQ","HWKREPORT-581")</f>
        <v>HWKREPORT-581</v>
      </c>
      <c r="C2821" s="1" t="s">
        <v>4128</v>
      </c>
      <c r="D2821" s="1" t="s">
        <v>23</v>
      </c>
      <c r="E2821" s="1" t="s">
        <v>35</v>
      </c>
      <c r="F2821" s="4">
        <v>44146.96475694444</v>
      </c>
      <c r="G2821" s="3" t="str">
        <f>HYPERLINK("https://hawk-eye.atlassian.net/browse/RTT-3260?atlOrigin=eyJpIjoiYzgwYTQ0ZjEyNzQzNGJhN2JmNjEyZTM0NmRhZWZhNjIiLCJwIjoic2hlZXRzLWppcmEifQ","RTT-3260")</f>
        <v>RTT-3260</v>
      </c>
      <c r="H2821" s="1" t="s">
        <v>1058</v>
      </c>
      <c r="I2821" s="1" t="s">
        <v>1126</v>
      </c>
      <c r="J2821" s="1" t="s">
        <v>26</v>
      </c>
      <c r="K2821" s="1" t="s">
        <v>1312</v>
      </c>
      <c r="L2821" s="1" t="s">
        <v>26</v>
      </c>
      <c r="M2821" s="1" t="s">
        <v>27</v>
      </c>
      <c r="N2821" s="1" t="s">
        <v>26</v>
      </c>
      <c r="O2821" s="1" t="s">
        <v>26</v>
      </c>
      <c r="P2821" s="4">
        <v>45050.75184027778</v>
      </c>
    </row>
    <row r="2822" hidden="1">
      <c r="A2822" s="1" t="s">
        <v>1055</v>
      </c>
      <c r="B2822" s="3" t="str">
        <f>HYPERLINK("https://hawk-eye.atlassian.net/browse/HWKREPORT-582?atlOrigin=eyJpIjoiYzgwYTQ0ZjEyNzQzNGJhN2JmNjEyZTM0NmRhZWZhNjIiLCJwIjoic2hlZXRzLWppcmEifQ","HWKREPORT-582")</f>
        <v>HWKREPORT-582</v>
      </c>
      <c r="C2822" s="1" t="s">
        <v>4129</v>
      </c>
      <c r="D2822" s="1" t="s">
        <v>23</v>
      </c>
      <c r="E2822" s="1" t="s">
        <v>35</v>
      </c>
      <c r="F2822" s="4">
        <v>44148.71309027778</v>
      </c>
      <c r="G2822" s="3" t="str">
        <f>HYPERLINK("https://hawk-eye.atlassian.net/issues/?atlOrigin=eyJpIjoiYzgwYTQ0ZjEyNzQzNGJhN2JmNjEyZTM0NmRhZWZhNjIiLCJwIjoic2hlZXRzLWppcmEifQ&amp;jql=key+in+%28ST-2437%2CVIEWER-1802%29","ST-2437;VIEWER-1802")</f>
        <v>ST-2437;VIEWER-1802</v>
      </c>
      <c r="H2822" s="1" t="s">
        <v>1058</v>
      </c>
      <c r="I2822" s="1" t="s">
        <v>1514</v>
      </c>
      <c r="J2822" s="1" t="s">
        <v>26</v>
      </c>
      <c r="K2822" s="1" t="s">
        <v>1116</v>
      </c>
      <c r="L2822" s="1" t="s">
        <v>26</v>
      </c>
      <c r="M2822" s="1" t="s">
        <v>27</v>
      </c>
      <c r="N2822" s="1" t="s">
        <v>26</v>
      </c>
      <c r="O2822" s="1" t="s">
        <v>26</v>
      </c>
      <c r="P2822" s="4">
        <v>44628.63532407407</v>
      </c>
    </row>
    <row r="2823" hidden="1">
      <c r="A2823" s="1" t="s">
        <v>1055</v>
      </c>
      <c r="B2823" s="3" t="str">
        <f>HYPERLINK("https://hawk-eye.atlassian.net/browse/HWKREPORT-583?atlOrigin=eyJpIjoiYzgwYTQ0ZjEyNzQzNGJhN2JmNjEyZTM0NmRhZWZhNjIiLCJwIjoic2hlZXRzLWppcmEifQ","HWKREPORT-583")</f>
        <v>HWKREPORT-583</v>
      </c>
      <c r="C2823" s="1" t="s">
        <v>4130</v>
      </c>
      <c r="D2823" s="1" t="s">
        <v>83</v>
      </c>
      <c r="E2823" s="1" t="s">
        <v>1057</v>
      </c>
      <c r="F2823" s="4">
        <v>44148.7181712963</v>
      </c>
      <c r="G2823" s="3" t="str">
        <f>HYPERLINK("https://hawk-eye.atlassian.net/browse/SO-215?atlOrigin=eyJpIjoiYzgwYTQ0ZjEyNzQzNGJhN2JmNjEyZTM0NmRhZWZhNjIiLCJwIjoic2hlZXRzLWppcmEifQ","SO-215")</f>
        <v>SO-215</v>
      </c>
      <c r="H2823" s="1" t="s">
        <v>1058</v>
      </c>
      <c r="I2823" s="1" t="s">
        <v>4131</v>
      </c>
      <c r="J2823" s="1" t="s">
        <v>26</v>
      </c>
      <c r="K2823" s="1" t="s">
        <v>1134</v>
      </c>
      <c r="L2823" s="1" t="s">
        <v>26</v>
      </c>
      <c r="M2823" s="1" t="s">
        <v>27</v>
      </c>
      <c r="N2823" s="1" t="s">
        <v>26</v>
      </c>
      <c r="O2823" s="1" t="s">
        <v>26</v>
      </c>
      <c r="P2823" s="4">
        <v>44148.71818287037</v>
      </c>
    </row>
    <row r="2824" hidden="1">
      <c r="A2824" s="1" t="s">
        <v>1055</v>
      </c>
      <c r="B2824" s="3" t="str">
        <f>HYPERLINK("https://hawk-eye.atlassian.net/browse/HWKREPORT-584?atlOrigin=eyJpIjoiYzgwYTQ0ZjEyNzQzNGJhN2JmNjEyZTM0NmRhZWZhNjIiLCJwIjoic2hlZXRzLWppcmEifQ","HWKREPORT-584")</f>
        <v>HWKREPORT-584</v>
      </c>
      <c r="C2824" s="1" t="s">
        <v>4132</v>
      </c>
      <c r="D2824" s="1" t="s">
        <v>83</v>
      </c>
      <c r="E2824" s="1" t="s">
        <v>1057</v>
      </c>
      <c r="F2824" s="4">
        <v>44148.72081018519</v>
      </c>
      <c r="G2824" s="3" t="str">
        <f>HYPERLINK("https://hawk-eye.atlassian.net/browse/SO-187?atlOrigin=eyJpIjoiYzgwYTQ0ZjEyNzQzNGJhN2JmNjEyZTM0NmRhZWZhNjIiLCJwIjoic2hlZXRzLWppcmEifQ","SO-187")</f>
        <v>SO-187</v>
      </c>
      <c r="H2824" s="1" t="s">
        <v>1058</v>
      </c>
      <c r="I2824" s="1" t="s">
        <v>1514</v>
      </c>
      <c r="J2824" s="1" t="s">
        <v>26</v>
      </c>
      <c r="K2824" s="1" t="s">
        <v>1116</v>
      </c>
      <c r="L2824" s="1" t="s">
        <v>26</v>
      </c>
      <c r="M2824" s="1" t="s">
        <v>27</v>
      </c>
      <c r="N2824" s="1" t="s">
        <v>26</v>
      </c>
      <c r="O2824" s="1" t="s">
        <v>26</v>
      </c>
      <c r="P2824" s="4">
        <v>44148.720821759256</v>
      </c>
    </row>
    <row r="2825" hidden="1">
      <c r="A2825" s="1" t="s">
        <v>21</v>
      </c>
      <c r="B2825" s="3" t="str">
        <f>HYPERLINK("https://hawk-eye.atlassian.net/browse/HWKREPORT-585?atlOrigin=eyJpIjoiYzgwYTQ0ZjEyNzQzNGJhN2JmNjEyZTM0NmRhZWZhNjIiLCJwIjoic2hlZXRzLWppcmEifQ","HWKREPORT-585")</f>
        <v>HWKREPORT-585</v>
      </c>
      <c r="C2825" s="1" t="s">
        <v>4133</v>
      </c>
      <c r="D2825" s="1" t="s">
        <v>23</v>
      </c>
      <c r="E2825" s="1" t="s">
        <v>35</v>
      </c>
      <c r="F2825" s="4">
        <v>44148.72618055555</v>
      </c>
      <c r="G2825" s="3" t="str">
        <f>HYPERLINK("https://hawk-eye.atlassian.net/browse/VIEWER-968?atlOrigin=eyJpIjoiYzgwYTQ0ZjEyNzQzNGJhN2JmNjEyZTM0NmRhZWZhNjIiLCJwIjoic2hlZXRzLWppcmEifQ","VIEWER-968")</f>
        <v>VIEWER-968</v>
      </c>
      <c r="H2825" s="1" t="s">
        <v>1058</v>
      </c>
      <c r="I2825" s="1" t="s">
        <v>1514</v>
      </c>
      <c r="J2825" s="1" t="s">
        <v>26</v>
      </c>
      <c r="K2825" s="1" t="s">
        <v>1116</v>
      </c>
      <c r="L2825" s="1" t="s">
        <v>26</v>
      </c>
      <c r="M2825" s="1" t="s">
        <v>27</v>
      </c>
      <c r="N2825" s="1" t="s">
        <v>26</v>
      </c>
      <c r="O2825" s="1" t="s">
        <v>26</v>
      </c>
      <c r="P2825" s="4">
        <v>44693.3959837963</v>
      </c>
    </row>
    <row r="2826" hidden="1">
      <c r="A2826" s="1" t="s">
        <v>1055</v>
      </c>
      <c r="B2826" s="3" t="str">
        <f>HYPERLINK("https://hawk-eye.atlassian.net/browse/HWKREPORT-586?atlOrigin=eyJpIjoiYzgwYTQ0ZjEyNzQzNGJhN2JmNjEyZTM0NmRhZWZhNjIiLCJwIjoic2hlZXRzLWppcmEifQ","HWKREPORT-586")</f>
        <v>HWKREPORT-586</v>
      </c>
      <c r="C2826" s="1" t="s">
        <v>4134</v>
      </c>
      <c r="D2826" s="1" t="s">
        <v>23</v>
      </c>
      <c r="E2826" s="1" t="s">
        <v>35</v>
      </c>
      <c r="F2826" s="4">
        <v>44151.67790509259</v>
      </c>
      <c r="G2826" s="3" t="str">
        <f t="shared" ref="G2826:G2827" si="194">HYPERLINK("https://hawk-eye.atlassian.net/browse/?atlOrigin=eyJpIjoiYzgwYTQ0ZjEyNzQzNGJhN2JmNjEyZTM0NmRhZWZhNjIiLCJwIjoic2hlZXRzLWppcmEifQ","")</f>
        <v/>
      </c>
      <c r="H2826" s="1" t="s">
        <v>1058</v>
      </c>
      <c r="I2826" s="1" t="s">
        <v>1126</v>
      </c>
      <c r="J2826" s="1" t="s">
        <v>26</v>
      </c>
      <c r="K2826" s="1" t="s">
        <v>1114</v>
      </c>
      <c r="L2826" s="1" t="s">
        <v>26</v>
      </c>
      <c r="M2826" s="1" t="s">
        <v>27</v>
      </c>
      <c r="N2826" s="1" t="s">
        <v>26</v>
      </c>
      <c r="O2826" s="1" t="s">
        <v>26</v>
      </c>
      <c r="P2826" s="4">
        <v>45029.72282407407</v>
      </c>
    </row>
    <row r="2827" hidden="1">
      <c r="A2827" s="1" t="s">
        <v>1055</v>
      </c>
      <c r="B2827" s="3" t="str">
        <f>HYPERLINK("https://hawk-eye.atlassian.net/browse/HWKREPORT-587?atlOrigin=eyJpIjoiYzgwYTQ0ZjEyNzQzNGJhN2JmNjEyZTM0NmRhZWZhNjIiLCJwIjoic2hlZXRzLWppcmEifQ","HWKREPORT-587")</f>
        <v>HWKREPORT-587</v>
      </c>
      <c r="C2827" s="1" t="s">
        <v>4135</v>
      </c>
      <c r="D2827" s="1" t="s">
        <v>23</v>
      </c>
      <c r="E2827" s="1" t="s">
        <v>35</v>
      </c>
      <c r="F2827" s="4">
        <v>44155.54556712963</v>
      </c>
      <c r="G2827" s="3" t="str">
        <f t="shared" si="194"/>
        <v/>
      </c>
      <c r="H2827" s="1" t="s">
        <v>1058</v>
      </c>
      <c r="I2827" s="1" t="s">
        <v>1126</v>
      </c>
      <c r="J2827" s="1" t="s">
        <v>26</v>
      </c>
      <c r="K2827" s="1" t="s">
        <v>1114</v>
      </c>
      <c r="L2827" s="1" t="s">
        <v>26</v>
      </c>
      <c r="M2827" s="1" t="s">
        <v>27</v>
      </c>
      <c r="N2827" s="1" t="s">
        <v>26</v>
      </c>
      <c r="O2827" s="1" t="s">
        <v>26</v>
      </c>
      <c r="P2827" s="4">
        <v>45043.73506944445</v>
      </c>
    </row>
    <row r="2828" hidden="1">
      <c r="A2828" s="1" t="s">
        <v>1055</v>
      </c>
      <c r="B2828" s="3" t="str">
        <f>HYPERLINK("https://hawk-eye.atlassian.net/browse/HWKREPORT-588?atlOrigin=eyJpIjoiYzgwYTQ0ZjEyNzQzNGJhN2JmNjEyZTM0NmRhZWZhNjIiLCJwIjoic2hlZXRzLWppcmEifQ","HWKREPORT-588")</f>
        <v>HWKREPORT-588</v>
      </c>
      <c r="C2828" s="1" t="s">
        <v>4136</v>
      </c>
      <c r="D2828" s="1" t="s">
        <v>23</v>
      </c>
      <c r="E2828" s="1" t="s">
        <v>35</v>
      </c>
      <c r="F2828" s="4">
        <v>44160.470868055556</v>
      </c>
      <c r="G2828" s="3" t="str">
        <f>HYPERLINK("https://hawk-eye.atlassian.net/browse/VIEWER-1298?atlOrigin=eyJpIjoiYzgwYTQ0ZjEyNzQzNGJhN2JmNjEyZTM0NmRhZWZhNjIiLCJwIjoic2hlZXRzLWppcmEifQ","VIEWER-1298")</f>
        <v>VIEWER-1298</v>
      </c>
      <c r="H2828" s="1" t="s">
        <v>1058</v>
      </c>
      <c r="I2828" s="1" t="s">
        <v>1126</v>
      </c>
      <c r="J2828" s="1" t="s">
        <v>26</v>
      </c>
      <c r="K2828" s="1" t="s">
        <v>1116</v>
      </c>
      <c r="L2828" s="1" t="s">
        <v>26</v>
      </c>
      <c r="M2828" s="1" t="s">
        <v>27</v>
      </c>
      <c r="N2828" s="1" t="s">
        <v>26</v>
      </c>
      <c r="O2828" s="1" t="s">
        <v>26</v>
      </c>
      <c r="P2828" s="4">
        <v>44600.87503472222</v>
      </c>
    </row>
    <row r="2829" hidden="1">
      <c r="A2829" s="1" t="s">
        <v>21</v>
      </c>
      <c r="B2829" s="3" t="str">
        <f>HYPERLINK("https://hawk-eye.atlassian.net/browse/HWKREPORT-589?atlOrigin=eyJpIjoiYzgwYTQ0ZjEyNzQzNGJhN2JmNjEyZTM0NmRhZWZhNjIiLCJwIjoic2hlZXRzLWppcmEifQ","HWKREPORT-589")</f>
        <v>HWKREPORT-589</v>
      </c>
      <c r="C2829" s="1" t="s">
        <v>4137</v>
      </c>
      <c r="D2829" s="1" t="s">
        <v>40</v>
      </c>
      <c r="E2829" s="1" t="s">
        <v>35</v>
      </c>
      <c r="F2829" s="4">
        <v>44165.680868055555</v>
      </c>
      <c r="G2829" s="3" t="str">
        <f>HYPERLINK("https://hawk-eye.atlassian.net/browse/?atlOrigin=eyJpIjoiYzgwYTQ0ZjEyNzQzNGJhN2JmNjEyZTM0NmRhZWZhNjIiLCJwIjoic2hlZXRzLWppcmEifQ","")</f>
        <v/>
      </c>
      <c r="H2829" s="1" t="s">
        <v>1058</v>
      </c>
      <c r="I2829" s="1" t="s">
        <v>1082</v>
      </c>
      <c r="J2829" s="1" t="s">
        <v>26</v>
      </c>
      <c r="K2829" s="1" t="s">
        <v>1114</v>
      </c>
      <c r="L2829" s="1" t="s">
        <v>26</v>
      </c>
      <c r="M2829" s="1" t="s">
        <v>27</v>
      </c>
      <c r="N2829" s="1" t="s">
        <v>26</v>
      </c>
      <c r="O2829" s="1" t="s">
        <v>26</v>
      </c>
      <c r="P2829" s="4">
        <v>44600.87509259259</v>
      </c>
    </row>
    <row r="2830" hidden="1">
      <c r="A2830" s="1" t="s">
        <v>21</v>
      </c>
      <c r="B2830" s="3" t="str">
        <f>HYPERLINK("https://hawk-eye.atlassian.net/browse/HWKREPORT-590?atlOrigin=eyJpIjoiYzgwYTQ0ZjEyNzQzNGJhN2JmNjEyZTM0NmRhZWZhNjIiLCJwIjoic2hlZXRzLWppcmEifQ","HWKREPORT-590")</f>
        <v>HWKREPORT-590</v>
      </c>
      <c r="C2830" s="1" t="s">
        <v>4138</v>
      </c>
      <c r="D2830" s="1" t="s">
        <v>83</v>
      </c>
      <c r="E2830" s="1" t="s">
        <v>1057</v>
      </c>
      <c r="F2830" s="4">
        <v>44165.72659722222</v>
      </c>
      <c r="G2830" s="3" t="str">
        <f>HYPERLINK("https://hawk-eye.atlassian.net/browse/GT-838?atlOrigin=eyJpIjoiYzgwYTQ0ZjEyNzQzNGJhN2JmNjEyZTM0NmRhZWZhNjIiLCJwIjoic2hlZXRzLWppcmEifQ","GT-838")</f>
        <v>GT-838</v>
      </c>
      <c r="H2830" s="1" t="s">
        <v>1058</v>
      </c>
      <c r="I2830" s="1" t="s">
        <v>1082</v>
      </c>
      <c r="J2830" s="1" t="s">
        <v>26</v>
      </c>
      <c r="K2830" s="1" t="s">
        <v>1148</v>
      </c>
      <c r="L2830" s="1" t="s">
        <v>26</v>
      </c>
      <c r="M2830" s="1" t="s">
        <v>27</v>
      </c>
      <c r="N2830" s="1" t="s">
        <v>26</v>
      </c>
      <c r="O2830" s="1" t="s">
        <v>26</v>
      </c>
      <c r="P2830" s="4">
        <v>44165.7266087963</v>
      </c>
    </row>
    <row r="2831" hidden="1">
      <c r="A2831" s="1" t="s">
        <v>21</v>
      </c>
      <c r="B2831" s="3" t="str">
        <f>HYPERLINK("https://hawk-eye.atlassian.net/browse/HWKREPORT-591?atlOrigin=eyJpIjoiYzgwYTQ0ZjEyNzQzNGJhN2JmNjEyZTM0NmRhZWZhNjIiLCJwIjoic2hlZXRzLWppcmEifQ","HWKREPORT-591")</f>
        <v>HWKREPORT-591</v>
      </c>
      <c r="C2831" s="1" t="s">
        <v>4139</v>
      </c>
      <c r="D2831" s="1" t="s">
        <v>23</v>
      </c>
      <c r="E2831" s="1" t="s">
        <v>35</v>
      </c>
      <c r="F2831" s="4">
        <v>44168.48465277778</v>
      </c>
      <c r="G2831" s="3" t="str">
        <f>HYPERLINK("https://hawk-eye.atlassian.net/browse/RTT-3271?atlOrigin=eyJpIjoiYzgwYTQ0ZjEyNzQzNGJhN2JmNjEyZTM0NmRhZWZhNjIiLCJwIjoic2hlZXRzLWppcmEifQ","RTT-3271")</f>
        <v>RTT-3271</v>
      </c>
      <c r="H2831" s="1" t="s">
        <v>1058</v>
      </c>
      <c r="I2831" s="1" t="s">
        <v>1126</v>
      </c>
      <c r="J2831" s="1" t="s">
        <v>26</v>
      </c>
      <c r="K2831" s="1" t="s">
        <v>1312</v>
      </c>
      <c r="L2831" s="1" t="s">
        <v>26</v>
      </c>
      <c r="M2831" s="1" t="s">
        <v>27</v>
      </c>
      <c r="N2831" s="1" t="s">
        <v>26</v>
      </c>
      <c r="O2831" s="1" t="s">
        <v>26</v>
      </c>
      <c r="P2831" s="4">
        <v>44600.874548611115</v>
      </c>
    </row>
    <row r="2832" hidden="1">
      <c r="A2832" s="1" t="s">
        <v>1055</v>
      </c>
      <c r="B2832" s="3" t="str">
        <f>HYPERLINK("https://hawk-eye.atlassian.net/browse/HWKREPORT-592?atlOrigin=eyJpIjoiYzgwYTQ0ZjEyNzQzNGJhN2JmNjEyZTM0NmRhZWZhNjIiLCJwIjoic2hlZXRzLWppcmEifQ","HWKREPORT-592")</f>
        <v>HWKREPORT-592</v>
      </c>
      <c r="C2832" s="1" t="s">
        <v>4140</v>
      </c>
      <c r="D2832" s="1" t="s">
        <v>23</v>
      </c>
      <c r="E2832" s="1" t="s">
        <v>35</v>
      </c>
      <c r="F2832" s="4">
        <v>44169.75949074074</v>
      </c>
      <c r="G2832" s="3" t="str">
        <f>HYPERLINK("https://hawk-eye.atlassian.net/browse/?atlOrigin=eyJpIjoiYzgwYTQ0ZjEyNzQzNGJhN2JmNjEyZTM0NmRhZWZhNjIiLCJwIjoic2hlZXRzLWppcmEifQ","")</f>
        <v/>
      </c>
      <c r="H2832" s="1" t="s">
        <v>1058</v>
      </c>
      <c r="I2832" s="1" t="s">
        <v>1082</v>
      </c>
      <c r="J2832" s="1" t="s">
        <v>26</v>
      </c>
      <c r="K2832" s="1" t="s">
        <v>1148</v>
      </c>
      <c r="L2832" s="1" t="s">
        <v>26</v>
      </c>
      <c r="M2832" s="1" t="s">
        <v>27</v>
      </c>
      <c r="N2832" s="1" t="s">
        <v>26</v>
      </c>
      <c r="O2832" s="1" t="s">
        <v>26</v>
      </c>
      <c r="P2832" s="4">
        <v>44600.87469907408</v>
      </c>
    </row>
    <row r="2833" hidden="1">
      <c r="A2833" s="1" t="s">
        <v>21</v>
      </c>
      <c r="B2833" s="3" t="str">
        <f>HYPERLINK("https://hawk-eye.atlassian.net/browse/HWKREPORT-593?atlOrigin=eyJpIjoiYzgwYTQ0ZjEyNzQzNGJhN2JmNjEyZTM0NmRhZWZhNjIiLCJwIjoic2hlZXRzLWppcmEifQ","HWKREPORT-593")</f>
        <v>HWKREPORT-593</v>
      </c>
      <c r="C2833" s="1" t="s">
        <v>4141</v>
      </c>
      <c r="D2833" s="1" t="s">
        <v>23</v>
      </c>
      <c r="E2833" s="1" t="s">
        <v>35</v>
      </c>
      <c r="F2833" s="4">
        <v>44172.44878472222</v>
      </c>
      <c r="G2833" s="3" t="str">
        <f>HYPERLINK("https://hawk-eye.atlassian.net/browse/HWKREPORT-603?atlOrigin=eyJpIjoiYzgwYTQ0ZjEyNzQzNGJhN2JmNjEyZTM0NmRhZWZhNjIiLCJwIjoic2hlZXRzLWppcmEifQ","HWKREPORT-603")</f>
        <v>HWKREPORT-603</v>
      </c>
      <c r="H2833" s="1" t="s">
        <v>1058</v>
      </c>
      <c r="I2833" s="1" t="s">
        <v>1082</v>
      </c>
      <c r="J2833" s="1" t="s">
        <v>26</v>
      </c>
      <c r="K2833" s="1" t="s">
        <v>1148</v>
      </c>
      <c r="L2833" s="1" t="s">
        <v>26</v>
      </c>
      <c r="M2833" s="1" t="s">
        <v>27</v>
      </c>
      <c r="N2833" s="1" t="s">
        <v>26</v>
      </c>
      <c r="O2833" s="1" t="s">
        <v>26</v>
      </c>
      <c r="P2833" s="4">
        <v>44600.87462962963</v>
      </c>
    </row>
    <row r="2834" hidden="1">
      <c r="A2834" s="1" t="s">
        <v>21</v>
      </c>
      <c r="B2834" s="3" t="str">
        <f>HYPERLINK("https://hawk-eye.atlassian.net/browse/HWKREPORT-594?atlOrigin=eyJpIjoiYzgwYTQ0ZjEyNzQzNGJhN2JmNjEyZTM0NmRhZWZhNjIiLCJwIjoic2hlZXRzLWppcmEifQ","HWKREPORT-594")</f>
        <v>HWKREPORT-594</v>
      </c>
      <c r="C2834" s="1" t="s">
        <v>4142</v>
      </c>
      <c r="D2834" s="1" t="s">
        <v>23</v>
      </c>
      <c r="E2834" s="1" t="s">
        <v>35</v>
      </c>
      <c r="F2834" s="4">
        <v>44174.67450231482</v>
      </c>
      <c r="G2834" s="3" t="str">
        <f>HYPERLINK("https://hawk-eye.atlassian.net/browse/VIEWER-1325?atlOrigin=eyJpIjoiYzgwYTQ0ZjEyNzQzNGJhN2JmNjEyZTM0NmRhZWZhNjIiLCJwIjoic2hlZXRzLWppcmEifQ","VIEWER-1325")</f>
        <v>VIEWER-1325</v>
      </c>
      <c r="H2834" s="1" t="s">
        <v>1058</v>
      </c>
      <c r="I2834" s="1" t="s">
        <v>1514</v>
      </c>
      <c r="J2834" s="1" t="s">
        <v>26</v>
      </c>
      <c r="K2834" s="1" t="s">
        <v>1116</v>
      </c>
      <c r="L2834" s="1" t="s">
        <v>26</v>
      </c>
      <c r="M2834" s="1" t="s">
        <v>27</v>
      </c>
      <c r="N2834" s="1" t="s">
        <v>26</v>
      </c>
      <c r="O2834" s="1" t="s">
        <v>26</v>
      </c>
      <c r="P2834" s="4">
        <v>44600.87489583333</v>
      </c>
    </row>
    <row r="2835" hidden="1">
      <c r="A2835" s="1" t="s">
        <v>21</v>
      </c>
      <c r="B2835" s="3" t="str">
        <f>HYPERLINK("https://hawk-eye.atlassian.net/browse/HWKREPORT-595?atlOrigin=eyJpIjoiYzgwYTQ0ZjEyNzQzNGJhN2JmNjEyZTM0NmRhZWZhNjIiLCJwIjoic2hlZXRzLWppcmEifQ","HWKREPORT-595")</f>
        <v>HWKREPORT-595</v>
      </c>
      <c r="C2835" s="6" t="s">
        <v>4143</v>
      </c>
      <c r="D2835" s="1" t="s">
        <v>23</v>
      </c>
      <c r="E2835" s="1" t="s">
        <v>35</v>
      </c>
      <c r="F2835" s="4">
        <v>44175.51121527778</v>
      </c>
      <c r="G2835" s="3" t="str">
        <f>HYPERLINK("https://hawk-eye.atlassian.net/browse/RTT-3310?atlOrigin=eyJpIjoiYzgwYTQ0ZjEyNzQzNGJhN2JmNjEyZTM0NmRhZWZhNjIiLCJwIjoic2hlZXRzLWppcmEifQ","RTT-3310")</f>
        <v>RTT-3310</v>
      </c>
      <c r="H2835" s="1" t="s">
        <v>1058</v>
      </c>
      <c r="I2835" s="1" t="s">
        <v>1126</v>
      </c>
      <c r="J2835" s="1" t="s">
        <v>26</v>
      </c>
      <c r="K2835" s="1" t="s">
        <v>1072</v>
      </c>
      <c r="L2835" s="1" t="s">
        <v>26</v>
      </c>
      <c r="M2835" s="1" t="s">
        <v>27</v>
      </c>
      <c r="N2835" s="1" t="s">
        <v>26</v>
      </c>
      <c r="O2835" s="1" t="s">
        <v>26</v>
      </c>
      <c r="P2835" s="4">
        <v>44600.87483796296</v>
      </c>
    </row>
    <row r="2836" hidden="1">
      <c r="A2836" s="1" t="s">
        <v>1055</v>
      </c>
      <c r="B2836" s="3" t="str">
        <f>HYPERLINK("https://hawk-eye.atlassian.net/browse/HWKREPORT-596?atlOrigin=eyJpIjoiYzgwYTQ0ZjEyNzQzNGJhN2JmNjEyZTM0NmRhZWZhNjIiLCJwIjoic2hlZXRzLWppcmEifQ","HWKREPORT-596")</f>
        <v>HWKREPORT-596</v>
      </c>
      <c r="C2836" s="1" t="s">
        <v>4144</v>
      </c>
      <c r="D2836" s="1" t="s">
        <v>23</v>
      </c>
      <c r="E2836" s="1" t="s">
        <v>35</v>
      </c>
      <c r="F2836" s="4">
        <v>44179.510671296295</v>
      </c>
      <c r="G2836" s="3" t="str">
        <f>HYPERLINK("https://hawk-eye.atlassian.net/browse/?atlOrigin=eyJpIjoiYzgwYTQ0ZjEyNzQzNGJhN2JmNjEyZTM0NmRhZWZhNjIiLCJwIjoic2hlZXRzLWppcmEifQ","")</f>
        <v/>
      </c>
      <c r="H2836" s="1" t="s">
        <v>1058</v>
      </c>
      <c r="I2836" s="1" t="s">
        <v>1514</v>
      </c>
      <c r="J2836" s="1" t="s">
        <v>26</v>
      </c>
      <c r="K2836" s="1" t="s">
        <v>26</v>
      </c>
      <c r="L2836" s="1" t="s">
        <v>26</v>
      </c>
      <c r="M2836" s="1" t="s">
        <v>27</v>
      </c>
      <c r="N2836" s="1" t="s">
        <v>26</v>
      </c>
      <c r="O2836" s="1" t="s">
        <v>26</v>
      </c>
      <c r="P2836" s="4">
        <v>44232.723599537036</v>
      </c>
    </row>
    <row r="2837" hidden="1">
      <c r="A2837" s="1" t="s">
        <v>1055</v>
      </c>
      <c r="B2837" s="3" t="str">
        <f>HYPERLINK("https://hawk-eye.atlassian.net/browse/HWKREPORT-597?atlOrigin=eyJpIjoiYzgwYTQ0ZjEyNzQzNGJhN2JmNjEyZTM0NmRhZWZhNjIiLCJwIjoic2hlZXRzLWppcmEifQ","HWKREPORT-597")</f>
        <v>HWKREPORT-597</v>
      </c>
      <c r="C2837" s="1" t="s">
        <v>4145</v>
      </c>
      <c r="D2837" s="1" t="s">
        <v>23</v>
      </c>
      <c r="E2837" s="1" t="s">
        <v>35</v>
      </c>
      <c r="F2837" s="4">
        <v>44180.693136574075</v>
      </c>
      <c r="G2837" s="3" t="str">
        <f>HYPERLINK("https://hawk-eye.atlassian.net/browse/RTT-3331?atlOrigin=eyJpIjoiYzgwYTQ0ZjEyNzQzNGJhN2JmNjEyZTM0NmRhZWZhNjIiLCJwIjoic2hlZXRzLWppcmEifQ","RTT-3331")</f>
        <v>RTT-3331</v>
      </c>
      <c r="H2837" s="1" t="s">
        <v>1058</v>
      </c>
      <c r="I2837" s="1" t="s">
        <v>1085</v>
      </c>
      <c r="J2837" s="1" t="s">
        <v>26</v>
      </c>
      <c r="K2837" s="1" t="s">
        <v>1072</v>
      </c>
      <c r="L2837" s="1" t="s">
        <v>26</v>
      </c>
      <c r="M2837" s="1" t="s">
        <v>27</v>
      </c>
      <c r="N2837" s="1" t="s">
        <v>26</v>
      </c>
      <c r="O2837" s="1" t="s">
        <v>26</v>
      </c>
      <c r="P2837" s="4">
        <v>45216.371724537035</v>
      </c>
    </row>
    <row r="2838" hidden="1">
      <c r="A2838" s="1" t="s">
        <v>1055</v>
      </c>
      <c r="B2838" s="3" t="str">
        <f>HYPERLINK("https://hawk-eye.atlassian.net/browse/HWKREPORT-598?atlOrigin=eyJpIjoiYzgwYTQ0ZjEyNzQzNGJhN2JmNjEyZTM0NmRhZWZhNjIiLCJwIjoic2hlZXRzLWppcmEifQ","HWKREPORT-598")</f>
        <v>HWKREPORT-598</v>
      </c>
      <c r="C2838" s="1" t="s">
        <v>4146</v>
      </c>
      <c r="D2838" s="1" t="s">
        <v>23</v>
      </c>
      <c r="E2838" s="1" t="s">
        <v>35</v>
      </c>
      <c r="F2838" s="4">
        <v>44180.69658564815</v>
      </c>
      <c r="G2838" s="3" t="str">
        <f>HYPERLINK("https://hawk-eye.atlassian.net/browse/RTT-3330?atlOrigin=eyJpIjoiYzgwYTQ0ZjEyNzQzNGJhN2JmNjEyZTM0NmRhZWZhNjIiLCJwIjoic2hlZXRzLWppcmEifQ","RTT-3330")</f>
        <v>RTT-3330</v>
      </c>
      <c r="H2838" s="1" t="s">
        <v>1058</v>
      </c>
      <c r="I2838" s="1" t="s">
        <v>1126</v>
      </c>
      <c r="J2838" s="1" t="s">
        <v>26</v>
      </c>
      <c r="K2838" s="1" t="s">
        <v>1072</v>
      </c>
      <c r="L2838" s="1" t="s">
        <v>26</v>
      </c>
      <c r="M2838" s="1" t="s">
        <v>27</v>
      </c>
      <c r="N2838" s="1" t="s">
        <v>26</v>
      </c>
      <c r="O2838" s="1" t="s">
        <v>26</v>
      </c>
      <c r="P2838" s="4">
        <v>45051.38800925926</v>
      </c>
    </row>
    <row r="2839" hidden="1">
      <c r="A2839" s="1" t="s">
        <v>21</v>
      </c>
      <c r="B2839" s="3" t="str">
        <f>HYPERLINK("https://hawk-eye.atlassian.net/browse/HWKREPORT-599?atlOrigin=eyJpIjoiYzgwYTQ0ZjEyNzQzNGJhN2JmNjEyZTM0NmRhZWZhNjIiLCJwIjoic2hlZXRzLWppcmEifQ","HWKREPORT-599")</f>
        <v>HWKREPORT-599</v>
      </c>
      <c r="C2839" s="1" t="s">
        <v>4147</v>
      </c>
      <c r="D2839" s="1" t="s">
        <v>23</v>
      </c>
      <c r="E2839" s="1" t="s">
        <v>35</v>
      </c>
      <c r="F2839" s="4">
        <v>44180.721550925926</v>
      </c>
      <c r="G2839" s="3" t="str">
        <f>HYPERLINK("https://hawk-eye.atlassian.net/browse/RTT-3329?atlOrigin=eyJpIjoiYzgwYTQ0ZjEyNzQzNGJhN2JmNjEyZTM0NmRhZWZhNjIiLCJwIjoic2hlZXRzLWppcmEifQ","RTT-3329")</f>
        <v>RTT-3329</v>
      </c>
      <c r="H2839" s="1" t="s">
        <v>1058</v>
      </c>
      <c r="I2839" s="1" t="s">
        <v>1126</v>
      </c>
      <c r="J2839" s="1" t="s">
        <v>26</v>
      </c>
      <c r="K2839" s="1" t="s">
        <v>1072</v>
      </c>
      <c r="L2839" s="1" t="s">
        <v>26</v>
      </c>
      <c r="M2839" s="1" t="s">
        <v>27</v>
      </c>
      <c r="N2839" s="1" t="s">
        <v>26</v>
      </c>
      <c r="O2839" s="1" t="s">
        <v>26</v>
      </c>
      <c r="P2839" s="4">
        <v>44600.87515046296</v>
      </c>
    </row>
    <row r="2840" hidden="1">
      <c r="A2840" s="1" t="s">
        <v>21</v>
      </c>
      <c r="B2840" s="3" t="str">
        <f>HYPERLINK("https://hawk-eye.atlassian.net/browse/HWKREPORT-600?atlOrigin=eyJpIjoiYzgwYTQ0ZjEyNzQzNGJhN2JmNjEyZTM0NmRhZWZhNjIiLCJwIjoic2hlZXRzLWppcmEifQ","HWKREPORT-600")</f>
        <v>HWKREPORT-600</v>
      </c>
      <c r="C2840" s="1" t="s">
        <v>4148</v>
      </c>
      <c r="D2840" s="1" t="s">
        <v>83</v>
      </c>
      <c r="E2840" s="1" t="s">
        <v>1057</v>
      </c>
      <c r="F2840" s="4">
        <v>44182.504525462966</v>
      </c>
      <c r="G2840" s="3" t="str">
        <f>HYPERLINK("https://hawk-eye.atlassian.net/browse/CORE-17?atlOrigin=eyJpIjoiYzgwYTQ0ZjEyNzQzNGJhN2JmNjEyZTM0NmRhZWZhNjIiLCJwIjoic2hlZXRzLWppcmEifQ","CORE-17")</f>
        <v>CORE-17</v>
      </c>
      <c r="H2840" s="1" t="s">
        <v>1058</v>
      </c>
      <c r="I2840" s="1" t="s">
        <v>1514</v>
      </c>
      <c r="J2840" s="1" t="s">
        <v>26</v>
      </c>
      <c r="K2840" s="1" t="s">
        <v>1673</v>
      </c>
      <c r="L2840" s="1" t="s">
        <v>26</v>
      </c>
      <c r="M2840" s="1" t="s">
        <v>27</v>
      </c>
      <c r="N2840" s="1" t="s">
        <v>26</v>
      </c>
      <c r="O2840" s="1" t="s">
        <v>26</v>
      </c>
      <c r="P2840" s="4">
        <v>44182.504537037035</v>
      </c>
    </row>
    <row r="2841" hidden="1">
      <c r="A2841" s="1" t="s">
        <v>21</v>
      </c>
      <c r="B2841" s="3" t="str">
        <f>HYPERLINK("https://hawk-eye.atlassian.net/browse/HWKREPORT-601?atlOrigin=eyJpIjoiYzgwYTQ0ZjEyNzQzNGJhN2JmNjEyZTM0NmRhZWZhNjIiLCJwIjoic2hlZXRzLWppcmEifQ","HWKREPORT-601")</f>
        <v>HWKREPORT-601</v>
      </c>
      <c r="C2841" s="1" t="s">
        <v>4149</v>
      </c>
      <c r="D2841" s="1" t="s">
        <v>23</v>
      </c>
      <c r="E2841" s="1" t="s">
        <v>35</v>
      </c>
      <c r="F2841" s="4">
        <v>44186.55299768518</v>
      </c>
      <c r="G2841" s="3" t="str">
        <f>HYPERLINK("https://hawk-eye.atlassian.net/browse/LOG-9?atlOrigin=eyJpIjoiYzgwYTQ0ZjEyNzQzNGJhN2JmNjEyZTM0NmRhZWZhNjIiLCJwIjoic2hlZXRzLWppcmEifQ","LOG-9")</f>
        <v>LOG-9</v>
      </c>
      <c r="H2841" s="1" t="s">
        <v>1058</v>
      </c>
      <c r="I2841" s="1" t="s">
        <v>1082</v>
      </c>
      <c r="J2841" s="1" t="s">
        <v>26</v>
      </c>
      <c r="K2841" s="1" t="s">
        <v>2423</v>
      </c>
      <c r="L2841" s="1" t="s">
        <v>26</v>
      </c>
      <c r="M2841" s="1" t="s">
        <v>27</v>
      </c>
      <c r="N2841" s="1" t="s">
        <v>26</v>
      </c>
      <c r="O2841" s="1" t="s">
        <v>26</v>
      </c>
      <c r="P2841" s="4">
        <v>44600.875231481485</v>
      </c>
    </row>
    <row r="2842" hidden="1">
      <c r="A2842" s="1" t="s">
        <v>21</v>
      </c>
      <c r="B2842" s="3" t="str">
        <f>HYPERLINK("https://hawk-eye.atlassian.net/browse/HWKREPORT-602?atlOrigin=eyJpIjoiYzgwYTQ0ZjEyNzQzNGJhN2JmNjEyZTM0NmRhZWZhNjIiLCJwIjoic2hlZXRzLWppcmEifQ","HWKREPORT-602")</f>
        <v>HWKREPORT-602</v>
      </c>
      <c r="C2842" s="1" t="s">
        <v>4150</v>
      </c>
      <c r="D2842" s="1" t="s">
        <v>23</v>
      </c>
      <c r="E2842" s="1" t="s">
        <v>35</v>
      </c>
      <c r="F2842" s="4">
        <v>44200.62150462963</v>
      </c>
      <c r="G2842" s="3" t="str">
        <f>HYPERLINK("https://hawk-eye.atlassian.net/browse/GT-835?atlOrigin=eyJpIjoiYzgwYTQ0ZjEyNzQzNGJhN2JmNjEyZTM0NmRhZWZhNjIiLCJwIjoic2hlZXRzLWppcmEifQ","GT-835")</f>
        <v>GT-835</v>
      </c>
      <c r="H2842" s="1" t="s">
        <v>1058</v>
      </c>
      <c r="I2842" s="1" t="s">
        <v>1082</v>
      </c>
      <c r="J2842" s="1" t="s">
        <v>26</v>
      </c>
      <c r="K2842" s="1" t="s">
        <v>1105</v>
      </c>
      <c r="L2842" s="1" t="s">
        <v>26</v>
      </c>
      <c r="M2842" s="1" t="s">
        <v>27</v>
      </c>
      <c r="N2842" s="1" t="s">
        <v>26</v>
      </c>
      <c r="O2842" s="1" t="s">
        <v>26</v>
      </c>
      <c r="P2842" s="4">
        <v>45022.474224537036</v>
      </c>
    </row>
    <row r="2843" hidden="1">
      <c r="A2843" s="1" t="s">
        <v>21</v>
      </c>
      <c r="B2843" s="3" t="str">
        <f>HYPERLINK("https://hawk-eye.atlassian.net/browse/HWKREPORT-603?atlOrigin=eyJpIjoiYzgwYTQ0ZjEyNzQzNGJhN2JmNjEyZTM0NmRhZWZhNjIiLCJwIjoic2hlZXRzLWppcmEifQ","HWKREPORT-603")</f>
        <v>HWKREPORT-603</v>
      </c>
      <c r="C2843" s="1" t="s">
        <v>4151</v>
      </c>
      <c r="D2843" s="1" t="s">
        <v>34</v>
      </c>
      <c r="E2843" s="1" t="s">
        <v>35</v>
      </c>
      <c r="F2843" s="4">
        <v>44200.716458333336</v>
      </c>
      <c r="G2843" s="3" t="str">
        <f>HYPERLINK("https://hawk-eye.atlassian.net/browse/HWKREPORT-593?atlOrigin=eyJpIjoiYzgwYTQ0ZjEyNzQzNGJhN2JmNjEyZTM0NmRhZWZhNjIiLCJwIjoic2hlZXRzLWppcmEifQ","HWKREPORT-593")</f>
        <v>HWKREPORT-593</v>
      </c>
      <c r="H2843" s="1" t="s">
        <v>1058</v>
      </c>
      <c r="I2843" s="1" t="s">
        <v>1082</v>
      </c>
      <c r="J2843" s="1" t="s">
        <v>26</v>
      </c>
      <c r="K2843" s="1" t="s">
        <v>1114</v>
      </c>
      <c r="L2843" s="1" t="s">
        <v>26</v>
      </c>
      <c r="M2843" s="1" t="s">
        <v>27</v>
      </c>
      <c r="N2843" s="1" t="s">
        <v>26</v>
      </c>
      <c r="O2843" s="1" t="s">
        <v>26</v>
      </c>
      <c r="P2843" s="4">
        <v>45022.47462962963</v>
      </c>
    </row>
    <row r="2844" hidden="1">
      <c r="A2844" s="1" t="s">
        <v>1055</v>
      </c>
      <c r="B2844" s="3" t="str">
        <f>HYPERLINK("https://hawk-eye.atlassian.net/browse/HWKREPORT-604?atlOrigin=eyJpIjoiYzgwYTQ0ZjEyNzQzNGJhN2JmNjEyZTM0NmRhZWZhNjIiLCJwIjoic2hlZXRzLWppcmEifQ","HWKREPORT-604")</f>
        <v>HWKREPORT-604</v>
      </c>
      <c r="C2844" s="1" t="s">
        <v>4152</v>
      </c>
      <c r="D2844" s="1" t="s">
        <v>23</v>
      </c>
      <c r="E2844" s="1" t="s">
        <v>1057</v>
      </c>
      <c r="F2844" s="4">
        <v>44208.70046296297</v>
      </c>
      <c r="G2844" s="3" t="str">
        <f>HYPERLINK("https://hawk-eye.atlassian.net/browse/RTT-3437?atlOrigin=eyJpIjoiYzgwYTQ0ZjEyNzQzNGJhN2JmNjEyZTM0NmRhZWZhNjIiLCJwIjoic2hlZXRzLWppcmEifQ","RTT-3437")</f>
        <v>RTT-3437</v>
      </c>
      <c r="H2844" s="1" t="s">
        <v>1058</v>
      </c>
      <c r="I2844" s="1" t="s">
        <v>1126</v>
      </c>
      <c r="J2844" s="1" t="s">
        <v>26</v>
      </c>
      <c r="K2844" s="1" t="s">
        <v>1072</v>
      </c>
      <c r="L2844" s="1" t="s">
        <v>26</v>
      </c>
      <c r="M2844" s="1" t="s">
        <v>27</v>
      </c>
      <c r="N2844" s="1" t="s">
        <v>26</v>
      </c>
      <c r="O2844" s="1" t="s">
        <v>26</v>
      </c>
      <c r="P2844" s="4">
        <v>44208.700474537036</v>
      </c>
    </row>
    <row r="2845" hidden="1">
      <c r="A2845" s="1" t="s">
        <v>1055</v>
      </c>
      <c r="B2845" s="3" t="str">
        <f>HYPERLINK("https://hawk-eye.atlassian.net/browse/HWKREPORT-605?atlOrigin=eyJpIjoiYzgwYTQ0ZjEyNzQzNGJhN2JmNjEyZTM0NmRhZWZhNjIiLCJwIjoic2hlZXRzLWppcmEifQ","HWKREPORT-605")</f>
        <v>HWKREPORT-605</v>
      </c>
      <c r="C2845" s="1" t="s">
        <v>4153</v>
      </c>
      <c r="D2845" s="1" t="s">
        <v>23</v>
      </c>
      <c r="E2845" s="1" t="s">
        <v>1057</v>
      </c>
      <c r="F2845" s="4">
        <v>44210.76965277778</v>
      </c>
      <c r="G2845" s="3" t="str">
        <f>HYPERLINK("https://hawk-eye.atlassian.net/browse/RTT-3436?atlOrigin=eyJpIjoiYzgwYTQ0ZjEyNzQzNGJhN2JmNjEyZTM0NmRhZWZhNjIiLCJwIjoic2hlZXRzLWppcmEifQ","RTT-3436")</f>
        <v>RTT-3436</v>
      </c>
      <c r="H2845" s="1" t="s">
        <v>1058</v>
      </c>
      <c r="I2845" s="1" t="s">
        <v>1126</v>
      </c>
      <c r="J2845" s="1" t="s">
        <v>26</v>
      </c>
      <c r="K2845" s="1" t="s">
        <v>1072</v>
      </c>
      <c r="L2845" s="1" t="s">
        <v>26</v>
      </c>
      <c r="M2845" s="1" t="s">
        <v>27</v>
      </c>
      <c r="N2845" s="1" t="s">
        <v>26</v>
      </c>
      <c r="O2845" s="1" t="s">
        <v>26</v>
      </c>
      <c r="P2845" s="4">
        <v>44210.76965277778</v>
      </c>
    </row>
    <row r="2846" hidden="1">
      <c r="A2846" s="1" t="s">
        <v>21</v>
      </c>
      <c r="B2846" s="3" t="str">
        <f>HYPERLINK("https://hawk-eye.atlassian.net/browse/HWKREPORT-606?atlOrigin=eyJpIjoiYzgwYTQ0ZjEyNzQzNGJhN2JmNjEyZTM0NmRhZWZhNjIiLCJwIjoic2hlZXRzLWppcmEifQ","HWKREPORT-606")</f>
        <v>HWKREPORT-606</v>
      </c>
      <c r="C2846" s="1" t="s">
        <v>4154</v>
      </c>
      <c r="D2846" s="1" t="s">
        <v>34</v>
      </c>
      <c r="E2846" s="1" t="s">
        <v>35</v>
      </c>
      <c r="F2846" s="4">
        <v>44211.70054398148</v>
      </c>
      <c r="G2846" s="3" t="str">
        <f>HYPERLINK("https://hawk-eye.atlassian.net/browse/VIEWER-1347?atlOrigin=eyJpIjoiYzgwYTQ0ZjEyNzQzNGJhN2JmNjEyZTM0NmRhZWZhNjIiLCJwIjoic2hlZXRzLWppcmEifQ","VIEWER-1347")</f>
        <v>VIEWER-1347</v>
      </c>
      <c r="H2846" s="1" t="s">
        <v>1058</v>
      </c>
      <c r="I2846" s="1" t="s">
        <v>1514</v>
      </c>
      <c r="J2846" s="1" t="s">
        <v>26</v>
      </c>
      <c r="K2846" s="1" t="s">
        <v>1116</v>
      </c>
      <c r="L2846" s="1" t="s">
        <v>26</v>
      </c>
      <c r="M2846" s="1" t="s">
        <v>27</v>
      </c>
      <c r="N2846" s="1" t="s">
        <v>26</v>
      </c>
      <c r="O2846" s="1" t="s">
        <v>26</v>
      </c>
      <c r="P2846" s="4">
        <v>44600.87474537037</v>
      </c>
    </row>
    <row r="2847" hidden="1">
      <c r="A2847" s="1" t="s">
        <v>1055</v>
      </c>
      <c r="B2847" s="3" t="str">
        <f>HYPERLINK("https://hawk-eye.atlassian.net/browse/HWKREPORT-607?atlOrigin=eyJpIjoiYzgwYTQ0ZjEyNzQzNGJhN2JmNjEyZTM0NmRhZWZhNjIiLCJwIjoic2hlZXRzLWppcmEifQ","HWKREPORT-607")</f>
        <v>HWKREPORT-607</v>
      </c>
      <c r="C2847" s="1" t="s">
        <v>4155</v>
      </c>
      <c r="D2847" s="1" t="s">
        <v>23</v>
      </c>
      <c r="E2847" s="1" t="s">
        <v>35</v>
      </c>
      <c r="F2847" s="4">
        <v>44211.739328703705</v>
      </c>
      <c r="G2847" s="3" t="str">
        <f>HYPERLINK("https://hawk-eye.atlassian.net/browse/RTT-3406?atlOrigin=eyJpIjoiYzgwYTQ0ZjEyNzQzNGJhN2JmNjEyZTM0NmRhZWZhNjIiLCJwIjoic2hlZXRzLWppcmEifQ","RTT-3406")</f>
        <v>RTT-3406</v>
      </c>
      <c r="H2847" s="1" t="s">
        <v>1058</v>
      </c>
      <c r="I2847" s="1" t="s">
        <v>1126</v>
      </c>
      <c r="J2847" s="1" t="s">
        <v>26</v>
      </c>
      <c r="K2847" s="1" t="s">
        <v>1072</v>
      </c>
      <c r="L2847" s="1" t="s">
        <v>26</v>
      </c>
      <c r="M2847" s="1" t="s">
        <v>27</v>
      </c>
      <c r="N2847" s="1" t="s">
        <v>26</v>
      </c>
      <c r="O2847" s="1" t="s">
        <v>26</v>
      </c>
      <c r="P2847" s="4">
        <v>44600.87478009259</v>
      </c>
    </row>
    <row r="2848" hidden="1">
      <c r="A2848" s="1" t="s">
        <v>21</v>
      </c>
      <c r="B2848" s="3" t="str">
        <f>HYPERLINK("https://hawk-eye.atlassian.net/browse/HWKREPORT-608?atlOrigin=eyJpIjoiYzgwYTQ0ZjEyNzQzNGJhN2JmNjEyZTM0NmRhZWZhNjIiLCJwIjoic2hlZXRzLWppcmEifQ","HWKREPORT-608")</f>
        <v>HWKREPORT-608</v>
      </c>
      <c r="C2848" s="1" t="s">
        <v>4156</v>
      </c>
      <c r="D2848" s="1" t="s">
        <v>23</v>
      </c>
      <c r="E2848" s="1" t="s">
        <v>35</v>
      </c>
      <c r="F2848" s="4">
        <v>44215.52653935185</v>
      </c>
      <c r="G2848" s="3" t="str">
        <f>HYPERLINK("https://hawk-eye.atlassian.net/browse/CONFIG-537?atlOrigin=eyJpIjoiYzgwYTQ0ZjEyNzQzNGJhN2JmNjEyZTM0NmRhZWZhNjIiLCJwIjoic2hlZXRzLWppcmEifQ","CONFIG-537")</f>
        <v>CONFIG-537</v>
      </c>
      <c r="H2848" s="1" t="s">
        <v>1058</v>
      </c>
      <c r="I2848" s="1" t="s">
        <v>1514</v>
      </c>
      <c r="J2848" s="1" t="s">
        <v>26</v>
      </c>
      <c r="K2848" s="1" t="s">
        <v>1134</v>
      </c>
      <c r="L2848" s="1" t="s">
        <v>26</v>
      </c>
      <c r="M2848" s="1" t="s">
        <v>27</v>
      </c>
      <c r="N2848" s="1" t="s">
        <v>26</v>
      </c>
      <c r="O2848" s="1" t="s">
        <v>26</v>
      </c>
      <c r="P2848" s="4">
        <v>44622.78530092593</v>
      </c>
    </row>
    <row r="2849" hidden="1">
      <c r="A2849" s="1" t="s">
        <v>1055</v>
      </c>
      <c r="B2849" s="3" t="str">
        <f>HYPERLINK("https://hawk-eye.atlassian.net/browse/HWKREPORT-609?atlOrigin=eyJpIjoiYzgwYTQ0ZjEyNzQzNGJhN2JmNjEyZTM0NmRhZWZhNjIiLCJwIjoic2hlZXRzLWppcmEifQ","HWKREPORT-609")</f>
        <v>HWKREPORT-609</v>
      </c>
      <c r="C2849" s="1" t="s">
        <v>4157</v>
      </c>
      <c r="D2849" s="1" t="s">
        <v>23</v>
      </c>
      <c r="E2849" s="1" t="s">
        <v>35</v>
      </c>
      <c r="F2849" s="4">
        <v>44215.53034722222</v>
      </c>
      <c r="G2849" s="3" t="str">
        <f>HYPERLINK("https://hawk-eye.atlassian.net/browse/VIEWER-1388?atlOrigin=eyJpIjoiYzgwYTQ0ZjEyNzQzNGJhN2JmNjEyZTM0NmRhZWZhNjIiLCJwIjoic2hlZXRzLWppcmEifQ","VIEWER-1388")</f>
        <v>VIEWER-1388</v>
      </c>
      <c r="H2849" s="1" t="s">
        <v>1058</v>
      </c>
      <c r="I2849" s="1" t="s">
        <v>28</v>
      </c>
      <c r="J2849" s="1" t="s">
        <v>26</v>
      </c>
      <c r="K2849" s="1" t="s">
        <v>1116</v>
      </c>
      <c r="L2849" s="1" t="s">
        <v>26</v>
      </c>
      <c r="M2849" s="1" t="s">
        <v>27</v>
      </c>
      <c r="N2849" s="1" t="s">
        <v>26</v>
      </c>
      <c r="O2849" s="1" t="s">
        <v>26</v>
      </c>
      <c r="P2849" s="4">
        <v>44600.87525462963</v>
      </c>
    </row>
    <row r="2850" hidden="1">
      <c r="A2850" s="1" t="s">
        <v>1055</v>
      </c>
      <c r="B2850" s="3" t="str">
        <f>HYPERLINK("https://hawk-eye.atlassian.net/browse/HWKREPORT-610?atlOrigin=eyJpIjoiYzgwYTQ0ZjEyNzQzNGJhN2JmNjEyZTM0NmRhZWZhNjIiLCJwIjoic2hlZXRzLWppcmEifQ","HWKREPORT-610")</f>
        <v>HWKREPORT-610</v>
      </c>
      <c r="C2850" s="1" t="s">
        <v>4158</v>
      </c>
      <c r="D2850" s="1" t="s">
        <v>23</v>
      </c>
      <c r="E2850" s="1" t="s">
        <v>35</v>
      </c>
      <c r="F2850" s="4">
        <v>44215.541296296295</v>
      </c>
      <c r="G2850" s="3" t="str">
        <f>HYPERLINK("https://hawk-eye.atlassian.net/browse/VIEWER-1387?atlOrigin=eyJpIjoiYzgwYTQ0ZjEyNzQzNGJhN2JmNjEyZTM0NmRhZWZhNjIiLCJwIjoic2hlZXRzLWppcmEifQ","VIEWER-1387")</f>
        <v>VIEWER-1387</v>
      </c>
      <c r="H2850" s="1" t="s">
        <v>1058</v>
      </c>
      <c r="I2850" s="1" t="s">
        <v>28</v>
      </c>
      <c r="J2850" s="1" t="s">
        <v>26</v>
      </c>
      <c r="K2850" s="1" t="s">
        <v>1116</v>
      </c>
      <c r="L2850" s="1" t="s">
        <v>26</v>
      </c>
      <c r="M2850" s="1" t="s">
        <v>27</v>
      </c>
      <c r="N2850" s="1" t="s">
        <v>26</v>
      </c>
      <c r="O2850" s="1" t="s">
        <v>26</v>
      </c>
      <c r="P2850" s="4">
        <v>44600.875289351854</v>
      </c>
    </row>
    <row r="2851" hidden="1">
      <c r="A2851" s="1" t="s">
        <v>21</v>
      </c>
      <c r="B2851" s="3" t="str">
        <f>HYPERLINK("https://hawk-eye.atlassian.net/browse/HWKREPORT-611?atlOrigin=eyJpIjoiYzgwYTQ0ZjEyNzQzNGJhN2JmNjEyZTM0NmRhZWZhNjIiLCJwIjoic2hlZXRzLWppcmEifQ","HWKREPORT-611")</f>
        <v>HWKREPORT-611</v>
      </c>
      <c r="C2851" s="1" t="s">
        <v>4159</v>
      </c>
      <c r="D2851" s="1" t="s">
        <v>34</v>
      </c>
      <c r="E2851" s="1" t="s">
        <v>35</v>
      </c>
      <c r="F2851" s="4">
        <v>44216.61262731482</v>
      </c>
      <c r="G2851" s="3" t="str">
        <f>HYPERLINK("https://hawk-eye.atlassian.net/browse/RTT-3435?atlOrigin=eyJpIjoiYzgwYTQ0ZjEyNzQzNGJhN2JmNjEyZTM0NmRhZWZhNjIiLCJwIjoic2hlZXRzLWppcmEifQ","RTT-3435")</f>
        <v>RTT-3435</v>
      </c>
      <c r="H2851" s="1" t="s">
        <v>1058</v>
      </c>
      <c r="I2851" s="1" t="s">
        <v>1126</v>
      </c>
      <c r="J2851" s="1" t="s">
        <v>26</v>
      </c>
      <c r="K2851" s="1" t="s">
        <v>1072</v>
      </c>
      <c r="L2851" s="1" t="s">
        <v>26</v>
      </c>
      <c r="M2851" s="1" t="s">
        <v>27</v>
      </c>
      <c r="N2851" s="1" t="s">
        <v>26</v>
      </c>
      <c r="O2851" s="1" t="s">
        <v>26</v>
      </c>
      <c r="P2851" s="4">
        <v>44600.874918981484</v>
      </c>
    </row>
    <row r="2852" hidden="1">
      <c r="A2852" s="1" t="s">
        <v>21</v>
      </c>
      <c r="B2852" s="3" t="str">
        <f>HYPERLINK("https://hawk-eye.atlassian.net/browse/HWKREPORT-612?atlOrigin=eyJpIjoiYzgwYTQ0ZjEyNzQzNGJhN2JmNjEyZTM0NmRhZWZhNjIiLCJwIjoic2hlZXRzLWppcmEifQ","HWKREPORT-612")</f>
        <v>HWKREPORT-612</v>
      </c>
      <c r="C2852" s="1" t="s">
        <v>4160</v>
      </c>
      <c r="D2852" s="1" t="s">
        <v>34</v>
      </c>
      <c r="E2852" s="1" t="s">
        <v>35</v>
      </c>
      <c r="F2852" s="4">
        <v>44223.40556712963</v>
      </c>
      <c r="G2852" s="3" t="str">
        <f>HYPERLINK("https://hawk-eye.atlassian.net/browse/RTT-3456?atlOrigin=eyJpIjoiYzgwYTQ0ZjEyNzQzNGJhN2JmNjEyZTM0NmRhZWZhNjIiLCJwIjoic2hlZXRzLWppcmEifQ","RTT-3456")</f>
        <v>RTT-3456</v>
      </c>
      <c r="H2852" s="1" t="s">
        <v>1058</v>
      </c>
      <c r="I2852" s="1" t="s">
        <v>1126</v>
      </c>
      <c r="J2852" s="1" t="s">
        <v>26</v>
      </c>
      <c r="K2852" s="1" t="s">
        <v>1072</v>
      </c>
      <c r="L2852" s="1" t="s">
        <v>26</v>
      </c>
      <c r="M2852" s="1" t="s">
        <v>27</v>
      </c>
      <c r="N2852" s="1" t="s">
        <v>26</v>
      </c>
      <c r="O2852" s="1" t="s">
        <v>26</v>
      </c>
      <c r="P2852" s="4">
        <v>44600.875289351854</v>
      </c>
    </row>
    <row r="2853" hidden="1">
      <c r="A2853" s="1" t="s">
        <v>21</v>
      </c>
      <c r="B2853" s="3" t="str">
        <f>HYPERLINK("https://hawk-eye.atlassian.net/browse/HWKREPORT-613?atlOrigin=eyJpIjoiYzgwYTQ0ZjEyNzQzNGJhN2JmNjEyZTM0NmRhZWZhNjIiLCJwIjoic2hlZXRzLWppcmEifQ","HWKREPORT-613")</f>
        <v>HWKREPORT-613</v>
      </c>
      <c r="C2853" s="1" t="s">
        <v>4161</v>
      </c>
      <c r="D2853" s="1" t="s">
        <v>23</v>
      </c>
      <c r="E2853" s="1" t="s">
        <v>35</v>
      </c>
      <c r="F2853" s="4">
        <v>44223.44287037037</v>
      </c>
      <c r="G2853" s="3" t="str">
        <f>HYPERLINK("https://hawk-eye.atlassian.net/browse/GT-817?atlOrigin=eyJpIjoiYzgwYTQ0ZjEyNzQzNGJhN2JmNjEyZTM0NmRhZWZhNjIiLCJwIjoic2hlZXRzLWppcmEifQ","GT-817")</f>
        <v>GT-817</v>
      </c>
      <c r="H2853" s="1" t="s">
        <v>1058</v>
      </c>
      <c r="I2853" s="1" t="s">
        <v>1082</v>
      </c>
      <c r="J2853" s="1" t="s">
        <v>26</v>
      </c>
      <c r="K2853" s="1" t="s">
        <v>1105</v>
      </c>
      <c r="L2853" s="1" t="s">
        <v>26</v>
      </c>
      <c r="M2853" s="1" t="s">
        <v>27</v>
      </c>
      <c r="N2853" s="1" t="s">
        <v>26</v>
      </c>
      <c r="O2853" s="1" t="s">
        <v>26</v>
      </c>
      <c r="P2853" s="4">
        <v>45022.47516203704</v>
      </c>
    </row>
    <row r="2854" hidden="1">
      <c r="A2854" s="1" t="s">
        <v>1055</v>
      </c>
      <c r="B2854" s="3" t="str">
        <f>HYPERLINK("https://hawk-eye.atlassian.net/browse/HWKREPORT-614?atlOrigin=eyJpIjoiYzgwYTQ0ZjEyNzQzNGJhN2JmNjEyZTM0NmRhZWZhNjIiLCJwIjoic2hlZXRzLWppcmEifQ","HWKREPORT-614")</f>
        <v>HWKREPORT-614</v>
      </c>
      <c r="C2854" s="1" t="s">
        <v>4162</v>
      </c>
      <c r="D2854" s="1" t="s">
        <v>23</v>
      </c>
      <c r="E2854" s="1" t="s">
        <v>35</v>
      </c>
      <c r="F2854" s="4">
        <v>44223.44734953704</v>
      </c>
      <c r="G2854" s="3" t="str">
        <f>HYPERLINK("https://hawk-eye.atlassian.net/browse/GT-739?atlOrigin=eyJpIjoiYzgwYTQ0ZjEyNzQzNGJhN2JmNjEyZTM0NmRhZWZhNjIiLCJwIjoic2hlZXRzLWppcmEifQ","GT-739")</f>
        <v>GT-739</v>
      </c>
      <c r="H2854" s="1" t="s">
        <v>1058</v>
      </c>
      <c r="I2854" s="1" t="s">
        <v>1082</v>
      </c>
      <c r="J2854" s="1" t="s">
        <v>26</v>
      </c>
      <c r="K2854" s="1" t="s">
        <v>1114</v>
      </c>
      <c r="L2854" s="1" t="s">
        <v>26</v>
      </c>
      <c r="M2854" s="1" t="s">
        <v>27</v>
      </c>
      <c r="N2854" s="1" t="s">
        <v>26</v>
      </c>
      <c r="O2854" s="1" t="s">
        <v>26</v>
      </c>
      <c r="P2854" s="4">
        <v>45029.71065972222</v>
      </c>
    </row>
    <row r="2855" hidden="1">
      <c r="A2855" s="1" t="s">
        <v>21</v>
      </c>
      <c r="B2855" s="3" t="str">
        <f>HYPERLINK("https://hawk-eye.atlassian.net/browse/HWKREPORT-615?atlOrigin=eyJpIjoiYzgwYTQ0ZjEyNzQzNGJhN2JmNjEyZTM0NmRhZWZhNjIiLCJwIjoic2hlZXRzLWppcmEifQ","HWKREPORT-615")</f>
        <v>HWKREPORT-615</v>
      </c>
      <c r="C2855" s="1" t="s">
        <v>4163</v>
      </c>
      <c r="D2855" s="1" t="s">
        <v>23</v>
      </c>
      <c r="E2855" s="1" t="s">
        <v>35</v>
      </c>
      <c r="F2855" s="4">
        <v>44223.45149305555</v>
      </c>
      <c r="G2855" s="3" t="str">
        <f>HYPERLINK("https://hawk-eye.atlassian.net/browse/CVR-66?atlOrigin=eyJpIjoiYzgwYTQ0ZjEyNzQzNGJhN2JmNjEyZTM0NmRhZWZhNjIiLCJwIjoic2hlZXRzLWppcmEifQ","CVR-66")</f>
        <v>CVR-66</v>
      </c>
      <c r="H2855" s="1" t="s">
        <v>1058</v>
      </c>
      <c r="I2855" s="1" t="s">
        <v>1082</v>
      </c>
      <c r="J2855" s="1" t="s">
        <v>26</v>
      </c>
      <c r="K2855" s="1" t="s">
        <v>1744</v>
      </c>
      <c r="L2855" s="1" t="s">
        <v>26</v>
      </c>
      <c r="M2855" s="1" t="s">
        <v>27</v>
      </c>
      <c r="N2855" s="1" t="s">
        <v>26</v>
      </c>
      <c r="O2855" s="1" t="s">
        <v>26</v>
      </c>
      <c r="P2855" s="4">
        <v>45547.652708333335</v>
      </c>
    </row>
    <row r="2856" hidden="1">
      <c r="A2856" s="1" t="s">
        <v>21</v>
      </c>
      <c r="B2856" s="3" t="str">
        <f>HYPERLINK("https://hawk-eye.atlassian.net/browse/HWKREPORT-616?atlOrigin=eyJpIjoiYzgwYTQ0ZjEyNzQzNGJhN2JmNjEyZTM0NmRhZWZhNjIiLCJwIjoic2hlZXRzLWppcmEifQ","HWKREPORT-616")</f>
        <v>HWKREPORT-616</v>
      </c>
      <c r="C2856" s="1" t="s">
        <v>4164</v>
      </c>
      <c r="D2856" s="1" t="s">
        <v>23</v>
      </c>
      <c r="E2856" s="1" t="s">
        <v>35</v>
      </c>
      <c r="F2856" s="4">
        <v>44224.125972222224</v>
      </c>
      <c r="G2856" s="3" t="str">
        <f>HYPERLINK("https://hawk-eye.atlassian.net/browse/RTT-3460?atlOrigin=eyJpIjoiYzgwYTQ0ZjEyNzQzNGJhN2JmNjEyZTM0NmRhZWZhNjIiLCJwIjoic2hlZXRzLWppcmEifQ","RTT-3460")</f>
        <v>RTT-3460</v>
      </c>
      <c r="H2856" s="1" t="s">
        <v>1058</v>
      </c>
      <c r="I2856" s="1" t="s">
        <v>1071</v>
      </c>
      <c r="J2856" s="1" t="s">
        <v>26</v>
      </c>
      <c r="K2856" s="1" t="s">
        <v>1072</v>
      </c>
      <c r="L2856" s="1" t="s">
        <v>26</v>
      </c>
      <c r="M2856" s="1" t="s">
        <v>27</v>
      </c>
      <c r="N2856" s="1" t="s">
        <v>26</v>
      </c>
      <c r="O2856" s="1" t="s">
        <v>26</v>
      </c>
      <c r="P2856" s="4">
        <v>44600.87496527778</v>
      </c>
    </row>
    <row r="2857" hidden="1">
      <c r="A2857" s="1" t="s">
        <v>21</v>
      </c>
      <c r="B2857" s="3" t="str">
        <f>HYPERLINK("https://hawk-eye.atlassian.net/browse/HWKREPORT-617?atlOrigin=eyJpIjoiYzgwYTQ0ZjEyNzQzNGJhN2JmNjEyZTM0NmRhZWZhNjIiLCJwIjoic2hlZXRzLWppcmEifQ","HWKREPORT-617")</f>
        <v>HWKREPORT-617</v>
      </c>
      <c r="C2857" s="1" t="s">
        <v>4165</v>
      </c>
      <c r="D2857" s="1" t="s">
        <v>23</v>
      </c>
      <c r="E2857" s="1" t="s">
        <v>35</v>
      </c>
      <c r="F2857" s="4">
        <v>44225.685532407406</v>
      </c>
      <c r="G2857" s="3" t="str">
        <f>HYPERLINK("https://hawk-eye.atlassian.net/browse/AT-458?atlOrigin=eyJpIjoiYzgwYTQ0ZjEyNzQzNGJhN2JmNjEyZTM0NmRhZWZhNjIiLCJwIjoic2hlZXRzLWppcmEifQ","AT-458")</f>
        <v>AT-458</v>
      </c>
      <c r="H2857" s="1" t="s">
        <v>1058</v>
      </c>
      <c r="I2857" s="1" t="s">
        <v>1082</v>
      </c>
      <c r="J2857" s="1" t="s">
        <v>26</v>
      </c>
      <c r="K2857" s="1" t="s">
        <v>1105</v>
      </c>
      <c r="L2857" s="1" t="s">
        <v>26</v>
      </c>
      <c r="M2857" s="1" t="s">
        <v>27</v>
      </c>
      <c r="N2857" s="1" t="s">
        <v>26</v>
      </c>
      <c r="O2857" s="1" t="s">
        <v>26</v>
      </c>
      <c r="P2857" s="4">
        <v>45016.37966435185</v>
      </c>
    </row>
    <row r="2858" hidden="1">
      <c r="A2858" s="1" t="s">
        <v>21</v>
      </c>
      <c r="B2858" s="3" t="str">
        <f>HYPERLINK("https://hawk-eye.atlassian.net/browse/HWKREPORT-618?atlOrigin=eyJpIjoiYzgwYTQ0ZjEyNzQzNGJhN2JmNjEyZTM0NmRhZWZhNjIiLCJwIjoic2hlZXRzLWppcmEifQ","HWKREPORT-618")</f>
        <v>HWKREPORT-618</v>
      </c>
      <c r="C2858" s="1" t="s">
        <v>4166</v>
      </c>
      <c r="D2858" s="1" t="s">
        <v>23</v>
      </c>
      <c r="E2858" s="1" t="s">
        <v>35</v>
      </c>
      <c r="F2858" s="4">
        <v>44225.69420138889</v>
      </c>
      <c r="G2858" s="3" t="str">
        <f>HYPERLINK("https://hawk-eye.atlassian.net/browse/GT-834?atlOrigin=eyJpIjoiYzgwYTQ0ZjEyNzQzNGJhN2JmNjEyZTM0NmRhZWZhNjIiLCJwIjoic2hlZXRzLWppcmEifQ","GT-834")</f>
        <v>GT-834</v>
      </c>
      <c r="H2858" s="1" t="s">
        <v>1058</v>
      </c>
      <c r="I2858" s="1" t="s">
        <v>1082</v>
      </c>
      <c r="J2858" s="1" t="s">
        <v>26</v>
      </c>
      <c r="K2858" s="1" t="s">
        <v>1105</v>
      </c>
      <c r="L2858" s="1" t="s">
        <v>26</v>
      </c>
      <c r="M2858" s="1" t="s">
        <v>27</v>
      </c>
      <c r="N2858" s="1" t="s">
        <v>26</v>
      </c>
      <c r="O2858" s="1" t="s">
        <v>26</v>
      </c>
      <c r="P2858" s="4">
        <v>45082.74586805556</v>
      </c>
    </row>
    <row r="2859" hidden="1">
      <c r="A2859" s="1" t="s">
        <v>1055</v>
      </c>
      <c r="B2859" s="3" t="str">
        <f>HYPERLINK("https://hawk-eye.atlassian.net/browse/HWKREPORT-619?atlOrigin=eyJpIjoiYzgwYTQ0ZjEyNzQzNGJhN2JmNjEyZTM0NmRhZWZhNjIiLCJwIjoic2hlZXRzLWppcmEifQ","HWKREPORT-619")</f>
        <v>HWKREPORT-619</v>
      </c>
      <c r="C2859" s="1" t="s">
        <v>4167</v>
      </c>
      <c r="D2859" s="1" t="s">
        <v>23</v>
      </c>
      <c r="E2859" s="1" t="s">
        <v>35</v>
      </c>
      <c r="F2859" s="4">
        <v>44226.773518518516</v>
      </c>
      <c r="G2859" s="3" t="str">
        <f>HYPERLINK("https://hawk-eye.atlassian.net/browse/RTT-3640?atlOrigin=eyJpIjoiYzgwYTQ0ZjEyNzQzNGJhN2JmNjEyZTM0NmRhZWZhNjIiLCJwIjoic2hlZXRzLWppcmEifQ","RTT-3640")</f>
        <v>RTT-3640</v>
      </c>
      <c r="H2859" s="1" t="s">
        <v>1058</v>
      </c>
      <c r="I2859" s="1" t="s">
        <v>1071</v>
      </c>
      <c r="J2859" s="1" t="s">
        <v>26</v>
      </c>
      <c r="K2859" s="1" t="s">
        <v>26</v>
      </c>
      <c r="L2859" s="1" t="s">
        <v>26</v>
      </c>
      <c r="M2859" s="1" t="s">
        <v>27</v>
      </c>
      <c r="N2859" s="1" t="s">
        <v>26</v>
      </c>
      <c r="O2859" s="1" t="s">
        <v>26</v>
      </c>
      <c r="P2859" s="4">
        <v>44600.874976851854</v>
      </c>
    </row>
    <row r="2860" hidden="1">
      <c r="A2860" s="1" t="s">
        <v>21</v>
      </c>
      <c r="B2860" s="3" t="str">
        <f>HYPERLINK("https://hawk-eye.atlassian.net/browse/HWKREPORT-620?atlOrigin=eyJpIjoiYzgwYTQ0ZjEyNzQzNGJhN2JmNjEyZTM0NmRhZWZhNjIiLCJwIjoic2hlZXRzLWppcmEifQ","HWKREPORT-620")</f>
        <v>HWKREPORT-620</v>
      </c>
      <c r="C2860" s="1" t="s">
        <v>4168</v>
      </c>
      <c r="D2860" s="1" t="s">
        <v>23</v>
      </c>
      <c r="E2860" s="1" t="s">
        <v>35</v>
      </c>
      <c r="F2860" s="4">
        <v>44226.94452546296</v>
      </c>
      <c r="G2860" s="3" t="str">
        <f>HYPERLINK("https://hawk-eye.atlassian.net/browse/RTT-3467?atlOrigin=eyJpIjoiYzgwYTQ0ZjEyNzQzNGJhN2JmNjEyZTM0NmRhZWZhNjIiLCJwIjoic2hlZXRzLWppcmEifQ","RTT-3467")</f>
        <v>RTT-3467</v>
      </c>
      <c r="H2860" s="1" t="s">
        <v>1058</v>
      </c>
      <c r="I2860" s="1" t="s">
        <v>1071</v>
      </c>
      <c r="J2860" s="1" t="s">
        <v>26</v>
      </c>
      <c r="K2860" s="1" t="s">
        <v>1072</v>
      </c>
      <c r="L2860" s="1" t="s">
        <v>26</v>
      </c>
      <c r="M2860" s="1" t="s">
        <v>27</v>
      </c>
      <c r="N2860" s="1" t="s">
        <v>26</v>
      </c>
      <c r="O2860" s="1" t="s">
        <v>26</v>
      </c>
      <c r="P2860" s="4">
        <v>44600.874976851854</v>
      </c>
    </row>
    <row r="2861" hidden="1">
      <c r="A2861" s="1" t="s">
        <v>21</v>
      </c>
      <c r="B2861" s="3" t="str">
        <f>HYPERLINK("https://hawk-eye.atlassian.net/browse/HWKREPORT-621?atlOrigin=eyJpIjoiYzgwYTQ0ZjEyNzQzNGJhN2JmNjEyZTM0NmRhZWZhNjIiLCJwIjoic2hlZXRzLWppcmEifQ","HWKREPORT-621")</f>
        <v>HWKREPORT-621</v>
      </c>
      <c r="C2861" s="1" t="s">
        <v>4169</v>
      </c>
      <c r="D2861" s="1" t="s">
        <v>23</v>
      </c>
      <c r="E2861" s="1" t="s">
        <v>35</v>
      </c>
      <c r="F2861" s="4">
        <v>44226.9503125</v>
      </c>
      <c r="G2861" s="3" t="str">
        <f>HYPERLINK("https://hawk-eye.atlassian.net/browse/RTT-3466?atlOrigin=eyJpIjoiYzgwYTQ0ZjEyNzQzNGJhN2JmNjEyZTM0NmRhZWZhNjIiLCJwIjoic2hlZXRzLWppcmEifQ","RTT-3466")</f>
        <v>RTT-3466</v>
      </c>
      <c r="H2861" s="1" t="s">
        <v>1058</v>
      </c>
      <c r="I2861" s="1" t="s">
        <v>1071</v>
      </c>
      <c r="J2861" s="1" t="s">
        <v>26</v>
      </c>
      <c r="K2861" s="1" t="s">
        <v>1072</v>
      </c>
      <c r="L2861" s="1" t="s">
        <v>26</v>
      </c>
      <c r="M2861" s="1" t="s">
        <v>27</v>
      </c>
      <c r="N2861" s="1" t="s">
        <v>26</v>
      </c>
      <c r="O2861" s="1" t="s">
        <v>26</v>
      </c>
      <c r="P2861" s="4">
        <v>44600.87496527778</v>
      </c>
    </row>
    <row r="2862" hidden="1">
      <c r="A2862" s="1" t="s">
        <v>21</v>
      </c>
      <c r="B2862" s="3" t="str">
        <f>HYPERLINK("https://hawk-eye.atlassian.net/browse/HWKREPORT-622?atlOrigin=eyJpIjoiYzgwYTQ0ZjEyNzQzNGJhN2JmNjEyZTM0NmRhZWZhNjIiLCJwIjoic2hlZXRzLWppcmEifQ","HWKREPORT-622")</f>
        <v>HWKREPORT-622</v>
      </c>
      <c r="C2862" s="1" t="s">
        <v>4170</v>
      </c>
      <c r="D2862" s="1" t="s">
        <v>23</v>
      </c>
      <c r="E2862" s="1" t="s">
        <v>35</v>
      </c>
      <c r="F2862" s="4">
        <v>44226.95990740741</v>
      </c>
      <c r="G2862" s="3" t="str">
        <f>HYPERLINK("https://hawk-eye.atlassian.net/browse/?atlOrigin=eyJpIjoiYzgwYTQ0ZjEyNzQzNGJhN2JmNjEyZTM0NmRhZWZhNjIiLCJwIjoic2hlZXRzLWppcmEifQ","")</f>
        <v/>
      </c>
      <c r="H2862" s="1" t="s">
        <v>1058</v>
      </c>
      <c r="I2862" s="1" t="s">
        <v>1071</v>
      </c>
      <c r="J2862" s="1" t="s">
        <v>26</v>
      </c>
      <c r="K2862" s="1" t="s">
        <v>1397</v>
      </c>
      <c r="L2862" s="1" t="s">
        <v>26</v>
      </c>
      <c r="M2862" s="1" t="s">
        <v>27</v>
      </c>
      <c r="N2862" s="1" t="s">
        <v>26</v>
      </c>
      <c r="O2862" s="1" t="s">
        <v>26</v>
      </c>
      <c r="P2862" s="4">
        <v>44229.660462962966</v>
      </c>
    </row>
    <row r="2863" hidden="1">
      <c r="A2863" s="1" t="s">
        <v>1055</v>
      </c>
      <c r="B2863" s="3" t="str">
        <f>HYPERLINK("https://hawk-eye.atlassian.net/browse/HWKREPORT-623?atlOrigin=eyJpIjoiYzgwYTQ0ZjEyNzQzNGJhN2JmNjEyZTM0NmRhZWZhNjIiLCJwIjoic2hlZXRzLWppcmEifQ","HWKREPORT-623")</f>
        <v>HWKREPORT-623</v>
      </c>
      <c r="C2863" s="1" t="s">
        <v>4171</v>
      </c>
      <c r="D2863" s="1" t="s">
        <v>23</v>
      </c>
      <c r="E2863" s="1" t="s">
        <v>35</v>
      </c>
      <c r="F2863" s="4">
        <v>44231.67321759259</v>
      </c>
      <c r="G2863" s="3" t="str">
        <f>HYPERLINK("https://hawk-eye.atlassian.net/browse/RTT-3508?atlOrigin=eyJpIjoiYzgwYTQ0ZjEyNzQzNGJhN2JmNjEyZTM0NmRhZWZhNjIiLCJwIjoic2hlZXRzLWppcmEifQ","RTT-3508")</f>
        <v>RTT-3508</v>
      </c>
      <c r="H2863" s="1" t="s">
        <v>1058</v>
      </c>
      <c r="I2863" s="1" t="s">
        <v>1126</v>
      </c>
      <c r="J2863" s="1" t="s">
        <v>26</v>
      </c>
      <c r="K2863" s="1" t="s">
        <v>2197</v>
      </c>
      <c r="L2863" s="1" t="s">
        <v>26</v>
      </c>
      <c r="M2863" s="1" t="s">
        <v>27</v>
      </c>
      <c r="N2863" s="1" t="s">
        <v>26</v>
      </c>
      <c r="O2863" s="1" t="s">
        <v>26</v>
      </c>
      <c r="P2863" s="4">
        <v>44600.874606481484</v>
      </c>
    </row>
    <row r="2864" hidden="1">
      <c r="A2864" s="1" t="s">
        <v>1055</v>
      </c>
      <c r="B2864" s="3" t="str">
        <f>HYPERLINK("https://hawk-eye.atlassian.net/browse/HWKREPORT-624?atlOrigin=eyJpIjoiYzgwYTQ0ZjEyNzQzNGJhN2JmNjEyZTM0NmRhZWZhNjIiLCJwIjoic2hlZXRzLWppcmEifQ","HWKREPORT-624")</f>
        <v>HWKREPORT-624</v>
      </c>
      <c r="C2864" s="1" t="s">
        <v>4172</v>
      </c>
      <c r="D2864" s="1" t="s">
        <v>23</v>
      </c>
      <c r="E2864" s="1" t="s">
        <v>35</v>
      </c>
      <c r="F2864" s="4">
        <v>44234.935590277775</v>
      </c>
      <c r="G2864" s="3" t="str">
        <f>HYPERLINK("https://hawk-eye.atlassian.net/browse/RTT-3526?atlOrigin=eyJpIjoiYzgwYTQ0ZjEyNzQzNGJhN2JmNjEyZTM0NmRhZWZhNjIiLCJwIjoic2hlZXRzLWppcmEifQ","RTT-3526")</f>
        <v>RTT-3526</v>
      </c>
      <c r="H2864" s="1" t="s">
        <v>1058</v>
      </c>
      <c r="I2864" s="1" t="s">
        <v>1126</v>
      </c>
      <c r="J2864" s="1" t="s">
        <v>26</v>
      </c>
      <c r="K2864" s="1" t="s">
        <v>1312</v>
      </c>
      <c r="L2864" s="1" t="s">
        <v>26</v>
      </c>
      <c r="M2864" s="1" t="s">
        <v>27</v>
      </c>
      <c r="N2864" s="1" t="s">
        <v>26</v>
      </c>
      <c r="O2864" s="1" t="s">
        <v>26</v>
      </c>
      <c r="P2864" s="4">
        <v>44803.39577546297</v>
      </c>
    </row>
    <row r="2865" hidden="1">
      <c r="A2865" s="1" t="s">
        <v>1055</v>
      </c>
      <c r="B2865" s="3" t="str">
        <f>HYPERLINK("https://hawk-eye.atlassian.net/browse/HWKREPORT-625?atlOrigin=eyJpIjoiYzgwYTQ0ZjEyNzQzNGJhN2JmNjEyZTM0NmRhZWZhNjIiLCJwIjoic2hlZXRzLWppcmEifQ","HWKREPORT-625")</f>
        <v>HWKREPORT-625</v>
      </c>
      <c r="C2865" s="1" t="s">
        <v>4173</v>
      </c>
      <c r="D2865" s="1" t="s">
        <v>23</v>
      </c>
      <c r="E2865" s="1" t="s">
        <v>35</v>
      </c>
      <c r="F2865" s="4">
        <v>44235.01733796296</v>
      </c>
      <c r="G2865" s="3" t="str">
        <f>HYPERLINK("https://hawk-eye.atlassian.net/issues/?atlOrigin=eyJpIjoiYzgwYTQ0ZjEyNzQzNGJhN2JmNjEyZTM0NmRhZWZhNjIiLCJwIjoic2hlZXRzLWppcmEifQ&amp;jql=key+in+%28RTT-3525%2CRTT-4910%29","RTT-3525;RTT-4910")</f>
        <v>RTT-3525;RTT-4910</v>
      </c>
      <c r="H2865" s="1" t="s">
        <v>1058</v>
      </c>
      <c r="I2865" s="1" t="s">
        <v>1126</v>
      </c>
      <c r="J2865" s="1" t="s">
        <v>26</v>
      </c>
      <c r="K2865" s="1" t="s">
        <v>2197</v>
      </c>
      <c r="L2865" s="1" t="s">
        <v>26</v>
      </c>
      <c r="M2865" s="1" t="s">
        <v>27</v>
      </c>
      <c r="N2865" s="1" t="s">
        <v>26</v>
      </c>
      <c r="O2865" s="1" t="s">
        <v>26</v>
      </c>
      <c r="P2865" s="4">
        <v>44847.68431712963</v>
      </c>
    </row>
    <row r="2866" hidden="1">
      <c r="A2866" s="1" t="s">
        <v>21</v>
      </c>
      <c r="B2866" s="3" t="str">
        <f>HYPERLINK("https://hawk-eye.atlassian.net/browse/HWKREPORT-626?atlOrigin=eyJpIjoiYzgwYTQ0ZjEyNzQzNGJhN2JmNjEyZTM0NmRhZWZhNjIiLCJwIjoic2hlZXRzLWppcmEifQ","HWKREPORT-626")</f>
        <v>HWKREPORT-626</v>
      </c>
      <c r="C2866" s="1" t="s">
        <v>4174</v>
      </c>
      <c r="D2866" s="1" t="s">
        <v>34</v>
      </c>
      <c r="E2866" s="1" t="s">
        <v>35</v>
      </c>
      <c r="F2866" s="4">
        <v>44235.02327546296</v>
      </c>
      <c r="G2866" s="3" t="str">
        <f>HYPERLINK("https://hawk-eye.atlassian.net/browse/RTT-3524?atlOrigin=eyJpIjoiYzgwYTQ0ZjEyNzQzNGJhN2JmNjEyZTM0NmRhZWZhNjIiLCJwIjoic2hlZXRzLWppcmEifQ","RTT-3524")</f>
        <v>RTT-3524</v>
      </c>
      <c r="H2866" s="1" t="s">
        <v>1058</v>
      </c>
      <c r="I2866" s="1" t="s">
        <v>1126</v>
      </c>
      <c r="J2866" s="1" t="s">
        <v>26</v>
      </c>
      <c r="K2866" s="1" t="s">
        <v>1072</v>
      </c>
      <c r="L2866" s="1" t="s">
        <v>26</v>
      </c>
      <c r="M2866" s="1" t="s">
        <v>27</v>
      </c>
      <c r="N2866" s="1" t="s">
        <v>26</v>
      </c>
      <c r="O2866" s="1" t="s">
        <v>26</v>
      </c>
      <c r="P2866" s="4">
        <v>44307.40802083333</v>
      </c>
    </row>
    <row r="2867" hidden="1">
      <c r="A2867" s="1" t="s">
        <v>1055</v>
      </c>
      <c r="B2867" s="3" t="str">
        <f>HYPERLINK("https://hawk-eye.atlassian.net/browse/HWKREPORT-627?atlOrigin=eyJpIjoiYzgwYTQ0ZjEyNzQzNGJhN2JmNjEyZTM0NmRhZWZhNjIiLCJwIjoic2hlZXRzLWppcmEifQ","HWKREPORT-627")</f>
        <v>HWKREPORT-627</v>
      </c>
      <c r="C2867" s="1" t="s">
        <v>4175</v>
      </c>
      <c r="D2867" s="1" t="s">
        <v>23</v>
      </c>
      <c r="E2867" s="1" t="s">
        <v>1207</v>
      </c>
      <c r="F2867" s="4">
        <v>44235.429710648146</v>
      </c>
      <c r="G2867" s="3" t="str">
        <f>HYPERLINK("https://hawk-eye.atlassian.net/issues/?atlOrigin=eyJpIjoiYzgwYTQ0ZjEyNzQzNGJhN2JmNjEyZTM0NmRhZWZhNjIiLCJwIjoic2hlZXRzLWppcmEifQ&amp;jql=key+in+%28RTT-4663%2CRTT-5913%29","RTT-4663;RTT-5913")</f>
        <v>RTT-4663;RTT-5913</v>
      </c>
      <c r="H2867" s="1" t="s">
        <v>1058</v>
      </c>
      <c r="I2867" s="1" t="s">
        <v>1126</v>
      </c>
      <c r="J2867" s="1" t="s">
        <v>26</v>
      </c>
      <c r="K2867" s="1" t="s">
        <v>1072</v>
      </c>
      <c r="L2867" s="1" t="s">
        <v>26</v>
      </c>
      <c r="M2867" s="1" t="s">
        <v>27</v>
      </c>
      <c r="N2867" s="1" t="s">
        <v>26</v>
      </c>
      <c r="O2867" s="1" t="s">
        <v>26</v>
      </c>
      <c r="P2867" s="4">
        <v>45085.632893518516</v>
      </c>
    </row>
    <row r="2868" hidden="1">
      <c r="A2868" s="1" t="s">
        <v>1055</v>
      </c>
      <c r="B2868" s="3" t="str">
        <f>HYPERLINK("https://hawk-eye.atlassian.net/browse/HWKREPORT-628?atlOrigin=eyJpIjoiYzgwYTQ0ZjEyNzQzNGJhN2JmNjEyZTM0NmRhZWZhNjIiLCJwIjoic2hlZXRzLWppcmEifQ","HWKREPORT-628")</f>
        <v>HWKREPORT-628</v>
      </c>
      <c r="C2868" s="1" t="s">
        <v>4176</v>
      </c>
      <c r="D2868" s="1" t="s">
        <v>23</v>
      </c>
      <c r="E2868" s="1" t="s">
        <v>35</v>
      </c>
      <c r="F2868" s="4">
        <v>44235.445439814815</v>
      </c>
      <c r="G2868" s="3" t="str">
        <f>HYPERLINK("https://hawk-eye.atlassian.net/browse/RTT-3528?atlOrigin=eyJpIjoiYzgwYTQ0ZjEyNzQzNGJhN2JmNjEyZTM0NmRhZWZhNjIiLCJwIjoic2hlZXRzLWppcmEifQ","RTT-3528")</f>
        <v>RTT-3528</v>
      </c>
      <c r="H2868" s="1" t="s">
        <v>1058</v>
      </c>
      <c r="I2868" s="1" t="s">
        <v>1126</v>
      </c>
      <c r="J2868" s="1" t="s">
        <v>26</v>
      </c>
      <c r="K2868" s="1" t="s">
        <v>1072</v>
      </c>
      <c r="L2868" s="1" t="s">
        <v>26</v>
      </c>
      <c r="M2868" s="1" t="s">
        <v>27</v>
      </c>
      <c r="N2868" s="1" t="s">
        <v>26</v>
      </c>
      <c r="O2868" s="1" t="s">
        <v>26</v>
      </c>
      <c r="P2868" s="4">
        <v>45051.39511574074</v>
      </c>
    </row>
    <row r="2869" hidden="1">
      <c r="A2869" s="1" t="s">
        <v>1055</v>
      </c>
      <c r="B2869" s="3" t="str">
        <f>HYPERLINK("https://hawk-eye.atlassian.net/browse/HWKREPORT-629?atlOrigin=eyJpIjoiYzgwYTQ0ZjEyNzQzNGJhN2JmNjEyZTM0NmRhZWZhNjIiLCJwIjoic2hlZXRzLWppcmEifQ","HWKREPORT-629")</f>
        <v>HWKREPORT-629</v>
      </c>
      <c r="C2869" s="1" t="s">
        <v>4177</v>
      </c>
      <c r="D2869" s="1" t="s">
        <v>23</v>
      </c>
      <c r="E2869" s="1" t="s">
        <v>35</v>
      </c>
      <c r="F2869" s="4">
        <v>44235.45240740741</v>
      </c>
      <c r="G2869" s="3" t="str">
        <f>HYPERLINK("https://hawk-eye.atlassian.net/browse/RTT-3529?atlOrigin=eyJpIjoiYzgwYTQ0ZjEyNzQzNGJhN2JmNjEyZTM0NmRhZWZhNjIiLCJwIjoic2hlZXRzLWppcmEifQ","RTT-3529")</f>
        <v>RTT-3529</v>
      </c>
      <c r="H2869" s="1" t="s">
        <v>1058</v>
      </c>
      <c r="I2869" s="1" t="s">
        <v>1126</v>
      </c>
      <c r="J2869" s="1" t="s">
        <v>26</v>
      </c>
      <c r="K2869" s="1" t="s">
        <v>1312</v>
      </c>
      <c r="L2869" s="1" t="s">
        <v>26</v>
      </c>
      <c r="M2869" s="1" t="s">
        <v>27</v>
      </c>
      <c r="N2869" s="1" t="s">
        <v>26</v>
      </c>
      <c r="O2869" s="1" t="s">
        <v>26</v>
      </c>
      <c r="P2869" s="4">
        <v>44600.874930555554</v>
      </c>
    </row>
    <row r="2870" hidden="1">
      <c r="A2870" s="1" t="s">
        <v>21</v>
      </c>
      <c r="B2870" s="3" t="str">
        <f>HYPERLINK("https://hawk-eye.atlassian.net/browse/HWKREPORT-630?atlOrigin=eyJpIjoiYzgwYTQ0ZjEyNzQzNGJhN2JmNjEyZTM0NmRhZWZhNjIiLCJwIjoic2hlZXRzLWppcmEifQ","HWKREPORT-630")</f>
        <v>HWKREPORT-630</v>
      </c>
      <c r="C2870" s="1" t="s">
        <v>4178</v>
      </c>
      <c r="D2870" s="1" t="s">
        <v>23</v>
      </c>
      <c r="E2870" s="1" t="s">
        <v>35</v>
      </c>
      <c r="F2870" s="4">
        <v>44236.42784722222</v>
      </c>
      <c r="G2870" s="3" t="str">
        <f>HYPERLINK("https://hawk-eye.atlassian.net/browse/CVR-67?atlOrigin=eyJpIjoiYzgwYTQ0ZjEyNzQzNGJhN2JmNjEyZTM0NmRhZWZhNjIiLCJwIjoic2hlZXRzLWppcmEifQ","CVR-67")</f>
        <v>CVR-67</v>
      </c>
      <c r="H2870" s="1" t="s">
        <v>1058</v>
      </c>
      <c r="I2870" s="1" t="s">
        <v>1082</v>
      </c>
      <c r="J2870" s="1" t="s">
        <v>26</v>
      </c>
      <c r="K2870" s="1" t="s">
        <v>1744</v>
      </c>
      <c r="L2870" s="1" t="s">
        <v>26</v>
      </c>
      <c r="M2870" s="1" t="s">
        <v>27</v>
      </c>
      <c r="N2870" s="1" t="s">
        <v>26</v>
      </c>
      <c r="O2870" s="1" t="s">
        <v>26</v>
      </c>
      <c r="P2870" s="4">
        <v>44600.87498842592</v>
      </c>
    </row>
    <row r="2871" hidden="1">
      <c r="A2871" s="1" t="s">
        <v>1055</v>
      </c>
      <c r="B2871" s="3" t="str">
        <f>HYPERLINK("https://hawk-eye.atlassian.net/browse/HWKREPORT-631?atlOrigin=eyJpIjoiYzgwYTQ0ZjEyNzQzNGJhN2JmNjEyZTM0NmRhZWZhNjIiLCJwIjoic2hlZXRzLWppcmEifQ","HWKREPORT-631")</f>
        <v>HWKREPORT-631</v>
      </c>
      <c r="C2871" s="1" t="s">
        <v>4179</v>
      </c>
      <c r="D2871" s="1" t="s">
        <v>23</v>
      </c>
      <c r="E2871" s="1" t="s">
        <v>35</v>
      </c>
      <c r="F2871" s="4">
        <v>44236.63445601852</v>
      </c>
      <c r="G2871" s="3" t="str">
        <f>HYPERLINK("https://hawk-eye.atlassian.net/browse/RTT-3545?atlOrigin=eyJpIjoiYzgwYTQ0ZjEyNzQzNGJhN2JmNjEyZTM0NmRhZWZhNjIiLCJwIjoic2hlZXRzLWppcmEifQ","RTT-3545")</f>
        <v>RTT-3545</v>
      </c>
      <c r="H2871" s="1" t="s">
        <v>1058</v>
      </c>
      <c r="I2871" s="1" t="s">
        <v>1126</v>
      </c>
      <c r="J2871" s="1" t="s">
        <v>26</v>
      </c>
      <c r="K2871" s="1" t="s">
        <v>1072</v>
      </c>
      <c r="L2871" s="1" t="s">
        <v>26</v>
      </c>
      <c r="M2871" s="1" t="s">
        <v>27</v>
      </c>
      <c r="N2871" s="1" t="s">
        <v>26</v>
      </c>
      <c r="O2871" s="1" t="s">
        <v>26</v>
      </c>
      <c r="P2871" s="4">
        <v>44582.44920138889</v>
      </c>
    </row>
    <row r="2872" hidden="1">
      <c r="A2872" s="1" t="s">
        <v>1055</v>
      </c>
      <c r="B2872" s="3" t="str">
        <f>HYPERLINK("https://hawk-eye.atlassian.net/browse/HWKREPORT-632?atlOrigin=eyJpIjoiYzgwYTQ0ZjEyNzQzNGJhN2JmNjEyZTM0NmRhZWZhNjIiLCJwIjoic2hlZXRzLWppcmEifQ","HWKREPORT-632")</f>
        <v>HWKREPORT-632</v>
      </c>
      <c r="C2872" s="1" t="s">
        <v>4180</v>
      </c>
      <c r="D2872" s="1" t="s">
        <v>23</v>
      </c>
      <c r="E2872" s="1" t="s">
        <v>35</v>
      </c>
      <c r="F2872" s="4">
        <v>44236.65835648148</v>
      </c>
      <c r="G2872" s="3" t="str">
        <f>HYPERLINK("https://hawk-eye.atlassian.net/browse/RTT-3642?atlOrigin=eyJpIjoiYzgwYTQ0ZjEyNzQzNGJhN2JmNjEyZTM0NmRhZWZhNjIiLCJwIjoic2hlZXRzLWppcmEifQ","RTT-3642")</f>
        <v>RTT-3642</v>
      </c>
      <c r="H2872" s="1" t="s">
        <v>1058</v>
      </c>
      <c r="I2872" s="1" t="s">
        <v>1126</v>
      </c>
      <c r="J2872" s="1" t="s">
        <v>26</v>
      </c>
      <c r="K2872" s="1" t="s">
        <v>1072</v>
      </c>
      <c r="L2872" s="1" t="s">
        <v>26</v>
      </c>
      <c r="M2872" s="1" t="s">
        <v>27</v>
      </c>
      <c r="N2872" s="1" t="s">
        <v>26</v>
      </c>
      <c r="O2872" s="1" t="s">
        <v>26</v>
      </c>
      <c r="P2872" s="4">
        <v>44600.874756944446</v>
      </c>
    </row>
    <row r="2873" hidden="1">
      <c r="A2873" s="1" t="s">
        <v>1055</v>
      </c>
      <c r="B2873" s="3" t="str">
        <f>HYPERLINK("https://hawk-eye.atlassian.net/browse/HWKREPORT-633?atlOrigin=eyJpIjoiYzgwYTQ0ZjEyNzQzNGJhN2JmNjEyZTM0NmRhZWZhNjIiLCJwIjoic2hlZXRzLWppcmEifQ","HWKREPORT-633")</f>
        <v>HWKREPORT-633</v>
      </c>
      <c r="C2873" s="1" t="s">
        <v>4181</v>
      </c>
      <c r="D2873" s="1" t="s">
        <v>23</v>
      </c>
      <c r="E2873" s="1" t="s">
        <v>35</v>
      </c>
      <c r="F2873" s="4">
        <v>44236.673738425925</v>
      </c>
      <c r="G2873" s="3" t="str">
        <f>HYPERLINK("https://hawk-eye.atlassian.net/browse/?atlOrigin=eyJpIjoiYzgwYTQ0ZjEyNzQzNGJhN2JmNjEyZTM0NmRhZWZhNjIiLCJwIjoic2hlZXRzLWppcmEifQ","")</f>
        <v/>
      </c>
      <c r="H2873" s="1" t="s">
        <v>1058</v>
      </c>
      <c r="I2873" s="1" t="s">
        <v>1126</v>
      </c>
      <c r="J2873" s="1" t="s">
        <v>26</v>
      </c>
      <c r="K2873" s="1" t="s">
        <v>1072</v>
      </c>
      <c r="L2873" s="1" t="s">
        <v>26</v>
      </c>
      <c r="M2873" s="1" t="s">
        <v>27</v>
      </c>
      <c r="N2873" s="1" t="s">
        <v>26</v>
      </c>
      <c r="O2873" s="1" t="s">
        <v>26</v>
      </c>
      <c r="P2873" s="4">
        <v>44582.44936342593</v>
      </c>
    </row>
    <row r="2874" hidden="1">
      <c r="A2874" s="1" t="s">
        <v>21</v>
      </c>
      <c r="B2874" s="3" t="str">
        <f>HYPERLINK("https://hawk-eye.atlassian.net/browse/HWKREPORT-634?atlOrigin=eyJpIjoiYzgwYTQ0ZjEyNzQzNGJhN2JmNjEyZTM0NmRhZWZhNjIiLCJwIjoic2hlZXRzLWppcmEifQ","HWKREPORT-634")</f>
        <v>HWKREPORT-634</v>
      </c>
      <c r="C2874" s="1" t="s">
        <v>4182</v>
      </c>
      <c r="D2874" s="1" t="s">
        <v>40</v>
      </c>
      <c r="E2874" s="1" t="s">
        <v>35</v>
      </c>
      <c r="F2874" s="4">
        <v>44237.31895833334</v>
      </c>
      <c r="G2874" s="3" t="str">
        <f>HYPERLINK("https://hawk-eye.atlassian.net/browse/GT-255?atlOrigin=eyJpIjoiYzgwYTQ0ZjEyNzQzNGJhN2JmNjEyZTM0NmRhZWZhNjIiLCJwIjoic2hlZXRzLWppcmEifQ","GT-255")</f>
        <v>GT-255</v>
      </c>
      <c r="H2874" s="1" t="s">
        <v>1058</v>
      </c>
      <c r="I2874" s="1" t="s">
        <v>1126</v>
      </c>
      <c r="J2874" s="1" t="s">
        <v>26</v>
      </c>
      <c r="K2874" s="1" t="s">
        <v>4183</v>
      </c>
      <c r="L2874" s="1" t="s">
        <v>26</v>
      </c>
      <c r="M2874" s="1" t="s">
        <v>27</v>
      </c>
      <c r="N2874" s="1" t="s">
        <v>26</v>
      </c>
      <c r="O2874" s="1" t="s">
        <v>26</v>
      </c>
      <c r="P2874" s="4">
        <v>44237.78821759259</v>
      </c>
    </row>
    <row r="2875" hidden="1">
      <c r="A2875" s="1" t="s">
        <v>21</v>
      </c>
      <c r="B2875" s="3" t="str">
        <f>HYPERLINK("https://hawk-eye.atlassian.net/browse/HWKREPORT-635?atlOrigin=eyJpIjoiYzgwYTQ0ZjEyNzQzNGJhN2JmNjEyZTM0NmRhZWZhNjIiLCJwIjoic2hlZXRzLWppcmEifQ","HWKREPORT-635")</f>
        <v>HWKREPORT-635</v>
      </c>
      <c r="C2875" s="1" t="s">
        <v>4184</v>
      </c>
      <c r="D2875" s="1" t="s">
        <v>40</v>
      </c>
      <c r="E2875" s="1" t="s">
        <v>35</v>
      </c>
      <c r="F2875" s="4">
        <v>44237.43226851852</v>
      </c>
      <c r="G2875" s="3" t="str">
        <f>HYPERLINK("https://hawk-eye.atlassian.net/browse/RTT-3546?atlOrigin=eyJpIjoiYzgwYTQ0ZjEyNzQzNGJhN2JmNjEyZTM0NmRhZWZhNjIiLCJwIjoic2hlZXRzLWppcmEifQ","RTT-3546")</f>
        <v>RTT-3546</v>
      </c>
      <c r="H2875" s="1" t="s">
        <v>1058</v>
      </c>
      <c r="I2875" s="1" t="s">
        <v>1126</v>
      </c>
      <c r="J2875" s="1" t="s">
        <v>26</v>
      </c>
      <c r="K2875" s="1" t="s">
        <v>1312</v>
      </c>
      <c r="L2875" s="1" t="s">
        <v>26</v>
      </c>
      <c r="M2875" s="1" t="s">
        <v>27</v>
      </c>
      <c r="N2875" s="1" t="s">
        <v>26</v>
      </c>
      <c r="O2875" s="1" t="s">
        <v>26</v>
      </c>
      <c r="P2875" s="4">
        <v>44600.8747337963</v>
      </c>
    </row>
    <row r="2876" hidden="1">
      <c r="A2876" s="1" t="s">
        <v>21</v>
      </c>
      <c r="B2876" s="3" t="str">
        <f>HYPERLINK("https://hawk-eye.atlassian.net/browse/HWKREPORT-636?atlOrigin=eyJpIjoiYzgwYTQ0ZjEyNzQzNGJhN2JmNjEyZTM0NmRhZWZhNjIiLCJwIjoic2hlZXRzLWppcmEifQ","HWKREPORT-636")</f>
        <v>HWKREPORT-636</v>
      </c>
      <c r="C2876" s="1" t="s">
        <v>4185</v>
      </c>
      <c r="D2876" s="1" t="s">
        <v>83</v>
      </c>
      <c r="E2876" s="1" t="s">
        <v>35</v>
      </c>
      <c r="F2876" s="4">
        <v>44237.665972222225</v>
      </c>
      <c r="G2876" s="3" t="str">
        <f>HYPERLINK("https://hawk-eye.atlassian.net/browse/RTT-3548?atlOrigin=eyJpIjoiYzgwYTQ0ZjEyNzQzNGJhN2JmNjEyZTM0NmRhZWZhNjIiLCJwIjoic2hlZXRzLWppcmEifQ","RTT-3548")</f>
        <v>RTT-3548</v>
      </c>
      <c r="H2876" s="1" t="s">
        <v>1058</v>
      </c>
      <c r="I2876" s="1" t="s">
        <v>1126</v>
      </c>
      <c r="J2876" s="1" t="s">
        <v>26</v>
      </c>
      <c r="K2876" s="1" t="s">
        <v>2197</v>
      </c>
      <c r="L2876" s="1" t="s">
        <v>26</v>
      </c>
      <c r="M2876" s="1" t="s">
        <v>27</v>
      </c>
      <c r="N2876" s="1" t="s">
        <v>26</v>
      </c>
      <c r="O2876" s="1" t="s">
        <v>26</v>
      </c>
      <c r="P2876" s="4">
        <v>44600.87483796296</v>
      </c>
    </row>
    <row r="2877" hidden="1">
      <c r="A2877" s="1" t="s">
        <v>1055</v>
      </c>
      <c r="B2877" s="3" t="str">
        <f>HYPERLINK("https://hawk-eye.atlassian.net/browse/HWKREPORT-637?atlOrigin=eyJpIjoiYzgwYTQ0ZjEyNzQzNGJhN2JmNjEyZTM0NmRhZWZhNjIiLCJwIjoic2hlZXRzLWppcmEifQ","HWKREPORT-637")</f>
        <v>HWKREPORT-637</v>
      </c>
      <c r="C2877" s="1" t="s">
        <v>4186</v>
      </c>
      <c r="D2877" s="1" t="s">
        <v>23</v>
      </c>
      <c r="E2877" s="1" t="s">
        <v>35</v>
      </c>
      <c r="F2877" s="4">
        <v>44237.78590277778</v>
      </c>
      <c r="G2877" s="3" t="str">
        <f>HYPERLINK("https://hawk-eye.atlassian.net/browse/RTT-4682?atlOrigin=eyJpIjoiYzgwYTQ0ZjEyNzQzNGJhN2JmNjEyZTM0NmRhZWZhNjIiLCJwIjoic2hlZXRzLWppcmEifQ","RTT-4682")</f>
        <v>RTT-4682</v>
      </c>
      <c r="H2877" s="1" t="s">
        <v>1058</v>
      </c>
      <c r="I2877" s="1" t="s">
        <v>1126</v>
      </c>
      <c r="J2877" s="1" t="s">
        <v>26</v>
      </c>
      <c r="K2877" s="1" t="s">
        <v>1072</v>
      </c>
      <c r="L2877" s="1" t="s">
        <v>26</v>
      </c>
      <c r="M2877" s="1" t="s">
        <v>27</v>
      </c>
      <c r="N2877" s="1" t="s">
        <v>26</v>
      </c>
      <c r="O2877" s="1" t="s">
        <v>26</v>
      </c>
      <c r="P2877" s="4">
        <v>45121.416921296295</v>
      </c>
    </row>
    <row r="2878" hidden="1">
      <c r="A2878" s="1" t="s">
        <v>21</v>
      </c>
      <c r="B2878" s="3" t="str">
        <f>HYPERLINK("https://hawk-eye.atlassian.net/browse/HWKREPORT-638?atlOrigin=eyJpIjoiYzgwYTQ0ZjEyNzQzNGJhN2JmNjEyZTM0NmRhZWZhNjIiLCJwIjoic2hlZXRzLWppcmEifQ","HWKREPORT-638")</f>
        <v>HWKREPORT-638</v>
      </c>
      <c r="C2878" s="1" t="s">
        <v>4187</v>
      </c>
      <c r="D2878" s="1" t="s">
        <v>34</v>
      </c>
      <c r="E2878" s="1" t="s">
        <v>35</v>
      </c>
      <c r="F2878" s="4">
        <v>44238.11996527778</v>
      </c>
      <c r="G2878" s="3" t="str">
        <f>HYPERLINK("https://hawk-eye.atlassian.net/browse/RTTDB-60?atlOrigin=eyJpIjoiYzgwYTQ0ZjEyNzQzNGJhN2JmNjEyZTM0NmRhZWZhNjIiLCJwIjoic2hlZXRzLWppcmEifQ","RTTDB-60")</f>
        <v>RTTDB-60</v>
      </c>
      <c r="H2878" s="1" t="s">
        <v>1058</v>
      </c>
      <c r="I2878" s="1" t="s">
        <v>1126</v>
      </c>
      <c r="J2878" s="1" t="s">
        <v>26</v>
      </c>
      <c r="K2878" s="1" t="s">
        <v>1127</v>
      </c>
      <c r="L2878" s="1" t="s">
        <v>26</v>
      </c>
      <c r="M2878" s="1" t="s">
        <v>27</v>
      </c>
      <c r="N2878" s="1" t="s">
        <v>26</v>
      </c>
      <c r="O2878" s="1" t="s">
        <v>26</v>
      </c>
      <c r="P2878" s="4">
        <v>44600.87510416667</v>
      </c>
    </row>
    <row r="2879" hidden="1">
      <c r="A2879" s="1" t="s">
        <v>21</v>
      </c>
      <c r="B2879" s="3" t="str">
        <f>HYPERLINK("https://hawk-eye.atlassian.net/browse/HWKREPORT-639?atlOrigin=eyJpIjoiYzgwYTQ0ZjEyNzQzNGJhN2JmNjEyZTM0NmRhZWZhNjIiLCJwIjoic2hlZXRzLWppcmEifQ","HWKREPORT-639")</f>
        <v>HWKREPORT-639</v>
      </c>
      <c r="C2879" s="1" t="s">
        <v>4188</v>
      </c>
      <c r="D2879" s="1" t="s">
        <v>23</v>
      </c>
      <c r="E2879" s="1" t="s">
        <v>35</v>
      </c>
      <c r="F2879" s="4">
        <v>44238.424942129626</v>
      </c>
      <c r="G2879" s="3" t="str">
        <f t="shared" ref="G2879:G2880" si="195">HYPERLINK("https://hawk-eye.atlassian.net/browse/?atlOrigin=eyJpIjoiYzgwYTQ0ZjEyNzQzNGJhN2JmNjEyZTM0NmRhZWZhNjIiLCJwIjoic2hlZXRzLWppcmEifQ","")</f>
        <v/>
      </c>
      <c r="H2879" s="1" t="s">
        <v>1058</v>
      </c>
      <c r="I2879" s="1" t="s">
        <v>1126</v>
      </c>
      <c r="J2879" s="1" t="s">
        <v>26</v>
      </c>
      <c r="K2879" s="1" t="s">
        <v>1134</v>
      </c>
      <c r="L2879" s="1" t="s">
        <v>26</v>
      </c>
      <c r="M2879" s="1" t="s">
        <v>27</v>
      </c>
      <c r="N2879" s="1" t="s">
        <v>26</v>
      </c>
      <c r="O2879" s="1" t="s">
        <v>26</v>
      </c>
      <c r="P2879" s="4">
        <v>44582.44960648148</v>
      </c>
    </row>
    <row r="2880" hidden="1">
      <c r="A2880" s="1" t="s">
        <v>1055</v>
      </c>
      <c r="B2880" s="3" t="str">
        <f>HYPERLINK("https://hawk-eye.atlassian.net/browse/HWKREPORT-640?atlOrigin=eyJpIjoiYzgwYTQ0ZjEyNzQzNGJhN2JmNjEyZTM0NmRhZWZhNjIiLCJwIjoic2hlZXRzLWppcmEifQ","HWKREPORT-640")</f>
        <v>HWKREPORT-640</v>
      </c>
      <c r="C2880" s="1" t="s">
        <v>4189</v>
      </c>
      <c r="D2880" s="1" t="s">
        <v>23</v>
      </c>
      <c r="E2880" s="1" t="s">
        <v>35</v>
      </c>
      <c r="F2880" s="4">
        <v>44238.43446759259</v>
      </c>
      <c r="G2880" s="3" t="str">
        <f t="shared" si="195"/>
        <v/>
      </c>
      <c r="H2880" s="1" t="s">
        <v>1058</v>
      </c>
      <c r="I2880" s="1" t="s">
        <v>1126</v>
      </c>
      <c r="J2880" s="1" t="s">
        <v>26</v>
      </c>
      <c r="K2880" s="1" t="s">
        <v>1134</v>
      </c>
      <c r="L2880" s="1" t="s">
        <v>26</v>
      </c>
      <c r="M2880" s="1" t="s">
        <v>27</v>
      </c>
      <c r="N2880" s="1" t="s">
        <v>26</v>
      </c>
      <c r="O2880" s="1" t="s">
        <v>26</v>
      </c>
      <c r="P2880" s="4">
        <v>45315.497777777775</v>
      </c>
    </row>
    <row r="2881" hidden="1">
      <c r="A2881" s="1" t="s">
        <v>1055</v>
      </c>
      <c r="B2881" s="3" t="str">
        <f>HYPERLINK("https://hawk-eye.atlassian.net/browse/HWKREPORT-641?atlOrigin=eyJpIjoiYzgwYTQ0ZjEyNzQzNGJhN2JmNjEyZTM0NmRhZWZhNjIiLCJwIjoic2hlZXRzLWppcmEifQ","HWKREPORT-641")</f>
        <v>HWKREPORT-641</v>
      </c>
      <c r="C2881" s="1" t="s">
        <v>4190</v>
      </c>
      <c r="D2881" s="1" t="s">
        <v>23</v>
      </c>
      <c r="E2881" s="1" t="s">
        <v>35</v>
      </c>
      <c r="F2881" s="4">
        <v>44238.545902777776</v>
      </c>
      <c r="G2881" s="3" t="str">
        <f>HYPERLINK("https://hawk-eye.atlassian.net/browse/RTT-3574?atlOrigin=eyJpIjoiYzgwYTQ0ZjEyNzQzNGJhN2JmNjEyZTM0NmRhZWZhNjIiLCJwIjoic2hlZXRzLWppcmEifQ","RTT-3574")</f>
        <v>RTT-3574</v>
      </c>
      <c r="H2881" s="1" t="s">
        <v>1058</v>
      </c>
      <c r="I2881" s="1" t="s">
        <v>28</v>
      </c>
      <c r="J2881" s="1" t="s">
        <v>26</v>
      </c>
      <c r="K2881" s="1" t="s">
        <v>1072</v>
      </c>
      <c r="L2881" s="1" t="s">
        <v>26</v>
      </c>
      <c r="M2881" s="1" t="s">
        <v>27</v>
      </c>
      <c r="N2881" s="1" t="s">
        <v>26</v>
      </c>
      <c r="O2881" s="1" t="s">
        <v>26</v>
      </c>
      <c r="P2881" s="4">
        <v>44600.87521990741</v>
      </c>
    </row>
    <row r="2882" hidden="1">
      <c r="A2882" s="1" t="s">
        <v>21</v>
      </c>
      <c r="B2882" s="3" t="str">
        <f>HYPERLINK("https://hawk-eye.atlassian.net/browse/HWKREPORT-642?atlOrigin=eyJpIjoiYzgwYTQ0ZjEyNzQzNGJhN2JmNjEyZTM0NmRhZWZhNjIiLCJwIjoic2hlZXRzLWppcmEifQ","HWKREPORT-642")</f>
        <v>HWKREPORT-642</v>
      </c>
      <c r="C2882" s="1" t="s">
        <v>4191</v>
      </c>
      <c r="D2882" s="1" t="s">
        <v>83</v>
      </c>
      <c r="E2882" s="1" t="s">
        <v>35</v>
      </c>
      <c r="F2882" s="4">
        <v>44238.94741898148</v>
      </c>
      <c r="G2882" s="3" t="str">
        <f>HYPERLINK("https://hawk-eye.atlassian.net/browse/?atlOrigin=eyJpIjoiYzgwYTQ0ZjEyNzQzNGJhN2JmNjEyZTM0NmRhZWZhNjIiLCJwIjoic2hlZXRzLWppcmEifQ","")</f>
        <v/>
      </c>
      <c r="H2882" s="1" t="s">
        <v>1058</v>
      </c>
      <c r="I2882" s="1" t="s">
        <v>1082</v>
      </c>
      <c r="J2882" s="1" t="s">
        <v>26</v>
      </c>
      <c r="K2882" s="1" t="s">
        <v>1114</v>
      </c>
      <c r="L2882" s="1" t="s">
        <v>26</v>
      </c>
      <c r="M2882" s="1" t="s">
        <v>27</v>
      </c>
      <c r="N2882" s="1" t="s">
        <v>26</v>
      </c>
      <c r="O2882" s="1" t="s">
        <v>26</v>
      </c>
      <c r="P2882" s="4">
        <v>45022.47667824074</v>
      </c>
    </row>
    <row r="2883" hidden="1">
      <c r="A2883" s="1" t="s">
        <v>1055</v>
      </c>
      <c r="B2883" s="3" t="str">
        <f>HYPERLINK("https://hawk-eye.atlassian.net/browse/HWKREPORT-643?atlOrigin=eyJpIjoiYzgwYTQ0ZjEyNzQzNGJhN2JmNjEyZTM0NmRhZWZhNjIiLCJwIjoic2hlZXRzLWppcmEifQ","HWKREPORT-643")</f>
        <v>HWKREPORT-643</v>
      </c>
      <c r="C2883" s="1" t="s">
        <v>4192</v>
      </c>
      <c r="D2883" s="1" t="s">
        <v>83</v>
      </c>
      <c r="E2883" s="1" t="s">
        <v>35</v>
      </c>
      <c r="F2883" s="4">
        <v>44239.554247685184</v>
      </c>
      <c r="G2883" s="3" t="str">
        <f>HYPERLINK("https://hawk-eye.atlassian.net/browse/SO-605?atlOrigin=eyJpIjoiYzgwYTQ0ZjEyNzQzNGJhN2JmNjEyZTM0NmRhZWZhNjIiLCJwIjoic2hlZXRzLWppcmEifQ","SO-605")</f>
        <v>SO-605</v>
      </c>
      <c r="H2883" s="1" t="s">
        <v>1058</v>
      </c>
      <c r="I2883" s="1" t="s">
        <v>1514</v>
      </c>
      <c r="J2883" s="1" t="s">
        <v>26</v>
      </c>
      <c r="K2883" s="1" t="s">
        <v>1116</v>
      </c>
      <c r="L2883" s="1" t="s">
        <v>26</v>
      </c>
      <c r="M2883" s="1" t="s">
        <v>27</v>
      </c>
      <c r="N2883" s="1" t="s">
        <v>26</v>
      </c>
      <c r="O2883" s="1" t="s">
        <v>26</v>
      </c>
      <c r="P2883" s="4">
        <v>45097.648194444446</v>
      </c>
    </row>
    <row r="2884" hidden="1">
      <c r="A2884" s="1" t="s">
        <v>1055</v>
      </c>
      <c r="B2884" s="3" t="str">
        <f>HYPERLINK("https://hawk-eye.atlassian.net/browse/HWKREPORT-644?atlOrigin=eyJpIjoiYzgwYTQ0ZjEyNzQzNGJhN2JmNjEyZTM0NmRhZWZhNjIiLCJwIjoic2hlZXRzLWppcmEifQ","HWKREPORT-644")</f>
        <v>HWKREPORT-644</v>
      </c>
      <c r="C2884" s="1" t="s">
        <v>4193</v>
      </c>
      <c r="D2884" s="1" t="s">
        <v>83</v>
      </c>
      <c r="E2884" s="1" t="s">
        <v>35</v>
      </c>
      <c r="F2884" s="4">
        <v>44239.61047453704</v>
      </c>
      <c r="G2884" s="3" t="str">
        <f t="shared" ref="G2884:G2886" si="196">HYPERLINK("https://hawk-eye.atlassian.net/browse/?atlOrigin=eyJpIjoiYzgwYTQ0ZjEyNzQzNGJhN2JmNjEyZTM0NmRhZWZhNjIiLCJwIjoic2hlZXRzLWppcmEifQ","")</f>
        <v/>
      </c>
      <c r="H2884" s="1" t="s">
        <v>1058</v>
      </c>
      <c r="I2884" s="1" t="s">
        <v>3587</v>
      </c>
      <c r="J2884" s="1" t="s">
        <v>26</v>
      </c>
      <c r="K2884" s="1" t="s">
        <v>1116</v>
      </c>
      <c r="L2884" s="1" t="s">
        <v>26</v>
      </c>
      <c r="M2884" s="1" t="s">
        <v>27</v>
      </c>
      <c r="N2884" s="1" t="s">
        <v>26</v>
      </c>
      <c r="O2884" s="1" t="s">
        <v>26</v>
      </c>
      <c r="P2884" s="4">
        <v>45414.58872685185</v>
      </c>
    </row>
    <row r="2885" hidden="1">
      <c r="A2885" s="1" t="s">
        <v>1055</v>
      </c>
      <c r="B2885" s="3" t="str">
        <f>HYPERLINK("https://hawk-eye.atlassian.net/browse/HWKREPORT-645?atlOrigin=eyJpIjoiYzgwYTQ0ZjEyNzQzNGJhN2JmNjEyZTM0NmRhZWZhNjIiLCJwIjoic2hlZXRzLWppcmEifQ","HWKREPORT-645")</f>
        <v>HWKREPORT-645</v>
      </c>
      <c r="C2885" s="1" t="s">
        <v>4194</v>
      </c>
      <c r="D2885" s="1" t="s">
        <v>83</v>
      </c>
      <c r="E2885" s="1" t="s">
        <v>35</v>
      </c>
      <c r="F2885" s="4">
        <v>44239.61178240741</v>
      </c>
      <c r="G2885" s="3" t="str">
        <f t="shared" si="196"/>
        <v/>
      </c>
      <c r="H2885" s="1" t="s">
        <v>1058</v>
      </c>
      <c r="I2885" s="1" t="s">
        <v>3587</v>
      </c>
      <c r="J2885" s="1" t="s">
        <v>26</v>
      </c>
      <c r="K2885" s="1" t="s">
        <v>4195</v>
      </c>
      <c r="L2885" s="1" t="s">
        <v>26</v>
      </c>
      <c r="M2885" s="1" t="s">
        <v>27</v>
      </c>
      <c r="N2885" s="1" t="s">
        <v>26</v>
      </c>
      <c r="O2885" s="1" t="s">
        <v>26</v>
      </c>
      <c r="P2885" s="4">
        <v>45414.58840277778</v>
      </c>
    </row>
    <row r="2886" hidden="1">
      <c r="A2886" s="1" t="s">
        <v>21</v>
      </c>
      <c r="B2886" s="3" t="str">
        <f>HYPERLINK("https://hawk-eye.atlassian.net/browse/HWKREPORT-646?atlOrigin=eyJpIjoiYzgwYTQ0ZjEyNzQzNGJhN2JmNjEyZTM0NmRhZWZhNjIiLCJwIjoic2hlZXRzLWppcmEifQ","HWKREPORT-646")</f>
        <v>HWKREPORT-646</v>
      </c>
      <c r="C2886" s="1" t="s">
        <v>4196</v>
      </c>
      <c r="D2886" s="1" t="s">
        <v>83</v>
      </c>
      <c r="E2886" s="1" t="s">
        <v>35</v>
      </c>
      <c r="F2886" s="4">
        <v>44239.73582175926</v>
      </c>
      <c r="G2886" s="3" t="str">
        <f t="shared" si="196"/>
        <v/>
      </c>
      <c r="H2886" s="1" t="s">
        <v>1058</v>
      </c>
      <c r="I2886" s="1" t="s">
        <v>1082</v>
      </c>
      <c r="J2886" s="1" t="s">
        <v>26</v>
      </c>
      <c r="K2886" s="1" t="s">
        <v>1105</v>
      </c>
      <c r="L2886" s="1" t="s">
        <v>26</v>
      </c>
      <c r="M2886" s="1" t="s">
        <v>27</v>
      </c>
      <c r="N2886" s="1" t="s">
        <v>26</v>
      </c>
      <c r="O2886" s="1" t="s">
        <v>26</v>
      </c>
      <c r="P2886" s="4">
        <v>45022.47702546296</v>
      </c>
    </row>
    <row r="2887" hidden="1">
      <c r="A2887" s="1" t="s">
        <v>21</v>
      </c>
      <c r="B2887" s="3" t="str">
        <f>HYPERLINK("https://hawk-eye.atlassian.net/browse/HWKREPORT-647?atlOrigin=eyJpIjoiYzgwYTQ0ZjEyNzQzNGJhN2JmNjEyZTM0NmRhZWZhNjIiLCJwIjoic2hlZXRzLWppcmEifQ","HWKREPORT-647")</f>
        <v>HWKREPORT-647</v>
      </c>
      <c r="C2887" s="1" t="s">
        <v>4197</v>
      </c>
      <c r="D2887" s="1" t="s">
        <v>40</v>
      </c>
      <c r="E2887" s="1" t="s">
        <v>35</v>
      </c>
      <c r="F2887" s="4">
        <v>44242.42229166667</v>
      </c>
      <c r="G2887" s="3" t="str">
        <f>HYPERLINK("https://hawk-eye.atlassian.net/browse/RTT-3583?atlOrigin=eyJpIjoiYzgwYTQ0ZjEyNzQzNGJhN2JmNjEyZTM0NmRhZWZhNjIiLCJwIjoic2hlZXRzLWppcmEifQ","RTT-3583")</f>
        <v>RTT-3583</v>
      </c>
      <c r="H2887" s="1" t="s">
        <v>1058</v>
      </c>
      <c r="I2887" s="1" t="s">
        <v>1126</v>
      </c>
      <c r="J2887" s="1" t="s">
        <v>26</v>
      </c>
      <c r="K2887" s="1" t="s">
        <v>1312</v>
      </c>
      <c r="L2887" s="1" t="s">
        <v>26</v>
      </c>
      <c r="M2887" s="1" t="s">
        <v>27</v>
      </c>
      <c r="N2887" s="1" t="s">
        <v>26</v>
      </c>
      <c r="O2887" s="1" t="s">
        <v>26</v>
      </c>
      <c r="P2887" s="4">
        <v>44600.87488425926</v>
      </c>
    </row>
    <row r="2888" hidden="1">
      <c r="A2888" s="1" t="s">
        <v>1055</v>
      </c>
      <c r="B2888" s="3" t="str">
        <f>HYPERLINK("https://hawk-eye.atlassian.net/browse/HWKREPORT-648?atlOrigin=eyJpIjoiYzgwYTQ0ZjEyNzQzNGJhN2JmNjEyZTM0NmRhZWZhNjIiLCJwIjoic2hlZXRzLWppcmEifQ","HWKREPORT-648")</f>
        <v>HWKREPORT-648</v>
      </c>
      <c r="C2888" s="1" t="s">
        <v>4198</v>
      </c>
      <c r="D2888" s="1" t="s">
        <v>23</v>
      </c>
      <c r="E2888" s="1" t="s">
        <v>35</v>
      </c>
      <c r="F2888" s="4">
        <v>44242.59074074074</v>
      </c>
      <c r="G2888" s="3" t="str">
        <f>HYPERLINK("https://hawk-eye.atlassian.net/browse/RTT-3588?atlOrigin=eyJpIjoiYzgwYTQ0ZjEyNzQzNGJhN2JmNjEyZTM0NmRhZWZhNjIiLCJwIjoic2hlZXRzLWppcmEifQ","RTT-3588")</f>
        <v>RTT-3588</v>
      </c>
      <c r="H2888" s="1" t="s">
        <v>1058</v>
      </c>
      <c r="I2888" s="1" t="s">
        <v>1126</v>
      </c>
      <c r="J2888" s="1" t="s">
        <v>26</v>
      </c>
      <c r="K2888" s="1" t="s">
        <v>1072</v>
      </c>
      <c r="L2888" s="1" t="s">
        <v>26</v>
      </c>
      <c r="M2888" s="1" t="s">
        <v>27</v>
      </c>
      <c r="N2888" s="1" t="s">
        <v>26</v>
      </c>
      <c r="O2888" s="1" t="s">
        <v>26</v>
      </c>
      <c r="P2888" s="4">
        <v>44600.875023148146</v>
      </c>
    </row>
    <row r="2889" hidden="1">
      <c r="A2889" s="1" t="s">
        <v>1055</v>
      </c>
      <c r="B2889" s="3" t="str">
        <f>HYPERLINK("https://hawk-eye.atlassian.net/browse/HWKREPORT-649?atlOrigin=eyJpIjoiYzgwYTQ0ZjEyNzQzNGJhN2JmNjEyZTM0NmRhZWZhNjIiLCJwIjoic2hlZXRzLWppcmEifQ","HWKREPORT-649")</f>
        <v>HWKREPORT-649</v>
      </c>
      <c r="C2889" s="1" t="s">
        <v>4199</v>
      </c>
      <c r="D2889" s="1" t="s">
        <v>23</v>
      </c>
      <c r="E2889" s="1" t="s">
        <v>35</v>
      </c>
      <c r="F2889" s="4">
        <v>44243.98050925926</v>
      </c>
      <c r="G2889" s="3" t="str">
        <f>HYPERLINK("https://hawk-eye.atlassian.net/browse/BDP-150?atlOrigin=eyJpIjoiYzgwYTQ0ZjEyNzQzNGJhN2JmNjEyZTM0NmRhZWZhNjIiLCJwIjoic2hlZXRzLWppcmEifQ","BDP-150")</f>
        <v>BDP-150</v>
      </c>
      <c r="H2889" s="1" t="s">
        <v>1058</v>
      </c>
      <c r="I2889" s="1" t="s">
        <v>1071</v>
      </c>
      <c r="J2889" s="1" t="s">
        <v>26</v>
      </c>
      <c r="K2889" s="1" t="s">
        <v>4031</v>
      </c>
      <c r="L2889" s="1" t="s">
        <v>26</v>
      </c>
      <c r="M2889" s="1" t="s">
        <v>27</v>
      </c>
      <c r="N2889" s="1" t="s">
        <v>26</v>
      </c>
      <c r="O2889" s="1" t="s">
        <v>26</v>
      </c>
      <c r="P2889" s="4">
        <v>44600.87486111111</v>
      </c>
    </row>
    <row r="2890" hidden="1">
      <c r="A2890" s="1" t="s">
        <v>1055</v>
      </c>
      <c r="B2890" s="3" t="str">
        <f>HYPERLINK("https://hawk-eye.atlassian.net/browse/HWKREPORT-650?atlOrigin=eyJpIjoiYzgwYTQ0ZjEyNzQzNGJhN2JmNjEyZTM0NmRhZWZhNjIiLCJwIjoic2hlZXRzLWppcmEifQ","HWKREPORT-650")</f>
        <v>HWKREPORT-650</v>
      </c>
      <c r="C2890" s="1" t="s">
        <v>4200</v>
      </c>
      <c r="D2890" s="1" t="s">
        <v>23</v>
      </c>
      <c r="E2890" s="1" t="s">
        <v>35</v>
      </c>
      <c r="F2890" s="4">
        <v>44244.66612268519</v>
      </c>
      <c r="G2890" s="3" t="str">
        <f>HYPERLINK("https://hawk-eye.atlassian.net/browse/?atlOrigin=eyJpIjoiYzgwYTQ0ZjEyNzQzNGJhN2JmNjEyZTM0NmRhZWZhNjIiLCJwIjoic2hlZXRzLWppcmEifQ","")</f>
        <v/>
      </c>
      <c r="H2890" s="1" t="s">
        <v>1058</v>
      </c>
      <c r="I2890" s="1" t="s">
        <v>1082</v>
      </c>
      <c r="J2890" s="1" t="s">
        <v>26</v>
      </c>
      <c r="K2890" s="1" t="s">
        <v>1114</v>
      </c>
      <c r="L2890" s="1" t="s">
        <v>26</v>
      </c>
      <c r="M2890" s="1" t="s">
        <v>27</v>
      </c>
      <c r="N2890" s="1" t="s">
        <v>26</v>
      </c>
      <c r="O2890" s="1" t="s">
        <v>26</v>
      </c>
      <c r="P2890" s="4">
        <v>44600.87466435185</v>
      </c>
    </row>
    <row r="2891" hidden="1">
      <c r="A2891" s="1" t="s">
        <v>1055</v>
      </c>
      <c r="B2891" s="3" t="str">
        <f>HYPERLINK("https://hawk-eye.atlassian.net/browse/HWKREPORT-651?atlOrigin=eyJpIjoiYzgwYTQ0ZjEyNzQzNGJhN2JmNjEyZTM0NmRhZWZhNjIiLCJwIjoic2hlZXRzLWppcmEifQ","HWKREPORT-651")</f>
        <v>HWKREPORT-651</v>
      </c>
      <c r="C2891" s="1" t="s">
        <v>4201</v>
      </c>
      <c r="D2891" s="1" t="s">
        <v>23</v>
      </c>
      <c r="E2891" s="1" t="s">
        <v>35</v>
      </c>
      <c r="F2891" s="4">
        <v>44245.50837962963</v>
      </c>
      <c r="G2891" s="3" t="str">
        <f>HYPERLINK("https://hawk-eye.atlassian.net/browse/STREAMER-55?atlOrigin=eyJpIjoiYzgwYTQ0ZjEyNzQzNGJhN2JmNjEyZTM0NmRhZWZhNjIiLCJwIjoic2hlZXRzLWppcmEifQ","STREAMER-55")</f>
        <v>STREAMER-55</v>
      </c>
      <c r="H2891" s="1" t="s">
        <v>1058</v>
      </c>
      <c r="I2891" s="1" t="s">
        <v>2001</v>
      </c>
      <c r="J2891" s="1" t="s">
        <v>26</v>
      </c>
      <c r="K2891" s="1" t="s">
        <v>1673</v>
      </c>
      <c r="L2891" s="1" t="s">
        <v>26</v>
      </c>
      <c r="M2891" s="1" t="s">
        <v>27</v>
      </c>
      <c r="N2891" s="1" t="s">
        <v>26</v>
      </c>
      <c r="O2891" s="1" t="s">
        <v>26</v>
      </c>
      <c r="P2891" s="4">
        <v>44600.87516203704</v>
      </c>
    </row>
    <row r="2892" hidden="1">
      <c r="A2892" s="1" t="s">
        <v>21</v>
      </c>
      <c r="B2892" s="3" t="str">
        <f>HYPERLINK("https://hawk-eye.atlassian.net/browse/HWKREPORT-652?atlOrigin=eyJpIjoiYzgwYTQ0ZjEyNzQzNGJhN2JmNjEyZTM0NmRhZWZhNjIiLCJwIjoic2hlZXRzLWppcmEifQ","HWKREPORT-652")</f>
        <v>HWKREPORT-652</v>
      </c>
      <c r="C2892" s="1" t="s">
        <v>4202</v>
      </c>
      <c r="D2892" s="1" t="s">
        <v>23</v>
      </c>
      <c r="E2892" s="1" t="s">
        <v>35</v>
      </c>
      <c r="F2892" s="4">
        <v>44245.51111111111</v>
      </c>
      <c r="G2892" s="3" t="str">
        <f>HYPERLINK("https://hawk-eye.atlassian.net/browse/?atlOrigin=eyJpIjoiYzgwYTQ0ZjEyNzQzNGJhN2JmNjEyZTM0NmRhZWZhNjIiLCJwIjoic2hlZXRzLWppcmEifQ","")</f>
        <v/>
      </c>
      <c r="H2892" s="1" t="s">
        <v>1058</v>
      </c>
      <c r="I2892" s="1" t="s">
        <v>4131</v>
      </c>
      <c r="J2892" s="1" t="s">
        <v>26</v>
      </c>
      <c r="K2892" s="1" t="s">
        <v>1116</v>
      </c>
      <c r="L2892" s="1" t="s">
        <v>26</v>
      </c>
      <c r="M2892" s="1" t="s">
        <v>27</v>
      </c>
      <c r="N2892" s="1" t="s">
        <v>26</v>
      </c>
      <c r="O2892" s="1" t="s">
        <v>26</v>
      </c>
      <c r="P2892" s="4">
        <v>44477.498923611114</v>
      </c>
    </row>
    <row r="2893" hidden="1">
      <c r="A2893" s="1" t="s">
        <v>21</v>
      </c>
      <c r="B2893" s="3" t="str">
        <f>HYPERLINK("https://hawk-eye.atlassian.net/browse/HWKREPORT-653?atlOrigin=eyJpIjoiYzgwYTQ0ZjEyNzQzNGJhN2JmNjEyZTM0NmRhZWZhNjIiLCJwIjoic2hlZXRzLWppcmEifQ","HWKREPORT-653")</f>
        <v>HWKREPORT-653</v>
      </c>
      <c r="C2893" s="1" t="s">
        <v>4203</v>
      </c>
      <c r="D2893" s="1" t="s">
        <v>23</v>
      </c>
      <c r="E2893" s="1" t="s">
        <v>35</v>
      </c>
      <c r="F2893" s="4">
        <v>44245.51590277778</v>
      </c>
      <c r="G2893" s="3" t="str">
        <f>HYPERLINK("https://hawk-eye.atlassian.net/browse/VIEWER-1434?atlOrigin=eyJpIjoiYzgwYTQ0ZjEyNzQzNGJhN2JmNjEyZTM0NmRhZWZhNjIiLCJwIjoic2hlZXRzLWppcmEifQ","VIEWER-1434")</f>
        <v>VIEWER-1434</v>
      </c>
      <c r="H2893" s="1" t="s">
        <v>1058</v>
      </c>
      <c r="I2893" s="1" t="s">
        <v>4131</v>
      </c>
      <c r="J2893" s="1" t="s">
        <v>26</v>
      </c>
      <c r="K2893" s="1" t="s">
        <v>1116</v>
      </c>
      <c r="L2893" s="1" t="s">
        <v>26</v>
      </c>
      <c r="M2893" s="1" t="s">
        <v>27</v>
      </c>
      <c r="N2893" s="1" t="s">
        <v>26</v>
      </c>
      <c r="O2893" s="1" t="s">
        <v>26</v>
      </c>
      <c r="P2893" s="4">
        <v>44489.48302083334</v>
      </c>
    </row>
    <row r="2894" hidden="1">
      <c r="A2894" s="1" t="s">
        <v>21</v>
      </c>
      <c r="B2894" s="3" t="str">
        <f>HYPERLINK("https://hawk-eye.atlassian.net/browse/HWKREPORT-654?atlOrigin=eyJpIjoiYzgwYTQ0ZjEyNzQzNGJhN2JmNjEyZTM0NmRhZWZhNjIiLCJwIjoic2hlZXRzLWppcmEifQ","HWKREPORT-654")</f>
        <v>HWKREPORT-654</v>
      </c>
      <c r="C2894" s="1" t="s">
        <v>4204</v>
      </c>
      <c r="D2894" s="1" t="s">
        <v>23</v>
      </c>
      <c r="E2894" s="1" t="s">
        <v>35</v>
      </c>
      <c r="F2894" s="4">
        <v>44245.51833333333</v>
      </c>
      <c r="G2894" s="3" t="str">
        <f>HYPERLINK("https://hawk-eye.atlassian.net/browse/VIEWER-1435?atlOrigin=eyJpIjoiYzgwYTQ0ZjEyNzQzNGJhN2JmNjEyZTM0NmRhZWZhNjIiLCJwIjoic2hlZXRzLWppcmEifQ","VIEWER-1435")</f>
        <v>VIEWER-1435</v>
      </c>
      <c r="H2894" s="1" t="s">
        <v>1058</v>
      </c>
      <c r="I2894" s="1" t="s">
        <v>4131</v>
      </c>
      <c r="J2894" s="1" t="s">
        <v>26</v>
      </c>
      <c r="K2894" s="1" t="s">
        <v>1116</v>
      </c>
      <c r="L2894" s="1" t="s">
        <v>26</v>
      </c>
      <c r="M2894" s="1" t="s">
        <v>27</v>
      </c>
      <c r="N2894" s="1" t="s">
        <v>26</v>
      </c>
      <c r="O2894" s="1" t="s">
        <v>26</v>
      </c>
      <c r="P2894" s="4">
        <v>44656.924837962964</v>
      </c>
    </row>
    <row r="2895" hidden="1">
      <c r="A2895" s="1" t="s">
        <v>1055</v>
      </c>
      <c r="B2895" s="3" t="str">
        <f>HYPERLINK("https://hawk-eye.atlassian.net/browse/HWKREPORT-655?atlOrigin=eyJpIjoiYzgwYTQ0ZjEyNzQzNGJhN2JmNjEyZTM0NmRhZWZhNjIiLCJwIjoic2hlZXRzLWppcmEifQ","HWKREPORT-655")</f>
        <v>HWKREPORT-655</v>
      </c>
      <c r="C2895" s="1" t="s">
        <v>4205</v>
      </c>
      <c r="D2895" s="1" t="s">
        <v>83</v>
      </c>
      <c r="E2895" s="1" t="s">
        <v>1057</v>
      </c>
      <c r="F2895" s="4">
        <v>44245.52002314815</v>
      </c>
      <c r="G2895" s="3" t="str">
        <f>HYPERLINK("https://hawk-eye.atlassian.net/issues/?atlOrigin=eyJpIjoiYzgwYTQ0ZjEyNzQzNGJhN2JmNjEyZTM0NmRhZWZhNjIiLCJwIjoic2hlZXRzLWppcmEifQ&amp;jql=key+in+%28HWKREPORT-1103%2CSO-147%29","HWKREPORT-1103;SO-147")</f>
        <v>HWKREPORT-1103;SO-147</v>
      </c>
      <c r="H2895" s="1" t="s">
        <v>1058</v>
      </c>
      <c r="I2895" s="1" t="s">
        <v>4131</v>
      </c>
      <c r="J2895" s="1" t="s">
        <v>26</v>
      </c>
      <c r="K2895" s="1" t="s">
        <v>1116</v>
      </c>
      <c r="L2895" s="1" t="s">
        <v>26</v>
      </c>
      <c r="M2895" s="1" t="s">
        <v>27</v>
      </c>
      <c r="N2895" s="1" t="s">
        <v>26</v>
      </c>
      <c r="O2895" s="1" t="s">
        <v>26</v>
      </c>
      <c r="P2895" s="4">
        <v>44929.468935185185</v>
      </c>
    </row>
    <row r="2896" hidden="1">
      <c r="A2896" s="1" t="s">
        <v>1055</v>
      </c>
      <c r="B2896" s="3" t="str">
        <f>HYPERLINK("https://hawk-eye.atlassian.net/browse/HWKREPORT-656?atlOrigin=eyJpIjoiYzgwYTQ0ZjEyNzQzNGJhN2JmNjEyZTM0NmRhZWZhNjIiLCJwIjoic2hlZXRzLWppcmEifQ","HWKREPORT-656")</f>
        <v>HWKREPORT-656</v>
      </c>
      <c r="C2896" s="1" t="s">
        <v>4206</v>
      </c>
      <c r="D2896" s="1" t="s">
        <v>23</v>
      </c>
      <c r="E2896" s="1" t="s">
        <v>35</v>
      </c>
      <c r="F2896" s="4">
        <v>44245.52166666667</v>
      </c>
      <c r="G2896" s="3" t="str">
        <f>HYPERLINK("https://hawk-eye.atlassian.net/browse/VIEWER-1436?atlOrigin=eyJpIjoiYzgwYTQ0ZjEyNzQzNGJhN2JmNjEyZTM0NmRhZWZhNjIiLCJwIjoic2hlZXRzLWppcmEifQ","VIEWER-1436")</f>
        <v>VIEWER-1436</v>
      </c>
      <c r="H2896" s="1" t="s">
        <v>1058</v>
      </c>
      <c r="I2896" s="1" t="s">
        <v>4131</v>
      </c>
      <c r="J2896" s="1" t="s">
        <v>26</v>
      </c>
      <c r="K2896" s="1" t="s">
        <v>1116</v>
      </c>
      <c r="L2896" s="1" t="s">
        <v>26</v>
      </c>
      <c r="M2896" s="1" t="s">
        <v>27</v>
      </c>
      <c r="N2896" s="1" t="s">
        <v>26</v>
      </c>
      <c r="O2896" s="1" t="s">
        <v>26</v>
      </c>
      <c r="P2896" s="4">
        <v>44627.62902777778</v>
      </c>
    </row>
    <row r="2897" hidden="1">
      <c r="A2897" s="1" t="s">
        <v>1055</v>
      </c>
      <c r="B2897" s="3" t="str">
        <f>HYPERLINK("https://hawk-eye.atlassian.net/browse/HWKREPORT-657?atlOrigin=eyJpIjoiYzgwYTQ0ZjEyNzQzNGJhN2JmNjEyZTM0NmRhZWZhNjIiLCJwIjoic2hlZXRzLWppcmEifQ","HWKREPORT-657")</f>
        <v>HWKREPORT-657</v>
      </c>
      <c r="C2897" s="1" t="s">
        <v>4207</v>
      </c>
      <c r="D2897" s="1" t="s">
        <v>23</v>
      </c>
      <c r="E2897" s="1" t="s">
        <v>35</v>
      </c>
      <c r="F2897" s="4">
        <v>44245.52453703704</v>
      </c>
      <c r="G2897" s="3" t="str">
        <f>HYPERLINK("https://hawk-eye.atlassian.net/browse/VIEWER-1437?atlOrigin=eyJpIjoiYzgwYTQ0ZjEyNzQzNGJhN2JmNjEyZTM0NmRhZWZhNjIiLCJwIjoic2hlZXRzLWppcmEifQ","VIEWER-1437")</f>
        <v>VIEWER-1437</v>
      </c>
      <c r="H2897" s="1" t="s">
        <v>1058</v>
      </c>
      <c r="I2897" s="1" t="s">
        <v>4131</v>
      </c>
      <c r="J2897" s="1" t="s">
        <v>26</v>
      </c>
      <c r="K2897" s="1" t="s">
        <v>1116</v>
      </c>
      <c r="L2897" s="1" t="s">
        <v>26</v>
      </c>
      <c r="M2897" s="1" t="s">
        <v>27</v>
      </c>
      <c r="N2897" s="1" t="s">
        <v>26</v>
      </c>
      <c r="O2897" s="1" t="s">
        <v>26</v>
      </c>
      <c r="P2897" s="4">
        <v>44656.924675925926</v>
      </c>
    </row>
    <row r="2898" hidden="1">
      <c r="A2898" s="1" t="s">
        <v>1055</v>
      </c>
      <c r="B2898" s="3" t="str">
        <f>HYPERLINK("https://hawk-eye.atlassian.net/browse/HWKREPORT-658?atlOrigin=eyJpIjoiYzgwYTQ0ZjEyNzQzNGJhN2JmNjEyZTM0NmRhZWZhNjIiLCJwIjoic2hlZXRzLWppcmEifQ","HWKREPORT-658")</f>
        <v>HWKREPORT-658</v>
      </c>
      <c r="C2898" s="1" t="s">
        <v>4208</v>
      </c>
      <c r="D2898" s="1" t="s">
        <v>23</v>
      </c>
      <c r="E2898" s="1" t="s">
        <v>35</v>
      </c>
      <c r="F2898" s="4">
        <v>44245.56309027778</v>
      </c>
      <c r="G2898" s="3" t="str">
        <f>HYPERLINK("https://hawk-eye.atlassian.net/browse/?atlOrigin=eyJpIjoiYzgwYTQ0ZjEyNzQzNGJhN2JmNjEyZTM0NmRhZWZhNjIiLCJwIjoic2hlZXRzLWppcmEifQ","")</f>
        <v/>
      </c>
      <c r="H2898" s="1" t="s">
        <v>1058</v>
      </c>
      <c r="I2898" s="1" t="s">
        <v>1082</v>
      </c>
      <c r="J2898" s="1" t="s">
        <v>26</v>
      </c>
      <c r="K2898" s="1" t="s">
        <v>1148</v>
      </c>
      <c r="L2898" s="1" t="s">
        <v>26</v>
      </c>
      <c r="M2898" s="1" t="s">
        <v>27</v>
      </c>
      <c r="N2898" s="1" t="s">
        <v>26</v>
      </c>
      <c r="O2898" s="1" t="s">
        <v>26</v>
      </c>
      <c r="P2898" s="4">
        <v>44600.87509259259</v>
      </c>
    </row>
    <row r="2899" hidden="1">
      <c r="A2899" s="1" t="s">
        <v>21</v>
      </c>
      <c r="B2899" s="3" t="str">
        <f>HYPERLINK("https://hawk-eye.atlassian.net/browse/HWKREPORT-659?atlOrigin=eyJpIjoiYzgwYTQ0ZjEyNzQzNGJhN2JmNjEyZTM0NmRhZWZhNjIiLCJwIjoic2hlZXRzLWppcmEifQ","HWKREPORT-659")</f>
        <v>HWKREPORT-659</v>
      </c>
      <c r="C2899" s="1" t="s">
        <v>4209</v>
      </c>
      <c r="D2899" s="1" t="s">
        <v>23</v>
      </c>
      <c r="E2899" s="1" t="s">
        <v>35</v>
      </c>
      <c r="F2899" s="4">
        <v>44245.59287037037</v>
      </c>
      <c r="G2899" s="3" t="str">
        <f>HYPERLINK("https://hawk-eye.atlassian.net/browse/VIEWER-1432?atlOrigin=eyJpIjoiYzgwYTQ0ZjEyNzQzNGJhN2JmNjEyZTM0NmRhZWZhNjIiLCJwIjoic2hlZXRzLWppcmEifQ","VIEWER-1432")</f>
        <v>VIEWER-1432</v>
      </c>
      <c r="H2899" s="1" t="s">
        <v>1058</v>
      </c>
      <c r="I2899" s="1" t="s">
        <v>1514</v>
      </c>
      <c r="J2899" s="1" t="s">
        <v>26</v>
      </c>
      <c r="K2899" s="1" t="s">
        <v>1116</v>
      </c>
      <c r="L2899" s="1" t="s">
        <v>26</v>
      </c>
      <c r="M2899" s="1" t="s">
        <v>27</v>
      </c>
      <c r="N2899" s="1" t="s">
        <v>26</v>
      </c>
      <c r="O2899" s="1" t="s">
        <v>26</v>
      </c>
      <c r="P2899" s="4">
        <v>44600.87527777778</v>
      </c>
    </row>
    <row r="2900" hidden="1">
      <c r="A2900" s="1" t="s">
        <v>21</v>
      </c>
      <c r="B2900" s="3" t="str">
        <f>HYPERLINK("https://hawk-eye.atlassian.net/browse/HWKREPORT-660?atlOrigin=eyJpIjoiYzgwYTQ0ZjEyNzQzNGJhN2JmNjEyZTM0NmRhZWZhNjIiLCJwIjoic2hlZXRzLWppcmEifQ","HWKREPORT-660")</f>
        <v>HWKREPORT-660</v>
      </c>
      <c r="C2900" s="1" t="s">
        <v>4210</v>
      </c>
      <c r="D2900" s="1" t="s">
        <v>23</v>
      </c>
      <c r="E2900" s="1" t="s">
        <v>35</v>
      </c>
      <c r="F2900" s="4">
        <v>44245.86143518519</v>
      </c>
      <c r="G2900" s="3" t="str">
        <f>HYPERLINK("https://hawk-eye.atlassian.net/browse/?atlOrigin=eyJpIjoiYzgwYTQ0ZjEyNzQzNGJhN2JmNjEyZTM0NmRhZWZhNjIiLCJwIjoic2hlZXRzLWppcmEifQ","")</f>
        <v/>
      </c>
      <c r="H2900" s="1" t="s">
        <v>1058</v>
      </c>
      <c r="I2900" s="1" t="s">
        <v>1071</v>
      </c>
      <c r="J2900" s="1" t="s">
        <v>26</v>
      </c>
      <c r="K2900" s="1" t="s">
        <v>1372</v>
      </c>
      <c r="L2900" s="1" t="s">
        <v>26</v>
      </c>
      <c r="M2900" s="1" t="s">
        <v>27</v>
      </c>
      <c r="N2900" s="1" t="s">
        <v>26</v>
      </c>
      <c r="O2900" s="1" t="s">
        <v>26</v>
      </c>
      <c r="P2900" s="4">
        <v>44250.37037037037</v>
      </c>
    </row>
    <row r="2901" hidden="1">
      <c r="A2901" s="1" t="s">
        <v>21</v>
      </c>
      <c r="B2901" s="3" t="str">
        <f>HYPERLINK("https://hawk-eye.atlassian.net/browse/HWKREPORT-661?atlOrigin=eyJpIjoiYzgwYTQ0ZjEyNzQzNGJhN2JmNjEyZTM0NmRhZWZhNjIiLCJwIjoic2hlZXRzLWppcmEifQ","HWKREPORT-661")</f>
        <v>HWKREPORT-661</v>
      </c>
      <c r="C2901" s="1" t="s">
        <v>4211</v>
      </c>
      <c r="D2901" s="1" t="s">
        <v>83</v>
      </c>
      <c r="E2901" s="1" t="s">
        <v>35</v>
      </c>
      <c r="F2901" s="4">
        <v>44247.11106481482</v>
      </c>
      <c r="G2901" s="3" t="str">
        <f>HYPERLINK("https://hawk-eye.atlassian.net/browse/SO-225?atlOrigin=eyJpIjoiYzgwYTQ0ZjEyNzQzNGJhN2JmNjEyZTM0NmRhZWZhNjIiLCJwIjoic2hlZXRzLWppcmEifQ","SO-225")</f>
        <v>SO-225</v>
      </c>
      <c r="H2901" s="1" t="s">
        <v>1058</v>
      </c>
      <c r="I2901" s="1" t="s">
        <v>1071</v>
      </c>
      <c r="J2901" s="1" t="s">
        <v>26</v>
      </c>
      <c r="K2901" s="1" t="s">
        <v>4212</v>
      </c>
      <c r="L2901" s="1" t="s">
        <v>26</v>
      </c>
      <c r="M2901" s="1" t="s">
        <v>27</v>
      </c>
      <c r="N2901" s="1" t="s">
        <v>26</v>
      </c>
      <c r="O2901" s="1" t="s">
        <v>26</v>
      </c>
      <c r="P2901" s="4">
        <v>44943.38238425926</v>
      </c>
    </row>
    <row r="2902" hidden="1">
      <c r="A2902" s="1" t="s">
        <v>1055</v>
      </c>
      <c r="B2902" s="3" t="str">
        <f>HYPERLINK("https://hawk-eye.atlassian.net/browse/HWKREPORT-460?atlOrigin=eyJpIjoiYzgwYTQ0ZjEyNzQzNGJhN2JmNjEyZTM0NmRhZWZhNjIiLCJwIjoic2hlZXRzLWppcmEifQ","HWKREPORT-460")</f>
        <v>HWKREPORT-460</v>
      </c>
      <c r="C2902" s="1" t="s">
        <v>4213</v>
      </c>
      <c r="D2902" s="1" t="s">
        <v>23</v>
      </c>
      <c r="E2902" s="1" t="s">
        <v>35</v>
      </c>
      <c r="F2902" s="4">
        <v>44064.81575231482</v>
      </c>
      <c r="G2902" s="3" t="str">
        <f>HYPERLINK("https://hawk-eye.atlassian.net/issues/?atlOrigin=eyJpIjoiYzgwYTQ0ZjEyNzQzNGJhN2JmNjEyZTM0NmRhZWZhNjIiLCJwIjoic2hlZXRzLWppcmEifQ&amp;jql=key+in+%28RTT-2735%2CRTT-2789%29","RTT-2735;RTT-2789")</f>
        <v>RTT-2735;RTT-2789</v>
      </c>
      <c r="H2902" s="1" t="s">
        <v>1058</v>
      </c>
      <c r="I2902" s="1" t="s">
        <v>1071</v>
      </c>
      <c r="J2902" s="1" t="s">
        <v>26</v>
      </c>
      <c r="K2902" s="1" t="s">
        <v>1072</v>
      </c>
      <c r="L2902" s="1" t="s">
        <v>26</v>
      </c>
      <c r="M2902" s="1" t="s">
        <v>27</v>
      </c>
      <c r="N2902" s="1" t="s">
        <v>26</v>
      </c>
      <c r="O2902" s="1" t="s">
        <v>26</v>
      </c>
      <c r="P2902" s="4">
        <v>44600.87482638889</v>
      </c>
    </row>
    <row r="2903" hidden="1">
      <c r="A2903" s="1" t="s">
        <v>21</v>
      </c>
      <c r="B2903" s="3" t="str">
        <f>HYPERLINK("https://hawk-eye.atlassian.net/browse/HWKREPORT-461?atlOrigin=eyJpIjoiYzgwYTQ0ZjEyNzQzNGJhN2JmNjEyZTM0NmRhZWZhNjIiLCJwIjoic2hlZXRzLWppcmEifQ","HWKREPORT-461")</f>
        <v>HWKREPORT-461</v>
      </c>
      <c r="C2903" s="1" t="s">
        <v>4214</v>
      </c>
      <c r="D2903" s="1" t="s">
        <v>23</v>
      </c>
      <c r="E2903" s="1" t="s">
        <v>35</v>
      </c>
      <c r="F2903" s="4">
        <v>44064.89907407408</v>
      </c>
      <c r="G2903" s="3" t="str">
        <f>HYPERLINK("https://hawk-eye.atlassian.net/browse/RTT-2731?atlOrigin=eyJpIjoiYzgwYTQ0ZjEyNzQzNGJhN2JmNjEyZTM0NmRhZWZhNjIiLCJwIjoic2hlZXRzLWppcmEifQ","RTT-2731")</f>
        <v>RTT-2731</v>
      </c>
      <c r="H2903" s="1" t="s">
        <v>1058</v>
      </c>
      <c r="I2903" s="1" t="s">
        <v>1071</v>
      </c>
      <c r="J2903" s="1" t="s">
        <v>26</v>
      </c>
      <c r="K2903" s="1" t="s">
        <v>1312</v>
      </c>
      <c r="L2903" s="1" t="s">
        <v>26</v>
      </c>
      <c r="M2903" s="1" t="s">
        <v>27</v>
      </c>
      <c r="N2903" s="1" t="s">
        <v>26</v>
      </c>
      <c r="O2903" s="1" t="s">
        <v>26</v>
      </c>
      <c r="P2903" s="4">
        <v>45216.37039351852</v>
      </c>
    </row>
    <row r="2904" hidden="1">
      <c r="A2904" s="1" t="s">
        <v>21</v>
      </c>
      <c r="B2904" s="3" t="str">
        <f>HYPERLINK("https://hawk-eye.atlassian.net/browse/HWKREPORT-462?atlOrigin=eyJpIjoiYzgwYTQ0ZjEyNzQzNGJhN2JmNjEyZTM0NmRhZWZhNjIiLCJwIjoic2hlZXRzLWppcmEifQ","HWKREPORT-462")</f>
        <v>HWKREPORT-462</v>
      </c>
      <c r="C2904" s="1" t="s">
        <v>4215</v>
      </c>
      <c r="D2904" s="1" t="s">
        <v>23</v>
      </c>
      <c r="E2904" s="1" t="s">
        <v>35</v>
      </c>
      <c r="F2904" s="4">
        <v>44064.90069444444</v>
      </c>
      <c r="G2904" s="3" t="str">
        <f>HYPERLINK("https://hawk-eye.atlassian.net/browse/RTT-2732?atlOrigin=eyJpIjoiYzgwYTQ0ZjEyNzQzNGJhN2JmNjEyZTM0NmRhZWZhNjIiLCJwIjoic2hlZXRzLWppcmEifQ","RTT-2732")</f>
        <v>RTT-2732</v>
      </c>
      <c r="H2904" s="1" t="s">
        <v>1058</v>
      </c>
      <c r="I2904" s="1" t="s">
        <v>1071</v>
      </c>
      <c r="J2904" s="1" t="s">
        <v>26</v>
      </c>
      <c r="K2904" s="1" t="s">
        <v>1312</v>
      </c>
      <c r="L2904" s="1" t="s">
        <v>26</v>
      </c>
      <c r="M2904" s="1" t="s">
        <v>27</v>
      </c>
      <c r="N2904" s="1" t="s">
        <v>26</v>
      </c>
      <c r="O2904" s="1" t="s">
        <v>26</v>
      </c>
      <c r="P2904" s="4">
        <v>44363.761087962965</v>
      </c>
    </row>
    <row r="2905" hidden="1">
      <c r="A2905" s="1" t="s">
        <v>1055</v>
      </c>
      <c r="B2905" s="3" t="str">
        <f>HYPERLINK("https://hawk-eye.atlassian.net/browse/HWKREPORT-463?atlOrigin=eyJpIjoiYzgwYTQ0ZjEyNzQzNGJhN2JmNjEyZTM0NmRhZWZhNjIiLCJwIjoic2hlZXRzLWppcmEifQ","HWKREPORT-463")</f>
        <v>HWKREPORT-463</v>
      </c>
      <c r="C2905" s="1" t="s">
        <v>4216</v>
      </c>
      <c r="D2905" s="1" t="s">
        <v>23</v>
      </c>
      <c r="E2905" s="1" t="s">
        <v>35</v>
      </c>
      <c r="F2905" s="4">
        <v>44065.90211805556</v>
      </c>
      <c r="G2905" s="3" t="str">
        <f>HYPERLINK("https://hawk-eye.atlassian.net/browse/RTT-2748?atlOrigin=eyJpIjoiYzgwYTQ0ZjEyNzQzNGJhN2JmNjEyZTM0NmRhZWZhNjIiLCJwIjoic2hlZXRzLWppcmEifQ","RTT-2748")</f>
        <v>RTT-2748</v>
      </c>
      <c r="H2905" s="1" t="s">
        <v>1058</v>
      </c>
      <c r="I2905" s="1" t="s">
        <v>1071</v>
      </c>
      <c r="J2905" s="1" t="s">
        <v>26</v>
      </c>
      <c r="K2905" s="1" t="s">
        <v>1072</v>
      </c>
      <c r="L2905" s="1" t="s">
        <v>26</v>
      </c>
      <c r="M2905" s="1" t="s">
        <v>27</v>
      </c>
      <c r="N2905" s="1" t="s">
        <v>26</v>
      </c>
      <c r="O2905" s="1" t="s">
        <v>26</v>
      </c>
      <c r="P2905" s="4">
        <v>44095.7087962963</v>
      </c>
    </row>
    <row r="2906" hidden="1">
      <c r="A2906" s="1" t="s">
        <v>1055</v>
      </c>
      <c r="B2906" s="3" t="str">
        <f>HYPERLINK("https://hawk-eye.atlassian.net/browse/HWKREPORT-464?atlOrigin=eyJpIjoiYzgwYTQ0ZjEyNzQzNGJhN2JmNjEyZTM0NmRhZWZhNjIiLCJwIjoic2hlZXRzLWppcmEifQ","HWKREPORT-464")</f>
        <v>HWKREPORT-464</v>
      </c>
      <c r="C2906" s="1" t="s">
        <v>4217</v>
      </c>
      <c r="D2906" s="1" t="s">
        <v>23</v>
      </c>
      <c r="E2906" s="1" t="s">
        <v>35</v>
      </c>
      <c r="F2906" s="4">
        <v>44067.708078703705</v>
      </c>
      <c r="G2906" s="3" t="str">
        <f>HYPERLINK("https://hawk-eye.atlassian.net/browse/RTT-2741?atlOrigin=eyJpIjoiYzgwYTQ0ZjEyNzQzNGJhN2JmNjEyZTM0NmRhZWZhNjIiLCJwIjoic2hlZXRzLWppcmEifQ","RTT-2741")</f>
        <v>RTT-2741</v>
      </c>
      <c r="H2906" s="1" t="s">
        <v>1058</v>
      </c>
      <c r="I2906" s="1" t="s">
        <v>1126</v>
      </c>
      <c r="J2906" s="1" t="s">
        <v>26</v>
      </c>
      <c r="K2906" s="1" t="s">
        <v>1545</v>
      </c>
      <c r="L2906" s="1" t="s">
        <v>26</v>
      </c>
      <c r="M2906" s="1" t="s">
        <v>27</v>
      </c>
      <c r="N2906" s="1" t="s">
        <v>26</v>
      </c>
      <c r="O2906" s="1" t="s">
        <v>26</v>
      </c>
      <c r="P2906" s="4">
        <v>44600.87451388889</v>
      </c>
    </row>
    <row r="2907" hidden="1">
      <c r="A2907" s="1" t="s">
        <v>21</v>
      </c>
      <c r="B2907" s="3" t="str">
        <f>HYPERLINK("https://hawk-eye.atlassian.net/browse/HWKREPORT-465?atlOrigin=eyJpIjoiYzgwYTQ0ZjEyNzQzNGJhN2JmNjEyZTM0NmRhZWZhNjIiLCJwIjoic2hlZXRzLWppcmEifQ","HWKREPORT-465")</f>
        <v>HWKREPORT-465</v>
      </c>
      <c r="C2907" s="1" t="s">
        <v>4218</v>
      </c>
      <c r="D2907" s="1" t="s">
        <v>40</v>
      </c>
      <c r="E2907" s="1" t="s">
        <v>35</v>
      </c>
      <c r="F2907" s="4">
        <v>44067.78306712963</v>
      </c>
      <c r="G2907" s="3" t="str">
        <f t="shared" ref="G2907:G2910" si="197">HYPERLINK("https://hawk-eye.atlassian.net/browse/?atlOrigin=eyJpIjoiYzgwYTQ0ZjEyNzQzNGJhN2JmNjEyZTM0NmRhZWZhNjIiLCJwIjoic2hlZXRzLWppcmEifQ","")</f>
        <v/>
      </c>
      <c r="H2907" s="1" t="s">
        <v>1058</v>
      </c>
      <c r="I2907" s="1" t="s">
        <v>1082</v>
      </c>
      <c r="J2907" s="1" t="s">
        <v>26</v>
      </c>
      <c r="K2907" s="1" t="s">
        <v>1105</v>
      </c>
      <c r="L2907" s="1" t="s">
        <v>26</v>
      </c>
      <c r="M2907" s="1" t="s">
        <v>27</v>
      </c>
      <c r="N2907" s="1" t="s">
        <v>26</v>
      </c>
      <c r="O2907" s="1" t="s">
        <v>26</v>
      </c>
      <c r="P2907" s="4">
        <v>44600.874548611115</v>
      </c>
    </row>
    <row r="2908" hidden="1">
      <c r="A2908" s="1" t="s">
        <v>21</v>
      </c>
      <c r="B2908" s="3" t="str">
        <f>HYPERLINK("https://hawk-eye.atlassian.net/browse/HWKREPORT-466?atlOrigin=eyJpIjoiYzgwYTQ0ZjEyNzQzNGJhN2JmNjEyZTM0NmRhZWZhNjIiLCJwIjoic2hlZXRzLWppcmEifQ","HWKREPORT-466")</f>
        <v>HWKREPORT-466</v>
      </c>
      <c r="C2908" s="1" t="s">
        <v>4219</v>
      </c>
      <c r="D2908" s="1" t="s">
        <v>23</v>
      </c>
      <c r="E2908" s="1" t="s">
        <v>35</v>
      </c>
      <c r="F2908" s="4">
        <v>44067.90657407408</v>
      </c>
      <c r="G2908" s="3" t="str">
        <f t="shared" si="197"/>
        <v/>
      </c>
      <c r="H2908" s="1" t="s">
        <v>1058</v>
      </c>
      <c r="I2908" s="1" t="s">
        <v>1071</v>
      </c>
      <c r="J2908" s="1" t="s">
        <v>26</v>
      </c>
      <c r="K2908" s="1" t="s">
        <v>1072</v>
      </c>
      <c r="L2908" s="1" t="s">
        <v>26</v>
      </c>
      <c r="M2908" s="1" t="s">
        <v>27</v>
      </c>
      <c r="N2908" s="1" t="s">
        <v>26</v>
      </c>
      <c r="O2908" s="1" t="s">
        <v>26</v>
      </c>
      <c r="P2908" s="4">
        <v>44503.37163194444</v>
      </c>
    </row>
    <row r="2909" hidden="1">
      <c r="A2909" s="1" t="s">
        <v>21</v>
      </c>
      <c r="B2909" s="3" t="str">
        <f>HYPERLINK("https://hawk-eye.atlassian.net/browse/HWKREPORT-467?atlOrigin=eyJpIjoiYzgwYTQ0ZjEyNzQzNGJhN2JmNjEyZTM0NmRhZWZhNjIiLCJwIjoic2hlZXRzLWppcmEifQ","HWKREPORT-467")</f>
        <v>HWKREPORT-467</v>
      </c>
      <c r="C2909" s="1" t="s">
        <v>4220</v>
      </c>
      <c r="D2909" s="1" t="s">
        <v>23</v>
      </c>
      <c r="E2909" s="1" t="s">
        <v>35</v>
      </c>
      <c r="F2909" s="4">
        <v>44068.61524305555</v>
      </c>
      <c r="G2909" s="3" t="str">
        <f t="shared" si="197"/>
        <v/>
      </c>
      <c r="H2909" s="1" t="s">
        <v>1058</v>
      </c>
      <c r="I2909" s="1" t="s">
        <v>1082</v>
      </c>
      <c r="J2909" s="1" t="s">
        <v>26</v>
      </c>
      <c r="K2909" s="1" t="s">
        <v>4221</v>
      </c>
      <c r="L2909" s="1" t="s">
        <v>26</v>
      </c>
      <c r="M2909" s="1" t="s">
        <v>27</v>
      </c>
      <c r="N2909" s="1" t="s">
        <v>26</v>
      </c>
      <c r="O2909" s="1" t="s">
        <v>26</v>
      </c>
      <c r="P2909" s="4">
        <v>44600.875231481485</v>
      </c>
    </row>
    <row r="2910" hidden="1">
      <c r="A2910" s="1" t="s">
        <v>21</v>
      </c>
      <c r="B2910" s="3" t="str">
        <f>HYPERLINK("https://hawk-eye.atlassian.net/browse/HWKREPORT-468?atlOrigin=eyJpIjoiYzgwYTQ0ZjEyNzQzNGJhN2JmNjEyZTM0NmRhZWZhNjIiLCJwIjoic2hlZXRzLWppcmEifQ","HWKREPORT-468")</f>
        <v>HWKREPORT-468</v>
      </c>
      <c r="C2910" s="1" t="s">
        <v>4222</v>
      </c>
      <c r="D2910" s="1" t="s">
        <v>23</v>
      </c>
      <c r="E2910" s="1" t="s">
        <v>35</v>
      </c>
      <c r="F2910" s="4">
        <v>44068.76188657407</v>
      </c>
      <c r="G2910" s="3" t="str">
        <f t="shared" si="197"/>
        <v/>
      </c>
      <c r="H2910" s="1" t="s">
        <v>1058</v>
      </c>
      <c r="I2910" s="1" t="s">
        <v>1082</v>
      </c>
      <c r="J2910" s="1" t="s">
        <v>26</v>
      </c>
      <c r="K2910" s="1" t="s">
        <v>1105</v>
      </c>
      <c r="L2910" s="1" t="s">
        <v>26</v>
      </c>
      <c r="M2910" s="1" t="s">
        <v>27</v>
      </c>
      <c r="N2910" s="1" t="s">
        <v>26</v>
      </c>
      <c r="O2910" s="1" t="s">
        <v>26</v>
      </c>
      <c r="P2910" s="4">
        <v>44600.87488425926</v>
      </c>
    </row>
    <row r="2911" hidden="1">
      <c r="A2911" s="1" t="s">
        <v>21</v>
      </c>
      <c r="B2911" s="3" t="str">
        <f>HYPERLINK("https://hawk-eye.atlassian.net/browse/HWKREPORT-469?atlOrigin=eyJpIjoiYzgwYTQ0ZjEyNzQzNGJhN2JmNjEyZTM0NmRhZWZhNjIiLCJwIjoic2hlZXRzLWppcmEifQ","HWKREPORT-469")</f>
        <v>HWKREPORT-469</v>
      </c>
      <c r="C2911" s="1" t="s">
        <v>4223</v>
      </c>
      <c r="D2911" s="1" t="s">
        <v>23</v>
      </c>
      <c r="E2911" s="1" t="s">
        <v>35</v>
      </c>
      <c r="F2911" s="4">
        <v>44068.93528935185</v>
      </c>
      <c r="G2911" s="3" t="str">
        <f>HYPERLINK("https://hawk-eye.atlassian.net/browse/RTT-2745?atlOrigin=eyJpIjoiYzgwYTQ0ZjEyNzQzNGJhN2JmNjEyZTM0NmRhZWZhNjIiLCJwIjoic2hlZXRzLWppcmEifQ","RTT-2745")</f>
        <v>RTT-2745</v>
      </c>
      <c r="H2911" s="1" t="s">
        <v>1058</v>
      </c>
      <c r="I2911" s="1" t="s">
        <v>1071</v>
      </c>
      <c r="J2911" s="1" t="s">
        <v>26</v>
      </c>
      <c r="K2911" s="1" t="s">
        <v>1072</v>
      </c>
      <c r="L2911" s="1" t="s">
        <v>26</v>
      </c>
      <c r="M2911" s="1" t="s">
        <v>27</v>
      </c>
      <c r="N2911" s="1" t="s">
        <v>26</v>
      </c>
      <c r="O2911" s="1" t="s">
        <v>26</v>
      </c>
      <c r="P2911" s="4">
        <v>44600.874872685185</v>
      </c>
    </row>
    <row r="2912" hidden="1">
      <c r="A2912" s="1" t="s">
        <v>21</v>
      </c>
      <c r="B2912" s="3" t="str">
        <f>HYPERLINK("https://hawk-eye.atlassian.net/browse/HWKREPORT-470?atlOrigin=eyJpIjoiYzgwYTQ0ZjEyNzQzNGJhN2JmNjEyZTM0NmRhZWZhNjIiLCJwIjoic2hlZXRzLWppcmEifQ","HWKREPORT-470")</f>
        <v>HWKREPORT-470</v>
      </c>
      <c r="C2912" s="1" t="s">
        <v>4224</v>
      </c>
      <c r="D2912" s="1" t="s">
        <v>23</v>
      </c>
      <c r="E2912" s="1" t="s">
        <v>35</v>
      </c>
      <c r="F2912" s="4">
        <v>44069.840520833335</v>
      </c>
      <c r="G2912" s="3" t="str">
        <f>HYPERLINK("https://hawk-eye.atlassian.net/browse/RTT-2756?atlOrigin=eyJpIjoiYzgwYTQ0ZjEyNzQzNGJhN2JmNjEyZTM0NmRhZWZhNjIiLCJwIjoic2hlZXRzLWppcmEifQ","RTT-2756")</f>
        <v>RTT-2756</v>
      </c>
      <c r="H2912" s="1" t="s">
        <v>1058</v>
      </c>
      <c r="I2912" s="1" t="s">
        <v>1071</v>
      </c>
      <c r="J2912" s="1" t="s">
        <v>26</v>
      </c>
      <c r="K2912" s="1" t="s">
        <v>1072</v>
      </c>
      <c r="L2912" s="1" t="s">
        <v>26</v>
      </c>
      <c r="M2912" s="1" t="s">
        <v>27</v>
      </c>
      <c r="N2912" s="1" t="s">
        <v>26</v>
      </c>
      <c r="O2912" s="1" t="s">
        <v>26</v>
      </c>
      <c r="P2912" s="4">
        <v>44090.41709490741</v>
      </c>
    </row>
    <row r="2913" hidden="1">
      <c r="A2913" s="1" t="s">
        <v>1055</v>
      </c>
      <c r="B2913" s="3" t="str">
        <f>HYPERLINK("https://hawk-eye.atlassian.net/browse/HWKREPORT-471?atlOrigin=eyJpIjoiYzgwYTQ0ZjEyNzQzNGJhN2JmNjEyZTM0NmRhZWZhNjIiLCJwIjoic2hlZXRzLWppcmEifQ","HWKREPORT-471")</f>
        <v>HWKREPORT-471</v>
      </c>
      <c r="C2913" s="1" t="s">
        <v>4225</v>
      </c>
      <c r="D2913" s="1" t="s">
        <v>23</v>
      </c>
      <c r="E2913" s="1" t="s">
        <v>35</v>
      </c>
      <c r="F2913" s="4">
        <v>44070.75951388889</v>
      </c>
      <c r="G2913" s="3" t="str">
        <f>HYPERLINK("https://hawk-eye.atlassian.net/browse/TVR-69?atlOrigin=eyJpIjoiYzgwYTQ0ZjEyNzQzNGJhN2JmNjEyZTM0NmRhZWZhNjIiLCJwIjoic2hlZXRzLWppcmEifQ","TVR-69")</f>
        <v>TVR-69</v>
      </c>
      <c r="H2913" s="1" t="s">
        <v>1058</v>
      </c>
      <c r="I2913" s="1" t="s">
        <v>1126</v>
      </c>
      <c r="J2913" s="1" t="s">
        <v>26</v>
      </c>
      <c r="K2913" s="1" t="s">
        <v>1573</v>
      </c>
      <c r="L2913" s="1" t="s">
        <v>26</v>
      </c>
      <c r="M2913" s="1" t="s">
        <v>27</v>
      </c>
      <c r="N2913" s="1" t="s">
        <v>26</v>
      </c>
      <c r="O2913" s="1" t="s">
        <v>26</v>
      </c>
      <c r="P2913" s="4">
        <v>44600.87472222222</v>
      </c>
    </row>
    <row r="2914" hidden="1">
      <c r="A2914" s="1" t="s">
        <v>21</v>
      </c>
      <c r="B2914" s="3" t="str">
        <f>HYPERLINK("https://hawk-eye.atlassian.net/browse/HWKREPORT-472?atlOrigin=eyJpIjoiYzgwYTQ0ZjEyNzQzNGJhN2JmNjEyZTM0NmRhZWZhNjIiLCJwIjoic2hlZXRzLWppcmEifQ","HWKREPORT-472")</f>
        <v>HWKREPORT-472</v>
      </c>
      <c r="C2914" s="1" t="s">
        <v>4226</v>
      </c>
      <c r="D2914" s="1" t="s">
        <v>23</v>
      </c>
      <c r="E2914" s="1" t="s">
        <v>35</v>
      </c>
      <c r="F2914" s="4">
        <v>44071.42068287037</v>
      </c>
      <c r="G2914" s="3" t="str">
        <f t="shared" ref="G2914:G2918" si="198">HYPERLINK("https://hawk-eye.atlassian.net/browse/?atlOrigin=eyJpIjoiYzgwYTQ0ZjEyNzQzNGJhN2JmNjEyZTM0NmRhZWZhNjIiLCJwIjoic2hlZXRzLWppcmEifQ","")</f>
        <v/>
      </c>
      <c r="H2914" s="1" t="s">
        <v>1058</v>
      </c>
      <c r="I2914" s="1" t="s">
        <v>1082</v>
      </c>
      <c r="J2914" s="1" t="s">
        <v>26</v>
      </c>
      <c r="K2914" s="1" t="s">
        <v>1148</v>
      </c>
      <c r="L2914" s="1" t="s">
        <v>26</v>
      </c>
      <c r="M2914" s="1" t="s">
        <v>27</v>
      </c>
      <c r="N2914" s="1" t="s">
        <v>26</v>
      </c>
      <c r="O2914" s="1" t="s">
        <v>26</v>
      </c>
      <c r="P2914" s="4">
        <v>44600.8747337963</v>
      </c>
    </row>
    <row r="2915" hidden="1">
      <c r="A2915" s="1" t="s">
        <v>21</v>
      </c>
      <c r="B2915" s="3" t="str">
        <f>HYPERLINK("https://hawk-eye.atlassian.net/browse/HWKREPORT-473?atlOrigin=eyJpIjoiYzgwYTQ0ZjEyNzQzNGJhN2JmNjEyZTM0NmRhZWZhNjIiLCJwIjoic2hlZXRzLWppcmEifQ","HWKREPORT-473")</f>
        <v>HWKREPORT-473</v>
      </c>
      <c r="C2915" s="1" t="s">
        <v>4227</v>
      </c>
      <c r="D2915" s="1" t="s">
        <v>23</v>
      </c>
      <c r="E2915" s="1" t="s">
        <v>1057</v>
      </c>
      <c r="F2915" s="4">
        <v>44071.47017361111</v>
      </c>
      <c r="G2915" s="3" t="str">
        <f t="shared" si="198"/>
        <v/>
      </c>
      <c r="H2915" s="1" t="s">
        <v>1058</v>
      </c>
      <c r="I2915" s="1" t="s">
        <v>1082</v>
      </c>
      <c r="J2915" s="1" t="s">
        <v>26</v>
      </c>
      <c r="K2915" s="1" t="s">
        <v>1700</v>
      </c>
      <c r="L2915" s="1" t="s">
        <v>26</v>
      </c>
      <c r="M2915" s="1" t="s">
        <v>27</v>
      </c>
      <c r="N2915" s="1" t="s">
        <v>26</v>
      </c>
      <c r="O2915" s="1" t="s">
        <v>26</v>
      </c>
      <c r="P2915" s="4">
        <v>44071.47017361111</v>
      </c>
    </row>
    <row r="2916" hidden="1">
      <c r="A2916" s="1" t="s">
        <v>21</v>
      </c>
      <c r="B2916" s="3" t="str">
        <f>HYPERLINK("https://hawk-eye.atlassian.net/browse/HWKREPORT-474?atlOrigin=eyJpIjoiYzgwYTQ0ZjEyNzQzNGJhN2JmNjEyZTM0NmRhZWZhNjIiLCJwIjoic2hlZXRzLWppcmEifQ","HWKREPORT-474")</f>
        <v>HWKREPORT-474</v>
      </c>
      <c r="C2916" s="1" t="s">
        <v>4228</v>
      </c>
      <c r="D2916" s="1" t="s">
        <v>23</v>
      </c>
      <c r="E2916" s="1" t="s">
        <v>1057</v>
      </c>
      <c r="F2916" s="4">
        <v>44071.48273148148</v>
      </c>
      <c r="G2916" s="3" t="str">
        <f t="shared" si="198"/>
        <v/>
      </c>
      <c r="H2916" s="1" t="s">
        <v>1058</v>
      </c>
      <c r="I2916" s="1" t="s">
        <v>1082</v>
      </c>
      <c r="J2916" s="1" t="s">
        <v>26</v>
      </c>
      <c r="K2916" s="1" t="s">
        <v>1700</v>
      </c>
      <c r="L2916" s="1" t="s">
        <v>26</v>
      </c>
      <c r="M2916" s="1" t="s">
        <v>27</v>
      </c>
      <c r="N2916" s="1" t="s">
        <v>26</v>
      </c>
      <c r="O2916" s="1" t="s">
        <v>26</v>
      </c>
      <c r="P2916" s="4">
        <v>44071.48274305555</v>
      </c>
    </row>
    <row r="2917" hidden="1">
      <c r="A2917" s="1" t="s">
        <v>1055</v>
      </c>
      <c r="B2917" s="3" t="str">
        <f>HYPERLINK("https://hawk-eye.atlassian.net/browse/HWKREPORT-475?atlOrigin=eyJpIjoiYzgwYTQ0ZjEyNzQzNGJhN2JmNjEyZTM0NmRhZWZhNjIiLCJwIjoic2hlZXRzLWppcmEifQ","HWKREPORT-475")</f>
        <v>HWKREPORT-475</v>
      </c>
      <c r="C2917" s="1" t="s">
        <v>4229</v>
      </c>
      <c r="D2917" s="1" t="s">
        <v>23</v>
      </c>
      <c r="E2917" s="1" t="s">
        <v>35</v>
      </c>
      <c r="F2917" s="4">
        <v>44071.48940972222</v>
      </c>
      <c r="G2917" s="3" t="str">
        <f t="shared" si="198"/>
        <v/>
      </c>
      <c r="H2917" s="1" t="s">
        <v>1058</v>
      </c>
      <c r="I2917" s="1" t="s">
        <v>1082</v>
      </c>
      <c r="J2917" s="1" t="s">
        <v>26</v>
      </c>
      <c r="K2917" s="1" t="s">
        <v>1114</v>
      </c>
      <c r="L2917" s="1" t="s">
        <v>26</v>
      </c>
      <c r="M2917" s="1" t="s">
        <v>27</v>
      </c>
      <c r="N2917" s="1" t="s">
        <v>26</v>
      </c>
      <c r="O2917" s="1" t="s">
        <v>26</v>
      </c>
      <c r="P2917" s="4">
        <v>45057.507939814815</v>
      </c>
    </row>
    <row r="2918" hidden="1">
      <c r="A2918" s="1" t="s">
        <v>1055</v>
      </c>
      <c r="B2918" s="3" t="str">
        <f>HYPERLINK("https://hawk-eye.atlassian.net/browse/HWKREPORT-476?atlOrigin=eyJpIjoiYzgwYTQ0ZjEyNzQzNGJhN2JmNjEyZTM0NmRhZWZhNjIiLCJwIjoic2hlZXRzLWppcmEifQ","HWKREPORT-476")</f>
        <v>HWKREPORT-476</v>
      </c>
      <c r="C2918" s="1" t="s">
        <v>4230</v>
      </c>
      <c r="D2918" s="1" t="s">
        <v>23</v>
      </c>
      <c r="E2918" s="1" t="s">
        <v>1057</v>
      </c>
      <c r="F2918" s="4">
        <v>44071.52748842593</v>
      </c>
      <c r="G2918" s="3" t="str">
        <f t="shared" si="198"/>
        <v/>
      </c>
      <c r="H2918" s="1" t="s">
        <v>1058</v>
      </c>
      <c r="I2918" s="1" t="s">
        <v>1082</v>
      </c>
      <c r="J2918" s="1" t="s">
        <v>26</v>
      </c>
      <c r="K2918" s="1" t="s">
        <v>1700</v>
      </c>
      <c r="L2918" s="1" t="s">
        <v>26</v>
      </c>
      <c r="M2918" s="1" t="s">
        <v>27</v>
      </c>
      <c r="N2918" s="1" t="s">
        <v>26</v>
      </c>
      <c r="O2918" s="1" t="s">
        <v>26</v>
      </c>
      <c r="P2918" s="4">
        <v>44071.52748842593</v>
      </c>
    </row>
    <row r="2919" hidden="1">
      <c r="A2919" s="1" t="s">
        <v>1055</v>
      </c>
      <c r="B2919" s="3" t="str">
        <f>HYPERLINK("https://hawk-eye.atlassian.net/browse/HWKREPORT-477?atlOrigin=eyJpIjoiYzgwYTQ0ZjEyNzQzNGJhN2JmNjEyZTM0NmRhZWZhNjIiLCJwIjoic2hlZXRzLWppcmEifQ","HWKREPORT-477")</f>
        <v>HWKREPORT-477</v>
      </c>
      <c r="C2919" s="1" t="s">
        <v>4231</v>
      </c>
      <c r="D2919" s="1" t="s">
        <v>23</v>
      </c>
      <c r="E2919" s="1" t="s">
        <v>35</v>
      </c>
      <c r="F2919" s="4">
        <v>44071.62657407407</v>
      </c>
      <c r="G2919" s="3" t="str">
        <f>HYPERLINK("https://hawk-eye.atlassian.net/browse/RTT-2789?atlOrigin=eyJpIjoiYzgwYTQ0ZjEyNzQzNGJhN2JmNjEyZTM0NmRhZWZhNjIiLCJwIjoic2hlZXRzLWppcmEifQ","RTT-2789")</f>
        <v>RTT-2789</v>
      </c>
      <c r="H2919" s="1" t="s">
        <v>1058</v>
      </c>
      <c r="I2919" s="1" t="s">
        <v>1071</v>
      </c>
      <c r="J2919" s="1" t="s">
        <v>26</v>
      </c>
      <c r="K2919" s="1" t="s">
        <v>1309</v>
      </c>
      <c r="L2919" s="1" t="s">
        <v>26</v>
      </c>
      <c r="M2919" s="1" t="s">
        <v>27</v>
      </c>
      <c r="N2919" s="1" t="s">
        <v>26</v>
      </c>
      <c r="O2919" s="1" t="s">
        <v>26</v>
      </c>
      <c r="P2919" s="4">
        <v>44600.87484953704</v>
      </c>
    </row>
    <row r="2920" hidden="1">
      <c r="A2920" s="1" t="s">
        <v>1055</v>
      </c>
      <c r="B2920" s="3" t="str">
        <f>HYPERLINK("https://hawk-eye.atlassian.net/browse/HWKREPORT-478?atlOrigin=eyJpIjoiYzgwYTQ0ZjEyNzQzNGJhN2JmNjEyZTM0NmRhZWZhNjIiLCJwIjoic2hlZXRzLWppcmEifQ","HWKREPORT-478")</f>
        <v>HWKREPORT-478</v>
      </c>
      <c r="C2920" s="1" t="s">
        <v>4232</v>
      </c>
      <c r="D2920" s="1" t="s">
        <v>23</v>
      </c>
      <c r="E2920" s="1" t="s">
        <v>1057</v>
      </c>
      <c r="F2920" s="4">
        <v>44074.68548611111</v>
      </c>
      <c r="G2920" s="3" t="str">
        <f>HYPERLINK("https://hawk-eye.atlassian.net/browse/?atlOrigin=eyJpIjoiYzgwYTQ0ZjEyNzQzNGJhN2JmNjEyZTM0NmRhZWZhNjIiLCJwIjoic2hlZXRzLWppcmEifQ","")</f>
        <v/>
      </c>
      <c r="H2920" s="1" t="s">
        <v>1058</v>
      </c>
      <c r="I2920" s="1" t="s">
        <v>1082</v>
      </c>
      <c r="J2920" s="1" t="s">
        <v>26</v>
      </c>
      <c r="K2920" s="1" t="s">
        <v>2423</v>
      </c>
      <c r="L2920" s="1" t="s">
        <v>26</v>
      </c>
      <c r="M2920" s="1" t="s">
        <v>27</v>
      </c>
      <c r="N2920" s="1" t="s">
        <v>26</v>
      </c>
      <c r="O2920" s="1" t="s">
        <v>26</v>
      </c>
      <c r="P2920" s="4">
        <v>44074.68548611111</v>
      </c>
    </row>
    <row r="2921" hidden="1">
      <c r="A2921" s="1" t="s">
        <v>1055</v>
      </c>
      <c r="B2921" s="3" t="str">
        <f>HYPERLINK("https://hawk-eye.atlassian.net/browse/HWKREPORT-479?atlOrigin=eyJpIjoiYzgwYTQ0ZjEyNzQzNGJhN2JmNjEyZTM0NmRhZWZhNjIiLCJwIjoic2hlZXRzLWppcmEifQ","HWKREPORT-479")</f>
        <v>HWKREPORT-479</v>
      </c>
      <c r="C2921" s="1" t="s">
        <v>4233</v>
      </c>
      <c r="D2921" s="1" t="s">
        <v>23</v>
      </c>
      <c r="E2921" s="1" t="s">
        <v>35</v>
      </c>
      <c r="F2921" s="4">
        <v>44074.76548611111</v>
      </c>
      <c r="G2921" s="3" t="str">
        <f>HYPERLINK("https://hawk-eye.atlassian.net/browse/CONFIG-460?atlOrigin=eyJpIjoiYzgwYTQ0ZjEyNzQzNGJhN2JmNjEyZTM0NmRhZWZhNjIiLCJwIjoic2hlZXRzLWppcmEifQ","CONFIG-460")</f>
        <v>CONFIG-460</v>
      </c>
      <c r="H2921" s="1" t="s">
        <v>1058</v>
      </c>
      <c r="I2921" s="1" t="s">
        <v>1071</v>
      </c>
      <c r="J2921" s="1" t="s">
        <v>26</v>
      </c>
      <c r="K2921" s="1" t="s">
        <v>1134</v>
      </c>
      <c r="L2921" s="1" t="s">
        <v>26</v>
      </c>
      <c r="M2921" s="1" t="s">
        <v>27</v>
      </c>
      <c r="N2921" s="1" t="s">
        <v>26</v>
      </c>
      <c r="O2921" s="1" t="s">
        <v>26</v>
      </c>
      <c r="P2921" s="4">
        <v>44146.46875</v>
      </c>
    </row>
    <row r="2922" hidden="1">
      <c r="A2922" s="1" t="s">
        <v>1055</v>
      </c>
      <c r="B2922" s="3" t="str">
        <f>HYPERLINK("https://hawk-eye.atlassian.net/browse/HWKREPORT-480?atlOrigin=eyJpIjoiYzgwYTQ0ZjEyNzQzNGJhN2JmNjEyZTM0NmRhZWZhNjIiLCJwIjoic2hlZXRzLWppcmEifQ","HWKREPORT-480")</f>
        <v>HWKREPORT-480</v>
      </c>
      <c r="C2922" s="1" t="s">
        <v>4234</v>
      </c>
      <c r="D2922" s="1" t="s">
        <v>23</v>
      </c>
      <c r="E2922" s="1" t="s">
        <v>35</v>
      </c>
      <c r="F2922" s="4">
        <v>44074.84997685185</v>
      </c>
      <c r="G2922" s="3" t="str">
        <f>HYPERLINK("https://hawk-eye.atlassian.net/browse/RTT-2768?atlOrigin=eyJpIjoiYzgwYTQ0ZjEyNzQzNGJhN2JmNjEyZTM0NmRhZWZhNjIiLCJwIjoic2hlZXRzLWppcmEifQ","RTT-2768")</f>
        <v>RTT-2768</v>
      </c>
      <c r="H2922" s="1" t="s">
        <v>1058</v>
      </c>
      <c r="I2922" s="1" t="s">
        <v>1071</v>
      </c>
      <c r="J2922" s="1" t="s">
        <v>26</v>
      </c>
      <c r="K2922" s="1" t="s">
        <v>1072</v>
      </c>
      <c r="L2922" s="1" t="s">
        <v>26</v>
      </c>
      <c r="M2922" s="1" t="s">
        <v>27</v>
      </c>
      <c r="N2922" s="1" t="s">
        <v>26</v>
      </c>
      <c r="O2922" s="1" t="s">
        <v>26</v>
      </c>
      <c r="P2922" s="4">
        <v>44503.371412037035</v>
      </c>
    </row>
    <row r="2923" hidden="1">
      <c r="A2923" s="1" t="s">
        <v>21</v>
      </c>
      <c r="B2923" s="3" t="str">
        <f>HYPERLINK("https://hawk-eye.atlassian.net/browse/HWKREPORT-481?atlOrigin=eyJpIjoiYzgwYTQ0ZjEyNzQzNGJhN2JmNjEyZTM0NmRhZWZhNjIiLCJwIjoic2hlZXRzLWppcmEifQ","HWKREPORT-481")</f>
        <v>HWKREPORT-481</v>
      </c>
      <c r="C2923" s="1" t="s">
        <v>4235</v>
      </c>
      <c r="D2923" s="1" t="s">
        <v>23</v>
      </c>
      <c r="E2923" s="1" t="s">
        <v>35</v>
      </c>
      <c r="F2923" s="4">
        <v>44074.87736111111</v>
      </c>
      <c r="G2923" s="3" t="str">
        <f>HYPERLINK("https://hawk-eye.atlassian.net/browse/RTT-2769?atlOrigin=eyJpIjoiYzgwYTQ0ZjEyNzQzNGJhN2JmNjEyZTM0NmRhZWZhNjIiLCJwIjoic2hlZXRzLWppcmEifQ","RTT-2769")</f>
        <v>RTT-2769</v>
      </c>
      <c r="H2923" s="1" t="s">
        <v>1058</v>
      </c>
      <c r="I2923" s="1" t="s">
        <v>1071</v>
      </c>
      <c r="J2923" s="1" t="s">
        <v>26</v>
      </c>
      <c r="K2923" s="1" t="s">
        <v>1099</v>
      </c>
      <c r="L2923" s="1" t="s">
        <v>26</v>
      </c>
      <c r="M2923" s="1" t="s">
        <v>27</v>
      </c>
      <c r="N2923" s="1" t="s">
        <v>26</v>
      </c>
      <c r="O2923" s="1" t="s">
        <v>26</v>
      </c>
      <c r="P2923" s="4">
        <v>44600.87479166667</v>
      </c>
    </row>
    <row r="2924" hidden="1">
      <c r="A2924" s="1" t="s">
        <v>21</v>
      </c>
      <c r="B2924" s="3" t="str">
        <f>HYPERLINK("https://hawk-eye.atlassian.net/browse/HWKREPORT-482?atlOrigin=eyJpIjoiYzgwYTQ0ZjEyNzQzNGJhN2JmNjEyZTM0NmRhZWZhNjIiLCJwIjoic2hlZXRzLWppcmEifQ","HWKREPORT-482")</f>
        <v>HWKREPORT-482</v>
      </c>
      <c r="C2924" s="1" t="s">
        <v>4236</v>
      </c>
      <c r="D2924" s="1" t="s">
        <v>23</v>
      </c>
      <c r="E2924" s="1" t="s">
        <v>35</v>
      </c>
      <c r="F2924" s="4">
        <v>44074.88462962963</v>
      </c>
      <c r="G2924" s="3" t="str">
        <f>HYPERLINK("https://hawk-eye.atlassian.net/browse/RTT-2770?atlOrigin=eyJpIjoiYzgwYTQ0ZjEyNzQzNGJhN2JmNjEyZTM0NmRhZWZhNjIiLCJwIjoic2hlZXRzLWppcmEifQ","RTT-2770")</f>
        <v>RTT-2770</v>
      </c>
      <c r="H2924" s="1" t="s">
        <v>1058</v>
      </c>
      <c r="I2924" s="1" t="s">
        <v>1071</v>
      </c>
      <c r="J2924" s="1" t="s">
        <v>26</v>
      </c>
      <c r="K2924" s="1" t="s">
        <v>1099</v>
      </c>
      <c r="L2924" s="1" t="s">
        <v>26</v>
      </c>
      <c r="M2924" s="1" t="s">
        <v>27</v>
      </c>
      <c r="N2924" s="1" t="s">
        <v>26</v>
      </c>
      <c r="O2924" s="1" t="s">
        <v>26</v>
      </c>
      <c r="P2924" s="4">
        <v>44361.394780092596</v>
      </c>
    </row>
    <row r="2925" hidden="1">
      <c r="A2925" s="1" t="s">
        <v>21</v>
      </c>
      <c r="B2925" s="3" t="str">
        <f>HYPERLINK("https://hawk-eye.atlassian.net/browse/HWKREPORT-483?atlOrigin=eyJpIjoiYzgwYTQ0ZjEyNzQzNGJhN2JmNjEyZTM0NmRhZWZhNjIiLCJwIjoic2hlZXRzLWppcmEifQ","HWKREPORT-483")</f>
        <v>HWKREPORT-483</v>
      </c>
      <c r="C2925" s="1" t="s">
        <v>4237</v>
      </c>
      <c r="D2925" s="1" t="s">
        <v>23</v>
      </c>
      <c r="E2925" s="1" t="s">
        <v>35</v>
      </c>
      <c r="F2925" s="4">
        <v>44075.443657407406</v>
      </c>
      <c r="G2925" s="3" t="str">
        <f>HYPERLINK("https://hawk-eye.atlassian.net/browse/AT-213?atlOrigin=eyJpIjoiYzgwYTQ0ZjEyNzQzNGJhN2JmNjEyZTM0NmRhZWZhNjIiLCJwIjoic2hlZXRzLWppcmEifQ","AT-213")</f>
        <v>AT-213</v>
      </c>
      <c r="H2925" s="1" t="s">
        <v>1058</v>
      </c>
      <c r="I2925" s="1" t="s">
        <v>1082</v>
      </c>
      <c r="J2925" s="1" t="s">
        <v>26</v>
      </c>
      <c r="K2925" s="1" t="s">
        <v>1105</v>
      </c>
      <c r="L2925" s="1" t="s">
        <v>26</v>
      </c>
      <c r="M2925" s="1" t="s">
        <v>27</v>
      </c>
      <c r="N2925" s="1" t="s">
        <v>26</v>
      </c>
      <c r="O2925" s="1" t="s">
        <v>26</v>
      </c>
      <c r="P2925" s="4">
        <v>44600.87515046296</v>
      </c>
    </row>
    <row r="2926" hidden="1">
      <c r="A2926" s="1" t="s">
        <v>21</v>
      </c>
      <c r="B2926" s="3" t="str">
        <f>HYPERLINK("https://hawk-eye.atlassian.net/browse/HWKREPORT-485?atlOrigin=eyJpIjoiYzgwYTQ0ZjEyNzQzNGJhN2JmNjEyZTM0NmRhZWZhNjIiLCJwIjoic2hlZXRzLWppcmEifQ","HWKREPORT-485")</f>
        <v>HWKREPORT-485</v>
      </c>
      <c r="C2926" s="1" t="s">
        <v>4238</v>
      </c>
      <c r="D2926" s="1" t="s">
        <v>40</v>
      </c>
      <c r="E2926" s="1" t="s">
        <v>35</v>
      </c>
      <c r="F2926" s="4">
        <v>44075.655625</v>
      </c>
      <c r="G2926" s="3" t="str">
        <f>HYPERLINK("https://hawk-eye.atlassian.net/browse/?atlOrigin=eyJpIjoiYzgwYTQ0ZjEyNzQzNGJhN2JmNjEyZTM0NmRhZWZhNjIiLCJwIjoic2hlZXRzLWppcmEifQ","")</f>
        <v/>
      </c>
      <c r="H2926" s="1" t="s">
        <v>1058</v>
      </c>
      <c r="I2926" s="1" t="s">
        <v>1082</v>
      </c>
      <c r="J2926" s="1" t="s">
        <v>26</v>
      </c>
      <c r="K2926" s="1" t="s">
        <v>1105</v>
      </c>
      <c r="L2926" s="1" t="s">
        <v>26</v>
      </c>
      <c r="M2926" s="1" t="s">
        <v>27</v>
      </c>
      <c r="N2926" s="1" t="s">
        <v>26</v>
      </c>
      <c r="O2926" s="1" t="s">
        <v>26</v>
      </c>
      <c r="P2926" s="4">
        <v>44600.87494212963</v>
      </c>
    </row>
    <row r="2927" hidden="1">
      <c r="A2927" s="1" t="s">
        <v>21</v>
      </c>
      <c r="B2927" s="3" t="str">
        <f>HYPERLINK("https://hawk-eye.atlassian.net/browse/HWKREPORT-486?atlOrigin=eyJpIjoiYzgwYTQ0ZjEyNzQzNGJhN2JmNjEyZTM0NmRhZWZhNjIiLCJwIjoic2hlZXRzLWppcmEifQ","HWKREPORT-486")</f>
        <v>HWKREPORT-486</v>
      </c>
      <c r="C2927" s="1" t="s">
        <v>4239</v>
      </c>
      <c r="D2927" s="1" t="s">
        <v>23</v>
      </c>
      <c r="E2927" s="1" t="s">
        <v>35</v>
      </c>
      <c r="F2927" s="4">
        <v>44075.8122337963</v>
      </c>
      <c r="G2927" s="3" t="str">
        <f>HYPERLINK("https://hawk-eye.atlassian.net/browse/BDP-146?atlOrigin=eyJpIjoiYzgwYTQ0ZjEyNzQzNGJhN2JmNjEyZTM0NmRhZWZhNjIiLCJwIjoic2hlZXRzLWppcmEifQ","BDP-146")</f>
        <v>BDP-146</v>
      </c>
      <c r="H2927" s="1" t="s">
        <v>1058</v>
      </c>
      <c r="I2927" s="1" t="s">
        <v>1071</v>
      </c>
      <c r="J2927" s="1" t="s">
        <v>26</v>
      </c>
      <c r="K2927" s="1" t="s">
        <v>3907</v>
      </c>
      <c r="L2927" s="1" t="s">
        <v>26</v>
      </c>
      <c r="M2927" s="1" t="s">
        <v>27</v>
      </c>
      <c r="N2927" s="1" t="s">
        <v>26</v>
      </c>
      <c r="O2927" s="1" t="s">
        <v>26</v>
      </c>
      <c r="P2927" s="4">
        <v>44992.47974537037</v>
      </c>
    </row>
    <row r="2928" hidden="1">
      <c r="A2928" s="1" t="s">
        <v>1055</v>
      </c>
      <c r="B2928" s="3" t="str">
        <f>HYPERLINK("https://hawk-eye.atlassian.net/browse/HWKREPORT-487?atlOrigin=eyJpIjoiYzgwYTQ0ZjEyNzQzNGJhN2JmNjEyZTM0NmRhZWZhNjIiLCJwIjoic2hlZXRzLWppcmEifQ","HWKREPORT-487")</f>
        <v>HWKREPORT-487</v>
      </c>
      <c r="C2928" s="1" t="s">
        <v>4240</v>
      </c>
      <c r="D2928" s="1" t="s">
        <v>23</v>
      </c>
      <c r="E2928" s="1" t="s">
        <v>35</v>
      </c>
      <c r="F2928" s="4">
        <v>44075.83431712963</v>
      </c>
      <c r="G2928" s="3" t="str">
        <f>HYPERLINK("https://hawk-eye.atlassian.net/browse/?atlOrigin=eyJpIjoiYzgwYTQ0ZjEyNzQzNGJhN2JmNjEyZTM0NmRhZWZhNjIiLCJwIjoic2hlZXRzLWppcmEifQ","")</f>
        <v/>
      </c>
      <c r="H2928" s="1" t="s">
        <v>1058</v>
      </c>
      <c r="I2928" s="1" t="s">
        <v>1071</v>
      </c>
      <c r="J2928" s="1" t="s">
        <v>26</v>
      </c>
      <c r="K2928" s="1" t="s">
        <v>1099</v>
      </c>
      <c r="L2928" s="1" t="s">
        <v>26</v>
      </c>
      <c r="M2928" s="1" t="s">
        <v>27</v>
      </c>
      <c r="N2928" s="1" t="s">
        <v>26</v>
      </c>
      <c r="O2928" s="1" t="s">
        <v>26</v>
      </c>
      <c r="P2928" s="4">
        <v>45216.37050925926</v>
      </c>
    </row>
    <row r="2929" hidden="1">
      <c r="A2929" s="1" t="s">
        <v>21</v>
      </c>
      <c r="B2929" s="3" t="str">
        <f>HYPERLINK("https://hawk-eye.atlassian.net/browse/HWKREPORT-488?atlOrigin=eyJpIjoiYzgwYTQ0ZjEyNzQzNGJhN2JmNjEyZTM0NmRhZWZhNjIiLCJwIjoic2hlZXRzLWppcmEifQ","HWKREPORT-488")</f>
        <v>HWKREPORT-488</v>
      </c>
      <c r="C2929" s="1" t="s">
        <v>4241</v>
      </c>
      <c r="D2929" s="1" t="s">
        <v>23</v>
      </c>
      <c r="E2929" s="1" t="s">
        <v>35</v>
      </c>
      <c r="F2929" s="4">
        <v>44076.22959490741</v>
      </c>
      <c r="G2929" s="3" t="str">
        <f>HYPERLINK("https://hawk-eye.atlassian.net/browse/TVR-71?atlOrigin=eyJpIjoiYzgwYTQ0ZjEyNzQzNGJhN2JmNjEyZTM0NmRhZWZhNjIiLCJwIjoic2hlZXRzLWppcmEifQ","TVR-71")</f>
        <v>TVR-71</v>
      </c>
      <c r="H2929" s="1" t="s">
        <v>1058</v>
      </c>
      <c r="I2929" s="1" t="s">
        <v>1126</v>
      </c>
      <c r="J2929" s="1" t="s">
        <v>26</v>
      </c>
      <c r="K2929" s="1" t="s">
        <v>1573</v>
      </c>
      <c r="L2929" s="1" t="s">
        <v>26</v>
      </c>
      <c r="M2929" s="1" t="s">
        <v>27</v>
      </c>
      <c r="N2929" s="1" t="s">
        <v>26</v>
      </c>
      <c r="O2929" s="1" t="s">
        <v>26</v>
      </c>
      <c r="P2929" s="4">
        <v>45022.472604166665</v>
      </c>
    </row>
    <row r="2930" hidden="1">
      <c r="A2930" s="1" t="s">
        <v>21</v>
      </c>
      <c r="B2930" s="3" t="str">
        <f>HYPERLINK("https://hawk-eye.atlassian.net/browse/HWKREPORT-490?atlOrigin=eyJpIjoiYzgwYTQ0ZjEyNzQzNGJhN2JmNjEyZTM0NmRhZWZhNjIiLCJwIjoic2hlZXRzLWppcmEifQ","HWKREPORT-490")</f>
        <v>HWKREPORT-490</v>
      </c>
      <c r="C2930" s="1" t="s">
        <v>4242</v>
      </c>
      <c r="D2930" s="1" t="s">
        <v>40</v>
      </c>
      <c r="E2930" s="1" t="s">
        <v>35</v>
      </c>
      <c r="F2930" s="4">
        <v>44076.46755787037</v>
      </c>
      <c r="G2930" s="3" t="str">
        <f t="shared" ref="G2930:G2931" si="199">HYPERLINK("https://hawk-eye.atlassian.net/browse/?atlOrigin=eyJpIjoiYzgwYTQ0ZjEyNzQzNGJhN2JmNjEyZTM0NmRhZWZhNjIiLCJwIjoic2hlZXRzLWppcmEifQ","")</f>
        <v/>
      </c>
      <c r="H2930" s="1" t="s">
        <v>1058</v>
      </c>
      <c r="I2930" s="1" t="s">
        <v>1082</v>
      </c>
      <c r="J2930" s="1" t="s">
        <v>26</v>
      </c>
      <c r="K2930" s="1" t="s">
        <v>2672</v>
      </c>
      <c r="L2930" s="1" t="s">
        <v>26</v>
      </c>
      <c r="M2930" s="1" t="s">
        <v>27</v>
      </c>
      <c r="N2930" s="1" t="s">
        <v>26</v>
      </c>
      <c r="O2930" s="1" t="s">
        <v>26</v>
      </c>
      <c r="P2930" s="4">
        <v>44600.87488425926</v>
      </c>
    </row>
    <row r="2931" hidden="1">
      <c r="A2931" s="1" t="s">
        <v>21</v>
      </c>
      <c r="B2931" s="3" t="str">
        <f>HYPERLINK("https://hawk-eye.atlassian.net/browse/HWKREPORT-491?atlOrigin=eyJpIjoiYzgwYTQ0ZjEyNzQzNGJhN2JmNjEyZTM0NmRhZWZhNjIiLCJwIjoic2hlZXRzLWppcmEifQ","HWKREPORT-491")</f>
        <v>HWKREPORT-491</v>
      </c>
      <c r="C2931" s="1" t="s">
        <v>4243</v>
      </c>
      <c r="D2931" s="1" t="s">
        <v>34</v>
      </c>
      <c r="E2931" s="1" t="s">
        <v>35</v>
      </c>
      <c r="F2931" s="4">
        <v>44076.53759259259</v>
      </c>
      <c r="G2931" s="3" t="str">
        <f t="shared" si="199"/>
        <v/>
      </c>
      <c r="H2931" s="1" t="s">
        <v>1058</v>
      </c>
      <c r="I2931" s="1" t="s">
        <v>1082</v>
      </c>
      <c r="J2931" s="1" t="s">
        <v>26</v>
      </c>
      <c r="K2931" s="1" t="s">
        <v>1105</v>
      </c>
      <c r="L2931" s="1" t="s">
        <v>26</v>
      </c>
      <c r="M2931" s="1" t="s">
        <v>27</v>
      </c>
      <c r="N2931" s="1" t="s">
        <v>26</v>
      </c>
      <c r="O2931" s="1" t="s">
        <v>26</v>
      </c>
      <c r="P2931" s="4">
        <v>44600.874872685185</v>
      </c>
    </row>
    <row r="2932" hidden="1">
      <c r="A2932" s="1" t="s">
        <v>1055</v>
      </c>
      <c r="B2932" s="3" t="str">
        <f>HYPERLINK("https://hawk-eye.atlassian.net/browse/HWKREPORT-492?atlOrigin=eyJpIjoiYzgwYTQ0ZjEyNzQzNGJhN2JmNjEyZTM0NmRhZWZhNjIiLCJwIjoic2hlZXRzLWppcmEifQ","HWKREPORT-492")</f>
        <v>HWKREPORT-492</v>
      </c>
      <c r="C2932" s="1" t="s">
        <v>4244</v>
      </c>
      <c r="D2932" s="1" t="s">
        <v>23</v>
      </c>
      <c r="E2932" s="1" t="s">
        <v>35</v>
      </c>
      <c r="F2932" s="4">
        <v>44077.17290509259</v>
      </c>
      <c r="G2932" s="3" t="str">
        <f>HYPERLINK("https://hawk-eye.atlassian.net/browse/AT-210?atlOrigin=eyJpIjoiYzgwYTQ0ZjEyNzQzNGJhN2JmNjEyZTM0NmRhZWZhNjIiLCJwIjoic2hlZXRzLWppcmEifQ","AT-210")</f>
        <v>AT-210</v>
      </c>
      <c r="H2932" s="1" t="s">
        <v>1058</v>
      </c>
      <c r="I2932" s="1" t="s">
        <v>1126</v>
      </c>
      <c r="J2932" s="1" t="s">
        <v>26</v>
      </c>
      <c r="K2932" s="1" t="s">
        <v>1105</v>
      </c>
      <c r="L2932" s="1" t="s">
        <v>26</v>
      </c>
      <c r="M2932" s="1" t="s">
        <v>27</v>
      </c>
      <c r="N2932" s="1" t="s">
        <v>26</v>
      </c>
      <c r="O2932" s="1" t="s">
        <v>26</v>
      </c>
      <c r="P2932" s="4">
        <v>44517.55912037037</v>
      </c>
    </row>
    <row r="2933" hidden="1">
      <c r="A2933" s="1" t="s">
        <v>21</v>
      </c>
      <c r="B2933" s="3" t="str">
        <f>HYPERLINK("https://hawk-eye.atlassian.net/browse/HWKREPORT-493?atlOrigin=eyJpIjoiYzgwYTQ0ZjEyNzQzNGJhN2JmNjEyZTM0NmRhZWZhNjIiLCJwIjoic2hlZXRzLWppcmEifQ","HWKREPORT-493")</f>
        <v>HWKREPORT-493</v>
      </c>
      <c r="C2933" s="1" t="s">
        <v>4245</v>
      </c>
      <c r="D2933" s="1" t="s">
        <v>23</v>
      </c>
      <c r="E2933" s="1" t="s">
        <v>35</v>
      </c>
      <c r="F2933" s="4">
        <v>44077.23189814815</v>
      </c>
      <c r="G2933" s="3" t="str">
        <f t="shared" ref="G2933:G2935" si="200">HYPERLINK("https://hawk-eye.atlassian.net/browse/?atlOrigin=eyJpIjoiYzgwYTQ0ZjEyNzQzNGJhN2JmNjEyZTM0NmRhZWZhNjIiLCJwIjoic2hlZXRzLWppcmEifQ","")</f>
        <v/>
      </c>
      <c r="H2933" s="1" t="s">
        <v>1058</v>
      </c>
      <c r="I2933" s="1" t="s">
        <v>1126</v>
      </c>
      <c r="J2933" s="1" t="s">
        <v>26</v>
      </c>
      <c r="K2933" s="1" t="s">
        <v>1105</v>
      </c>
      <c r="L2933" s="1" t="s">
        <v>26</v>
      </c>
      <c r="M2933" s="1" t="s">
        <v>27</v>
      </c>
      <c r="N2933" s="1" t="s">
        <v>26</v>
      </c>
      <c r="O2933" s="1" t="s">
        <v>26</v>
      </c>
      <c r="P2933" s="4">
        <v>44600.87505787037</v>
      </c>
    </row>
    <row r="2934" hidden="1">
      <c r="A2934" s="1" t="s">
        <v>1055</v>
      </c>
      <c r="B2934" s="3" t="str">
        <f>HYPERLINK("https://hawk-eye.atlassian.net/browse/HWKREPORT-494?atlOrigin=eyJpIjoiYzgwYTQ0ZjEyNzQzNGJhN2JmNjEyZTM0NmRhZWZhNjIiLCJwIjoic2hlZXRzLWppcmEifQ","HWKREPORT-494")</f>
        <v>HWKREPORT-494</v>
      </c>
      <c r="C2934" s="1" t="s">
        <v>4246</v>
      </c>
      <c r="D2934" s="1" t="s">
        <v>23</v>
      </c>
      <c r="E2934" s="1" t="s">
        <v>35</v>
      </c>
      <c r="F2934" s="4">
        <v>44077.23517361111</v>
      </c>
      <c r="G2934" s="3" t="str">
        <f t="shared" si="200"/>
        <v/>
      </c>
      <c r="H2934" s="1" t="s">
        <v>1058</v>
      </c>
      <c r="I2934" s="1" t="s">
        <v>1126</v>
      </c>
      <c r="J2934" s="1" t="s">
        <v>26</v>
      </c>
      <c r="K2934" s="1" t="s">
        <v>1105</v>
      </c>
      <c r="L2934" s="1" t="s">
        <v>26</v>
      </c>
      <c r="M2934" s="1" t="s">
        <v>27</v>
      </c>
      <c r="N2934" s="1" t="s">
        <v>26</v>
      </c>
      <c r="O2934" s="1" t="s">
        <v>26</v>
      </c>
      <c r="P2934" s="4">
        <v>44600.87496527778</v>
      </c>
    </row>
    <row r="2935" hidden="1">
      <c r="A2935" s="1" t="s">
        <v>21</v>
      </c>
      <c r="B2935" s="3" t="str">
        <f>HYPERLINK("https://hawk-eye.atlassian.net/browse/HWKREPORT-495?atlOrigin=eyJpIjoiYzgwYTQ0ZjEyNzQzNGJhN2JmNjEyZTM0NmRhZWZhNjIiLCJwIjoic2hlZXRzLWppcmEifQ","HWKREPORT-495")</f>
        <v>HWKREPORT-495</v>
      </c>
      <c r="C2935" s="1" t="s">
        <v>4247</v>
      </c>
      <c r="D2935" s="1" t="s">
        <v>23</v>
      </c>
      <c r="E2935" s="1" t="s">
        <v>35</v>
      </c>
      <c r="F2935" s="4">
        <v>44077.82270833333</v>
      </c>
      <c r="G2935" s="3" t="str">
        <f t="shared" si="200"/>
        <v/>
      </c>
      <c r="H2935" s="1" t="s">
        <v>1058</v>
      </c>
      <c r="I2935" s="1" t="s">
        <v>1071</v>
      </c>
      <c r="J2935" s="1" t="s">
        <v>26</v>
      </c>
      <c r="K2935" s="1" t="s">
        <v>1099</v>
      </c>
      <c r="L2935" s="1" t="s">
        <v>26</v>
      </c>
      <c r="M2935" s="1" t="s">
        <v>27</v>
      </c>
      <c r="N2935" s="1" t="s">
        <v>26</v>
      </c>
      <c r="O2935" s="1" t="s">
        <v>26</v>
      </c>
      <c r="P2935" s="4">
        <v>44090.408530092594</v>
      </c>
    </row>
    <row r="2936" hidden="1">
      <c r="A2936" s="1" t="s">
        <v>1055</v>
      </c>
      <c r="B2936" s="3" t="str">
        <f>HYPERLINK("https://hawk-eye.atlassian.net/browse/HWKREPORT-496?atlOrigin=eyJpIjoiYzgwYTQ0ZjEyNzQzNGJhN2JmNjEyZTM0NmRhZWZhNjIiLCJwIjoic2hlZXRzLWppcmEifQ","HWKREPORT-496")</f>
        <v>HWKREPORT-496</v>
      </c>
      <c r="C2936" s="1" t="s">
        <v>4248</v>
      </c>
      <c r="D2936" s="1" t="s">
        <v>23</v>
      </c>
      <c r="E2936" s="1" t="s">
        <v>35</v>
      </c>
      <c r="F2936" s="4">
        <v>44080.84453703704</v>
      </c>
      <c r="G2936" s="3" t="str">
        <f>HYPERLINK("https://hawk-eye.atlassian.net/browse/RTT-3952?atlOrigin=eyJpIjoiYzgwYTQ0ZjEyNzQzNGJhN2JmNjEyZTM0NmRhZWZhNjIiLCJwIjoic2hlZXRzLWppcmEifQ","RTT-3952")</f>
        <v>RTT-3952</v>
      </c>
      <c r="H2936" s="1" t="s">
        <v>1058</v>
      </c>
      <c r="I2936" s="1" t="s">
        <v>1071</v>
      </c>
      <c r="J2936" s="1" t="s">
        <v>26</v>
      </c>
      <c r="K2936" s="1" t="s">
        <v>1072</v>
      </c>
      <c r="L2936" s="1" t="s">
        <v>26</v>
      </c>
      <c r="M2936" s="1" t="s">
        <v>27</v>
      </c>
      <c r="N2936" s="1" t="s">
        <v>26</v>
      </c>
      <c r="O2936" s="1" t="s">
        <v>26</v>
      </c>
      <c r="P2936" s="4">
        <v>44600.8746875</v>
      </c>
    </row>
    <row r="2937" hidden="1">
      <c r="A2937" s="1" t="s">
        <v>1055</v>
      </c>
      <c r="B2937" s="3" t="str">
        <f>HYPERLINK("https://hawk-eye.atlassian.net/browse/HWKREPORT-497?atlOrigin=eyJpIjoiYzgwYTQ0ZjEyNzQzNGJhN2JmNjEyZTM0NmRhZWZhNjIiLCJwIjoic2hlZXRzLWppcmEifQ","HWKREPORT-497")</f>
        <v>HWKREPORT-497</v>
      </c>
      <c r="C2937" s="1" t="s">
        <v>4249</v>
      </c>
      <c r="D2937" s="1" t="s">
        <v>23</v>
      </c>
      <c r="E2937" s="1" t="s">
        <v>35</v>
      </c>
      <c r="F2937" s="4">
        <v>44080.85021990741</v>
      </c>
      <c r="G2937" s="3" t="str">
        <f>HYPERLINK("https://hawk-eye.atlassian.net/browse/?atlOrigin=eyJpIjoiYzgwYTQ0ZjEyNzQzNGJhN2JmNjEyZTM0NmRhZWZhNjIiLCJwIjoic2hlZXRzLWppcmEifQ","")</f>
        <v/>
      </c>
      <c r="H2937" s="1" t="s">
        <v>1058</v>
      </c>
      <c r="I2937" s="1" t="s">
        <v>1071</v>
      </c>
      <c r="J2937" s="1" t="s">
        <v>26</v>
      </c>
      <c r="K2937" s="1" t="s">
        <v>1072</v>
      </c>
      <c r="L2937" s="1" t="s">
        <v>26</v>
      </c>
      <c r="M2937" s="1" t="s">
        <v>27</v>
      </c>
      <c r="N2937" s="1" t="s">
        <v>26</v>
      </c>
      <c r="O2937" s="1" t="s">
        <v>26</v>
      </c>
      <c r="P2937" s="4">
        <v>44256.72483796296</v>
      </c>
    </row>
    <row r="2938" hidden="1">
      <c r="A2938" s="1" t="s">
        <v>21</v>
      </c>
      <c r="B2938" s="3" t="str">
        <f>HYPERLINK("https://hawk-eye.atlassian.net/browse/HWKREPORT-498?atlOrigin=eyJpIjoiYzgwYTQ0ZjEyNzQzNGJhN2JmNjEyZTM0NmRhZWZhNjIiLCJwIjoic2hlZXRzLWppcmEifQ","HWKREPORT-498")</f>
        <v>HWKREPORT-498</v>
      </c>
      <c r="C2938" s="1" t="s">
        <v>4250</v>
      </c>
      <c r="D2938" s="1" t="s">
        <v>40</v>
      </c>
      <c r="E2938" s="1" t="s">
        <v>35</v>
      </c>
      <c r="F2938" s="4">
        <v>44082.59415509259</v>
      </c>
      <c r="G2938" s="3" t="str">
        <f>HYPERLINK("https://hawk-eye.atlassian.net/browse/HWKREPORT-500?atlOrigin=eyJpIjoiYzgwYTQ0ZjEyNzQzNGJhN2JmNjEyZTM0NmRhZWZhNjIiLCJwIjoic2hlZXRzLWppcmEifQ","HWKREPORT-500")</f>
        <v>HWKREPORT-500</v>
      </c>
      <c r="H2938" s="1" t="s">
        <v>1058</v>
      </c>
      <c r="I2938" s="1" t="s">
        <v>1126</v>
      </c>
      <c r="J2938" s="1" t="s">
        <v>26</v>
      </c>
      <c r="K2938" s="1" t="s">
        <v>1105</v>
      </c>
      <c r="L2938" s="1" t="s">
        <v>26</v>
      </c>
      <c r="M2938" s="1" t="s">
        <v>27</v>
      </c>
      <c r="N2938" s="1" t="s">
        <v>26</v>
      </c>
      <c r="O2938" s="1" t="s">
        <v>26</v>
      </c>
      <c r="P2938" s="4">
        <v>44082.640335648146</v>
      </c>
    </row>
    <row r="2939" hidden="1">
      <c r="A2939" s="1" t="s">
        <v>1055</v>
      </c>
      <c r="B2939" s="3" t="str">
        <f>HYPERLINK("https://hawk-eye.atlassian.net/browse/HWKREPORT-499?atlOrigin=eyJpIjoiYzgwYTQ0ZjEyNzQzNGJhN2JmNjEyZTM0NmRhZWZhNjIiLCJwIjoic2hlZXRzLWppcmEifQ","HWKREPORT-499")</f>
        <v>HWKREPORT-499</v>
      </c>
      <c r="C2939" s="1" t="s">
        <v>4251</v>
      </c>
      <c r="D2939" s="1" t="s">
        <v>40</v>
      </c>
      <c r="E2939" s="1" t="s">
        <v>35</v>
      </c>
      <c r="F2939" s="4">
        <v>44082.59587962963</v>
      </c>
      <c r="G2939" s="3" t="str">
        <f>HYPERLINK("https://hawk-eye.atlassian.net/browse/AT-197?atlOrigin=eyJpIjoiYzgwYTQ0ZjEyNzQzNGJhN2JmNjEyZTM0NmRhZWZhNjIiLCJwIjoic2hlZXRzLWppcmEifQ","AT-197")</f>
        <v>AT-197</v>
      </c>
      <c r="H2939" s="1" t="s">
        <v>1058</v>
      </c>
      <c r="I2939" s="1" t="s">
        <v>1126</v>
      </c>
      <c r="J2939" s="1" t="s">
        <v>26</v>
      </c>
      <c r="K2939" s="1" t="s">
        <v>1105</v>
      </c>
      <c r="L2939" s="1" t="s">
        <v>26</v>
      </c>
      <c r="M2939" s="1" t="s">
        <v>27</v>
      </c>
      <c r="N2939" s="1" t="s">
        <v>26</v>
      </c>
      <c r="O2939" s="1" t="s">
        <v>26</v>
      </c>
      <c r="P2939" s="4">
        <v>44600.87511574074</v>
      </c>
    </row>
    <row r="2940" hidden="1">
      <c r="A2940" s="1" t="s">
        <v>1055</v>
      </c>
      <c r="B2940" s="3" t="str">
        <f>HYPERLINK("https://hawk-eye.atlassian.net/browse/HWKREPORT-500?atlOrigin=eyJpIjoiYzgwYTQ0ZjEyNzQzNGJhN2JmNjEyZTM0NmRhZWZhNjIiLCJwIjoic2hlZXRzLWppcmEifQ","HWKREPORT-500")</f>
        <v>HWKREPORT-500</v>
      </c>
      <c r="C2940" s="1" t="s">
        <v>4252</v>
      </c>
      <c r="D2940" s="1" t="s">
        <v>40</v>
      </c>
      <c r="E2940" s="1" t="s">
        <v>35</v>
      </c>
      <c r="F2940" s="4">
        <v>44082.59853009259</v>
      </c>
      <c r="G2940" s="3" t="str">
        <f>HYPERLINK("https://hawk-eye.atlassian.net/issues/?atlOrigin=eyJpIjoiYzgwYTQ0ZjEyNzQzNGJhN2JmNjEyZTM0NmRhZWZhNjIiLCJwIjoic2hlZXRzLWppcmEifQ&amp;jql=key+in+%28HWKREPORT-498%2CAT-63%29","HWKREPORT-498;AT-63")</f>
        <v>HWKREPORT-498;AT-63</v>
      </c>
      <c r="H2940" s="1" t="s">
        <v>1058</v>
      </c>
      <c r="I2940" s="1" t="s">
        <v>1126</v>
      </c>
      <c r="J2940" s="1" t="s">
        <v>26</v>
      </c>
      <c r="K2940" s="1" t="s">
        <v>1105</v>
      </c>
      <c r="L2940" s="1" t="s">
        <v>26</v>
      </c>
      <c r="M2940" s="1" t="s">
        <v>27</v>
      </c>
      <c r="N2940" s="1" t="s">
        <v>26</v>
      </c>
      <c r="O2940" s="1" t="s">
        <v>26</v>
      </c>
      <c r="P2940" s="4">
        <v>44517.55961805556</v>
      </c>
    </row>
    <row r="2941" hidden="1">
      <c r="A2941" s="1" t="s">
        <v>1055</v>
      </c>
      <c r="B2941" s="3" t="str">
        <f>HYPERLINK("https://hawk-eye.atlassian.net/browse/HWKREPORT-501?atlOrigin=eyJpIjoiYzgwYTQ0ZjEyNzQzNGJhN2JmNjEyZTM0NmRhZWZhNjIiLCJwIjoic2hlZXRzLWppcmEifQ","HWKREPORT-501")</f>
        <v>HWKREPORT-501</v>
      </c>
      <c r="C2941" s="1" t="s">
        <v>4253</v>
      </c>
      <c r="D2941" s="1" t="s">
        <v>23</v>
      </c>
      <c r="E2941" s="1" t="s">
        <v>35</v>
      </c>
      <c r="F2941" s="4">
        <v>44082.60555555556</v>
      </c>
      <c r="G2941" s="3" t="str">
        <f>HYPERLINK("https://hawk-eye.atlassian.net/browse/?atlOrigin=eyJpIjoiYzgwYTQ0ZjEyNzQzNGJhN2JmNjEyZTM0NmRhZWZhNjIiLCJwIjoic2hlZXRzLWppcmEifQ","")</f>
        <v/>
      </c>
      <c r="H2941" s="1" t="s">
        <v>1058</v>
      </c>
      <c r="I2941" s="1" t="s">
        <v>1126</v>
      </c>
      <c r="J2941" s="1" t="s">
        <v>26</v>
      </c>
      <c r="K2941" s="1" t="s">
        <v>1105</v>
      </c>
      <c r="L2941" s="1" t="s">
        <v>26</v>
      </c>
      <c r="M2941" s="1" t="s">
        <v>27</v>
      </c>
      <c r="N2941" s="1" t="s">
        <v>26</v>
      </c>
      <c r="O2941" s="1" t="s">
        <v>26</v>
      </c>
      <c r="P2941" s="4">
        <v>45057.504328703704</v>
      </c>
    </row>
    <row r="2942" hidden="1">
      <c r="A2942" s="1" t="s">
        <v>21</v>
      </c>
      <c r="B2942" s="3" t="str">
        <f>HYPERLINK("https://hawk-eye.atlassian.net/browse/HWKREPORT-502?atlOrigin=eyJpIjoiYzgwYTQ0ZjEyNzQzNGJhN2JmNjEyZTM0NmRhZWZhNjIiLCJwIjoic2hlZXRzLWppcmEifQ","HWKREPORT-502")</f>
        <v>HWKREPORT-502</v>
      </c>
      <c r="C2942" s="1" t="s">
        <v>4254</v>
      </c>
      <c r="D2942" s="1" t="s">
        <v>40</v>
      </c>
      <c r="E2942" s="1" t="s">
        <v>35</v>
      </c>
      <c r="F2942" s="4">
        <v>44082.61398148148</v>
      </c>
      <c r="G2942" s="3" t="str">
        <f>HYPERLINK("https://hawk-eye.atlassian.net/browse/AT-212?atlOrigin=eyJpIjoiYzgwYTQ0ZjEyNzQzNGJhN2JmNjEyZTM0NmRhZWZhNjIiLCJwIjoic2hlZXRzLWppcmEifQ","AT-212")</f>
        <v>AT-212</v>
      </c>
      <c r="H2942" s="1" t="s">
        <v>1058</v>
      </c>
      <c r="I2942" s="1" t="s">
        <v>1126</v>
      </c>
      <c r="J2942" s="1" t="s">
        <v>26</v>
      </c>
      <c r="K2942" s="1" t="s">
        <v>1105</v>
      </c>
      <c r="L2942" s="1" t="s">
        <v>26</v>
      </c>
      <c r="M2942" s="1" t="s">
        <v>27</v>
      </c>
      <c r="N2942" s="1" t="s">
        <v>26</v>
      </c>
      <c r="O2942" s="1" t="s">
        <v>26</v>
      </c>
      <c r="P2942" s="4">
        <v>44600.875127314815</v>
      </c>
    </row>
    <row r="2943" hidden="1">
      <c r="A2943" s="1" t="s">
        <v>1055</v>
      </c>
      <c r="B2943" s="3" t="str">
        <f>HYPERLINK("https://hawk-eye.atlassian.net/browse/HWKREPORT-503?atlOrigin=eyJpIjoiYzgwYTQ0ZjEyNzQzNGJhN2JmNjEyZTM0NmRhZWZhNjIiLCJwIjoic2hlZXRzLWppcmEifQ","HWKREPORT-503")</f>
        <v>HWKREPORT-503</v>
      </c>
      <c r="C2943" s="1" t="s">
        <v>4255</v>
      </c>
      <c r="D2943" s="1" t="s">
        <v>23</v>
      </c>
      <c r="E2943" s="1" t="s">
        <v>1057</v>
      </c>
      <c r="F2943" s="4">
        <v>44082.75609953704</v>
      </c>
      <c r="G2943" s="3" t="str">
        <f>HYPERLINK("https://hawk-eye.atlassian.net/browse/RTT-4035?atlOrigin=eyJpIjoiYzgwYTQ0ZjEyNzQzNGJhN2JmNjEyZTM0NmRhZWZhNjIiLCJwIjoic2hlZXRzLWppcmEifQ","RTT-4035")</f>
        <v>RTT-4035</v>
      </c>
      <c r="H2943" s="1" t="s">
        <v>1058</v>
      </c>
      <c r="I2943" s="1" t="s">
        <v>1071</v>
      </c>
      <c r="J2943" s="1" t="s">
        <v>26</v>
      </c>
      <c r="K2943" s="1" t="s">
        <v>1072</v>
      </c>
      <c r="L2943" s="1" t="s">
        <v>26</v>
      </c>
      <c r="M2943" s="1" t="s">
        <v>27</v>
      </c>
      <c r="N2943" s="1" t="s">
        <v>26</v>
      </c>
      <c r="O2943" s="1" t="s">
        <v>26</v>
      </c>
      <c r="P2943" s="4">
        <v>44082.75609953704</v>
      </c>
    </row>
    <row r="2944" hidden="1">
      <c r="A2944" s="1" t="s">
        <v>21</v>
      </c>
      <c r="B2944" s="3" t="str">
        <f>HYPERLINK("https://hawk-eye.atlassian.net/browse/HWKREPORT-504?atlOrigin=eyJpIjoiYzgwYTQ0ZjEyNzQzNGJhN2JmNjEyZTM0NmRhZWZhNjIiLCJwIjoic2hlZXRzLWppcmEifQ","HWKREPORT-504")</f>
        <v>HWKREPORT-504</v>
      </c>
      <c r="C2944" s="1" t="s">
        <v>4256</v>
      </c>
      <c r="D2944" s="1" t="s">
        <v>34</v>
      </c>
      <c r="E2944" s="1" t="s">
        <v>35</v>
      </c>
      <c r="F2944" s="4">
        <v>44084.337905092594</v>
      </c>
      <c r="G2944" s="3" t="str">
        <f>HYPERLINK("https://hawk-eye.atlassian.net/browse/RTT-2832?atlOrigin=eyJpIjoiYzgwYTQ0ZjEyNzQzNGJhN2JmNjEyZTM0NmRhZWZhNjIiLCJwIjoic2hlZXRzLWppcmEifQ","RTT-2832")</f>
        <v>RTT-2832</v>
      </c>
      <c r="H2944" s="1" t="s">
        <v>1058</v>
      </c>
      <c r="I2944" s="1" t="s">
        <v>1126</v>
      </c>
      <c r="J2944" s="1" t="s">
        <v>26</v>
      </c>
      <c r="K2944" s="1" t="s">
        <v>4257</v>
      </c>
      <c r="L2944" s="1" t="s">
        <v>26</v>
      </c>
      <c r="M2944" s="1" t="s">
        <v>27</v>
      </c>
      <c r="N2944" s="1" t="s">
        <v>26</v>
      </c>
      <c r="O2944" s="1" t="s">
        <v>26</v>
      </c>
      <c r="P2944" s="4">
        <v>44600.874872685185</v>
      </c>
    </row>
    <row r="2945" hidden="1">
      <c r="A2945" s="1" t="s">
        <v>1055</v>
      </c>
      <c r="B2945" s="3" t="str">
        <f>HYPERLINK("https://hawk-eye.atlassian.net/browse/HWKREPORT-505?atlOrigin=eyJpIjoiYzgwYTQ0ZjEyNzQzNGJhN2JmNjEyZTM0NmRhZWZhNjIiLCJwIjoic2hlZXRzLWppcmEifQ","HWKREPORT-505")</f>
        <v>HWKREPORT-505</v>
      </c>
      <c r="C2945" s="1" t="s">
        <v>4258</v>
      </c>
      <c r="D2945" s="1" t="s">
        <v>23</v>
      </c>
      <c r="E2945" s="1" t="s">
        <v>1057</v>
      </c>
      <c r="F2945" s="4">
        <v>44084.923159722224</v>
      </c>
      <c r="G2945" s="3" t="str">
        <f>HYPERLINK("https://hawk-eye.atlassian.net/browse/?atlOrigin=eyJpIjoiYzgwYTQ0ZjEyNzQzNGJhN2JmNjEyZTM0NmRhZWZhNjIiLCJwIjoic2hlZXRzLWppcmEifQ","")</f>
        <v/>
      </c>
      <c r="H2945" s="1" t="s">
        <v>1058</v>
      </c>
      <c r="I2945" s="1" t="s">
        <v>1126</v>
      </c>
      <c r="J2945" s="1" t="s">
        <v>26</v>
      </c>
      <c r="K2945" s="1" t="s">
        <v>1309</v>
      </c>
      <c r="L2945" s="1" t="s">
        <v>26</v>
      </c>
      <c r="M2945" s="1" t="s">
        <v>27</v>
      </c>
      <c r="N2945" s="1" t="s">
        <v>26</v>
      </c>
      <c r="O2945" s="1" t="s">
        <v>26</v>
      </c>
      <c r="P2945" s="4">
        <v>44084.923159722224</v>
      </c>
    </row>
    <row r="2946" hidden="1">
      <c r="A2946" s="1" t="s">
        <v>21</v>
      </c>
      <c r="B2946" s="3" t="str">
        <f>HYPERLINK("https://hawk-eye.atlassian.net/browse/HWKREPORT-506?atlOrigin=eyJpIjoiYzgwYTQ0ZjEyNzQzNGJhN2JmNjEyZTM0NmRhZWZhNjIiLCJwIjoic2hlZXRzLWppcmEifQ","HWKREPORT-506")</f>
        <v>HWKREPORT-506</v>
      </c>
      <c r="C2946" s="1" t="s">
        <v>4259</v>
      </c>
      <c r="D2946" s="1" t="s">
        <v>23</v>
      </c>
      <c r="E2946" s="1" t="s">
        <v>35</v>
      </c>
      <c r="F2946" s="4">
        <v>44085.82550925926</v>
      </c>
      <c r="G2946" s="3" t="str">
        <f>HYPERLINK("https://hawk-eye.atlassian.net/browse/TVR-72?atlOrigin=eyJpIjoiYzgwYTQ0ZjEyNzQzNGJhN2JmNjEyZTM0NmRhZWZhNjIiLCJwIjoic2hlZXRzLWppcmEifQ","TVR-72")</f>
        <v>TVR-72</v>
      </c>
      <c r="H2946" s="1" t="s">
        <v>1058</v>
      </c>
      <c r="I2946" s="1" t="s">
        <v>1126</v>
      </c>
      <c r="J2946" s="1" t="s">
        <v>26</v>
      </c>
      <c r="K2946" s="1" t="s">
        <v>1573</v>
      </c>
      <c r="L2946" s="1" t="s">
        <v>26</v>
      </c>
      <c r="M2946" s="1" t="s">
        <v>27</v>
      </c>
      <c r="N2946" s="1" t="s">
        <v>26</v>
      </c>
      <c r="O2946" s="1" t="s">
        <v>26</v>
      </c>
      <c r="P2946" s="4">
        <v>44600.87461805555</v>
      </c>
    </row>
    <row r="2947" hidden="1">
      <c r="A2947" s="1" t="s">
        <v>21</v>
      </c>
      <c r="B2947" s="3" t="str">
        <f>HYPERLINK("https://hawk-eye.atlassian.net/browse/HWKREPORT-507?atlOrigin=eyJpIjoiYzgwYTQ0ZjEyNzQzNGJhN2JmNjEyZTM0NmRhZWZhNjIiLCJwIjoic2hlZXRzLWppcmEifQ","HWKREPORT-507")</f>
        <v>HWKREPORT-507</v>
      </c>
      <c r="C2947" s="1" t="s">
        <v>4260</v>
      </c>
      <c r="D2947" s="1" t="s">
        <v>83</v>
      </c>
      <c r="E2947" s="1" t="s">
        <v>35</v>
      </c>
      <c r="F2947" s="4">
        <v>44087.67600694444</v>
      </c>
      <c r="G2947" s="3" t="str">
        <f>HYPERLINK("https://hawk-eye.atlassian.net/browse/GT-788?atlOrigin=eyJpIjoiYzgwYTQ0ZjEyNzQzNGJhN2JmNjEyZTM0NmRhZWZhNjIiLCJwIjoic2hlZXRzLWppcmEifQ","GT-788")</f>
        <v>GT-788</v>
      </c>
      <c r="H2947" s="1" t="s">
        <v>1058</v>
      </c>
      <c r="I2947" s="1" t="s">
        <v>1126</v>
      </c>
      <c r="J2947" s="1" t="s">
        <v>26</v>
      </c>
      <c r="K2947" s="1" t="s">
        <v>1105</v>
      </c>
      <c r="L2947" s="1" t="s">
        <v>26</v>
      </c>
      <c r="M2947" s="1" t="s">
        <v>27</v>
      </c>
      <c r="N2947" s="1" t="s">
        <v>26</v>
      </c>
      <c r="O2947" s="1" t="s">
        <v>26</v>
      </c>
      <c r="P2947" s="4">
        <v>44517.56028935185</v>
      </c>
    </row>
    <row r="2948" hidden="1">
      <c r="A2948" s="1" t="s">
        <v>1055</v>
      </c>
      <c r="B2948" s="3" t="str">
        <f>HYPERLINK("https://hawk-eye.atlassian.net/browse/HWKREPORT-508?atlOrigin=eyJpIjoiYzgwYTQ0ZjEyNzQzNGJhN2JmNjEyZTM0NmRhZWZhNjIiLCJwIjoic2hlZXRzLWppcmEifQ","HWKREPORT-508")</f>
        <v>HWKREPORT-508</v>
      </c>
      <c r="C2948" s="1" t="s">
        <v>4261</v>
      </c>
      <c r="D2948" s="1" t="s">
        <v>23</v>
      </c>
      <c r="E2948" s="1" t="s">
        <v>35</v>
      </c>
      <c r="F2948" s="4">
        <v>44087.79704861111</v>
      </c>
      <c r="G2948" s="3" t="str">
        <f>HYPERLINK("https://hawk-eye.atlassian.net/browse/AT-211?atlOrigin=eyJpIjoiYzgwYTQ0ZjEyNzQzNGJhN2JmNjEyZTM0NmRhZWZhNjIiLCJwIjoic2hlZXRzLWppcmEifQ","AT-211")</f>
        <v>AT-211</v>
      </c>
      <c r="H2948" s="1" t="s">
        <v>1058</v>
      </c>
      <c r="I2948" s="1" t="s">
        <v>1126</v>
      </c>
      <c r="J2948" s="1" t="s">
        <v>26</v>
      </c>
      <c r="K2948" s="1" t="s">
        <v>1105</v>
      </c>
      <c r="L2948" s="1" t="s">
        <v>26</v>
      </c>
      <c r="M2948" s="1" t="s">
        <v>27</v>
      </c>
      <c r="N2948" s="1" t="s">
        <v>26</v>
      </c>
      <c r="O2948" s="1" t="s">
        <v>26</v>
      </c>
      <c r="P2948" s="4">
        <v>44600.874710648146</v>
      </c>
    </row>
    <row r="2949" hidden="1">
      <c r="A2949" s="1" t="s">
        <v>1055</v>
      </c>
      <c r="B2949" s="3" t="str">
        <f>HYPERLINK("https://hawk-eye.atlassian.net/browse/HWKREPORT-509?atlOrigin=eyJpIjoiYzgwYTQ0ZjEyNzQzNGJhN2JmNjEyZTM0NmRhZWZhNjIiLCJwIjoic2hlZXRzLWppcmEifQ","HWKREPORT-509")</f>
        <v>HWKREPORT-509</v>
      </c>
      <c r="C2949" s="1" t="s">
        <v>4262</v>
      </c>
      <c r="D2949" s="1" t="s">
        <v>23</v>
      </c>
      <c r="E2949" s="1" t="s">
        <v>35</v>
      </c>
      <c r="F2949" s="4">
        <v>44088.35612268518</v>
      </c>
      <c r="G2949" s="3" t="str">
        <f>HYPERLINK("https://hawk-eye.atlassian.net/browse/AT-160?atlOrigin=eyJpIjoiYzgwYTQ0ZjEyNzQzNGJhN2JmNjEyZTM0NmRhZWZhNjIiLCJwIjoic2hlZXRzLWppcmEifQ","AT-160")</f>
        <v>AT-160</v>
      </c>
      <c r="H2949" s="1" t="s">
        <v>1058</v>
      </c>
      <c r="I2949" s="1" t="s">
        <v>1126</v>
      </c>
      <c r="J2949" s="1" t="s">
        <v>26</v>
      </c>
      <c r="K2949" s="1" t="s">
        <v>1105</v>
      </c>
      <c r="L2949" s="1" t="s">
        <v>26</v>
      </c>
      <c r="M2949" s="1" t="s">
        <v>27</v>
      </c>
      <c r="N2949" s="1" t="s">
        <v>26</v>
      </c>
      <c r="O2949" s="1" t="s">
        <v>26</v>
      </c>
      <c r="P2949" s="4">
        <v>44600.87464120371</v>
      </c>
    </row>
    <row r="2950" hidden="1">
      <c r="A2950" s="1" t="s">
        <v>1055</v>
      </c>
      <c r="B2950" s="3" t="str">
        <f>HYPERLINK("https://hawk-eye.atlassian.net/browse/HWKREPORT-510?atlOrigin=eyJpIjoiYzgwYTQ0ZjEyNzQzNGJhN2JmNjEyZTM0NmRhZWZhNjIiLCJwIjoic2hlZXRzLWppcmEifQ","HWKREPORT-510")</f>
        <v>HWKREPORT-510</v>
      </c>
      <c r="C2950" s="1" t="s">
        <v>4263</v>
      </c>
      <c r="D2950" s="1" t="s">
        <v>23</v>
      </c>
      <c r="E2950" s="1" t="s">
        <v>35</v>
      </c>
      <c r="F2950" s="4">
        <v>44088.366689814815</v>
      </c>
      <c r="G2950" s="3" t="str">
        <f>HYPERLINK("https://hawk-eye.atlassian.net/browse/AT-151?atlOrigin=eyJpIjoiYzgwYTQ0ZjEyNzQzNGJhN2JmNjEyZTM0NmRhZWZhNjIiLCJwIjoic2hlZXRzLWppcmEifQ","AT-151")</f>
        <v>AT-151</v>
      </c>
      <c r="H2950" s="1" t="s">
        <v>1058</v>
      </c>
      <c r="I2950" s="1" t="s">
        <v>1126</v>
      </c>
      <c r="J2950" s="1" t="s">
        <v>26</v>
      </c>
      <c r="K2950" s="1" t="s">
        <v>1105</v>
      </c>
      <c r="L2950" s="1" t="s">
        <v>26</v>
      </c>
      <c r="M2950" s="1" t="s">
        <v>27</v>
      </c>
      <c r="N2950" s="1" t="s">
        <v>26</v>
      </c>
      <c r="O2950" s="1" t="s">
        <v>26</v>
      </c>
      <c r="P2950" s="4">
        <v>44600.87462962963</v>
      </c>
    </row>
    <row r="2951" hidden="1">
      <c r="A2951" s="1" t="s">
        <v>21</v>
      </c>
      <c r="B2951" s="3" t="str">
        <f>HYPERLINK("https://hawk-eye.atlassian.net/browse/HWKREPORT-511?atlOrigin=eyJpIjoiYzgwYTQ0ZjEyNzQzNGJhN2JmNjEyZTM0NmRhZWZhNjIiLCJwIjoic2hlZXRzLWppcmEifQ","HWKREPORT-511")</f>
        <v>HWKREPORT-511</v>
      </c>
      <c r="C2951" s="1" t="s">
        <v>4264</v>
      </c>
      <c r="D2951" s="1" t="s">
        <v>23</v>
      </c>
      <c r="E2951" s="1" t="s">
        <v>35</v>
      </c>
      <c r="F2951" s="4">
        <v>44088.63181712963</v>
      </c>
      <c r="G2951" s="3" t="str">
        <f>HYPERLINK("https://hawk-eye.atlassian.net/browse/?atlOrigin=eyJpIjoiYzgwYTQ0ZjEyNzQzNGJhN2JmNjEyZTM0NmRhZWZhNjIiLCJwIjoic2hlZXRzLWppcmEifQ","")</f>
        <v/>
      </c>
      <c r="H2951" s="1" t="s">
        <v>1058</v>
      </c>
      <c r="I2951" s="1" t="s">
        <v>1126</v>
      </c>
      <c r="J2951" s="1" t="s">
        <v>26</v>
      </c>
      <c r="K2951" s="1" t="s">
        <v>1105</v>
      </c>
      <c r="L2951" s="1" t="s">
        <v>26</v>
      </c>
      <c r="M2951" s="1" t="s">
        <v>27</v>
      </c>
      <c r="N2951" s="1" t="s">
        <v>26</v>
      </c>
      <c r="O2951" s="1" t="s">
        <v>26</v>
      </c>
      <c r="P2951" s="4">
        <v>44994.467361111114</v>
      </c>
    </row>
    <row r="2952" hidden="1">
      <c r="A2952" s="1" t="s">
        <v>1055</v>
      </c>
      <c r="B2952" s="3" t="str">
        <f>HYPERLINK("https://hawk-eye.atlassian.net/browse/HWKREPORT-512?atlOrigin=eyJpIjoiYzgwYTQ0ZjEyNzQzNGJhN2JmNjEyZTM0NmRhZWZhNjIiLCJwIjoic2hlZXRzLWppcmEifQ","HWKREPORT-512")</f>
        <v>HWKREPORT-512</v>
      </c>
      <c r="C2952" s="1" t="s">
        <v>4265</v>
      </c>
      <c r="D2952" s="1" t="s">
        <v>23</v>
      </c>
      <c r="E2952" s="1" t="s">
        <v>35</v>
      </c>
      <c r="F2952" s="4">
        <v>44088.63789351852</v>
      </c>
      <c r="G2952" s="3" t="str">
        <f>HYPERLINK("https://hawk-eye.atlassian.net/browse/RTT-2826?atlOrigin=eyJpIjoiYzgwYTQ0ZjEyNzQzNGJhN2JmNjEyZTM0NmRhZWZhNjIiLCJwIjoic2hlZXRzLWppcmEifQ","RTT-2826")</f>
        <v>RTT-2826</v>
      </c>
      <c r="H2952" s="1" t="s">
        <v>1058</v>
      </c>
      <c r="I2952" s="1" t="s">
        <v>1071</v>
      </c>
      <c r="J2952" s="1" t="s">
        <v>26</v>
      </c>
      <c r="K2952" s="1" t="s">
        <v>1072</v>
      </c>
      <c r="L2952" s="1" t="s">
        <v>26</v>
      </c>
      <c r="M2952" s="1" t="s">
        <v>27</v>
      </c>
      <c r="N2952" s="1" t="s">
        <v>26</v>
      </c>
      <c r="O2952" s="1" t="s">
        <v>26</v>
      </c>
      <c r="P2952" s="4">
        <v>44600.87516203704</v>
      </c>
    </row>
    <row r="2953" hidden="1">
      <c r="A2953" s="1" t="s">
        <v>1055</v>
      </c>
      <c r="B2953" s="3" t="str">
        <f>HYPERLINK("https://hawk-eye.atlassian.net/browse/HWKREPORT-513?atlOrigin=eyJpIjoiYzgwYTQ0ZjEyNzQzNGJhN2JmNjEyZTM0NmRhZWZhNjIiLCJwIjoic2hlZXRzLWppcmEifQ","HWKREPORT-513")</f>
        <v>HWKREPORT-513</v>
      </c>
      <c r="C2953" s="1" t="s">
        <v>4266</v>
      </c>
      <c r="D2953" s="1" t="s">
        <v>23</v>
      </c>
      <c r="E2953" s="1" t="s">
        <v>35</v>
      </c>
      <c r="F2953" s="4">
        <v>44088.65215277778</v>
      </c>
      <c r="G2953" s="3" t="str">
        <f>HYPERLINK("https://hawk-eye.atlassian.net/browse/BDP-147?atlOrigin=eyJpIjoiYzgwYTQ0ZjEyNzQzNGJhN2JmNjEyZTM0NmRhZWZhNjIiLCJwIjoic2hlZXRzLWppcmEifQ","BDP-147")</f>
        <v>BDP-147</v>
      </c>
      <c r="H2953" s="1" t="s">
        <v>1058</v>
      </c>
      <c r="I2953" s="1" t="s">
        <v>1071</v>
      </c>
      <c r="J2953" s="1" t="s">
        <v>26</v>
      </c>
      <c r="K2953" s="1" t="s">
        <v>3696</v>
      </c>
      <c r="L2953" s="1" t="s">
        <v>26</v>
      </c>
      <c r="M2953" s="1" t="s">
        <v>27</v>
      </c>
      <c r="N2953" s="1" t="s">
        <v>26</v>
      </c>
      <c r="O2953" s="1" t="s">
        <v>26</v>
      </c>
      <c r="P2953" s="4">
        <v>44600.87515046296</v>
      </c>
    </row>
    <row r="2954" hidden="1">
      <c r="A2954" s="1" t="s">
        <v>21</v>
      </c>
      <c r="B2954" s="3" t="str">
        <f>HYPERLINK("https://hawk-eye.atlassian.net/browse/HWKREPORT-514?atlOrigin=eyJpIjoiYzgwYTQ0ZjEyNzQzNGJhN2JmNjEyZTM0NmRhZWZhNjIiLCJwIjoic2hlZXRzLWppcmEifQ","HWKREPORT-514")</f>
        <v>HWKREPORT-514</v>
      </c>
      <c r="C2954" s="1" t="s">
        <v>4267</v>
      </c>
      <c r="D2954" s="1" t="s">
        <v>34</v>
      </c>
      <c r="E2954" s="1" t="s">
        <v>35</v>
      </c>
      <c r="F2954" s="4">
        <v>44088.746342592596</v>
      </c>
      <c r="G2954" s="3" t="str">
        <f t="shared" ref="G2954:G2955" si="201">HYPERLINK("https://hawk-eye.atlassian.net/browse/?atlOrigin=eyJpIjoiYzgwYTQ0ZjEyNzQzNGJhN2JmNjEyZTM0NmRhZWZhNjIiLCJwIjoic2hlZXRzLWppcmEifQ","")</f>
        <v/>
      </c>
      <c r="H2954" s="1" t="s">
        <v>1058</v>
      </c>
      <c r="I2954" s="1" t="s">
        <v>1126</v>
      </c>
      <c r="J2954" s="1" t="s">
        <v>26</v>
      </c>
      <c r="K2954" s="1" t="s">
        <v>1105</v>
      </c>
      <c r="L2954" s="1" t="s">
        <v>26</v>
      </c>
      <c r="M2954" s="1" t="s">
        <v>27</v>
      </c>
      <c r="N2954" s="1" t="s">
        <v>26</v>
      </c>
      <c r="O2954" s="1" t="s">
        <v>26</v>
      </c>
      <c r="P2954" s="4">
        <v>44600.875127314815</v>
      </c>
    </row>
    <row r="2955" hidden="1">
      <c r="A2955" s="1" t="s">
        <v>21</v>
      </c>
      <c r="B2955" s="3" t="str">
        <f>HYPERLINK("https://hawk-eye.atlassian.net/browse/HWKREPORT-515?atlOrigin=eyJpIjoiYzgwYTQ0ZjEyNzQzNGJhN2JmNjEyZTM0NmRhZWZhNjIiLCJwIjoic2hlZXRzLWppcmEifQ","HWKREPORT-515")</f>
        <v>HWKREPORT-515</v>
      </c>
      <c r="C2955" s="1" t="s">
        <v>4268</v>
      </c>
      <c r="D2955" s="1" t="s">
        <v>34</v>
      </c>
      <c r="E2955" s="1" t="s">
        <v>35</v>
      </c>
      <c r="F2955" s="4">
        <v>44088.75601851852</v>
      </c>
      <c r="G2955" s="3" t="str">
        <f t="shared" si="201"/>
        <v/>
      </c>
      <c r="H2955" s="1" t="s">
        <v>1058</v>
      </c>
      <c r="I2955" s="1" t="s">
        <v>1126</v>
      </c>
      <c r="J2955" s="1" t="s">
        <v>26</v>
      </c>
      <c r="K2955" s="1" t="s">
        <v>1105</v>
      </c>
      <c r="L2955" s="1" t="s">
        <v>26</v>
      </c>
      <c r="M2955" s="1" t="s">
        <v>27</v>
      </c>
      <c r="N2955" s="1" t="s">
        <v>26</v>
      </c>
      <c r="O2955" s="1" t="s">
        <v>26</v>
      </c>
      <c r="P2955" s="4">
        <v>44692.725960648146</v>
      </c>
    </row>
    <row r="2956" hidden="1">
      <c r="A2956" s="1" t="s">
        <v>21</v>
      </c>
      <c r="B2956" s="3" t="str">
        <f>HYPERLINK("https://hawk-eye.atlassian.net/browse/HWKREPORT-516?atlOrigin=eyJpIjoiYzgwYTQ0ZjEyNzQzNGJhN2JmNjEyZTM0NmRhZWZhNjIiLCJwIjoic2hlZXRzLWppcmEifQ","HWKREPORT-516")</f>
        <v>HWKREPORT-516</v>
      </c>
      <c r="C2956" s="1" t="s">
        <v>4269</v>
      </c>
      <c r="D2956" s="1" t="s">
        <v>34</v>
      </c>
      <c r="E2956" s="1" t="s">
        <v>35</v>
      </c>
      <c r="F2956" s="4">
        <v>44089.432291666664</v>
      </c>
      <c r="G2956" s="3" t="str">
        <f>HYPERLINK("https://hawk-eye.atlassian.net/browse/TVR-73?atlOrigin=eyJpIjoiYzgwYTQ0ZjEyNzQzNGJhN2JmNjEyZTM0NmRhZWZhNjIiLCJwIjoic2hlZXRzLWppcmEifQ","TVR-73")</f>
        <v>TVR-73</v>
      </c>
      <c r="H2956" s="1" t="s">
        <v>1058</v>
      </c>
      <c r="I2956" s="1" t="s">
        <v>1126</v>
      </c>
      <c r="J2956" s="1" t="s">
        <v>26</v>
      </c>
      <c r="K2956" s="1" t="s">
        <v>1573</v>
      </c>
      <c r="L2956" s="1" t="s">
        <v>26</v>
      </c>
      <c r="M2956" s="1" t="s">
        <v>27</v>
      </c>
      <c r="N2956" s="1" t="s">
        <v>26</v>
      </c>
      <c r="O2956" s="1" t="s">
        <v>26</v>
      </c>
      <c r="P2956" s="4">
        <v>44600.87520833333</v>
      </c>
    </row>
    <row r="2957" hidden="1">
      <c r="A2957" s="1" t="s">
        <v>1055</v>
      </c>
      <c r="B2957" s="3" t="str">
        <f>HYPERLINK("https://hawk-eye.atlassian.net/browse/HWKREPORT-517?atlOrigin=eyJpIjoiYzgwYTQ0ZjEyNzQzNGJhN2JmNjEyZTM0NmRhZWZhNjIiLCJwIjoic2hlZXRzLWppcmEifQ","HWKREPORT-517")</f>
        <v>HWKREPORT-517</v>
      </c>
      <c r="C2957" s="1" t="s">
        <v>4270</v>
      </c>
      <c r="D2957" s="1" t="s">
        <v>23</v>
      </c>
      <c r="E2957" s="1" t="s">
        <v>35</v>
      </c>
      <c r="F2957" s="4">
        <v>44089.71865740741</v>
      </c>
      <c r="G2957" s="3" t="str">
        <f>HYPERLINK("https://hawk-eye.atlassian.net/browse/RTTDB-54?atlOrigin=eyJpIjoiYzgwYTQ0ZjEyNzQzNGJhN2JmNjEyZTM0NmRhZWZhNjIiLCJwIjoic2hlZXRzLWppcmEifQ","RTTDB-54")</f>
        <v>RTTDB-54</v>
      </c>
      <c r="H2957" s="1" t="s">
        <v>1058</v>
      </c>
      <c r="I2957" s="1" t="s">
        <v>1126</v>
      </c>
      <c r="J2957" s="1" t="s">
        <v>26</v>
      </c>
      <c r="K2957" s="1" t="s">
        <v>1127</v>
      </c>
      <c r="L2957" s="1" t="s">
        <v>26</v>
      </c>
      <c r="M2957" s="1" t="s">
        <v>27</v>
      </c>
      <c r="N2957" s="1" t="s">
        <v>26</v>
      </c>
      <c r="O2957" s="1" t="s">
        <v>26</v>
      </c>
      <c r="P2957" s="4">
        <v>45216.371099537035</v>
      </c>
    </row>
    <row r="2958" hidden="1">
      <c r="A2958" s="1" t="s">
        <v>1055</v>
      </c>
      <c r="B2958" s="3" t="str">
        <f>HYPERLINK("https://hawk-eye.atlassian.net/browse/HWKREPORT-518?atlOrigin=eyJpIjoiYzgwYTQ0ZjEyNzQzNGJhN2JmNjEyZTM0NmRhZWZhNjIiLCJwIjoic2hlZXRzLWppcmEifQ","HWKREPORT-518")</f>
        <v>HWKREPORT-518</v>
      </c>
      <c r="C2958" s="1" t="s">
        <v>4271</v>
      </c>
      <c r="D2958" s="1" t="s">
        <v>23</v>
      </c>
      <c r="E2958" s="1" t="s">
        <v>35</v>
      </c>
      <c r="F2958" s="4">
        <v>44089.72042824074</v>
      </c>
      <c r="G2958" s="3" t="str">
        <f t="shared" ref="G2958:G2959" si="202">HYPERLINK("https://hawk-eye.atlassian.net/browse/?atlOrigin=eyJpIjoiYzgwYTQ0ZjEyNzQzNGJhN2JmNjEyZTM0NmRhZWZhNjIiLCJwIjoic2hlZXRzLWppcmEifQ","")</f>
        <v/>
      </c>
      <c r="H2958" s="1" t="s">
        <v>1058</v>
      </c>
      <c r="I2958" s="1" t="s">
        <v>1126</v>
      </c>
      <c r="J2958" s="1" t="s">
        <v>26</v>
      </c>
      <c r="K2958" s="1" t="s">
        <v>1573</v>
      </c>
      <c r="L2958" s="1" t="s">
        <v>26</v>
      </c>
      <c r="M2958" s="1" t="s">
        <v>27</v>
      </c>
      <c r="N2958" s="1" t="s">
        <v>26</v>
      </c>
      <c r="O2958" s="1" t="s">
        <v>26</v>
      </c>
      <c r="P2958" s="4">
        <v>45057.50524305556</v>
      </c>
    </row>
    <row r="2959" hidden="1">
      <c r="A2959" s="1" t="s">
        <v>1055</v>
      </c>
      <c r="B2959" s="3" t="str">
        <f>HYPERLINK("https://hawk-eye.atlassian.net/browse/HWKREPORT-519?atlOrigin=eyJpIjoiYzgwYTQ0ZjEyNzQzNGJhN2JmNjEyZTM0NmRhZWZhNjIiLCJwIjoic2hlZXRzLWppcmEifQ","HWKREPORT-519")</f>
        <v>HWKREPORT-519</v>
      </c>
      <c r="C2959" s="1" t="s">
        <v>4272</v>
      </c>
      <c r="D2959" s="1" t="s">
        <v>23</v>
      </c>
      <c r="E2959" s="1" t="s">
        <v>35</v>
      </c>
      <c r="F2959" s="4">
        <v>44089.72309027778</v>
      </c>
      <c r="G2959" s="3" t="str">
        <f t="shared" si="202"/>
        <v/>
      </c>
      <c r="H2959" s="1" t="s">
        <v>1058</v>
      </c>
      <c r="I2959" s="1" t="s">
        <v>1126</v>
      </c>
      <c r="J2959" s="1" t="s">
        <v>26</v>
      </c>
      <c r="K2959" s="1" t="s">
        <v>1573</v>
      </c>
      <c r="L2959" s="1" t="s">
        <v>26</v>
      </c>
      <c r="M2959" s="1" t="s">
        <v>27</v>
      </c>
      <c r="N2959" s="1" t="s">
        <v>26</v>
      </c>
      <c r="O2959" s="1" t="s">
        <v>26</v>
      </c>
      <c r="P2959" s="4">
        <v>45057.50759259259</v>
      </c>
    </row>
    <row r="2960" hidden="1">
      <c r="A2960" s="1" t="s">
        <v>21</v>
      </c>
      <c r="B2960" s="3" t="str">
        <f>HYPERLINK("https://hawk-eye.atlassian.net/browse/HWKREPORT-520?atlOrigin=eyJpIjoiYzgwYTQ0ZjEyNzQzNGJhN2JmNjEyZTM0NmRhZWZhNjIiLCJwIjoic2hlZXRzLWppcmEifQ","HWKREPORT-520")</f>
        <v>HWKREPORT-520</v>
      </c>
      <c r="C2960" s="1" t="s">
        <v>4273</v>
      </c>
      <c r="D2960" s="1" t="s">
        <v>23</v>
      </c>
      <c r="E2960" s="1" t="s">
        <v>35</v>
      </c>
      <c r="F2960" s="4">
        <v>44089.892962962964</v>
      </c>
      <c r="G2960" s="3" t="str">
        <f>HYPERLINK("https://hawk-eye.atlassian.net/browse/RTT-2829?atlOrigin=eyJpIjoiYzgwYTQ0ZjEyNzQzNGJhN2JmNjEyZTM0NmRhZWZhNjIiLCJwIjoic2hlZXRzLWppcmEifQ","RTT-2829")</f>
        <v>RTT-2829</v>
      </c>
      <c r="H2960" s="1" t="s">
        <v>1058</v>
      </c>
      <c r="I2960" s="1" t="s">
        <v>1071</v>
      </c>
      <c r="J2960" s="1" t="s">
        <v>26</v>
      </c>
      <c r="K2960" s="1" t="s">
        <v>1072</v>
      </c>
      <c r="L2960" s="1" t="s">
        <v>26</v>
      </c>
      <c r="M2960" s="1" t="s">
        <v>27</v>
      </c>
      <c r="N2960" s="1" t="s">
        <v>26</v>
      </c>
      <c r="O2960" s="1" t="s">
        <v>26</v>
      </c>
      <c r="P2960" s="4">
        <v>44600.874814814815</v>
      </c>
    </row>
    <row r="2961" hidden="1">
      <c r="A2961" s="1" t="s">
        <v>21</v>
      </c>
      <c r="B2961" s="3" t="str">
        <f>HYPERLINK("https://hawk-eye.atlassian.net/browse/HWKREPORT-521?atlOrigin=eyJpIjoiYzgwYTQ0ZjEyNzQzNGJhN2JmNjEyZTM0NmRhZWZhNjIiLCJwIjoic2hlZXRzLWppcmEifQ","HWKREPORT-521")</f>
        <v>HWKREPORT-521</v>
      </c>
      <c r="C2961" s="1" t="s">
        <v>4274</v>
      </c>
      <c r="D2961" s="1" t="s">
        <v>83</v>
      </c>
      <c r="E2961" s="1" t="s">
        <v>35</v>
      </c>
      <c r="F2961" s="4">
        <v>44090.54378472222</v>
      </c>
      <c r="G2961" s="3" t="str">
        <f t="shared" ref="G2961:G2962" si="203">HYPERLINK("https://hawk-eye.atlassian.net/browse/?atlOrigin=eyJpIjoiYzgwYTQ0ZjEyNzQzNGJhN2JmNjEyZTM0NmRhZWZhNjIiLCJwIjoic2hlZXRzLWppcmEifQ","")</f>
        <v/>
      </c>
      <c r="H2961" s="1" t="s">
        <v>1058</v>
      </c>
      <c r="I2961" s="1" t="s">
        <v>1126</v>
      </c>
      <c r="J2961" s="1" t="s">
        <v>26</v>
      </c>
      <c r="K2961" s="1" t="s">
        <v>1105</v>
      </c>
      <c r="L2961" s="1" t="s">
        <v>26</v>
      </c>
      <c r="M2961" s="1" t="s">
        <v>27</v>
      </c>
      <c r="N2961" s="1" t="s">
        <v>26</v>
      </c>
      <c r="O2961" s="1" t="s">
        <v>26</v>
      </c>
      <c r="P2961" s="4">
        <v>44600.87452546296</v>
      </c>
    </row>
    <row r="2962" hidden="1">
      <c r="A2962" s="1" t="s">
        <v>21</v>
      </c>
      <c r="B2962" s="3" t="str">
        <f>HYPERLINK("https://hawk-eye.atlassian.net/browse/HWKREPORT-522?atlOrigin=eyJpIjoiYzgwYTQ0ZjEyNzQzNGJhN2JmNjEyZTM0NmRhZWZhNjIiLCJwIjoic2hlZXRzLWppcmEifQ","HWKREPORT-522")</f>
        <v>HWKREPORT-522</v>
      </c>
      <c r="C2962" s="1" t="s">
        <v>4275</v>
      </c>
      <c r="D2962" s="1" t="s">
        <v>23</v>
      </c>
      <c r="E2962" s="1" t="s">
        <v>35</v>
      </c>
      <c r="F2962" s="4">
        <v>44090.749247685184</v>
      </c>
      <c r="G2962" s="3" t="str">
        <f t="shared" si="203"/>
        <v/>
      </c>
      <c r="H2962" s="1" t="s">
        <v>1058</v>
      </c>
      <c r="I2962" s="1" t="s">
        <v>1082</v>
      </c>
      <c r="J2962" s="1" t="s">
        <v>26</v>
      </c>
      <c r="K2962" s="1" t="s">
        <v>1105</v>
      </c>
      <c r="L2962" s="1" t="s">
        <v>26</v>
      </c>
      <c r="M2962" s="1" t="s">
        <v>27</v>
      </c>
      <c r="N2962" s="1" t="s">
        <v>26</v>
      </c>
      <c r="O2962" s="1" t="s">
        <v>26</v>
      </c>
      <c r="P2962" s="4">
        <v>44600.87469907408</v>
      </c>
    </row>
    <row r="2963" hidden="1">
      <c r="A2963" s="1" t="s">
        <v>21</v>
      </c>
      <c r="B2963" s="3" t="str">
        <f>HYPERLINK("https://hawk-eye.atlassian.net/browse/HWKREPORT-523?atlOrigin=eyJpIjoiYzgwYTQ0ZjEyNzQzNGJhN2JmNjEyZTM0NmRhZWZhNjIiLCJwIjoic2hlZXRzLWppcmEifQ","HWKREPORT-523")</f>
        <v>HWKREPORT-523</v>
      </c>
      <c r="C2963" s="1" t="s">
        <v>4276</v>
      </c>
      <c r="D2963" s="1" t="s">
        <v>23</v>
      </c>
      <c r="E2963" s="1" t="s">
        <v>35</v>
      </c>
      <c r="F2963" s="4">
        <v>44090.76084490741</v>
      </c>
      <c r="G2963" s="3" t="str">
        <f>HYPERLINK("https://hawk-eye.atlassian.net/browse/CVR-63?atlOrigin=eyJpIjoiYzgwYTQ0ZjEyNzQzNGJhN2JmNjEyZTM0NmRhZWZhNjIiLCJwIjoic2hlZXRzLWppcmEifQ","CVR-63")</f>
        <v>CVR-63</v>
      </c>
      <c r="H2963" s="1" t="s">
        <v>1058</v>
      </c>
      <c r="I2963" s="1" t="s">
        <v>1082</v>
      </c>
      <c r="J2963" s="1" t="s">
        <v>26</v>
      </c>
      <c r="K2963" s="1" t="s">
        <v>1744</v>
      </c>
      <c r="L2963" s="1" t="s">
        <v>26</v>
      </c>
      <c r="M2963" s="1" t="s">
        <v>27</v>
      </c>
      <c r="N2963" s="1" t="s">
        <v>26</v>
      </c>
      <c r="O2963" s="1" t="s">
        <v>26</v>
      </c>
      <c r="P2963" s="4">
        <v>44124.56045138889</v>
      </c>
    </row>
    <row r="2964" hidden="1">
      <c r="A2964" s="1" t="s">
        <v>21</v>
      </c>
      <c r="B2964" s="3" t="str">
        <f>HYPERLINK("https://hawk-eye.atlassian.net/browse/HWKREPORT-524?atlOrigin=eyJpIjoiYzgwYTQ0ZjEyNzQzNGJhN2JmNjEyZTM0NmRhZWZhNjIiLCJwIjoic2hlZXRzLWppcmEifQ","HWKREPORT-524")</f>
        <v>HWKREPORT-524</v>
      </c>
      <c r="C2964" s="1" t="s">
        <v>4277</v>
      </c>
      <c r="D2964" s="1" t="s">
        <v>23</v>
      </c>
      <c r="E2964" s="1" t="s">
        <v>35</v>
      </c>
      <c r="F2964" s="4">
        <v>44090.78240740741</v>
      </c>
      <c r="G2964" s="3" t="str">
        <f>HYPERLINK("https://hawk-eye.atlassian.net/browse/CVR-64?atlOrigin=eyJpIjoiYzgwYTQ0ZjEyNzQzNGJhN2JmNjEyZTM0NmRhZWZhNjIiLCJwIjoic2hlZXRzLWppcmEifQ","CVR-64")</f>
        <v>CVR-64</v>
      </c>
      <c r="H2964" s="1" t="s">
        <v>1058</v>
      </c>
      <c r="I2964" s="1" t="s">
        <v>1082</v>
      </c>
      <c r="J2964" s="1" t="s">
        <v>26</v>
      </c>
      <c r="K2964" s="1" t="s">
        <v>4278</v>
      </c>
      <c r="L2964" s="1" t="s">
        <v>26</v>
      </c>
      <c r="M2964" s="1" t="s">
        <v>27</v>
      </c>
      <c r="N2964" s="1" t="s">
        <v>26</v>
      </c>
      <c r="O2964" s="1" t="s">
        <v>26</v>
      </c>
      <c r="P2964" s="4">
        <v>44600.87469907408</v>
      </c>
    </row>
    <row r="2965" hidden="1">
      <c r="A2965" s="1" t="s">
        <v>21</v>
      </c>
      <c r="B2965" s="3" t="str">
        <f>HYPERLINK("https://hawk-eye.atlassian.net/browse/HWKREPORT-525?atlOrigin=eyJpIjoiYzgwYTQ0ZjEyNzQzNGJhN2JmNjEyZTM0NmRhZWZhNjIiLCJwIjoic2hlZXRzLWppcmEifQ","HWKREPORT-525")</f>
        <v>HWKREPORT-525</v>
      </c>
      <c r="C2965" s="1" t="s">
        <v>4279</v>
      </c>
      <c r="D2965" s="1" t="s">
        <v>23</v>
      </c>
      <c r="E2965" s="1" t="s">
        <v>35</v>
      </c>
      <c r="F2965" s="4">
        <v>44090.85644675926</v>
      </c>
      <c r="G2965" s="3" t="str">
        <f t="shared" ref="G2965:G2966" si="204">HYPERLINK("https://hawk-eye.atlassian.net/browse/?atlOrigin=eyJpIjoiYzgwYTQ0ZjEyNzQzNGJhN2JmNjEyZTM0NmRhZWZhNjIiLCJwIjoic2hlZXRzLWppcmEifQ","")</f>
        <v/>
      </c>
      <c r="H2965" s="1" t="s">
        <v>1058</v>
      </c>
      <c r="I2965" s="1" t="s">
        <v>1082</v>
      </c>
      <c r="J2965" s="1" t="s">
        <v>26</v>
      </c>
      <c r="K2965" s="1" t="s">
        <v>1114</v>
      </c>
      <c r="L2965" s="1" t="s">
        <v>26</v>
      </c>
      <c r="M2965" s="1" t="s">
        <v>27</v>
      </c>
      <c r="N2965" s="1" t="s">
        <v>26</v>
      </c>
      <c r="O2965" s="1" t="s">
        <v>26</v>
      </c>
      <c r="P2965" s="4">
        <v>44104.55967592593</v>
      </c>
    </row>
    <row r="2966" hidden="1">
      <c r="A2966" s="1" t="s">
        <v>1055</v>
      </c>
      <c r="B2966" s="3" t="str">
        <f>HYPERLINK("https://hawk-eye.atlassian.net/browse/HWKREPORT-526?atlOrigin=eyJpIjoiYzgwYTQ0ZjEyNzQzNGJhN2JmNjEyZTM0NmRhZWZhNjIiLCJwIjoic2hlZXRzLWppcmEifQ","HWKREPORT-526")</f>
        <v>HWKREPORT-526</v>
      </c>
      <c r="C2966" s="1" t="s">
        <v>4280</v>
      </c>
      <c r="D2966" s="1" t="s">
        <v>23</v>
      </c>
      <c r="E2966" s="1" t="s">
        <v>35</v>
      </c>
      <c r="F2966" s="4">
        <v>44091.94800925926</v>
      </c>
      <c r="G2966" s="3" t="str">
        <f t="shared" si="204"/>
        <v/>
      </c>
      <c r="H2966" s="1" t="s">
        <v>1058</v>
      </c>
      <c r="I2966" s="1" t="s">
        <v>1071</v>
      </c>
      <c r="J2966" s="1" t="s">
        <v>26</v>
      </c>
      <c r="K2966" s="1" t="s">
        <v>4281</v>
      </c>
      <c r="L2966" s="1" t="s">
        <v>26</v>
      </c>
      <c r="M2966" s="1" t="s">
        <v>27</v>
      </c>
      <c r="N2966" s="1" t="s">
        <v>26</v>
      </c>
      <c r="O2966" s="1" t="s">
        <v>26</v>
      </c>
      <c r="P2966" s="4">
        <v>44474.683171296296</v>
      </c>
    </row>
    <row r="2967" hidden="1">
      <c r="A2967" s="1" t="s">
        <v>21</v>
      </c>
      <c r="B2967" s="3" t="str">
        <f>HYPERLINK("https://hawk-eye.atlassian.net/browse/HWKREPORT-527?atlOrigin=eyJpIjoiYzgwYTQ0ZjEyNzQzNGJhN2JmNjEyZTM0NmRhZWZhNjIiLCJwIjoic2hlZXRzLWppcmEifQ","HWKREPORT-527")</f>
        <v>HWKREPORT-527</v>
      </c>
      <c r="C2967" s="1" t="s">
        <v>4282</v>
      </c>
      <c r="D2967" s="1" t="s">
        <v>40</v>
      </c>
      <c r="E2967" s="1" t="s">
        <v>35</v>
      </c>
      <c r="F2967" s="4">
        <v>44091.985451388886</v>
      </c>
      <c r="G2967" s="3" t="str">
        <f>HYPERLINK("https://hawk-eye.atlassian.net/browse/RTT-2862?atlOrigin=eyJpIjoiYzgwYTQ0ZjEyNzQzNGJhN2JmNjEyZTM0NmRhZWZhNjIiLCJwIjoic2hlZXRzLWppcmEifQ","RTT-2862")</f>
        <v>RTT-2862</v>
      </c>
      <c r="H2967" s="1" t="s">
        <v>1058</v>
      </c>
      <c r="I2967" s="1" t="s">
        <v>1126</v>
      </c>
      <c r="J2967" s="1" t="s">
        <v>26</v>
      </c>
      <c r="K2967" s="1" t="s">
        <v>1309</v>
      </c>
      <c r="L2967" s="1" t="s">
        <v>26</v>
      </c>
      <c r="M2967" s="1" t="s">
        <v>27</v>
      </c>
      <c r="N2967" s="1" t="s">
        <v>26</v>
      </c>
      <c r="O2967" s="1" t="s">
        <v>26</v>
      </c>
      <c r="P2967" s="4">
        <v>44600.87510416667</v>
      </c>
    </row>
    <row r="2968" hidden="1">
      <c r="A2968" s="1" t="s">
        <v>21</v>
      </c>
      <c r="B2968" s="3" t="str">
        <f>HYPERLINK("https://hawk-eye.atlassian.net/browse/HWKREPORT-528?atlOrigin=eyJpIjoiYzgwYTQ0ZjEyNzQzNGJhN2JmNjEyZTM0NmRhZWZhNjIiLCJwIjoic2hlZXRzLWppcmEifQ","HWKREPORT-528")</f>
        <v>HWKREPORT-528</v>
      </c>
      <c r="C2968" s="1" t="s">
        <v>4283</v>
      </c>
      <c r="D2968" s="1" t="s">
        <v>23</v>
      </c>
      <c r="E2968" s="1" t="s">
        <v>35</v>
      </c>
      <c r="F2968" s="4">
        <v>44092.65435185185</v>
      </c>
      <c r="G2968" s="3" t="str">
        <f>HYPERLINK("https://hawk-eye.atlassian.net/browse/RTT-2852?atlOrigin=eyJpIjoiYzgwYTQ0ZjEyNzQzNGJhN2JmNjEyZTM0NmRhZWZhNjIiLCJwIjoic2hlZXRzLWppcmEifQ","RTT-2852")</f>
        <v>RTT-2852</v>
      </c>
      <c r="H2968" s="1" t="s">
        <v>1058</v>
      </c>
      <c r="I2968" s="1" t="s">
        <v>1071</v>
      </c>
      <c r="J2968" s="1" t="s">
        <v>26</v>
      </c>
      <c r="K2968" s="1" t="s">
        <v>1099</v>
      </c>
      <c r="L2968" s="1" t="s">
        <v>26</v>
      </c>
      <c r="M2968" s="1" t="s">
        <v>27</v>
      </c>
      <c r="N2968" s="1" t="s">
        <v>26</v>
      </c>
      <c r="O2968" s="1" t="s">
        <v>26</v>
      </c>
      <c r="P2968" s="4">
        <v>44256.7316087963</v>
      </c>
    </row>
    <row r="2969" hidden="1">
      <c r="A2969" s="1" t="s">
        <v>21</v>
      </c>
      <c r="B2969" s="3" t="str">
        <f>HYPERLINK("https://hawk-eye.atlassian.net/browse/HWKREPORT-529?atlOrigin=eyJpIjoiYzgwYTQ0ZjEyNzQzNGJhN2JmNjEyZTM0NmRhZWZhNjIiLCJwIjoic2hlZXRzLWppcmEifQ","HWKREPORT-529")</f>
        <v>HWKREPORT-529</v>
      </c>
      <c r="C2969" s="1" t="s">
        <v>4284</v>
      </c>
      <c r="D2969" s="1" t="s">
        <v>23</v>
      </c>
      <c r="E2969" s="1" t="s">
        <v>35</v>
      </c>
      <c r="F2969" s="4">
        <v>44095.0765625</v>
      </c>
      <c r="G2969" s="3" t="str">
        <f>HYPERLINK("https://hawk-eye.atlassian.net/browse/RTT-2853?atlOrigin=eyJpIjoiYzgwYTQ0ZjEyNzQzNGJhN2JmNjEyZTM0NmRhZWZhNjIiLCJwIjoic2hlZXRzLWppcmEifQ","RTT-2853")</f>
        <v>RTT-2853</v>
      </c>
      <c r="H2969" s="1" t="s">
        <v>1058</v>
      </c>
      <c r="I2969" s="1" t="s">
        <v>1071</v>
      </c>
      <c r="J2969" s="1" t="s">
        <v>26</v>
      </c>
      <c r="K2969" s="1" t="s">
        <v>1312</v>
      </c>
      <c r="L2969" s="1" t="s">
        <v>26</v>
      </c>
      <c r="M2969" s="1" t="s">
        <v>27</v>
      </c>
      <c r="N2969" s="1" t="s">
        <v>26</v>
      </c>
      <c r="O2969" s="1" t="s">
        <v>26</v>
      </c>
      <c r="P2969" s="4">
        <v>44600.875231481485</v>
      </c>
    </row>
    <row r="2970" hidden="1">
      <c r="A2970" s="1" t="s">
        <v>21</v>
      </c>
      <c r="B2970" s="3" t="str">
        <f>HYPERLINK("https://hawk-eye.atlassian.net/browse/HWKREPORT-530?atlOrigin=eyJpIjoiYzgwYTQ0ZjEyNzQzNGJhN2JmNjEyZTM0NmRhZWZhNjIiLCJwIjoic2hlZXRzLWppcmEifQ","HWKREPORT-530")</f>
        <v>HWKREPORT-530</v>
      </c>
      <c r="C2970" s="1" t="s">
        <v>4285</v>
      </c>
      <c r="D2970" s="1" t="s">
        <v>23</v>
      </c>
      <c r="E2970" s="1" t="s">
        <v>35</v>
      </c>
      <c r="F2970" s="4">
        <v>44095.792349537034</v>
      </c>
      <c r="G2970" s="3" t="str">
        <f>HYPERLINK("https://hawk-eye.atlassian.net/browse/RTT-2864?atlOrigin=eyJpIjoiYzgwYTQ0ZjEyNzQzNGJhN2JmNjEyZTM0NmRhZWZhNjIiLCJwIjoic2hlZXRzLWppcmEifQ","RTT-2864")</f>
        <v>RTT-2864</v>
      </c>
      <c r="H2970" s="1" t="s">
        <v>1058</v>
      </c>
      <c r="I2970" s="1" t="s">
        <v>1071</v>
      </c>
      <c r="J2970" s="1" t="s">
        <v>26</v>
      </c>
      <c r="K2970" s="1" t="s">
        <v>1099</v>
      </c>
      <c r="L2970" s="1" t="s">
        <v>26</v>
      </c>
      <c r="M2970" s="1" t="s">
        <v>27</v>
      </c>
      <c r="N2970" s="1" t="s">
        <v>26</v>
      </c>
      <c r="O2970" s="1" t="s">
        <v>26</v>
      </c>
      <c r="P2970" s="4">
        <v>44503.37229166667</v>
      </c>
    </row>
    <row r="2971" hidden="1">
      <c r="A2971" s="1" t="s">
        <v>21</v>
      </c>
      <c r="B2971" s="3" t="str">
        <f>HYPERLINK("https://hawk-eye.atlassian.net/browse/HWKREPORT-531?atlOrigin=eyJpIjoiYzgwYTQ0ZjEyNzQzNGJhN2JmNjEyZTM0NmRhZWZhNjIiLCJwIjoic2hlZXRzLWppcmEifQ","HWKREPORT-531")</f>
        <v>HWKREPORT-531</v>
      </c>
      <c r="C2971" s="1" t="s">
        <v>4286</v>
      </c>
      <c r="D2971" s="1" t="s">
        <v>34</v>
      </c>
      <c r="E2971" s="1" t="s">
        <v>35</v>
      </c>
      <c r="F2971" s="4">
        <v>44096.99119212963</v>
      </c>
      <c r="G2971" s="3" t="str">
        <f>HYPERLINK("https://hawk-eye.atlassian.net/browse/RTT-2870?atlOrigin=eyJpIjoiYzgwYTQ0ZjEyNzQzNGJhN2JmNjEyZTM0NmRhZWZhNjIiLCJwIjoic2hlZXRzLWppcmEifQ","RTT-2870")</f>
        <v>RTT-2870</v>
      </c>
      <c r="H2971" s="1" t="s">
        <v>1058</v>
      </c>
      <c r="I2971" s="1" t="s">
        <v>1126</v>
      </c>
      <c r="J2971" s="1" t="s">
        <v>26</v>
      </c>
      <c r="K2971" s="1" t="s">
        <v>1362</v>
      </c>
      <c r="L2971" s="1" t="s">
        <v>26</v>
      </c>
      <c r="M2971" s="1" t="s">
        <v>27</v>
      </c>
      <c r="N2971" s="1" t="s">
        <v>26</v>
      </c>
      <c r="O2971" s="1" t="s">
        <v>26</v>
      </c>
      <c r="P2971" s="4">
        <v>44600.87521990741</v>
      </c>
    </row>
    <row r="2972" hidden="1">
      <c r="A2972" s="1" t="s">
        <v>21</v>
      </c>
      <c r="B2972" s="3" t="str">
        <f>HYPERLINK("https://hawk-eye.atlassian.net/browse/HWKREPORT-532?atlOrigin=eyJpIjoiYzgwYTQ0ZjEyNzQzNGJhN2JmNjEyZTM0NmRhZWZhNjIiLCJwIjoic2hlZXRzLWppcmEifQ","HWKREPORT-532")</f>
        <v>HWKREPORT-532</v>
      </c>
      <c r="C2972" s="1" t="s">
        <v>4287</v>
      </c>
      <c r="D2972" s="1" t="s">
        <v>23</v>
      </c>
      <c r="E2972" s="1" t="s">
        <v>35</v>
      </c>
      <c r="F2972" s="4">
        <v>44097.79101851852</v>
      </c>
      <c r="G2972" s="3" t="str">
        <f>HYPERLINK("https://hawk-eye.atlassian.net/browse/RTT-2883?atlOrigin=eyJpIjoiYzgwYTQ0ZjEyNzQzNGJhN2JmNjEyZTM0NmRhZWZhNjIiLCJwIjoic2hlZXRzLWppcmEifQ","RTT-2883")</f>
        <v>RTT-2883</v>
      </c>
      <c r="H2972" s="1" t="s">
        <v>1058</v>
      </c>
      <c r="I2972" s="1" t="s">
        <v>1071</v>
      </c>
      <c r="J2972" s="1" t="s">
        <v>26</v>
      </c>
      <c r="K2972" s="1" t="s">
        <v>1072</v>
      </c>
      <c r="L2972" s="1" t="s">
        <v>26</v>
      </c>
      <c r="M2972" s="1" t="s">
        <v>27</v>
      </c>
      <c r="N2972" s="1" t="s">
        <v>26</v>
      </c>
      <c r="O2972" s="1" t="s">
        <v>26</v>
      </c>
      <c r="P2972" s="4">
        <v>44256.73180555556</v>
      </c>
    </row>
    <row r="2973" hidden="1">
      <c r="A2973" s="1" t="s">
        <v>1055</v>
      </c>
      <c r="B2973" s="3" t="str">
        <f>HYPERLINK("https://hawk-eye.atlassian.net/browse/HWKREPORT-533?atlOrigin=eyJpIjoiYzgwYTQ0ZjEyNzQzNGJhN2JmNjEyZTM0NmRhZWZhNjIiLCJwIjoic2hlZXRzLWppcmEifQ","HWKREPORT-533")</f>
        <v>HWKREPORT-533</v>
      </c>
      <c r="C2973" s="1" t="s">
        <v>4288</v>
      </c>
      <c r="D2973" s="1" t="s">
        <v>23</v>
      </c>
      <c r="E2973" s="1" t="s">
        <v>35</v>
      </c>
      <c r="F2973" s="4">
        <v>44097.87501157408</v>
      </c>
      <c r="G2973" s="3" t="str">
        <f>HYPERLINK("https://hawk-eye.atlassian.net/browse/?atlOrigin=eyJpIjoiYzgwYTQ0ZjEyNzQzNGJhN2JmNjEyZTM0NmRhZWZhNjIiLCJwIjoic2hlZXRzLWppcmEifQ","")</f>
        <v/>
      </c>
      <c r="H2973" s="1" t="s">
        <v>1058</v>
      </c>
      <c r="I2973" s="1" t="s">
        <v>1071</v>
      </c>
      <c r="J2973" s="1" t="s">
        <v>26</v>
      </c>
      <c r="K2973" s="1" t="s">
        <v>1072</v>
      </c>
      <c r="L2973" s="1" t="s">
        <v>26</v>
      </c>
      <c r="M2973" s="1" t="s">
        <v>27</v>
      </c>
      <c r="N2973" s="1" t="s">
        <v>26</v>
      </c>
      <c r="O2973" s="1" t="s">
        <v>26</v>
      </c>
      <c r="P2973" s="4">
        <v>44098.640335648146</v>
      </c>
    </row>
    <row r="2974" hidden="1">
      <c r="A2974" s="1" t="s">
        <v>21</v>
      </c>
      <c r="B2974" s="3" t="str">
        <f>HYPERLINK("https://hawk-eye.atlassian.net/browse/HWKREPORT-534?atlOrigin=eyJpIjoiYzgwYTQ0ZjEyNzQzNGJhN2JmNjEyZTM0NmRhZWZhNjIiLCJwIjoic2hlZXRzLWppcmEifQ","HWKREPORT-534")</f>
        <v>HWKREPORT-534</v>
      </c>
      <c r="C2974" s="1" t="s">
        <v>4289</v>
      </c>
      <c r="D2974" s="1" t="s">
        <v>23</v>
      </c>
      <c r="E2974" s="1" t="s">
        <v>35</v>
      </c>
      <c r="F2974" s="4">
        <v>44098.65739583333</v>
      </c>
      <c r="G2974" s="3" t="str">
        <f>HYPERLINK("https://hawk-eye.atlassian.net/browse/VIEWER-1222?atlOrigin=eyJpIjoiYzgwYTQ0ZjEyNzQzNGJhN2JmNjEyZTM0NmRhZWZhNjIiLCJwIjoic2hlZXRzLWppcmEifQ","VIEWER-1222")</f>
        <v>VIEWER-1222</v>
      </c>
      <c r="H2974" s="1" t="s">
        <v>1058</v>
      </c>
      <c r="I2974" s="1" t="s">
        <v>1126</v>
      </c>
      <c r="J2974" s="1" t="s">
        <v>26</v>
      </c>
      <c r="K2974" s="1" t="s">
        <v>4290</v>
      </c>
      <c r="L2974" s="1" t="s">
        <v>26</v>
      </c>
      <c r="M2974" s="1" t="s">
        <v>27</v>
      </c>
      <c r="N2974" s="1" t="s">
        <v>26</v>
      </c>
      <c r="O2974" s="1" t="s">
        <v>26</v>
      </c>
      <c r="P2974" s="4">
        <v>44146.743125</v>
      </c>
    </row>
    <row r="2975" hidden="1">
      <c r="A2975" s="1" t="s">
        <v>1055</v>
      </c>
      <c r="B2975" s="3" t="str">
        <f>HYPERLINK("https://hawk-eye.atlassian.net/browse/HWKREPORT-535?atlOrigin=eyJpIjoiYzgwYTQ0ZjEyNzQzNGJhN2JmNjEyZTM0NmRhZWZhNjIiLCJwIjoic2hlZXRzLWppcmEifQ","HWKREPORT-535")</f>
        <v>HWKREPORT-535</v>
      </c>
      <c r="C2975" s="1" t="s">
        <v>4291</v>
      </c>
      <c r="D2975" s="1" t="s">
        <v>23</v>
      </c>
      <c r="E2975" s="1" t="s">
        <v>35</v>
      </c>
      <c r="F2975" s="4">
        <v>44103.79224537037</v>
      </c>
      <c r="G2975" s="3" t="str">
        <f>HYPERLINK("https://hawk-eye.atlassian.net/browse/RTT-1011?atlOrigin=eyJpIjoiYzgwYTQ0ZjEyNzQzNGJhN2JmNjEyZTM0NmRhZWZhNjIiLCJwIjoic2hlZXRzLWppcmEifQ","RTT-1011")</f>
        <v>RTT-1011</v>
      </c>
      <c r="H2975" s="1" t="s">
        <v>1058</v>
      </c>
      <c r="I2975" s="1" t="s">
        <v>1071</v>
      </c>
      <c r="J2975" s="1" t="s">
        <v>26</v>
      </c>
      <c r="K2975" s="1" t="s">
        <v>1072</v>
      </c>
      <c r="L2975" s="1" t="s">
        <v>26</v>
      </c>
      <c r="M2975" s="1" t="s">
        <v>27</v>
      </c>
      <c r="N2975" s="1" t="s">
        <v>26</v>
      </c>
      <c r="O2975" s="1" t="s">
        <v>26</v>
      </c>
      <c r="P2975" s="4">
        <v>44140.791967592595</v>
      </c>
    </row>
    <row r="2976" hidden="1">
      <c r="A2976" s="1" t="s">
        <v>21</v>
      </c>
      <c r="B2976" s="3" t="str">
        <f>HYPERLINK("https://hawk-eye.atlassian.net/browse/HWKREPORT-536?atlOrigin=eyJpIjoiYzgwYTQ0ZjEyNzQzNGJhN2JmNjEyZTM0NmRhZWZhNjIiLCJwIjoic2hlZXRzLWppcmEifQ","HWKREPORT-536")</f>
        <v>HWKREPORT-536</v>
      </c>
      <c r="C2976" s="1" t="s">
        <v>4292</v>
      </c>
      <c r="D2976" s="1" t="s">
        <v>23</v>
      </c>
      <c r="E2976" s="1" t="s">
        <v>35</v>
      </c>
      <c r="F2976" s="4">
        <v>44103.85016203704</v>
      </c>
      <c r="G2976" s="3" t="str">
        <f>HYPERLINK("https://hawk-eye.atlassian.net/browse/?atlOrigin=eyJpIjoiYzgwYTQ0ZjEyNzQzNGJhN2JmNjEyZTM0NmRhZWZhNjIiLCJwIjoic2hlZXRzLWppcmEifQ","")</f>
        <v/>
      </c>
      <c r="H2976" s="1" t="s">
        <v>1058</v>
      </c>
      <c r="I2976" s="1" t="s">
        <v>1071</v>
      </c>
      <c r="J2976" s="1" t="s">
        <v>26</v>
      </c>
      <c r="K2976" s="1" t="s">
        <v>1397</v>
      </c>
      <c r="L2976" s="1" t="s">
        <v>26</v>
      </c>
      <c r="M2976" s="1" t="s">
        <v>27</v>
      </c>
      <c r="N2976" s="1" t="s">
        <v>26</v>
      </c>
      <c r="O2976" s="1" t="s">
        <v>26</v>
      </c>
      <c r="P2976" s="4">
        <v>44119.58697916667</v>
      </c>
    </row>
    <row r="2977" hidden="1">
      <c r="A2977" s="1" t="s">
        <v>1055</v>
      </c>
      <c r="B2977" s="3" t="str">
        <f>HYPERLINK("https://hawk-eye.atlassian.net/browse/HWKREPORT-537?atlOrigin=eyJpIjoiYzgwYTQ0ZjEyNzQzNGJhN2JmNjEyZTM0NmRhZWZhNjIiLCJwIjoic2hlZXRzLWppcmEifQ","HWKREPORT-537")</f>
        <v>HWKREPORT-537</v>
      </c>
      <c r="C2977" s="1" t="s">
        <v>4293</v>
      </c>
      <c r="D2977" s="1" t="s">
        <v>23</v>
      </c>
      <c r="E2977" s="1" t="s">
        <v>35</v>
      </c>
      <c r="F2977" s="4">
        <v>44104.44212962963</v>
      </c>
      <c r="G2977" s="3" t="str">
        <f>HYPERLINK("https://hawk-eye.atlassian.net/browse/RTT-2912?atlOrigin=eyJpIjoiYzgwYTQ0ZjEyNzQzNGJhN2JmNjEyZTM0NmRhZWZhNjIiLCJwIjoic2hlZXRzLWppcmEifQ","RTT-2912")</f>
        <v>RTT-2912</v>
      </c>
      <c r="H2977" s="1" t="s">
        <v>1058</v>
      </c>
      <c r="I2977" s="1" t="s">
        <v>1126</v>
      </c>
      <c r="J2977" s="1" t="s">
        <v>26</v>
      </c>
      <c r="K2977" s="1" t="s">
        <v>1362</v>
      </c>
      <c r="L2977" s="1" t="s">
        <v>26</v>
      </c>
      <c r="M2977" s="1" t="s">
        <v>27</v>
      </c>
      <c r="N2977" s="1" t="s">
        <v>26</v>
      </c>
      <c r="O2977" s="1" t="s">
        <v>26</v>
      </c>
      <c r="P2977" s="4">
        <v>44600.87511574074</v>
      </c>
    </row>
    <row r="2978" hidden="1">
      <c r="A2978" s="1" t="s">
        <v>21</v>
      </c>
      <c r="B2978" s="3" t="str">
        <f>HYPERLINK("https://hawk-eye.atlassian.net/browse/HWKREPORT-538?atlOrigin=eyJpIjoiYzgwYTQ0ZjEyNzQzNGJhN2JmNjEyZTM0NmRhZWZhNjIiLCJwIjoic2hlZXRzLWppcmEifQ","HWKREPORT-538")</f>
        <v>HWKREPORT-538</v>
      </c>
      <c r="C2978" s="1" t="s">
        <v>4294</v>
      </c>
      <c r="D2978" s="1" t="s">
        <v>23</v>
      </c>
      <c r="E2978" s="1" t="s">
        <v>35</v>
      </c>
      <c r="F2978" s="4">
        <v>44104.84935185185</v>
      </c>
      <c r="G2978" s="3" t="str">
        <f t="shared" ref="G2978:G2980" si="205">HYPERLINK("https://hawk-eye.atlassian.net/browse/?atlOrigin=eyJpIjoiYzgwYTQ0ZjEyNzQzNGJhN2JmNjEyZTM0NmRhZWZhNjIiLCJwIjoic2hlZXRzLWppcmEifQ","")</f>
        <v/>
      </c>
      <c r="H2978" s="1" t="s">
        <v>1058</v>
      </c>
      <c r="I2978" s="1" t="s">
        <v>1071</v>
      </c>
      <c r="J2978" s="1" t="s">
        <v>26</v>
      </c>
      <c r="K2978" s="1" t="s">
        <v>1072</v>
      </c>
      <c r="L2978" s="1" t="s">
        <v>26</v>
      </c>
      <c r="M2978" s="1" t="s">
        <v>27</v>
      </c>
      <c r="N2978" s="1" t="s">
        <v>26</v>
      </c>
      <c r="O2978" s="1" t="s">
        <v>26</v>
      </c>
      <c r="P2978" s="4">
        <v>44256.732094907406</v>
      </c>
    </row>
    <row r="2979" hidden="1">
      <c r="A2979" s="1" t="s">
        <v>21</v>
      </c>
      <c r="B2979" s="3" t="str">
        <f>HYPERLINK("https://hawk-eye.atlassian.net/browse/HWKREPORT-539?atlOrigin=eyJpIjoiYzgwYTQ0ZjEyNzQzNGJhN2JmNjEyZTM0NmRhZWZhNjIiLCJwIjoic2hlZXRzLWppcmEifQ","HWKREPORT-539")</f>
        <v>HWKREPORT-539</v>
      </c>
      <c r="C2979" s="1" t="s">
        <v>4295</v>
      </c>
      <c r="D2979" s="1" t="s">
        <v>23</v>
      </c>
      <c r="E2979" s="1" t="s">
        <v>35</v>
      </c>
      <c r="F2979" s="4">
        <v>44104.89642361111</v>
      </c>
      <c r="G2979" s="3" t="str">
        <f t="shared" si="205"/>
        <v/>
      </c>
      <c r="H2979" s="1" t="s">
        <v>1058</v>
      </c>
      <c r="I2979" s="1" t="s">
        <v>1071</v>
      </c>
      <c r="J2979" s="1" t="s">
        <v>26</v>
      </c>
      <c r="K2979" s="1" t="s">
        <v>1099</v>
      </c>
      <c r="L2979" s="1" t="s">
        <v>26</v>
      </c>
      <c r="M2979" s="1" t="s">
        <v>27</v>
      </c>
      <c r="N2979" s="1" t="s">
        <v>26</v>
      </c>
      <c r="O2979" s="1" t="s">
        <v>26</v>
      </c>
      <c r="P2979" s="4">
        <v>44371.70085648148</v>
      </c>
    </row>
    <row r="2980" hidden="1">
      <c r="A2980" s="1" t="s">
        <v>21</v>
      </c>
      <c r="B2980" s="3" t="str">
        <f>HYPERLINK("https://hawk-eye.atlassian.net/browse/HWKREPORT-540?atlOrigin=eyJpIjoiYzgwYTQ0ZjEyNzQzNGJhN2JmNjEyZTM0NmRhZWZhNjIiLCJwIjoic2hlZXRzLWppcmEifQ","HWKREPORT-540")</f>
        <v>HWKREPORT-540</v>
      </c>
      <c r="C2980" s="1" t="s">
        <v>4296</v>
      </c>
      <c r="D2980" s="1" t="s">
        <v>23</v>
      </c>
      <c r="E2980" s="1" t="s">
        <v>35</v>
      </c>
      <c r="F2980" s="4">
        <v>44104.90054398148</v>
      </c>
      <c r="G2980" s="3" t="str">
        <f t="shared" si="205"/>
        <v/>
      </c>
      <c r="H2980" s="1" t="s">
        <v>1058</v>
      </c>
      <c r="I2980" s="1" t="s">
        <v>1071</v>
      </c>
      <c r="J2980" s="1" t="s">
        <v>26</v>
      </c>
      <c r="K2980" s="1" t="s">
        <v>1099</v>
      </c>
      <c r="L2980" s="1" t="s">
        <v>26</v>
      </c>
      <c r="M2980" s="1" t="s">
        <v>27</v>
      </c>
      <c r="N2980" s="1" t="s">
        <v>26</v>
      </c>
      <c r="O2980" s="1" t="s">
        <v>26</v>
      </c>
      <c r="P2980" s="4">
        <v>44105.41494212963</v>
      </c>
    </row>
    <row r="2981" hidden="1">
      <c r="A2981" s="1" t="s">
        <v>1055</v>
      </c>
      <c r="B2981" s="3" t="str">
        <f>HYPERLINK("https://hawk-eye.atlassian.net/browse/HWKREPORT-541?atlOrigin=eyJpIjoiYzgwYTQ0ZjEyNzQzNGJhN2JmNjEyZTM0NmRhZWZhNjIiLCJwIjoic2hlZXRzLWppcmEifQ","HWKREPORT-541")</f>
        <v>HWKREPORT-541</v>
      </c>
      <c r="C2981" s="1" t="s">
        <v>4297</v>
      </c>
      <c r="D2981" s="1" t="s">
        <v>23</v>
      </c>
      <c r="E2981" s="1" t="s">
        <v>35</v>
      </c>
      <c r="F2981" s="4">
        <v>44104.95425925926</v>
      </c>
      <c r="G2981" s="3" t="str">
        <f>HYPERLINK("https://hawk-eye.atlassian.net/browse/RTT-2920?atlOrigin=eyJpIjoiYzgwYTQ0ZjEyNzQzNGJhN2JmNjEyZTM0NmRhZWZhNjIiLCJwIjoic2hlZXRzLWppcmEifQ","RTT-2920")</f>
        <v>RTT-2920</v>
      </c>
      <c r="H2981" s="1" t="s">
        <v>1058</v>
      </c>
      <c r="I2981" s="1" t="s">
        <v>1126</v>
      </c>
      <c r="J2981" s="1" t="s">
        <v>26</v>
      </c>
      <c r="K2981" s="1" t="s">
        <v>1362</v>
      </c>
      <c r="L2981" s="1" t="s">
        <v>26</v>
      </c>
      <c r="M2981" s="1" t="s">
        <v>27</v>
      </c>
      <c r="N2981" s="1" t="s">
        <v>26</v>
      </c>
      <c r="O2981" s="1" t="s">
        <v>26</v>
      </c>
      <c r="P2981" s="4">
        <v>44600.875185185185</v>
      </c>
    </row>
    <row r="2982" hidden="1">
      <c r="A2982" s="1" t="s">
        <v>1055</v>
      </c>
      <c r="B2982" s="3" t="str">
        <f>HYPERLINK("https://hawk-eye.atlassian.net/browse/HWKREPORT-542?atlOrigin=eyJpIjoiYzgwYTQ0ZjEyNzQzNGJhN2JmNjEyZTM0NmRhZWZhNjIiLCJwIjoic2hlZXRzLWppcmEifQ","HWKREPORT-542")</f>
        <v>HWKREPORT-542</v>
      </c>
      <c r="C2982" s="1" t="s">
        <v>4298</v>
      </c>
      <c r="D2982" s="1" t="s">
        <v>23</v>
      </c>
      <c r="E2982" s="1" t="s">
        <v>35</v>
      </c>
      <c r="F2982" s="4">
        <v>44104.956875</v>
      </c>
      <c r="G2982" s="3" t="str">
        <f>HYPERLINK("https://hawk-eye.atlassian.net/browse/RTT-2913?atlOrigin=eyJpIjoiYzgwYTQ0ZjEyNzQzNGJhN2JmNjEyZTM0NmRhZWZhNjIiLCJwIjoic2hlZXRzLWppcmEifQ","RTT-2913")</f>
        <v>RTT-2913</v>
      </c>
      <c r="H2982" s="1" t="s">
        <v>1058</v>
      </c>
      <c r="I2982" s="1" t="s">
        <v>1126</v>
      </c>
      <c r="J2982" s="1" t="s">
        <v>26</v>
      </c>
      <c r="K2982" s="1" t="s">
        <v>1362</v>
      </c>
      <c r="L2982" s="1" t="s">
        <v>26</v>
      </c>
      <c r="M2982" s="1" t="s">
        <v>27</v>
      </c>
      <c r="N2982" s="1" t="s">
        <v>26</v>
      </c>
      <c r="O2982" s="1" t="s">
        <v>26</v>
      </c>
      <c r="P2982" s="4">
        <v>44140.792291666665</v>
      </c>
    </row>
    <row r="2983" hidden="1">
      <c r="A2983" s="1" t="s">
        <v>1055</v>
      </c>
      <c r="B2983" s="3" t="str">
        <f>HYPERLINK("https://hawk-eye.atlassian.net/browse/HWKREPORT-543?atlOrigin=eyJpIjoiYzgwYTQ0ZjEyNzQzNGJhN2JmNjEyZTM0NmRhZWZhNjIiLCJwIjoic2hlZXRzLWppcmEifQ","HWKREPORT-543")</f>
        <v>HWKREPORT-543</v>
      </c>
      <c r="C2983" s="1" t="s">
        <v>4299</v>
      </c>
      <c r="D2983" s="1" t="s">
        <v>23</v>
      </c>
      <c r="E2983" s="1" t="s">
        <v>1057</v>
      </c>
      <c r="F2983" s="4">
        <v>44105.43282407407</v>
      </c>
      <c r="G2983" s="3" t="str">
        <f t="shared" ref="G2983:G2985" si="206">HYPERLINK("https://hawk-eye.atlassian.net/browse/?atlOrigin=eyJpIjoiYzgwYTQ0ZjEyNzQzNGJhN2JmNjEyZTM0NmRhZWZhNjIiLCJwIjoic2hlZXRzLWppcmEifQ","")</f>
        <v/>
      </c>
      <c r="H2983" s="1" t="s">
        <v>1058</v>
      </c>
      <c r="I2983" s="1" t="s">
        <v>1126</v>
      </c>
      <c r="J2983" s="1" t="s">
        <v>26</v>
      </c>
      <c r="K2983" s="1" t="s">
        <v>1309</v>
      </c>
      <c r="L2983" s="1" t="s">
        <v>26</v>
      </c>
      <c r="M2983" s="1" t="s">
        <v>27</v>
      </c>
      <c r="N2983" s="1" t="s">
        <v>26</v>
      </c>
      <c r="O2983" s="1" t="s">
        <v>26</v>
      </c>
      <c r="P2983" s="4">
        <v>44105.43282407407</v>
      </c>
    </row>
    <row r="2984" hidden="1">
      <c r="A2984" s="1" t="s">
        <v>1055</v>
      </c>
      <c r="B2984" s="3" t="str">
        <f>HYPERLINK("https://hawk-eye.atlassian.net/browse/HWKREPORT-544?atlOrigin=eyJpIjoiYzgwYTQ0ZjEyNzQzNGJhN2JmNjEyZTM0NmRhZWZhNjIiLCJwIjoic2hlZXRzLWppcmEifQ","HWKREPORT-544")</f>
        <v>HWKREPORT-544</v>
      </c>
      <c r="C2984" s="1" t="s">
        <v>4300</v>
      </c>
      <c r="D2984" s="1" t="s">
        <v>23</v>
      </c>
      <c r="E2984" s="1" t="s">
        <v>1057</v>
      </c>
      <c r="F2984" s="4">
        <v>44105.43444444444</v>
      </c>
      <c r="G2984" s="3" t="str">
        <f t="shared" si="206"/>
        <v/>
      </c>
      <c r="H2984" s="1" t="s">
        <v>1058</v>
      </c>
      <c r="I2984" s="1" t="s">
        <v>1126</v>
      </c>
      <c r="J2984" s="1" t="s">
        <v>26</v>
      </c>
      <c r="K2984" s="1" t="s">
        <v>1309</v>
      </c>
      <c r="L2984" s="1" t="s">
        <v>26</v>
      </c>
      <c r="M2984" s="1" t="s">
        <v>27</v>
      </c>
      <c r="N2984" s="1" t="s">
        <v>26</v>
      </c>
      <c r="O2984" s="1" t="s">
        <v>26</v>
      </c>
      <c r="P2984" s="4">
        <v>44105.43444444444</v>
      </c>
    </row>
    <row r="2985" hidden="1">
      <c r="A2985" s="1" t="s">
        <v>21</v>
      </c>
      <c r="B2985" s="3" t="str">
        <f>HYPERLINK("https://hawk-eye.atlassian.net/browse/HWKREPORT-545?atlOrigin=eyJpIjoiYzgwYTQ0ZjEyNzQzNGJhN2JmNjEyZTM0NmRhZWZhNjIiLCJwIjoic2hlZXRzLWppcmEifQ","HWKREPORT-545")</f>
        <v>HWKREPORT-545</v>
      </c>
      <c r="C2985" s="1" t="s">
        <v>4301</v>
      </c>
      <c r="D2985" s="1" t="s">
        <v>23</v>
      </c>
      <c r="E2985" s="1" t="s">
        <v>35</v>
      </c>
      <c r="F2985" s="4">
        <v>44106.44548611111</v>
      </c>
      <c r="G2985" s="3" t="str">
        <f t="shared" si="206"/>
        <v/>
      </c>
      <c r="H2985" s="1" t="s">
        <v>1058</v>
      </c>
      <c r="I2985" s="1" t="s">
        <v>1082</v>
      </c>
      <c r="J2985" s="1" t="s">
        <v>26</v>
      </c>
      <c r="K2985" s="1" t="s">
        <v>1105</v>
      </c>
      <c r="L2985" s="1" t="s">
        <v>26</v>
      </c>
      <c r="M2985" s="1" t="s">
        <v>27</v>
      </c>
      <c r="N2985" s="1" t="s">
        <v>26</v>
      </c>
      <c r="O2985" s="1" t="s">
        <v>26</v>
      </c>
      <c r="P2985" s="4">
        <v>45022.471875</v>
      </c>
    </row>
    <row r="2986" hidden="1">
      <c r="A2986" s="1" t="s">
        <v>1055</v>
      </c>
      <c r="B2986" s="3" t="str">
        <f>HYPERLINK("https://hawk-eye.atlassian.net/browse/HWKREPORT-546?atlOrigin=eyJpIjoiYzgwYTQ0ZjEyNzQzNGJhN2JmNjEyZTM0NmRhZWZhNjIiLCJwIjoic2hlZXRzLWppcmEifQ","HWKREPORT-546")</f>
        <v>HWKREPORT-546</v>
      </c>
      <c r="C2986" s="1" t="s">
        <v>4302</v>
      </c>
      <c r="D2986" s="1" t="s">
        <v>23</v>
      </c>
      <c r="E2986" s="1" t="s">
        <v>35</v>
      </c>
      <c r="F2986" s="4">
        <v>44106.605844907404</v>
      </c>
      <c r="G2986" s="3" t="str">
        <f>HYPERLINK("https://hawk-eye.atlassian.net/browse/RTT-2918?atlOrigin=eyJpIjoiYzgwYTQ0ZjEyNzQzNGJhN2JmNjEyZTM0NmRhZWZhNjIiLCJwIjoic2hlZXRzLWppcmEifQ","RTT-2918")</f>
        <v>RTT-2918</v>
      </c>
      <c r="H2986" s="1" t="s">
        <v>1058</v>
      </c>
      <c r="I2986" s="1" t="s">
        <v>1126</v>
      </c>
      <c r="J2986" s="1" t="s">
        <v>26</v>
      </c>
      <c r="K2986" s="1" t="s">
        <v>1362</v>
      </c>
      <c r="L2986" s="1" t="s">
        <v>26</v>
      </c>
      <c r="M2986" s="1" t="s">
        <v>27</v>
      </c>
      <c r="N2986" s="1" t="s">
        <v>26</v>
      </c>
      <c r="O2986" s="1" t="s">
        <v>26</v>
      </c>
      <c r="P2986" s="4">
        <v>44600.87461805555</v>
      </c>
    </row>
    <row r="2987" hidden="1">
      <c r="A2987" s="1" t="s">
        <v>1055</v>
      </c>
      <c r="B2987" s="3" t="str">
        <f>HYPERLINK("https://hawk-eye.atlassian.net/browse/HWKREPORT-547?atlOrigin=eyJpIjoiYzgwYTQ0ZjEyNzQzNGJhN2JmNjEyZTM0NmRhZWZhNjIiLCJwIjoic2hlZXRzLWppcmEifQ","HWKREPORT-547")</f>
        <v>HWKREPORT-547</v>
      </c>
      <c r="C2987" s="1" t="s">
        <v>4303</v>
      </c>
      <c r="D2987" s="1" t="s">
        <v>23</v>
      </c>
      <c r="E2987" s="1" t="s">
        <v>35</v>
      </c>
      <c r="F2987" s="4">
        <v>44106.8218287037</v>
      </c>
      <c r="G2987" s="3" t="str">
        <f>HYPERLINK("https://hawk-eye.atlassian.net/browse/RTT-2919?atlOrigin=eyJpIjoiYzgwYTQ0ZjEyNzQzNGJhN2JmNjEyZTM0NmRhZWZhNjIiLCJwIjoic2hlZXRzLWppcmEifQ","RTT-2919")</f>
        <v>RTT-2919</v>
      </c>
      <c r="H2987" s="1" t="s">
        <v>1058</v>
      </c>
      <c r="I2987" s="1" t="s">
        <v>1126</v>
      </c>
      <c r="J2987" s="1" t="s">
        <v>26</v>
      </c>
      <c r="K2987" s="1" t="s">
        <v>1362</v>
      </c>
      <c r="L2987" s="1" t="s">
        <v>26</v>
      </c>
      <c r="M2987" s="1" t="s">
        <v>27</v>
      </c>
      <c r="N2987" s="1" t="s">
        <v>26</v>
      </c>
      <c r="O2987" s="1" t="s">
        <v>26</v>
      </c>
      <c r="P2987" s="4">
        <v>44600.87451388889</v>
      </c>
    </row>
    <row r="2988" hidden="1">
      <c r="A2988" s="1" t="s">
        <v>21</v>
      </c>
      <c r="B2988" s="3" t="str">
        <f>HYPERLINK("https://hawk-eye.atlassian.net/browse/HWKREPORT-548?atlOrigin=eyJpIjoiYzgwYTQ0ZjEyNzQzNGJhN2JmNjEyZTM0NmRhZWZhNjIiLCJwIjoic2hlZXRzLWppcmEifQ","HWKREPORT-548")</f>
        <v>HWKREPORT-548</v>
      </c>
      <c r="C2988" s="1" t="s">
        <v>4304</v>
      </c>
      <c r="D2988" s="1" t="s">
        <v>34</v>
      </c>
      <c r="E2988" s="1" t="s">
        <v>35</v>
      </c>
      <c r="F2988" s="4">
        <v>44111.608078703706</v>
      </c>
      <c r="G2988" s="3" t="str">
        <f t="shared" ref="G2988:G2994" si="207">HYPERLINK("https://hawk-eye.atlassian.net/browse/?atlOrigin=eyJpIjoiYzgwYTQ0ZjEyNzQzNGJhN2JmNjEyZTM0NmRhZWZhNjIiLCJwIjoic2hlZXRzLWppcmEifQ","")</f>
        <v/>
      </c>
      <c r="H2988" s="1" t="s">
        <v>1058</v>
      </c>
      <c r="I2988" s="1" t="s">
        <v>1082</v>
      </c>
      <c r="J2988" s="1" t="s">
        <v>26</v>
      </c>
      <c r="K2988" s="1" t="s">
        <v>1105</v>
      </c>
      <c r="L2988" s="1" t="s">
        <v>26</v>
      </c>
      <c r="M2988" s="1" t="s">
        <v>27</v>
      </c>
      <c r="N2988" s="1" t="s">
        <v>26</v>
      </c>
      <c r="O2988" s="1" t="s">
        <v>26</v>
      </c>
      <c r="P2988" s="4">
        <v>44600.87525462963</v>
      </c>
    </row>
    <row r="2989" hidden="1">
      <c r="A2989" s="1" t="s">
        <v>21</v>
      </c>
      <c r="B2989" s="3" t="str">
        <f>HYPERLINK("https://hawk-eye.atlassian.net/browse/HWKREPORT-549?atlOrigin=eyJpIjoiYzgwYTQ0ZjEyNzQzNGJhN2JmNjEyZTM0NmRhZWZhNjIiLCJwIjoic2hlZXRzLWppcmEifQ","HWKREPORT-549")</f>
        <v>HWKREPORT-549</v>
      </c>
      <c r="C2989" s="1" t="s">
        <v>4305</v>
      </c>
      <c r="D2989" s="1" t="s">
        <v>23</v>
      </c>
      <c r="E2989" s="1" t="s">
        <v>35</v>
      </c>
      <c r="F2989" s="4">
        <v>44111.61238425926</v>
      </c>
      <c r="G2989" s="3" t="str">
        <f t="shared" si="207"/>
        <v/>
      </c>
      <c r="H2989" s="1" t="s">
        <v>1058</v>
      </c>
      <c r="I2989" s="1" t="s">
        <v>1082</v>
      </c>
      <c r="J2989" s="1" t="s">
        <v>26</v>
      </c>
      <c r="K2989" s="1" t="s">
        <v>1148</v>
      </c>
      <c r="L2989" s="1" t="s">
        <v>26</v>
      </c>
      <c r="M2989" s="1" t="s">
        <v>27</v>
      </c>
      <c r="N2989" s="1" t="s">
        <v>26</v>
      </c>
      <c r="O2989" s="1" t="s">
        <v>26</v>
      </c>
      <c r="P2989" s="4">
        <v>44600.875243055554</v>
      </c>
    </row>
    <row r="2990" hidden="1">
      <c r="A2990" s="1" t="s">
        <v>21</v>
      </c>
      <c r="B2990" s="3" t="str">
        <f>HYPERLINK("https://hawk-eye.atlassian.net/browse/HWKREPORT-550?atlOrigin=eyJpIjoiYzgwYTQ0ZjEyNzQzNGJhN2JmNjEyZTM0NmRhZWZhNjIiLCJwIjoic2hlZXRzLWppcmEifQ","HWKREPORT-550")</f>
        <v>HWKREPORT-550</v>
      </c>
      <c r="C2990" s="1" t="s">
        <v>4306</v>
      </c>
      <c r="D2990" s="1" t="s">
        <v>34</v>
      </c>
      <c r="E2990" s="1" t="s">
        <v>35</v>
      </c>
      <c r="F2990" s="4">
        <v>44111.62519675926</v>
      </c>
      <c r="G2990" s="3" t="str">
        <f t="shared" si="207"/>
        <v/>
      </c>
      <c r="H2990" s="1" t="s">
        <v>1058</v>
      </c>
      <c r="I2990" s="1" t="s">
        <v>1082</v>
      </c>
      <c r="J2990" s="1" t="s">
        <v>26</v>
      </c>
      <c r="K2990" s="1" t="s">
        <v>1105</v>
      </c>
      <c r="L2990" s="1" t="s">
        <v>26</v>
      </c>
      <c r="M2990" s="1" t="s">
        <v>27</v>
      </c>
      <c r="N2990" s="1" t="s">
        <v>26</v>
      </c>
      <c r="O2990" s="1" t="s">
        <v>26</v>
      </c>
      <c r="P2990" s="4">
        <v>44600.87520833333</v>
      </c>
    </row>
    <row r="2991" hidden="1">
      <c r="A2991" s="1" t="s">
        <v>21</v>
      </c>
      <c r="B2991" s="3" t="str">
        <f>HYPERLINK("https://hawk-eye.atlassian.net/browse/HWKREPORT-551?atlOrigin=eyJpIjoiYzgwYTQ0ZjEyNzQzNGJhN2JmNjEyZTM0NmRhZWZhNjIiLCJwIjoic2hlZXRzLWppcmEifQ","HWKREPORT-551")</f>
        <v>HWKREPORT-551</v>
      </c>
      <c r="C2991" s="1" t="s">
        <v>4307</v>
      </c>
      <c r="D2991" s="1" t="s">
        <v>34</v>
      </c>
      <c r="E2991" s="1" t="s">
        <v>35</v>
      </c>
      <c r="F2991" s="4">
        <v>44111.68863425926</v>
      </c>
      <c r="G2991" s="3" t="str">
        <f t="shared" si="207"/>
        <v/>
      </c>
      <c r="H2991" s="1" t="s">
        <v>1058</v>
      </c>
      <c r="I2991" s="1" t="s">
        <v>1082</v>
      </c>
      <c r="J2991" s="1" t="s">
        <v>26</v>
      </c>
      <c r="K2991" s="1" t="s">
        <v>1148</v>
      </c>
      <c r="L2991" s="1" t="s">
        <v>26</v>
      </c>
      <c r="M2991" s="1" t="s">
        <v>27</v>
      </c>
      <c r="N2991" s="1" t="s">
        <v>26</v>
      </c>
      <c r="O2991" s="1" t="s">
        <v>26</v>
      </c>
      <c r="P2991" s="4">
        <v>44600.87521990741</v>
      </c>
    </row>
    <row r="2992" hidden="1">
      <c r="A2992" s="1" t="s">
        <v>21</v>
      </c>
      <c r="B2992" s="3" t="str">
        <f>HYPERLINK("https://hawk-eye.atlassian.net/browse/HWKREPORT-552?atlOrigin=eyJpIjoiYzgwYTQ0ZjEyNzQzNGJhN2JmNjEyZTM0NmRhZWZhNjIiLCJwIjoic2hlZXRzLWppcmEifQ","HWKREPORT-552")</f>
        <v>HWKREPORT-552</v>
      </c>
      <c r="C2992" s="1" t="s">
        <v>4308</v>
      </c>
      <c r="D2992" s="1" t="s">
        <v>34</v>
      </c>
      <c r="E2992" s="1" t="s">
        <v>35</v>
      </c>
      <c r="F2992" s="4">
        <v>44111.72377314815</v>
      </c>
      <c r="G2992" s="3" t="str">
        <f t="shared" si="207"/>
        <v/>
      </c>
      <c r="H2992" s="1" t="s">
        <v>1058</v>
      </c>
      <c r="I2992" s="1" t="s">
        <v>1082</v>
      </c>
      <c r="J2992" s="1" t="s">
        <v>26</v>
      </c>
      <c r="K2992" s="1" t="s">
        <v>1148</v>
      </c>
      <c r="L2992" s="1" t="s">
        <v>26</v>
      </c>
      <c r="M2992" s="1" t="s">
        <v>27</v>
      </c>
      <c r="N2992" s="1" t="s">
        <v>26</v>
      </c>
      <c r="O2992" s="1" t="s">
        <v>26</v>
      </c>
      <c r="P2992" s="4">
        <v>44600.875185185185</v>
      </c>
    </row>
    <row r="2993" hidden="1">
      <c r="A2993" s="1" t="s">
        <v>21</v>
      </c>
      <c r="B2993" s="3" t="str">
        <f>HYPERLINK("https://hawk-eye.atlassian.net/browse/HWKREPORT-553?atlOrigin=eyJpIjoiYzgwYTQ0ZjEyNzQzNGJhN2JmNjEyZTM0NmRhZWZhNjIiLCJwIjoic2hlZXRzLWppcmEifQ","HWKREPORT-553")</f>
        <v>HWKREPORT-553</v>
      </c>
      <c r="C2993" s="1" t="s">
        <v>4309</v>
      </c>
      <c r="D2993" s="1" t="s">
        <v>34</v>
      </c>
      <c r="E2993" s="1" t="s">
        <v>35</v>
      </c>
      <c r="F2993" s="4">
        <v>44111.747824074075</v>
      </c>
      <c r="G2993" s="3" t="str">
        <f t="shared" si="207"/>
        <v/>
      </c>
      <c r="H2993" s="1" t="s">
        <v>1058</v>
      </c>
      <c r="I2993" s="1" t="s">
        <v>1082</v>
      </c>
      <c r="J2993" s="1" t="s">
        <v>26</v>
      </c>
      <c r="K2993" s="1" t="s">
        <v>2711</v>
      </c>
      <c r="L2993" s="1" t="s">
        <v>26</v>
      </c>
      <c r="M2993" s="1" t="s">
        <v>27</v>
      </c>
      <c r="N2993" s="1" t="s">
        <v>26</v>
      </c>
      <c r="O2993" s="1" t="s">
        <v>26</v>
      </c>
      <c r="P2993" s="4">
        <v>45022.47377314815</v>
      </c>
    </row>
    <row r="2994" hidden="1">
      <c r="A2994" s="1" t="s">
        <v>1055</v>
      </c>
      <c r="B2994" s="3" t="str">
        <f>HYPERLINK("https://hawk-eye.atlassian.net/browse/HWKREPORT-554?atlOrigin=eyJpIjoiYzgwYTQ0ZjEyNzQzNGJhN2JmNjEyZTM0NmRhZWZhNjIiLCJwIjoic2hlZXRzLWppcmEifQ","HWKREPORT-554")</f>
        <v>HWKREPORT-554</v>
      </c>
      <c r="C2994" s="1" t="s">
        <v>4310</v>
      </c>
      <c r="D2994" s="1" t="s">
        <v>23</v>
      </c>
      <c r="E2994" s="1" t="s">
        <v>35</v>
      </c>
      <c r="F2994" s="4">
        <v>44112.46880787037</v>
      </c>
      <c r="G2994" s="3" t="str">
        <f t="shared" si="207"/>
        <v/>
      </c>
      <c r="H2994" s="1" t="s">
        <v>1058</v>
      </c>
      <c r="I2994" s="1" t="s">
        <v>1082</v>
      </c>
      <c r="J2994" s="1" t="s">
        <v>26</v>
      </c>
      <c r="K2994" s="1" t="s">
        <v>1114</v>
      </c>
      <c r="L2994" s="1" t="s">
        <v>26</v>
      </c>
      <c r="M2994" s="1" t="s">
        <v>27</v>
      </c>
      <c r="N2994" s="1" t="s">
        <v>26</v>
      </c>
      <c r="O2994" s="1" t="s">
        <v>26</v>
      </c>
      <c r="P2994" s="4">
        <v>44600.8749537037</v>
      </c>
    </row>
    <row r="2995" hidden="1">
      <c r="A2995" s="1" t="s">
        <v>21</v>
      </c>
      <c r="B2995" s="3" t="str">
        <f>HYPERLINK("https://hawk-eye.atlassian.net/browse/HWKREPORT-555?atlOrigin=eyJpIjoiYzgwYTQ0ZjEyNzQzNGJhN2JmNjEyZTM0NmRhZWZhNjIiLCJwIjoic2hlZXRzLWppcmEifQ","HWKREPORT-555")</f>
        <v>HWKREPORT-555</v>
      </c>
      <c r="C2995" s="1" t="s">
        <v>4311</v>
      </c>
      <c r="D2995" s="1" t="s">
        <v>23</v>
      </c>
      <c r="E2995" s="1" t="s">
        <v>35</v>
      </c>
      <c r="F2995" s="4">
        <v>44112.59204861111</v>
      </c>
      <c r="G2995" s="3" t="str">
        <f>HYPERLINK("https://hawk-eye.atlassian.net/browse/RTT-2933?atlOrigin=eyJpIjoiYzgwYTQ0ZjEyNzQzNGJhN2JmNjEyZTM0NmRhZWZhNjIiLCJwIjoic2hlZXRzLWppcmEifQ","RTT-2933")</f>
        <v>RTT-2933</v>
      </c>
      <c r="H2995" s="1" t="s">
        <v>1058</v>
      </c>
      <c r="I2995" s="1" t="s">
        <v>1071</v>
      </c>
      <c r="J2995" s="1" t="s">
        <v>26</v>
      </c>
      <c r="K2995" s="1" t="s">
        <v>1072</v>
      </c>
      <c r="L2995" s="1" t="s">
        <v>26</v>
      </c>
      <c r="M2995" s="1" t="s">
        <v>27</v>
      </c>
      <c r="N2995" s="1" t="s">
        <v>26</v>
      </c>
      <c r="O2995" s="1" t="s">
        <v>26</v>
      </c>
      <c r="P2995" s="4">
        <v>44600.874930555554</v>
      </c>
    </row>
    <row r="2996" hidden="1">
      <c r="A2996" s="1" t="s">
        <v>21</v>
      </c>
      <c r="B2996" s="3" t="str">
        <f>HYPERLINK("https://hawk-eye.atlassian.net/browse/HWKREPORT-556?atlOrigin=eyJpIjoiYzgwYTQ0ZjEyNzQzNGJhN2JmNjEyZTM0NmRhZWZhNjIiLCJwIjoic2hlZXRzLWppcmEifQ","HWKREPORT-556")</f>
        <v>HWKREPORT-556</v>
      </c>
      <c r="C2996" s="1" t="s">
        <v>4312</v>
      </c>
      <c r="D2996" s="1" t="s">
        <v>83</v>
      </c>
      <c r="E2996" s="1" t="s">
        <v>35</v>
      </c>
      <c r="F2996" s="4">
        <v>44117.491689814815</v>
      </c>
      <c r="G2996" s="3" t="str">
        <f>HYPERLINK("https://hawk-eye.atlassian.net/browse/?atlOrigin=eyJpIjoiYzgwYTQ0ZjEyNzQzNGJhN2JmNjEyZTM0NmRhZWZhNjIiLCJwIjoic2hlZXRzLWppcmEifQ","")</f>
        <v/>
      </c>
      <c r="H2996" s="1" t="s">
        <v>1058</v>
      </c>
      <c r="I2996" s="1" t="s">
        <v>1082</v>
      </c>
      <c r="J2996" s="1" t="s">
        <v>26</v>
      </c>
      <c r="K2996" s="1" t="s">
        <v>1744</v>
      </c>
      <c r="L2996" s="1" t="s">
        <v>26</v>
      </c>
      <c r="M2996" s="1" t="s">
        <v>27</v>
      </c>
      <c r="N2996" s="1" t="s">
        <v>26</v>
      </c>
      <c r="O2996" s="1" t="s">
        <v>26</v>
      </c>
      <c r="P2996" s="4">
        <v>45022.473078703704</v>
      </c>
    </row>
    <row r="2997" hidden="1">
      <c r="A2997" s="1" t="s">
        <v>1055</v>
      </c>
      <c r="B2997" s="3" t="str">
        <f>HYPERLINK("https://hawk-eye.atlassian.net/browse/HWKREPORT-557?atlOrigin=eyJpIjoiYzgwYTQ0ZjEyNzQzNGJhN2JmNjEyZTM0NmRhZWZhNjIiLCJwIjoic2hlZXRzLWppcmEifQ","HWKREPORT-557")</f>
        <v>HWKREPORT-557</v>
      </c>
      <c r="C2997" s="1" t="s">
        <v>4313</v>
      </c>
      <c r="D2997" s="1" t="s">
        <v>23</v>
      </c>
      <c r="E2997" s="1" t="s">
        <v>35</v>
      </c>
      <c r="F2997" s="4">
        <v>44119.60104166667</v>
      </c>
      <c r="G2997" s="3" t="str">
        <f>HYPERLINK("https://hawk-eye.atlassian.net/browse/AT-64?atlOrigin=eyJpIjoiYzgwYTQ0ZjEyNzQzNGJhN2JmNjEyZTM0NmRhZWZhNjIiLCJwIjoic2hlZXRzLWppcmEifQ","AT-64")</f>
        <v>AT-64</v>
      </c>
      <c r="H2997" s="1" t="s">
        <v>1058</v>
      </c>
      <c r="I2997" s="1" t="s">
        <v>1126</v>
      </c>
      <c r="J2997" s="1" t="s">
        <v>26</v>
      </c>
      <c r="K2997" s="1" t="s">
        <v>1105</v>
      </c>
      <c r="L2997" s="1" t="s">
        <v>26</v>
      </c>
      <c r="M2997" s="1" t="s">
        <v>27</v>
      </c>
      <c r="N2997" s="1" t="s">
        <v>26</v>
      </c>
      <c r="O2997" s="1" t="s">
        <v>26</v>
      </c>
      <c r="P2997" s="4">
        <v>44600.87498842592</v>
      </c>
    </row>
    <row r="2998" hidden="1">
      <c r="A2998" s="1" t="s">
        <v>21</v>
      </c>
      <c r="B2998" s="3" t="str">
        <f>HYPERLINK("https://hawk-eye.atlassian.net/browse/HWKREPORT-558?atlOrigin=eyJpIjoiYzgwYTQ0ZjEyNzQzNGJhN2JmNjEyZTM0NmRhZWZhNjIiLCJwIjoic2hlZXRzLWppcmEifQ","HWKREPORT-558")</f>
        <v>HWKREPORT-558</v>
      </c>
      <c r="C2998" s="1" t="s">
        <v>4314</v>
      </c>
      <c r="D2998" s="1" t="s">
        <v>23</v>
      </c>
      <c r="E2998" s="1" t="s">
        <v>1057</v>
      </c>
      <c r="F2998" s="4">
        <v>44123.22216435185</v>
      </c>
      <c r="G2998" s="3" t="str">
        <f>HYPERLINK("https://hawk-eye.atlassian.net/browse/RTT-3010?atlOrigin=eyJpIjoiYzgwYTQ0ZjEyNzQzNGJhN2JmNjEyZTM0NmRhZWZhNjIiLCJwIjoic2hlZXRzLWppcmEifQ","RTT-3010")</f>
        <v>RTT-3010</v>
      </c>
      <c r="H2998" s="1" t="s">
        <v>1058</v>
      </c>
      <c r="I2998" s="1" t="s">
        <v>1071</v>
      </c>
      <c r="J2998" s="1" t="s">
        <v>26</v>
      </c>
      <c r="K2998" s="1" t="s">
        <v>1312</v>
      </c>
      <c r="L2998" s="1" t="s">
        <v>26</v>
      </c>
      <c r="M2998" s="1" t="s">
        <v>27</v>
      </c>
      <c r="N2998" s="1" t="s">
        <v>26</v>
      </c>
      <c r="O2998" s="1" t="s">
        <v>26</v>
      </c>
      <c r="P2998" s="4">
        <v>44579.50849537037</v>
      </c>
    </row>
    <row r="2999" hidden="1">
      <c r="A2999" s="1" t="s">
        <v>21</v>
      </c>
      <c r="B2999" s="3" t="str">
        <f>HYPERLINK("https://hawk-eye.atlassian.net/browse/HWKREPORT-559?atlOrigin=eyJpIjoiYzgwYTQ0ZjEyNzQzNGJhN2JmNjEyZTM0NmRhZWZhNjIiLCJwIjoic2hlZXRzLWppcmEifQ","HWKREPORT-559")</f>
        <v>HWKREPORT-559</v>
      </c>
      <c r="C2999" s="1" t="s">
        <v>4315</v>
      </c>
      <c r="D2999" s="1" t="s">
        <v>23</v>
      </c>
      <c r="E2999" s="1" t="s">
        <v>35</v>
      </c>
      <c r="F2999" s="4">
        <v>44123.51903935185</v>
      </c>
      <c r="G2999" s="3" t="str">
        <f>HYPERLINK("https://hawk-eye.atlassian.net/browse/RTT-2937?atlOrigin=eyJpIjoiYzgwYTQ0ZjEyNzQzNGJhN2JmNjEyZTM0NmRhZWZhNjIiLCJwIjoic2hlZXRzLWppcmEifQ","RTT-2937")</f>
        <v>RTT-2937</v>
      </c>
      <c r="H2999" s="1" t="s">
        <v>1058</v>
      </c>
      <c r="I2999" s="1" t="s">
        <v>1126</v>
      </c>
      <c r="J2999" s="1" t="s">
        <v>26</v>
      </c>
      <c r="K2999" s="1" t="s">
        <v>1312</v>
      </c>
      <c r="L2999" s="1" t="s">
        <v>26</v>
      </c>
      <c r="M2999" s="1" t="s">
        <v>27</v>
      </c>
      <c r="N2999" s="1" t="s">
        <v>26</v>
      </c>
      <c r="O2999" s="1" t="s">
        <v>26</v>
      </c>
      <c r="P2999" s="4">
        <v>44256.58174768519</v>
      </c>
    </row>
    <row r="3000" hidden="1">
      <c r="A3000" s="1" t="s">
        <v>1055</v>
      </c>
      <c r="B3000" s="3" t="str">
        <f>HYPERLINK("https://hawk-eye.atlassian.net/browse/HWKREPORT-560?atlOrigin=eyJpIjoiYzgwYTQ0ZjEyNzQzNGJhN2JmNjEyZTM0NmRhZWZhNjIiLCJwIjoic2hlZXRzLWppcmEifQ","HWKREPORT-560")</f>
        <v>HWKREPORT-560</v>
      </c>
      <c r="C3000" s="1" t="s">
        <v>4316</v>
      </c>
      <c r="D3000" s="1" t="s">
        <v>23</v>
      </c>
      <c r="E3000" s="1" t="s">
        <v>35</v>
      </c>
      <c r="F3000" s="4">
        <v>44123.672002314815</v>
      </c>
      <c r="G3000" s="3" t="str">
        <f t="shared" ref="G3000:G3001" si="208">HYPERLINK("https://hawk-eye.atlassian.net/browse/?atlOrigin=eyJpIjoiYzgwYTQ0ZjEyNzQzNGJhN2JmNjEyZTM0NmRhZWZhNjIiLCJwIjoic2hlZXRzLWppcmEifQ","")</f>
        <v/>
      </c>
      <c r="H3000" s="1" t="s">
        <v>1058</v>
      </c>
      <c r="I3000" s="1" t="s">
        <v>1082</v>
      </c>
      <c r="J3000" s="1" t="s">
        <v>26</v>
      </c>
      <c r="K3000" s="1" t="s">
        <v>1114</v>
      </c>
      <c r="L3000" s="1" t="s">
        <v>26</v>
      </c>
      <c r="M3000" s="1" t="s">
        <v>27</v>
      </c>
      <c r="N3000" s="1" t="s">
        <v>26</v>
      </c>
      <c r="O3000" s="1" t="s">
        <v>26</v>
      </c>
      <c r="P3000" s="4">
        <v>44600.87480324074</v>
      </c>
    </row>
    <row r="3001" hidden="1">
      <c r="A3001" s="1" t="s">
        <v>1055</v>
      </c>
      <c r="B3001" s="3" t="str">
        <f>HYPERLINK("https://hawk-eye.atlassian.net/browse/HWKREPORT-561?atlOrigin=eyJpIjoiYzgwYTQ0ZjEyNzQzNGJhN2JmNjEyZTM0NmRhZWZhNjIiLCJwIjoic2hlZXRzLWppcmEifQ","HWKREPORT-561")</f>
        <v>HWKREPORT-561</v>
      </c>
      <c r="C3001" s="1" t="s">
        <v>4317</v>
      </c>
      <c r="D3001" s="1" t="s">
        <v>23</v>
      </c>
      <c r="E3001" s="1" t="s">
        <v>35</v>
      </c>
      <c r="F3001" s="4">
        <v>44124.609872685185</v>
      </c>
      <c r="G3001" s="3" t="str">
        <f t="shared" si="208"/>
        <v/>
      </c>
      <c r="H3001" s="1" t="s">
        <v>1058</v>
      </c>
      <c r="I3001" s="1" t="s">
        <v>1082</v>
      </c>
      <c r="J3001" s="1" t="s">
        <v>26</v>
      </c>
      <c r="K3001" s="1" t="s">
        <v>1105</v>
      </c>
      <c r="L3001" s="1" t="s">
        <v>26</v>
      </c>
      <c r="M3001" s="1" t="s">
        <v>27</v>
      </c>
      <c r="N3001" s="1" t="s">
        <v>26</v>
      </c>
      <c r="O3001" s="1" t="s">
        <v>26</v>
      </c>
      <c r="P3001" s="4">
        <v>44600.8746875</v>
      </c>
    </row>
    <row r="3002" hidden="1">
      <c r="A3002" s="1" t="s">
        <v>21</v>
      </c>
      <c r="B3002" s="3" t="str">
        <f>HYPERLINK("https://hawk-eye.atlassian.net/browse/HWKREPORT-358?atlOrigin=eyJpIjoiYzgwYTQ0ZjEyNzQzNGJhN2JmNjEyZTM0NmRhZWZhNjIiLCJwIjoic2hlZXRzLWppcmEifQ","HWKREPORT-358")</f>
        <v>HWKREPORT-358</v>
      </c>
      <c r="C3002" s="1" t="s">
        <v>4318</v>
      </c>
      <c r="D3002" s="1" t="s">
        <v>23</v>
      </c>
      <c r="E3002" s="1" t="s">
        <v>35</v>
      </c>
      <c r="F3002" s="4">
        <v>43984.62248842593</v>
      </c>
      <c r="G3002" s="3" t="str">
        <f>HYPERLINK("https://hawk-eye.atlassian.net/browse/RTT-2305?atlOrigin=eyJpIjoiYzgwYTQ0ZjEyNzQzNGJhN2JmNjEyZTM0NmRhZWZhNjIiLCJwIjoic2hlZXRzLWppcmEifQ","RTT-2305")</f>
        <v>RTT-2305</v>
      </c>
      <c r="H3002" s="1" t="s">
        <v>1058</v>
      </c>
      <c r="I3002" s="1" t="s">
        <v>1071</v>
      </c>
      <c r="J3002" s="1" t="s">
        <v>26</v>
      </c>
      <c r="K3002" s="1" t="s">
        <v>1099</v>
      </c>
      <c r="L3002" s="1" t="s">
        <v>26</v>
      </c>
      <c r="M3002" s="1" t="s">
        <v>27</v>
      </c>
      <c r="N3002" s="1" t="s">
        <v>26</v>
      </c>
      <c r="O3002" s="1" t="s">
        <v>26</v>
      </c>
      <c r="P3002" s="4">
        <v>44068.7975</v>
      </c>
    </row>
    <row r="3003" hidden="1">
      <c r="A3003" s="1" t="s">
        <v>21</v>
      </c>
      <c r="B3003" s="3" t="str">
        <f>HYPERLINK("https://hawk-eye.atlassian.net/browse/HWKREPORT-359?atlOrigin=eyJpIjoiYzgwYTQ0ZjEyNzQzNGJhN2JmNjEyZTM0NmRhZWZhNjIiLCJwIjoic2hlZXRzLWppcmEifQ","HWKREPORT-359")</f>
        <v>HWKREPORT-359</v>
      </c>
      <c r="C3003" s="1" t="s">
        <v>4319</v>
      </c>
      <c r="D3003" s="1" t="s">
        <v>23</v>
      </c>
      <c r="E3003" s="1" t="s">
        <v>35</v>
      </c>
      <c r="F3003" s="4">
        <v>43984.79837962963</v>
      </c>
      <c r="G3003" s="3" t="str">
        <f>HYPERLINK("https://hawk-eye.atlassian.net/browse/?atlOrigin=eyJpIjoiYzgwYTQ0ZjEyNzQzNGJhN2JmNjEyZTM0NmRhZWZhNjIiLCJwIjoic2hlZXRzLWppcmEifQ","")</f>
        <v/>
      </c>
      <c r="H3003" s="1" t="s">
        <v>1058</v>
      </c>
      <c r="I3003" s="1" t="s">
        <v>1071</v>
      </c>
      <c r="J3003" s="1" t="s">
        <v>26</v>
      </c>
      <c r="K3003" s="1" t="s">
        <v>1072</v>
      </c>
      <c r="L3003" s="1" t="s">
        <v>26</v>
      </c>
      <c r="M3003" s="1" t="s">
        <v>27</v>
      </c>
      <c r="N3003" s="1" t="s">
        <v>26</v>
      </c>
      <c r="O3003" s="1" t="s">
        <v>26</v>
      </c>
      <c r="P3003" s="4">
        <v>43986.58872685185</v>
      </c>
    </row>
    <row r="3004" hidden="1">
      <c r="A3004" s="1" t="s">
        <v>21</v>
      </c>
      <c r="B3004" s="3" t="str">
        <f>HYPERLINK("https://hawk-eye.atlassian.net/browse/HWKREPORT-360?atlOrigin=eyJpIjoiYzgwYTQ0ZjEyNzQzNGJhN2JmNjEyZTM0NmRhZWZhNjIiLCJwIjoic2hlZXRzLWppcmEifQ","HWKREPORT-360")</f>
        <v>HWKREPORT-360</v>
      </c>
      <c r="C3004" s="1" t="s">
        <v>4320</v>
      </c>
      <c r="D3004" s="1" t="s">
        <v>23</v>
      </c>
      <c r="E3004" s="1" t="s">
        <v>35</v>
      </c>
      <c r="F3004" s="4">
        <v>43986.66358796296</v>
      </c>
      <c r="G3004" s="3" t="str">
        <f>HYPERLINK("https://hawk-eye.atlassian.net/browse/RTT-2324?atlOrigin=eyJpIjoiYzgwYTQ0ZjEyNzQzNGJhN2JmNjEyZTM0NmRhZWZhNjIiLCJwIjoic2hlZXRzLWppcmEifQ","RTT-2324")</f>
        <v>RTT-2324</v>
      </c>
      <c r="H3004" s="1" t="s">
        <v>1058</v>
      </c>
      <c r="I3004" s="1" t="s">
        <v>1071</v>
      </c>
      <c r="J3004" s="1" t="s">
        <v>26</v>
      </c>
      <c r="K3004" s="1" t="s">
        <v>1072</v>
      </c>
      <c r="L3004" s="1" t="s">
        <v>26</v>
      </c>
      <c r="M3004" s="1" t="s">
        <v>27</v>
      </c>
      <c r="N3004" s="1" t="s">
        <v>26</v>
      </c>
      <c r="O3004" s="1" t="s">
        <v>26</v>
      </c>
      <c r="P3004" s="4">
        <v>44068.79733796296</v>
      </c>
    </row>
    <row r="3005" hidden="1">
      <c r="A3005" s="1" t="s">
        <v>1055</v>
      </c>
      <c r="B3005" s="3" t="str">
        <f>HYPERLINK("https://hawk-eye.atlassian.net/browse/HWKREPORT-361?atlOrigin=eyJpIjoiYzgwYTQ0ZjEyNzQzNGJhN2JmNjEyZTM0NmRhZWZhNjIiLCJwIjoic2hlZXRzLWppcmEifQ","HWKREPORT-361")</f>
        <v>HWKREPORT-361</v>
      </c>
      <c r="C3005" s="1" t="s">
        <v>4321</v>
      </c>
      <c r="D3005" s="1" t="s">
        <v>23</v>
      </c>
      <c r="E3005" s="1" t="s">
        <v>35</v>
      </c>
      <c r="F3005" s="4">
        <v>43990.12517361111</v>
      </c>
      <c r="G3005" s="3" t="str">
        <f>HYPERLINK("https://hawk-eye.atlassian.net/browse/RTT-2355?atlOrigin=eyJpIjoiYzgwYTQ0ZjEyNzQzNGJhN2JmNjEyZTM0NmRhZWZhNjIiLCJwIjoic2hlZXRzLWppcmEifQ","RTT-2355")</f>
        <v>RTT-2355</v>
      </c>
      <c r="H3005" s="1" t="s">
        <v>1058</v>
      </c>
      <c r="I3005" s="1" t="s">
        <v>1071</v>
      </c>
      <c r="J3005" s="1" t="s">
        <v>26</v>
      </c>
      <c r="K3005" s="1" t="s">
        <v>1099</v>
      </c>
      <c r="L3005" s="1" t="s">
        <v>26</v>
      </c>
      <c r="M3005" s="1" t="s">
        <v>27</v>
      </c>
      <c r="N3005" s="1" t="s">
        <v>26</v>
      </c>
      <c r="O3005" s="1" t="s">
        <v>26</v>
      </c>
      <c r="P3005" s="4">
        <v>44286.773888888885</v>
      </c>
    </row>
    <row r="3006" hidden="1">
      <c r="A3006" s="1" t="s">
        <v>1055</v>
      </c>
      <c r="B3006" s="3" t="str">
        <f>HYPERLINK("https://hawk-eye.atlassian.net/browse/HWKREPORT-362?atlOrigin=eyJpIjoiYzgwYTQ0ZjEyNzQzNGJhN2JmNjEyZTM0NmRhZWZhNjIiLCJwIjoic2hlZXRzLWppcmEifQ","HWKREPORT-362")</f>
        <v>HWKREPORT-362</v>
      </c>
      <c r="C3006" s="1" t="s">
        <v>4322</v>
      </c>
      <c r="D3006" s="1" t="s">
        <v>23</v>
      </c>
      <c r="E3006" s="1" t="s">
        <v>35</v>
      </c>
      <c r="F3006" s="4">
        <v>43990.77824074074</v>
      </c>
      <c r="G3006" s="3" t="str">
        <f>HYPERLINK("https://hawk-eye.atlassian.net/browse/RTT-2338?atlOrigin=eyJpIjoiYzgwYTQ0ZjEyNzQzNGJhN2JmNjEyZTM0NmRhZWZhNjIiLCJwIjoic2hlZXRzLWppcmEifQ","RTT-2338")</f>
        <v>RTT-2338</v>
      </c>
      <c r="H3006" s="1" t="s">
        <v>1058</v>
      </c>
      <c r="I3006" s="1" t="s">
        <v>1071</v>
      </c>
      <c r="J3006" s="1" t="s">
        <v>26</v>
      </c>
      <c r="K3006" s="1" t="s">
        <v>1072</v>
      </c>
      <c r="L3006" s="1" t="s">
        <v>26</v>
      </c>
      <c r="M3006" s="1" t="s">
        <v>27</v>
      </c>
      <c r="N3006" s="1" t="s">
        <v>26</v>
      </c>
      <c r="O3006" s="1" t="s">
        <v>26</v>
      </c>
      <c r="P3006" s="4">
        <v>44068.797476851854</v>
      </c>
    </row>
    <row r="3007" hidden="1">
      <c r="A3007" s="1" t="s">
        <v>1055</v>
      </c>
      <c r="B3007" s="3" t="str">
        <f>HYPERLINK("https://hawk-eye.atlassian.net/browse/HWKREPORT-363?atlOrigin=eyJpIjoiYzgwYTQ0ZjEyNzQzNGJhN2JmNjEyZTM0NmRhZWZhNjIiLCJwIjoic2hlZXRzLWppcmEifQ","HWKREPORT-363")</f>
        <v>HWKREPORT-363</v>
      </c>
      <c r="C3007" s="1" t="s">
        <v>4323</v>
      </c>
      <c r="D3007" s="1" t="s">
        <v>23</v>
      </c>
      <c r="E3007" s="1" t="s">
        <v>35</v>
      </c>
      <c r="F3007" s="4">
        <v>43991.931550925925</v>
      </c>
      <c r="G3007" s="3" t="str">
        <f>HYPERLINK("https://hawk-eye.atlassian.net/browse/RTTDB-42?atlOrigin=eyJpIjoiYzgwYTQ0ZjEyNzQzNGJhN2JmNjEyZTM0NmRhZWZhNjIiLCJwIjoic2hlZXRzLWppcmEifQ","RTTDB-42")</f>
        <v>RTTDB-42</v>
      </c>
      <c r="H3007" s="1" t="s">
        <v>1058</v>
      </c>
      <c r="I3007" s="1" t="s">
        <v>1126</v>
      </c>
      <c r="J3007" s="1" t="s">
        <v>26</v>
      </c>
      <c r="K3007" s="1" t="s">
        <v>1127</v>
      </c>
      <c r="L3007" s="1" t="s">
        <v>26</v>
      </c>
      <c r="M3007" s="1" t="s">
        <v>27</v>
      </c>
      <c r="N3007" s="1" t="s">
        <v>26</v>
      </c>
      <c r="O3007" s="1" t="s">
        <v>26</v>
      </c>
      <c r="P3007" s="4">
        <v>44068.79751157408</v>
      </c>
    </row>
    <row r="3008" hidden="1">
      <c r="A3008" s="1" t="s">
        <v>21</v>
      </c>
      <c r="B3008" s="3" t="str">
        <f>HYPERLINK("https://hawk-eye.atlassian.net/browse/HWKREPORT-364?atlOrigin=eyJpIjoiYzgwYTQ0ZjEyNzQzNGJhN2JmNjEyZTM0NmRhZWZhNjIiLCJwIjoic2hlZXRzLWppcmEifQ","HWKREPORT-364")</f>
        <v>HWKREPORT-364</v>
      </c>
      <c r="C3008" s="1" t="s">
        <v>4324</v>
      </c>
      <c r="D3008" s="1" t="s">
        <v>23</v>
      </c>
      <c r="E3008" s="1" t="s">
        <v>35</v>
      </c>
      <c r="F3008" s="4">
        <v>43991.950590277775</v>
      </c>
      <c r="G3008" s="3" t="str">
        <f>HYPERLINK("https://hawk-eye.atlassian.net/browse/RTT-2344?atlOrigin=eyJpIjoiYzgwYTQ0ZjEyNzQzNGJhN2JmNjEyZTM0NmRhZWZhNjIiLCJwIjoic2hlZXRzLWppcmEifQ","RTT-2344")</f>
        <v>RTT-2344</v>
      </c>
      <c r="H3008" s="1" t="s">
        <v>1058</v>
      </c>
      <c r="I3008" s="1" t="s">
        <v>1126</v>
      </c>
      <c r="J3008" s="1" t="s">
        <v>26</v>
      </c>
      <c r="K3008" s="1" t="s">
        <v>1309</v>
      </c>
      <c r="L3008" s="1" t="s">
        <v>26</v>
      </c>
      <c r="M3008" s="1" t="s">
        <v>27</v>
      </c>
      <c r="N3008" s="1" t="s">
        <v>26</v>
      </c>
      <c r="O3008" s="1" t="s">
        <v>26</v>
      </c>
      <c r="P3008" s="4">
        <v>44600.874814814815</v>
      </c>
    </row>
    <row r="3009" hidden="1">
      <c r="A3009" s="1" t="s">
        <v>21</v>
      </c>
      <c r="B3009" s="3" t="str">
        <f>HYPERLINK("https://hawk-eye.atlassian.net/browse/HWKREPORT-365?atlOrigin=eyJpIjoiYzgwYTQ0ZjEyNzQzNGJhN2JmNjEyZTM0NmRhZWZhNjIiLCJwIjoic2hlZXRzLWppcmEifQ","HWKREPORT-365")</f>
        <v>HWKREPORT-365</v>
      </c>
      <c r="C3009" s="1" t="s">
        <v>4325</v>
      </c>
      <c r="D3009" s="1" t="s">
        <v>23</v>
      </c>
      <c r="E3009" s="1" t="s">
        <v>35</v>
      </c>
      <c r="F3009" s="4">
        <v>43991.96283564815</v>
      </c>
      <c r="G3009" s="3" t="str">
        <f>HYPERLINK("https://hawk-eye.atlassian.net/browse/RTT-2343?atlOrigin=eyJpIjoiYzgwYTQ0ZjEyNzQzNGJhN2JmNjEyZTM0NmRhZWZhNjIiLCJwIjoic2hlZXRzLWppcmEifQ","RTT-2343")</f>
        <v>RTT-2343</v>
      </c>
      <c r="H3009" s="1" t="s">
        <v>1058</v>
      </c>
      <c r="I3009" s="1" t="s">
        <v>1126</v>
      </c>
      <c r="J3009" s="1" t="s">
        <v>26</v>
      </c>
      <c r="K3009" s="1" t="s">
        <v>1309</v>
      </c>
      <c r="L3009" s="1" t="s">
        <v>26</v>
      </c>
      <c r="M3009" s="1" t="s">
        <v>27</v>
      </c>
      <c r="N3009" s="1" t="s">
        <v>26</v>
      </c>
      <c r="O3009" s="1" t="s">
        <v>26</v>
      </c>
      <c r="P3009" s="4">
        <v>44600.874606481484</v>
      </c>
    </row>
    <row r="3010" hidden="1">
      <c r="A3010" s="1" t="s">
        <v>21</v>
      </c>
      <c r="B3010" s="3" t="str">
        <f>HYPERLINK("https://hawk-eye.atlassian.net/browse/HWKREPORT-366?atlOrigin=eyJpIjoiYzgwYTQ0ZjEyNzQzNGJhN2JmNjEyZTM0NmRhZWZhNjIiLCJwIjoic2hlZXRzLWppcmEifQ","HWKREPORT-366")</f>
        <v>HWKREPORT-366</v>
      </c>
      <c r="C3010" s="1" t="s">
        <v>4326</v>
      </c>
      <c r="D3010" s="1" t="s">
        <v>23</v>
      </c>
      <c r="E3010" s="1" t="s">
        <v>35</v>
      </c>
      <c r="F3010" s="4">
        <v>43991.982511574075</v>
      </c>
      <c r="G3010" s="3" t="str">
        <f>HYPERLINK("https://hawk-eye.atlassian.net/browse/RTT-2345?atlOrigin=eyJpIjoiYzgwYTQ0ZjEyNzQzNGJhN2JmNjEyZTM0NmRhZWZhNjIiLCJwIjoic2hlZXRzLWppcmEifQ","RTT-2345")</f>
        <v>RTT-2345</v>
      </c>
      <c r="H3010" s="1" t="s">
        <v>1058</v>
      </c>
      <c r="I3010" s="1" t="s">
        <v>1126</v>
      </c>
      <c r="J3010" s="1" t="s">
        <v>26</v>
      </c>
      <c r="K3010" s="1" t="s">
        <v>1309</v>
      </c>
      <c r="L3010" s="1" t="s">
        <v>26</v>
      </c>
      <c r="M3010" s="1" t="s">
        <v>27</v>
      </c>
      <c r="N3010" s="1" t="s">
        <v>26</v>
      </c>
      <c r="O3010" s="1" t="s">
        <v>26</v>
      </c>
      <c r="P3010" s="4">
        <v>44600.87461805555</v>
      </c>
    </row>
    <row r="3011" hidden="1">
      <c r="A3011" s="1" t="s">
        <v>21</v>
      </c>
      <c r="B3011" s="3" t="str">
        <f>HYPERLINK("https://hawk-eye.atlassian.net/browse/HWKREPORT-367?atlOrigin=eyJpIjoiYzgwYTQ0ZjEyNzQzNGJhN2JmNjEyZTM0NmRhZWZhNjIiLCJwIjoic2hlZXRzLWppcmEifQ","HWKREPORT-367")</f>
        <v>HWKREPORT-367</v>
      </c>
      <c r="C3011" s="1" t="s">
        <v>4327</v>
      </c>
      <c r="D3011" s="1" t="s">
        <v>23</v>
      </c>
      <c r="E3011" s="1" t="s">
        <v>35</v>
      </c>
      <c r="F3011" s="4">
        <v>43992.74791666667</v>
      </c>
      <c r="G3011" s="3" t="str">
        <f>HYPERLINK("https://hawk-eye.atlassian.net/browse/RTT-2350?atlOrigin=eyJpIjoiYzgwYTQ0ZjEyNzQzNGJhN2JmNjEyZTM0NmRhZWZhNjIiLCJwIjoic2hlZXRzLWppcmEifQ","RTT-2350")</f>
        <v>RTT-2350</v>
      </c>
      <c r="H3011" s="1" t="s">
        <v>1058</v>
      </c>
      <c r="I3011" s="1" t="s">
        <v>1071</v>
      </c>
      <c r="J3011" s="1" t="s">
        <v>26</v>
      </c>
      <c r="K3011" s="1" t="s">
        <v>1099</v>
      </c>
      <c r="L3011" s="1" t="s">
        <v>26</v>
      </c>
      <c r="M3011" s="1" t="s">
        <v>27</v>
      </c>
      <c r="N3011" s="1" t="s">
        <v>26</v>
      </c>
      <c r="O3011" s="1" t="s">
        <v>26</v>
      </c>
      <c r="P3011" s="4">
        <v>44068.79724537037</v>
      </c>
    </row>
    <row r="3012" hidden="1">
      <c r="A3012" s="1" t="s">
        <v>21</v>
      </c>
      <c r="B3012" s="3" t="str">
        <f>HYPERLINK("https://hawk-eye.atlassian.net/browse/HWKREPORT-368?atlOrigin=eyJpIjoiYzgwYTQ0ZjEyNzQzNGJhN2JmNjEyZTM0NmRhZWZhNjIiLCJwIjoic2hlZXRzLWppcmEifQ","HWKREPORT-368")</f>
        <v>HWKREPORT-368</v>
      </c>
      <c r="C3012" s="1" t="s">
        <v>4328</v>
      </c>
      <c r="D3012" s="1" t="s">
        <v>23</v>
      </c>
      <c r="E3012" s="1" t="s">
        <v>35</v>
      </c>
      <c r="F3012" s="4">
        <v>43992.79584490741</v>
      </c>
      <c r="G3012" s="3" t="str">
        <f>HYPERLINK("https://hawk-eye.atlassian.net/browse/RTT-2351?atlOrigin=eyJpIjoiYzgwYTQ0ZjEyNzQzNGJhN2JmNjEyZTM0NmRhZWZhNjIiLCJwIjoic2hlZXRzLWppcmEifQ","RTT-2351")</f>
        <v>RTT-2351</v>
      </c>
      <c r="H3012" s="1" t="s">
        <v>1058</v>
      </c>
      <c r="I3012" s="1" t="s">
        <v>1071</v>
      </c>
      <c r="J3012" s="1" t="s">
        <v>26</v>
      </c>
      <c r="K3012" s="1" t="s">
        <v>1093</v>
      </c>
      <c r="L3012" s="1" t="s">
        <v>26</v>
      </c>
      <c r="M3012" s="1" t="s">
        <v>27</v>
      </c>
      <c r="N3012" s="1" t="s">
        <v>26</v>
      </c>
      <c r="O3012" s="1" t="s">
        <v>26</v>
      </c>
      <c r="P3012" s="4">
        <v>44068.79724537037</v>
      </c>
    </row>
    <row r="3013" hidden="1">
      <c r="A3013" s="1" t="s">
        <v>21</v>
      </c>
      <c r="B3013" s="3" t="str">
        <f>HYPERLINK("https://hawk-eye.atlassian.net/browse/HWKREPORT-369?atlOrigin=eyJpIjoiYzgwYTQ0ZjEyNzQzNGJhN2JmNjEyZTM0NmRhZWZhNjIiLCJwIjoic2hlZXRzLWppcmEifQ","HWKREPORT-369")</f>
        <v>HWKREPORT-369</v>
      </c>
      <c r="C3013" s="1" t="s">
        <v>4329</v>
      </c>
      <c r="D3013" s="1" t="s">
        <v>23</v>
      </c>
      <c r="E3013" s="1" t="s">
        <v>35</v>
      </c>
      <c r="F3013" s="4">
        <v>43992.85774305555</v>
      </c>
      <c r="G3013" s="3" t="str">
        <f>HYPERLINK("https://hawk-eye.atlassian.net/browse/?atlOrigin=eyJpIjoiYzgwYTQ0ZjEyNzQzNGJhN2JmNjEyZTM0NmRhZWZhNjIiLCJwIjoic2hlZXRzLWppcmEifQ","")</f>
        <v/>
      </c>
      <c r="H3013" s="1" t="s">
        <v>1058</v>
      </c>
      <c r="I3013" s="1" t="s">
        <v>1071</v>
      </c>
      <c r="J3013" s="1" t="s">
        <v>26</v>
      </c>
      <c r="K3013" s="1" t="s">
        <v>1072</v>
      </c>
      <c r="L3013" s="1" t="s">
        <v>26</v>
      </c>
      <c r="M3013" s="1" t="s">
        <v>27</v>
      </c>
      <c r="N3013" s="1" t="s">
        <v>26</v>
      </c>
      <c r="O3013" s="1" t="s">
        <v>26</v>
      </c>
      <c r="P3013" s="4">
        <v>43993.38869212963</v>
      </c>
    </row>
    <row r="3014" hidden="1">
      <c r="A3014" s="1" t="s">
        <v>21</v>
      </c>
      <c r="B3014" s="3" t="str">
        <f>HYPERLINK("https://hawk-eye.atlassian.net/browse/HWKREPORT-370?atlOrigin=eyJpIjoiYzgwYTQ0ZjEyNzQzNGJhN2JmNjEyZTM0NmRhZWZhNjIiLCJwIjoic2hlZXRzLWppcmEifQ","HWKREPORT-370")</f>
        <v>HWKREPORT-370</v>
      </c>
      <c r="C3014" s="1" t="s">
        <v>4330</v>
      </c>
      <c r="D3014" s="1" t="s">
        <v>23</v>
      </c>
      <c r="E3014" s="1" t="s">
        <v>35</v>
      </c>
      <c r="F3014" s="4">
        <v>43998.885625</v>
      </c>
      <c r="G3014" s="3" t="str">
        <f>HYPERLINK("https://hawk-eye.atlassian.net/browse/RTT-2362?atlOrigin=eyJpIjoiYzgwYTQ0ZjEyNzQzNGJhN2JmNjEyZTM0NmRhZWZhNjIiLCJwIjoic2hlZXRzLWppcmEifQ","RTT-2362")</f>
        <v>RTT-2362</v>
      </c>
      <c r="H3014" s="1" t="s">
        <v>1058</v>
      </c>
      <c r="I3014" s="1" t="s">
        <v>1071</v>
      </c>
      <c r="J3014" s="1" t="s">
        <v>26</v>
      </c>
      <c r="K3014" s="1" t="s">
        <v>1072</v>
      </c>
      <c r="L3014" s="1" t="s">
        <v>26</v>
      </c>
      <c r="M3014" s="1" t="s">
        <v>27</v>
      </c>
      <c r="N3014" s="1" t="s">
        <v>26</v>
      </c>
      <c r="O3014" s="1" t="s">
        <v>26</v>
      </c>
      <c r="P3014" s="4">
        <v>44068.79728009259</v>
      </c>
    </row>
    <row r="3015" hidden="1">
      <c r="A3015" s="1" t="s">
        <v>21</v>
      </c>
      <c r="B3015" s="3" t="str">
        <f>HYPERLINK("https://hawk-eye.atlassian.net/browse/HWKREPORT-371?atlOrigin=eyJpIjoiYzgwYTQ0ZjEyNzQzNGJhN2JmNjEyZTM0NmRhZWZhNjIiLCJwIjoic2hlZXRzLWppcmEifQ","HWKREPORT-371")</f>
        <v>HWKREPORT-371</v>
      </c>
      <c r="C3015" s="1" t="s">
        <v>4331</v>
      </c>
      <c r="D3015" s="1" t="s">
        <v>40</v>
      </c>
      <c r="E3015" s="1" t="s">
        <v>35</v>
      </c>
      <c r="F3015" s="4">
        <v>43999.195914351854</v>
      </c>
      <c r="G3015" s="3" t="str">
        <f>HYPERLINK("https://hawk-eye.atlassian.net/browse/ST-2322?atlOrigin=eyJpIjoiYzgwYTQ0ZjEyNzQzNGJhN2JmNjEyZTM0NmRhZWZhNjIiLCJwIjoic2hlZXRzLWppcmEifQ","ST-2322")</f>
        <v>ST-2322</v>
      </c>
      <c r="H3015" s="1" t="s">
        <v>1058</v>
      </c>
      <c r="I3015" s="1" t="s">
        <v>1071</v>
      </c>
      <c r="J3015" s="1" t="s">
        <v>26</v>
      </c>
      <c r="K3015" s="1" t="s">
        <v>4281</v>
      </c>
      <c r="L3015" s="1" t="s">
        <v>26</v>
      </c>
      <c r="M3015" s="1" t="s">
        <v>27</v>
      </c>
      <c r="N3015" s="1" t="s">
        <v>26</v>
      </c>
      <c r="O3015" s="1" t="s">
        <v>26</v>
      </c>
      <c r="P3015" s="4">
        <v>44068.79724537037</v>
      </c>
    </row>
    <row r="3016" hidden="1">
      <c r="A3016" s="1" t="s">
        <v>1055</v>
      </c>
      <c r="B3016" s="3" t="str">
        <f>HYPERLINK("https://hawk-eye.atlassian.net/browse/HWKREPORT-372?atlOrigin=eyJpIjoiYzgwYTQ0ZjEyNzQzNGJhN2JmNjEyZTM0NmRhZWZhNjIiLCJwIjoic2hlZXRzLWppcmEifQ","HWKREPORT-372")</f>
        <v>HWKREPORT-372</v>
      </c>
      <c r="C3016" s="1" t="s">
        <v>4332</v>
      </c>
      <c r="D3016" s="1" t="s">
        <v>23</v>
      </c>
      <c r="E3016" s="1" t="s">
        <v>35</v>
      </c>
      <c r="F3016" s="4">
        <v>43999.39775462963</v>
      </c>
      <c r="G3016" s="3" t="str">
        <f>HYPERLINK("https://hawk-eye.atlassian.net/browse/ST-2321?atlOrigin=eyJpIjoiYzgwYTQ0ZjEyNzQzNGJhN2JmNjEyZTM0NmRhZWZhNjIiLCJwIjoic2hlZXRzLWppcmEifQ","ST-2321")</f>
        <v>ST-2321</v>
      </c>
      <c r="H3016" s="1" t="s">
        <v>1058</v>
      </c>
      <c r="I3016" s="1" t="s">
        <v>1071</v>
      </c>
      <c r="J3016" s="1" t="s">
        <v>26</v>
      </c>
      <c r="K3016" s="1" t="s">
        <v>4281</v>
      </c>
      <c r="L3016" s="1" t="s">
        <v>26</v>
      </c>
      <c r="M3016" s="1" t="s">
        <v>27</v>
      </c>
      <c r="N3016" s="1" t="s">
        <v>26</v>
      </c>
      <c r="O3016" s="1" t="s">
        <v>26</v>
      </c>
      <c r="P3016" s="4">
        <v>44068.79725694445</v>
      </c>
    </row>
    <row r="3017" hidden="1">
      <c r="A3017" s="1" t="s">
        <v>21</v>
      </c>
      <c r="B3017" s="3" t="str">
        <f>HYPERLINK("https://hawk-eye.atlassian.net/browse/HWKREPORT-373?atlOrigin=eyJpIjoiYzgwYTQ0ZjEyNzQzNGJhN2JmNjEyZTM0NmRhZWZhNjIiLCJwIjoic2hlZXRzLWppcmEifQ","HWKREPORT-373")</f>
        <v>HWKREPORT-373</v>
      </c>
      <c r="C3017" s="1" t="s">
        <v>4333</v>
      </c>
      <c r="D3017" s="1" t="s">
        <v>34</v>
      </c>
      <c r="E3017" s="1" t="s">
        <v>35</v>
      </c>
      <c r="F3017" s="4">
        <v>43999.541400462964</v>
      </c>
      <c r="G3017" s="3" t="str">
        <f>HYPERLINK("https://hawk-eye.atlassian.net/browse/RTT-2368?atlOrigin=eyJpIjoiYzgwYTQ0ZjEyNzQzNGJhN2JmNjEyZTM0NmRhZWZhNjIiLCJwIjoic2hlZXRzLWppcmEifQ","RTT-2368")</f>
        <v>RTT-2368</v>
      </c>
      <c r="H3017" s="1" t="s">
        <v>1058</v>
      </c>
      <c r="I3017" s="1" t="s">
        <v>1126</v>
      </c>
      <c r="J3017" s="1" t="s">
        <v>26</v>
      </c>
      <c r="K3017" s="1" t="s">
        <v>1080</v>
      </c>
      <c r="L3017" s="1" t="s">
        <v>26</v>
      </c>
      <c r="M3017" s="1" t="s">
        <v>27</v>
      </c>
      <c r="N3017" s="1" t="s">
        <v>26</v>
      </c>
      <c r="O3017" s="1" t="s">
        <v>26</v>
      </c>
      <c r="P3017" s="4">
        <v>44068.7975</v>
      </c>
    </row>
    <row r="3018" hidden="1">
      <c r="A3018" s="1" t="s">
        <v>21</v>
      </c>
      <c r="B3018" s="3" t="str">
        <f>HYPERLINK("https://hawk-eye.atlassian.net/browse/HWKREPORT-374?atlOrigin=eyJpIjoiYzgwYTQ0ZjEyNzQzNGJhN2JmNjEyZTM0NmRhZWZhNjIiLCJwIjoic2hlZXRzLWppcmEifQ","HWKREPORT-374")</f>
        <v>HWKREPORT-374</v>
      </c>
      <c r="C3018" s="1" t="s">
        <v>4334</v>
      </c>
      <c r="D3018" s="1" t="s">
        <v>23</v>
      </c>
      <c r="E3018" s="1" t="s">
        <v>35</v>
      </c>
      <c r="F3018" s="4">
        <v>43999.798310185186</v>
      </c>
      <c r="G3018" s="3" t="str">
        <f>HYPERLINK("https://hawk-eye.atlassian.net/browse/RTT-2411?atlOrigin=eyJpIjoiYzgwYTQ0ZjEyNzQzNGJhN2JmNjEyZTM0NmRhZWZhNjIiLCJwIjoic2hlZXRzLWppcmEifQ","RTT-2411")</f>
        <v>RTT-2411</v>
      </c>
      <c r="H3018" s="1" t="s">
        <v>1058</v>
      </c>
      <c r="I3018" s="1" t="s">
        <v>1071</v>
      </c>
      <c r="J3018" s="1" t="s">
        <v>26</v>
      </c>
      <c r="K3018" s="1" t="s">
        <v>1099</v>
      </c>
      <c r="L3018" s="1" t="s">
        <v>26</v>
      </c>
      <c r="M3018" s="1" t="s">
        <v>27</v>
      </c>
      <c r="N3018" s="1" t="s">
        <v>26</v>
      </c>
      <c r="O3018" s="1" t="s">
        <v>26</v>
      </c>
      <c r="P3018" s="4">
        <v>44068.79728009259</v>
      </c>
    </row>
    <row r="3019" hidden="1">
      <c r="A3019" s="1" t="s">
        <v>21</v>
      </c>
      <c r="B3019" s="3" t="str">
        <f>HYPERLINK("https://hawk-eye.atlassian.net/browse/HWKREPORT-375?atlOrigin=eyJpIjoiYzgwYTQ0ZjEyNzQzNGJhN2JmNjEyZTM0NmRhZWZhNjIiLCJwIjoic2hlZXRzLWppcmEifQ","HWKREPORT-375")</f>
        <v>HWKREPORT-375</v>
      </c>
      <c r="C3019" s="1" t="s">
        <v>4335</v>
      </c>
      <c r="D3019" s="1" t="s">
        <v>34</v>
      </c>
      <c r="E3019" s="1" t="s">
        <v>35</v>
      </c>
      <c r="F3019" s="4">
        <v>44004.743055555555</v>
      </c>
      <c r="G3019" s="3" t="str">
        <f>HYPERLINK("https://hawk-eye.atlassian.net/browse/RTT-2414?atlOrigin=eyJpIjoiYzgwYTQ0ZjEyNzQzNGJhN2JmNjEyZTM0NmRhZWZhNjIiLCJwIjoic2hlZXRzLWppcmEifQ","RTT-2414")</f>
        <v>RTT-2414</v>
      </c>
      <c r="H3019" s="1" t="s">
        <v>1058</v>
      </c>
      <c r="I3019" s="1" t="s">
        <v>1071</v>
      </c>
      <c r="J3019" s="1" t="s">
        <v>26</v>
      </c>
      <c r="K3019" s="1" t="s">
        <v>1093</v>
      </c>
      <c r="L3019" s="1" t="s">
        <v>26</v>
      </c>
      <c r="M3019" s="1" t="s">
        <v>27</v>
      </c>
      <c r="N3019" s="1" t="s">
        <v>26</v>
      </c>
      <c r="O3019" s="1" t="s">
        <v>26</v>
      </c>
      <c r="P3019" s="4">
        <v>44068.79754629629</v>
      </c>
    </row>
    <row r="3020" hidden="1">
      <c r="A3020" s="1" t="s">
        <v>21</v>
      </c>
      <c r="B3020" s="3" t="str">
        <f>HYPERLINK("https://hawk-eye.atlassian.net/browse/HWKREPORT-376?atlOrigin=eyJpIjoiYzgwYTQ0ZjEyNzQzNGJhN2JmNjEyZTM0NmRhZWZhNjIiLCJwIjoic2hlZXRzLWppcmEifQ","HWKREPORT-376")</f>
        <v>HWKREPORT-376</v>
      </c>
      <c r="C3020" s="1" t="s">
        <v>4336</v>
      </c>
      <c r="D3020" s="1" t="s">
        <v>23</v>
      </c>
      <c r="E3020" s="1" t="s">
        <v>35</v>
      </c>
      <c r="F3020" s="4">
        <v>44004.78888888889</v>
      </c>
      <c r="G3020" s="3" t="str">
        <f>HYPERLINK("https://hawk-eye.atlassian.net/browse/RTT-2441?atlOrigin=eyJpIjoiYzgwYTQ0ZjEyNzQzNGJhN2JmNjEyZTM0NmRhZWZhNjIiLCJwIjoic2hlZXRzLWppcmEifQ","RTT-2441")</f>
        <v>RTT-2441</v>
      </c>
      <c r="H3020" s="1" t="s">
        <v>1058</v>
      </c>
      <c r="I3020" s="1" t="s">
        <v>1071</v>
      </c>
      <c r="J3020" s="1" t="s">
        <v>26</v>
      </c>
      <c r="K3020" s="1" t="s">
        <v>1762</v>
      </c>
      <c r="L3020" s="1" t="s">
        <v>26</v>
      </c>
      <c r="M3020" s="1" t="s">
        <v>27</v>
      </c>
      <c r="N3020" s="1" t="s">
        <v>26</v>
      </c>
      <c r="O3020" s="1" t="s">
        <v>26</v>
      </c>
      <c r="P3020" s="4">
        <v>44068.79756944445</v>
      </c>
    </row>
    <row r="3021" hidden="1">
      <c r="A3021" s="1" t="s">
        <v>21</v>
      </c>
      <c r="B3021" s="3" t="str">
        <f>HYPERLINK("https://hawk-eye.atlassian.net/browse/HWKREPORT-377?atlOrigin=eyJpIjoiYzgwYTQ0ZjEyNzQzNGJhN2JmNjEyZTM0NmRhZWZhNjIiLCJwIjoic2hlZXRzLWppcmEifQ","HWKREPORT-377")</f>
        <v>HWKREPORT-377</v>
      </c>
      <c r="C3021" s="1" t="s">
        <v>4337</v>
      </c>
      <c r="D3021" s="1" t="s">
        <v>23</v>
      </c>
      <c r="E3021" s="1" t="s">
        <v>35</v>
      </c>
      <c r="F3021" s="4">
        <v>44004.79649305555</v>
      </c>
      <c r="G3021" s="3" t="str">
        <f>HYPERLINK("https://hawk-eye.atlassian.net/browse/RTT-2442?atlOrigin=eyJpIjoiYzgwYTQ0ZjEyNzQzNGJhN2JmNjEyZTM0NmRhZWZhNjIiLCJwIjoic2hlZXRzLWppcmEifQ","RTT-2442")</f>
        <v>RTT-2442</v>
      </c>
      <c r="H3021" s="1" t="s">
        <v>1058</v>
      </c>
      <c r="I3021" s="1" t="s">
        <v>1071</v>
      </c>
      <c r="J3021" s="1" t="s">
        <v>26</v>
      </c>
      <c r="K3021" s="1" t="s">
        <v>1072</v>
      </c>
      <c r="L3021" s="1" t="s">
        <v>26</v>
      </c>
      <c r="M3021" s="1" t="s">
        <v>27</v>
      </c>
      <c r="N3021" s="1" t="s">
        <v>26</v>
      </c>
      <c r="O3021" s="1" t="s">
        <v>26</v>
      </c>
      <c r="P3021" s="4">
        <v>44068.797581018516</v>
      </c>
    </row>
    <row r="3022" hidden="1">
      <c r="A3022" s="1" t="s">
        <v>1055</v>
      </c>
      <c r="B3022" s="3" t="str">
        <f>HYPERLINK("https://hawk-eye.atlassian.net/browse/HWKREPORT-378?atlOrigin=eyJpIjoiYzgwYTQ0ZjEyNzQzNGJhN2JmNjEyZTM0NmRhZWZhNjIiLCJwIjoic2hlZXRzLWppcmEifQ","HWKREPORT-378")</f>
        <v>HWKREPORT-378</v>
      </c>
      <c r="C3022" s="1" t="s">
        <v>4338</v>
      </c>
      <c r="D3022" s="1" t="s">
        <v>23</v>
      </c>
      <c r="E3022" s="1" t="s">
        <v>35</v>
      </c>
      <c r="F3022" s="4">
        <v>44008.60834490741</v>
      </c>
      <c r="G3022" s="3" t="str">
        <f>HYPERLINK("https://hawk-eye.atlassian.net/browse/?atlOrigin=eyJpIjoiYzgwYTQ0ZjEyNzQzNGJhN2JmNjEyZTM0NmRhZWZhNjIiLCJwIjoic2hlZXRzLWppcmEifQ","")</f>
        <v/>
      </c>
      <c r="H3022" s="1" t="s">
        <v>1058</v>
      </c>
      <c r="I3022" s="1" t="s">
        <v>1071</v>
      </c>
      <c r="J3022" s="1" t="s">
        <v>26</v>
      </c>
      <c r="K3022" s="1" t="s">
        <v>1099</v>
      </c>
      <c r="L3022" s="1" t="s">
        <v>26</v>
      </c>
      <c r="M3022" s="1" t="s">
        <v>27</v>
      </c>
      <c r="N3022" s="1" t="s">
        <v>26</v>
      </c>
      <c r="O3022" s="1" t="s">
        <v>26</v>
      </c>
      <c r="P3022" s="4">
        <v>44018.50623842593</v>
      </c>
    </row>
    <row r="3023" hidden="1">
      <c r="A3023" s="1" t="s">
        <v>1055</v>
      </c>
      <c r="B3023" s="3" t="str">
        <f>HYPERLINK("https://hawk-eye.atlassian.net/browse/HWKREPORT-379?atlOrigin=eyJpIjoiYzgwYTQ0ZjEyNzQzNGJhN2JmNjEyZTM0NmRhZWZhNjIiLCJwIjoic2hlZXRzLWppcmEifQ","HWKREPORT-379")</f>
        <v>HWKREPORT-379</v>
      </c>
      <c r="C3023" s="1" t="s">
        <v>4339</v>
      </c>
      <c r="D3023" s="1" t="s">
        <v>23</v>
      </c>
      <c r="E3023" s="1" t="s">
        <v>35</v>
      </c>
      <c r="F3023" s="4">
        <v>44011.43351851852</v>
      </c>
      <c r="G3023" s="3" t="str">
        <f>HYPERLINK("https://hawk-eye.atlassian.net/browse/AL-26?atlOrigin=eyJpIjoiYzgwYTQ0ZjEyNzQzNGJhN2JmNjEyZTM0NmRhZWZhNjIiLCJwIjoic2hlZXRzLWppcmEifQ","AL-26")</f>
        <v>AL-26</v>
      </c>
      <c r="H3023" s="1" t="s">
        <v>1058</v>
      </c>
      <c r="I3023" s="1" t="s">
        <v>1071</v>
      </c>
      <c r="J3023" s="1" t="s">
        <v>26</v>
      </c>
      <c r="K3023" s="1" t="s">
        <v>4281</v>
      </c>
      <c r="L3023" s="1" t="s">
        <v>26</v>
      </c>
      <c r="M3023" s="1" t="s">
        <v>27</v>
      </c>
      <c r="N3023" s="1" t="s">
        <v>26</v>
      </c>
      <c r="O3023" s="1" t="s">
        <v>26</v>
      </c>
      <c r="P3023" s="4">
        <v>44068.797326388885</v>
      </c>
    </row>
    <row r="3024" hidden="1">
      <c r="A3024" s="1" t="s">
        <v>1055</v>
      </c>
      <c r="B3024" s="3" t="str">
        <f>HYPERLINK("https://hawk-eye.atlassian.net/browse/HWKREPORT-380?atlOrigin=eyJpIjoiYzgwYTQ0ZjEyNzQzNGJhN2JmNjEyZTM0NmRhZWZhNjIiLCJwIjoic2hlZXRzLWppcmEifQ","HWKREPORT-380")</f>
        <v>HWKREPORT-380</v>
      </c>
      <c r="C3024" s="1" t="s">
        <v>4340</v>
      </c>
      <c r="D3024" s="1" t="s">
        <v>23</v>
      </c>
      <c r="E3024" s="1" t="s">
        <v>35</v>
      </c>
      <c r="F3024" s="4">
        <v>44012.1787962963</v>
      </c>
      <c r="G3024" s="3" t="str">
        <f>HYPERLINK("https://hawk-eye.atlassian.net/browse/AL-25?atlOrigin=eyJpIjoiYzgwYTQ0ZjEyNzQzNGJhN2JmNjEyZTM0NmRhZWZhNjIiLCJwIjoic2hlZXRzLWppcmEifQ","AL-25")</f>
        <v>AL-25</v>
      </c>
      <c r="H3024" s="1" t="s">
        <v>1058</v>
      </c>
      <c r="I3024" s="1" t="s">
        <v>1071</v>
      </c>
      <c r="J3024" s="1" t="s">
        <v>26</v>
      </c>
      <c r="K3024" s="1" t="s">
        <v>4281</v>
      </c>
      <c r="L3024" s="1" t="s">
        <v>26</v>
      </c>
      <c r="M3024" s="1" t="s">
        <v>27</v>
      </c>
      <c r="N3024" s="1" t="s">
        <v>26</v>
      </c>
      <c r="O3024" s="1" t="s">
        <v>26</v>
      </c>
      <c r="P3024" s="4">
        <v>44363.75898148148</v>
      </c>
    </row>
    <row r="3025" hidden="1">
      <c r="A3025" s="1" t="s">
        <v>1055</v>
      </c>
      <c r="B3025" s="3" t="str">
        <f>HYPERLINK("https://hawk-eye.atlassian.net/browse/HWKREPORT-381?atlOrigin=eyJpIjoiYzgwYTQ0ZjEyNzQzNGJhN2JmNjEyZTM0NmRhZWZhNjIiLCJwIjoic2hlZXRzLWppcmEifQ","HWKREPORT-381")</f>
        <v>HWKREPORT-381</v>
      </c>
      <c r="C3025" s="1" t="s">
        <v>4341</v>
      </c>
      <c r="D3025" s="1" t="s">
        <v>23</v>
      </c>
      <c r="E3025" s="1" t="s">
        <v>35</v>
      </c>
      <c r="F3025" s="4">
        <v>44012.200162037036</v>
      </c>
      <c r="G3025" s="3" t="str">
        <f>HYPERLINK("https://hawk-eye.atlassian.net/browse/AL-28?atlOrigin=eyJpIjoiYzgwYTQ0ZjEyNzQzNGJhN2JmNjEyZTM0NmRhZWZhNjIiLCJwIjoic2hlZXRzLWppcmEifQ","AL-28")</f>
        <v>AL-28</v>
      </c>
      <c r="H3025" s="1" t="s">
        <v>1058</v>
      </c>
      <c r="I3025" s="1" t="s">
        <v>1071</v>
      </c>
      <c r="J3025" s="1" t="s">
        <v>26</v>
      </c>
      <c r="K3025" s="1" t="s">
        <v>4281</v>
      </c>
      <c r="L3025" s="1" t="s">
        <v>26</v>
      </c>
      <c r="M3025" s="1" t="s">
        <v>27</v>
      </c>
      <c r="N3025" s="1" t="s">
        <v>26</v>
      </c>
      <c r="O3025" s="1" t="s">
        <v>26</v>
      </c>
      <c r="P3025" s="4">
        <v>44600.87510416667</v>
      </c>
    </row>
    <row r="3026" hidden="1">
      <c r="A3026" s="1" t="s">
        <v>1055</v>
      </c>
      <c r="B3026" s="3" t="str">
        <f>HYPERLINK("https://hawk-eye.atlassian.net/browse/HWKREPORT-382?atlOrigin=eyJpIjoiYzgwYTQ0ZjEyNzQzNGJhN2JmNjEyZTM0NmRhZWZhNjIiLCJwIjoic2hlZXRzLWppcmEifQ","HWKREPORT-382")</f>
        <v>HWKREPORT-382</v>
      </c>
      <c r="C3026" s="1" t="s">
        <v>4342</v>
      </c>
      <c r="D3026" s="1" t="s">
        <v>23</v>
      </c>
      <c r="E3026" s="1" t="s">
        <v>35</v>
      </c>
      <c r="F3026" s="4">
        <v>44012.203310185185</v>
      </c>
      <c r="G3026" s="3" t="str">
        <f>HYPERLINK("https://hawk-eye.atlassian.net/browse/AL-27?atlOrigin=eyJpIjoiYzgwYTQ0ZjEyNzQzNGJhN2JmNjEyZTM0NmRhZWZhNjIiLCJwIjoic2hlZXRzLWppcmEifQ","AL-27")</f>
        <v>AL-27</v>
      </c>
      <c r="H3026" s="1" t="s">
        <v>1058</v>
      </c>
      <c r="I3026" s="1" t="s">
        <v>1071</v>
      </c>
      <c r="J3026" s="1" t="s">
        <v>26</v>
      </c>
      <c r="K3026" s="1" t="s">
        <v>4281</v>
      </c>
      <c r="L3026" s="1" t="s">
        <v>26</v>
      </c>
      <c r="M3026" s="1" t="s">
        <v>27</v>
      </c>
      <c r="N3026" s="1" t="s">
        <v>26</v>
      </c>
      <c r="O3026" s="1" t="s">
        <v>26</v>
      </c>
      <c r="P3026" s="4">
        <v>44068.79744212963</v>
      </c>
    </row>
    <row r="3027" hidden="1">
      <c r="A3027" s="1" t="s">
        <v>21</v>
      </c>
      <c r="B3027" s="3" t="str">
        <f>HYPERLINK("https://hawk-eye.atlassian.net/browse/HWKREPORT-383?atlOrigin=eyJpIjoiYzgwYTQ0ZjEyNzQzNGJhN2JmNjEyZTM0NmRhZWZhNjIiLCJwIjoic2hlZXRzLWppcmEifQ","HWKREPORT-383")</f>
        <v>HWKREPORT-383</v>
      </c>
      <c r="C3027" s="1" t="s">
        <v>4343</v>
      </c>
      <c r="D3027" s="1" t="s">
        <v>34</v>
      </c>
      <c r="E3027" s="1" t="s">
        <v>35</v>
      </c>
      <c r="F3027" s="4">
        <v>44012.55873842593</v>
      </c>
      <c r="G3027" s="3" t="str">
        <f>HYPERLINK("https://hawk-eye.atlassian.net/browse/RTT-2452?atlOrigin=eyJpIjoiYzgwYTQ0ZjEyNzQzNGJhN2JmNjEyZTM0NmRhZWZhNjIiLCJwIjoic2hlZXRzLWppcmEifQ","RTT-2452")</f>
        <v>RTT-2452</v>
      </c>
      <c r="H3027" s="1" t="s">
        <v>1058</v>
      </c>
      <c r="I3027" s="1" t="s">
        <v>1126</v>
      </c>
      <c r="J3027" s="1" t="s">
        <v>26</v>
      </c>
      <c r="K3027" s="1" t="s">
        <v>1545</v>
      </c>
      <c r="L3027" s="1" t="s">
        <v>26</v>
      </c>
      <c r="M3027" s="1" t="s">
        <v>27</v>
      </c>
      <c r="N3027" s="1" t="s">
        <v>26</v>
      </c>
      <c r="O3027" s="1" t="s">
        <v>26</v>
      </c>
      <c r="P3027" s="4">
        <v>44600.875127314815</v>
      </c>
    </row>
    <row r="3028" hidden="1">
      <c r="A3028" s="1" t="s">
        <v>21</v>
      </c>
      <c r="B3028" s="3" t="str">
        <f>HYPERLINK("https://hawk-eye.atlassian.net/browse/HWKREPORT-384?atlOrigin=eyJpIjoiYzgwYTQ0ZjEyNzQzNGJhN2JmNjEyZTM0NmRhZWZhNjIiLCJwIjoic2hlZXRzLWppcmEifQ","HWKREPORT-384")</f>
        <v>HWKREPORT-384</v>
      </c>
      <c r="C3028" s="1" t="s">
        <v>4344</v>
      </c>
      <c r="D3028" s="1" t="s">
        <v>34</v>
      </c>
      <c r="E3028" s="1" t="s">
        <v>35</v>
      </c>
      <c r="F3028" s="4">
        <v>44012.62094907407</v>
      </c>
      <c r="G3028" s="3" t="str">
        <f>HYPERLINK("https://hawk-eye.atlassian.net/browse/RTT-2453?atlOrigin=eyJpIjoiYzgwYTQ0ZjEyNzQzNGJhN2JmNjEyZTM0NmRhZWZhNjIiLCJwIjoic2hlZXRzLWppcmEifQ","RTT-2453")</f>
        <v>RTT-2453</v>
      </c>
      <c r="H3028" s="1" t="s">
        <v>1058</v>
      </c>
      <c r="I3028" s="1" t="s">
        <v>1126</v>
      </c>
      <c r="J3028" s="1" t="s">
        <v>26</v>
      </c>
      <c r="K3028" s="1" t="s">
        <v>1312</v>
      </c>
      <c r="L3028" s="1" t="s">
        <v>26</v>
      </c>
      <c r="M3028" s="1" t="s">
        <v>27</v>
      </c>
      <c r="N3028" s="1" t="s">
        <v>26</v>
      </c>
      <c r="O3028" s="1" t="s">
        <v>26</v>
      </c>
      <c r="P3028" s="4">
        <v>44068.79755787037</v>
      </c>
    </row>
    <row r="3029" hidden="1">
      <c r="A3029" s="1" t="s">
        <v>21</v>
      </c>
      <c r="B3029" s="3" t="str">
        <f>HYPERLINK("https://hawk-eye.atlassian.net/browse/HWKREPORT-385?atlOrigin=eyJpIjoiYzgwYTQ0ZjEyNzQzNGJhN2JmNjEyZTM0NmRhZWZhNjIiLCJwIjoic2hlZXRzLWppcmEifQ","HWKREPORT-385")</f>
        <v>HWKREPORT-385</v>
      </c>
      <c r="C3029" s="1" t="s">
        <v>4345</v>
      </c>
      <c r="D3029" s="1" t="s">
        <v>23</v>
      </c>
      <c r="E3029" s="1" t="s">
        <v>35</v>
      </c>
      <c r="F3029" s="4">
        <v>44013.14026620371</v>
      </c>
      <c r="G3029" s="3" t="str">
        <f>HYPERLINK("https://hawk-eye.atlassian.net/browse/RTT-2454?atlOrigin=eyJpIjoiYzgwYTQ0ZjEyNzQzNGJhN2JmNjEyZTM0NmRhZWZhNjIiLCJwIjoic2hlZXRzLWppcmEifQ","RTT-2454")</f>
        <v>RTT-2454</v>
      </c>
      <c r="H3029" s="1" t="s">
        <v>1058</v>
      </c>
      <c r="I3029" s="1" t="s">
        <v>1071</v>
      </c>
      <c r="J3029" s="1" t="s">
        <v>26</v>
      </c>
      <c r="K3029" s="1" t="s">
        <v>1072</v>
      </c>
      <c r="L3029" s="1" t="s">
        <v>26</v>
      </c>
      <c r="M3029" s="1" t="s">
        <v>27</v>
      </c>
      <c r="N3029" s="1" t="s">
        <v>26</v>
      </c>
      <c r="O3029" s="1" t="s">
        <v>26</v>
      </c>
      <c r="P3029" s="4">
        <v>44068.79754629629</v>
      </c>
    </row>
    <row r="3030" hidden="1">
      <c r="A3030" s="1" t="s">
        <v>21</v>
      </c>
      <c r="B3030" s="3" t="str">
        <f>HYPERLINK("https://hawk-eye.atlassian.net/browse/HWKREPORT-386?atlOrigin=eyJpIjoiYzgwYTQ0ZjEyNzQzNGJhN2JmNjEyZTM0NmRhZWZhNjIiLCJwIjoic2hlZXRzLWppcmEifQ","HWKREPORT-386")</f>
        <v>HWKREPORT-386</v>
      </c>
      <c r="C3030" s="1" t="s">
        <v>4346</v>
      </c>
      <c r="D3030" s="1" t="s">
        <v>23</v>
      </c>
      <c r="E3030" s="1" t="s">
        <v>35</v>
      </c>
      <c r="F3030" s="4">
        <v>44014.08472222222</v>
      </c>
      <c r="G3030" s="3" t="str">
        <f>HYPERLINK("https://hawk-eye.atlassian.net/browse/?atlOrigin=eyJpIjoiYzgwYTQ0ZjEyNzQzNGJhN2JmNjEyZTM0NmRhZWZhNjIiLCJwIjoic2hlZXRzLWppcmEifQ","")</f>
        <v/>
      </c>
      <c r="H3030" s="1" t="s">
        <v>1058</v>
      </c>
      <c r="I3030" s="1" t="s">
        <v>1071</v>
      </c>
      <c r="J3030" s="1" t="s">
        <v>26</v>
      </c>
      <c r="K3030" s="1" t="s">
        <v>1072</v>
      </c>
      <c r="L3030" s="1" t="s">
        <v>26</v>
      </c>
      <c r="M3030" s="1" t="s">
        <v>27</v>
      </c>
      <c r="N3030" s="1" t="s">
        <v>26</v>
      </c>
      <c r="O3030" s="1" t="s">
        <v>26</v>
      </c>
      <c r="P3030" s="4">
        <v>44090.41515046296</v>
      </c>
    </row>
    <row r="3031" hidden="1">
      <c r="A3031" s="1" t="s">
        <v>21</v>
      </c>
      <c r="B3031" s="3" t="str">
        <f>HYPERLINK("https://hawk-eye.atlassian.net/browse/HWKREPORT-387?atlOrigin=eyJpIjoiYzgwYTQ0ZjEyNzQzNGJhN2JmNjEyZTM0NmRhZWZhNjIiLCJwIjoic2hlZXRzLWppcmEifQ","HWKREPORT-387")</f>
        <v>HWKREPORT-387</v>
      </c>
      <c r="C3031" s="1" t="s">
        <v>4347</v>
      </c>
      <c r="D3031" s="1" t="s">
        <v>23</v>
      </c>
      <c r="E3031" s="1" t="s">
        <v>35</v>
      </c>
      <c r="F3031" s="4">
        <v>44014.087800925925</v>
      </c>
      <c r="G3031" s="3" t="str">
        <f>HYPERLINK("https://hawk-eye.atlassian.net/browse/RTT-2457?atlOrigin=eyJpIjoiYzgwYTQ0ZjEyNzQzNGJhN2JmNjEyZTM0NmRhZWZhNjIiLCJwIjoic2hlZXRzLWppcmEifQ","RTT-2457")</f>
        <v>RTT-2457</v>
      </c>
      <c r="H3031" s="1" t="s">
        <v>1058</v>
      </c>
      <c r="I3031" s="1" t="s">
        <v>1071</v>
      </c>
      <c r="J3031" s="1" t="s">
        <v>26</v>
      </c>
      <c r="K3031" s="1" t="s">
        <v>1072</v>
      </c>
      <c r="L3031" s="1" t="s">
        <v>26</v>
      </c>
      <c r="M3031" s="1" t="s">
        <v>27</v>
      </c>
      <c r="N3031" s="1" t="s">
        <v>26</v>
      </c>
      <c r="O3031" s="1" t="s">
        <v>26</v>
      </c>
      <c r="P3031" s="4">
        <v>44019.35943287037</v>
      </c>
    </row>
    <row r="3032" hidden="1">
      <c r="A3032" s="1" t="s">
        <v>21</v>
      </c>
      <c r="B3032" s="3" t="str">
        <f>HYPERLINK("https://hawk-eye.atlassian.net/browse/HWKREPORT-388?atlOrigin=eyJpIjoiYzgwYTQ0ZjEyNzQzNGJhN2JmNjEyZTM0NmRhZWZhNjIiLCJwIjoic2hlZXRzLWppcmEifQ","HWKREPORT-388")</f>
        <v>HWKREPORT-388</v>
      </c>
      <c r="C3032" s="1" t="s">
        <v>4348</v>
      </c>
      <c r="D3032" s="1" t="s">
        <v>23</v>
      </c>
      <c r="E3032" s="1" t="s">
        <v>35</v>
      </c>
      <c r="F3032" s="4">
        <v>44016.9555787037</v>
      </c>
      <c r="G3032" s="3" t="str">
        <f>HYPERLINK("https://hawk-eye.atlassian.net/browse/?atlOrigin=eyJpIjoiYzgwYTQ0ZjEyNzQzNGJhN2JmNjEyZTM0NmRhZWZhNjIiLCJwIjoic2hlZXRzLWppcmEifQ","")</f>
        <v/>
      </c>
      <c r="H3032" s="1" t="s">
        <v>1058</v>
      </c>
      <c r="I3032" s="1" t="s">
        <v>1071</v>
      </c>
      <c r="J3032" s="1" t="s">
        <v>26</v>
      </c>
      <c r="K3032" s="1" t="s">
        <v>1134</v>
      </c>
      <c r="L3032" s="1" t="s">
        <v>26</v>
      </c>
      <c r="M3032" s="1" t="s">
        <v>27</v>
      </c>
      <c r="N3032" s="1" t="s">
        <v>26</v>
      </c>
      <c r="O3032" s="1" t="s">
        <v>26</v>
      </c>
      <c r="P3032" s="4">
        <v>44018.507372685184</v>
      </c>
    </row>
    <row r="3033" hidden="1">
      <c r="A3033" s="1" t="s">
        <v>1055</v>
      </c>
      <c r="B3033" s="3" t="str">
        <f>HYPERLINK("https://hawk-eye.atlassian.net/browse/HWKREPORT-389?atlOrigin=eyJpIjoiYzgwYTQ0ZjEyNzQzNGJhN2JmNjEyZTM0NmRhZWZhNjIiLCJwIjoic2hlZXRzLWppcmEifQ","HWKREPORT-389")</f>
        <v>HWKREPORT-389</v>
      </c>
      <c r="C3033" s="1" t="s">
        <v>4349</v>
      </c>
      <c r="D3033" s="1" t="s">
        <v>23</v>
      </c>
      <c r="E3033" s="1" t="s">
        <v>35</v>
      </c>
      <c r="F3033" s="4">
        <v>44017.0231712963</v>
      </c>
      <c r="G3033" s="3" t="str">
        <f>HYPERLINK("https://hawk-eye.atlassian.net/issues/?atlOrigin=eyJpIjoiYzgwYTQ0ZjEyNzQzNGJhN2JmNjEyZTM0NmRhZWZhNjIiLCJwIjoic2hlZXRzLWppcmEifQ&amp;jql=key+in+%28RTT-2518%2CRTT-4034%29","RTT-2518;RTT-4034")</f>
        <v>RTT-2518;RTT-4034</v>
      </c>
      <c r="H3033" s="1" t="s">
        <v>1058</v>
      </c>
      <c r="I3033" s="1" t="s">
        <v>1071</v>
      </c>
      <c r="J3033" s="1" t="s">
        <v>26</v>
      </c>
      <c r="K3033" s="1" t="s">
        <v>1072</v>
      </c>
      <c r="L3033" s="1" t="s">
        <v>26</v>
      </c>
      <c r="M3033" s="1" t="s">
        <v>27</v>
      </c>
      <c r="N3033" s="1" t="s">
        <v>26</v>
      </c>
      <c r="O3033" s="1" t="s">
        <v>26</v>
      </c>
      <c r="P3033" s="4">
        <v>44582.4512962963</v>
      </c>
    </row>
    <row r="3034" hidden="1">
      <c r="A3034" s="1" t="s">
        <v>21</v>
      </c>
      <c r="B3034" s="3" t="str">
        <f>HYPERLINK("https://hawk-eye.atlassian.net/browse/HWKREPORT-390?atlOrigin=eyJpIjoiYzgwYTQ0ZjEyNzQzNGJhN2JmNjEyZTM0NmRhZWZhNjIiLCJwIjoic2hlZXRzLWppcmEifQ","HWKREPORT-390")</f>
        <v>HWKREPORT-390</v>
      </c>
      <c r="C3034" s="1" t="s">
        <v>4350</v>
      </c>
      <c r="D3034" s="1" t="s">
        <v>23</v>
      </c>
      <c r="E3034" s="1" t="s">
        <v>35</v>
      </c>
      <c r="F3034" s="4">
        <v>44018.922638888886</v>
      </c>
      <c r="G3034" s="3" t="str">
        <f>HYPERLINK("https://hawk-eye.atlassian.net/browse/RTT-2513?atlOrigin=eyJpIjoiYzgwYTQ0ZjEyNzQzNGJhN2JmNjEyZTM0NmRhZWZhNjIiLCJwIjoic2hlZXRzLWppcmEifQ","RTT-2513")</f>
        <v>RTT-2513</v>
      </c>
      <c r="H3034" s="1" t="s">
        <v>1058</v>
      </c>
      <c r="I3034" s="1" t="s">
        <v>1126</v>
      </c>
      <c r="J3034" s="1" t="s">
        <v>26</v>
      </c>
      <c r="K3034" s="1" t="s">
        <v>1312</v>
      </c>
      <c r="L3034" s="1" t="s">
        <v>26</v>
      </c>
      <c r="M3034" s="1" t="s">
        <v>27</v>
      </c>
      <c r="N3034" s="1" t="s">
        <v>26</v>
      </c>
      <c r="O3034" s="1" t="s">
        <v>26</v>
      </c>
      <c r="P3034" s="4">
        <v>44600.87494212963</v>
      </c>
    </row>
    <row r="3035" hidden="1">
      <c r="A3035" s="1" t="s">
        <v>1055</v>
      </c>
      <c r="B3035" s="3" t="str">
        <f>HYPERLINK("https://hawk-eye.atlassian.net/browse/HWKREPORT-391?atlOrigin=eyJpIjoiYzgwYTQ0ZjEyNzQzNGJhN2JmNjEyZTM0NmRhZWZhNjIiLCJwIjoic2hlZXRzLWppcmEifQ","HWKREPORT-391")</f>
        <v>HWKREPORT-391</v>
      </c>
      <c r="C3035" s="1" t="s">
        <v>4351</v>
      </c>
      <c r="D3035" s="1" t="s">
        <v>23</v>
      </c>
      <c r="E3035" s="1" t="s">
        <v>35</v>
      </c>
      <c r="F3035" s="4">
        <v>44018.98105324074</v>
      </c>
      <c r="G3035" s="3" t="str">
        <f>HYPERLINK("https://hawk-eye.atlassian.net/browse/RTT-2516?atlOrigin=eyJpIjoiYzgwYTQ0ZjEyNzQzNGJhN2JmNjEyZTM0NmRhZWZhNjIiLCJwIjoic2hlZXRzLWppcmEifQ","RTT-2516")</f>
        <v>RTT-2516</v>
      </c>
      <c r="H3035" s="1" t="s">
        <v>1058</v>
      </c>
      <c r="I3035" s="1" t="s">
        <v>1071</v>
      </c>
      <c r="J3035" s="1" t="s">
        <v>26</v>
      </c>
      <c r="K3035" s="1" t="s">
        <v>1072</v>
      </c>
      <c r="L3035" s="1" t="s">
        <v>26</v>
      </c>
      <c r="M3035" s="1" t="s">
        <v>27</v>
      </c>
      <c r="N3035" s="1" t="s">
        <v>26</v>
      </c>
      <c r="O3035" s="1" t="s">
        <v>26</v>
      </c>
      <c r="P3035" s="4">
        <v>44600.874930555554</v>
      </c>
    </row>
    <row r="3036" hidden="1">
      <c r="A3036" s="1" t="s">
        <v>21</v>
      </c>
      <c r="B3036" s="3" t="str">
        <f>HYPERLINK("https://hawk-eye.atlassian.net/browse/HWKREPORT-392?atlOrigin=eyJpIjoiYzgwYTQ0ZjEyNzQzNGJhN2JmNjEyZTM0NmRhZWZhNjIiLCJwIjoic2hlZXRzLWppcmEifQ","HWKREPORT-392")</f>
        <v>HWKREPORT-392</v>
      </c>
      <c r="C3036" s="1" t="s">
        <v>4352</v>
      </c>
      <c r="D3036" s="1" t="s">
        <v>23</v>
      </c>
      <c r="E3036" s="1" t="s">
        <v>35</v>
      </c>
      <c r="F3036" s="4">
        <v>44019.05600694445</v>
      </c>
      <c r="G3036" s="3" t="str">
        <f>HYPERLINK("https://hawk-eye.atlassian.net/browse/RTT-2512?atlOrigin=eyJpIjoiYzgwYTQ0ZjEyNzQzNGJhN2JmNjEyZTM0NmRhZWZhNjIiLCJwIjoic2hlZXRzLWppcmEifQ","RTT-2512")</f>
        <v>RTT-2512</v>
      </c>
      <c r="H3036" s="1" t="s">
        <v>1058</v>
      </c>
      <c r="I3036" s="1" t="s">
        <v>1071</v>
      </c>
      <c r="J3036" s="1" t="s">
        <v>26</v>
      </c>
      <c r="K3036" s="1" t="s">
        <v>1072</v>
      </c>
      <c r="L3036" s="1" t="s">
        <v>26</v>
      </c>
      <c r="M3036" s="1" t="s">
        <v>27</v>
      </c>
      <c r="N3036" s="1" t="s">
        <v>26</v>
      </c>
      <c r="O3036" s="1" t="s">
        <v>26</v>
      </c>
      <c r="P3036" s="4">
        <v>44068.79729166667</v>
      </c>
    </row>
    <row r="3037" hidden="1">
      <c r="A3037" s="1" t="s">
        <v>21</v>
      </c>
      <c r="B3037" s="3" t="str">
        <f>HYPERLINK("https://hawk-eye.atlassian.net/browse/HWKREPORT-393?atlOrigin=eyJpIjoiYzgwYTQ0ZjEyNzQzNGJhN2JmNjEyZTM0NmRhZWZhNjIiLCJwIjoic2hlZXRzLWppcmEifQ","HWKREPORT-393")</f>
        <v>HWKREPORT-393</v>
      </c>
      <c r="C3037" s="1" t="s">
        <v>4353</v>
      </c>
      <c r="D3037" s="1" t="s">
        <v>23</v>
      </c>
      <c r="E3037" s="1" t="s">
        <v>35</v>
      </c>
      <c r="F3037" s="4">
        <v>44019.54107638889</v>
      </c>
      <c r="G3037" s="3" t="str">
        <f>HYPERLINK("https://hawk-eye.atlassian.net/browse/RTT-2515?atlOrigin=eyJpIjoiYzgwYTQ0ZjEyNzQzNGJhN2JmNjEyZTM0NmRhZWZhNjIiLCJwIjoic2hlZXRzLWppcmEifQ","RTT-2515")</f>
        <v>RTT-2515</v>
      </c>
      <c r="H3037" s="1" t="s">
        <v>1058</v>
      </c>
      <c r="I3037" s="1" t="s">
        <v>1071</v>
      </c>
      <c r="J3037" s="1" t="s">
        <v>26</v>
      </c>
      <c r="K3037" s="1" t="s">
        <v>1072</v>
      </c>
      <c r="L3037" s="1" t="s">
        <v>26</v>
      </c>
      <c r="M3037" s="1" t="s">
        <v>27</v>
      </c>
      <c r="N3037" s="1" t="s">
        <v>26</v>
      </c>
      <c r="O3037" s="1" t="s">
        <v>26</v>
      </c>
      <c r="P3037" s="4">
        <v>44068.79723379629</v>
      </c>
    </row>
    <row r="3038" hidden="1">
      <c r="A3038" s="1" t="s">
        <v>1055</v>
      </c>
      <c r="B3038" s="3" t="str">
        <f>HYPERLINK("https://hawk-eye.atlassian.net/browse/HWKREPORT-394?atlOrigin=eyJpIjoiYzgwYTQ0ZjEyNzQzNGJhN2JmNjEyZTM0NmRhZWZhNjIiLCJwIjoic2hlZXRzLWppcmEifQ","HWKREPORT-394")</f>
        <v>HWKREPORT-394</v>
      </c>
      <c r="C3038" s="1" t="s">
        <v>4354</v>
      </c>
      <c r="D3038" s="1" t="s">
        <v>23</v>
      </c>
      <c r="E3038" s="1" t="s">
        <v>35</v>
      </c>
      <c r="F3038" s="4">
        <v>44020.36277777778</v>
      </c>
      <c r="G3038" s="3" t="str">
        <f>HYPERLINK("https://hawk-eye.atlassian.net/browse/RTT-2519?atlOrigin=eyJpIjoiYzgwYTQ0ZjEyNzQzNGJhN2JmNjEyZTM0NmRhZWZhNjIiLCJwIjoic2hlZXRzLWppcmEifQ","RTT-2519")</f>
        <v>RTT-2519</v>
      </c>
      <c r="H3038" s="1" t="s">
        <v>1058</v>
      </c>
      <c r="I3038" s="1" t="s">
        <v>1071</v>
      </c>
      <c r="J3038" s="1" t="s">
        <v>26</v>
      </c>
      <c r="K3038" s="1" t="s">
        <v>1099</v>
      </c>
      <c r="L3038" s="1" t="s">
        <v>26</v>
      </c>
      <c r="M3038" s="1" t="s">
        <v>27</v>
      </c>
      <c r="N3038" s="1" t="s">
        <v>26</v>
      </c>
      <c r="O3038" s="1" t="s">
        <v>26</v>
      </c>
      <c r="P3038" s="4">
        <v>44068.79752314815</v>
      </c>
    </row>
    <row r="3039" hidden="1">
      <c r="A3039" s="1" t="s">
        <v>21</v>
      </c>
      <c r="B3039" s="3" t="str">
        <f>HYPERLINK("https://hawk-eye.atlassian.net/browse/HWKREPORT-395?atlOrigin=eyJpIjoiYzgwYTQ0ZjEyNzQzNGJhN2JmNjEyZTM0NmRhZWZhNjIiLCJwIjoic2hlZXRzLWppcmEifQ","HWKREPORT-395")</f>
        <v>HWKREPORT-395</v>
      </c>
      <c r="C3039" s="1" t="s">
        <v>4355</v>
      </c>
      <c r="D3039" s="1" t="s">
        <v>23</v>
      </c>
      <c r="E3039" s="1" t="s">
        <v>35</v>
      </c>
      <c r="F3039" s="4">
        <v>44025.01896990741</v>
      </c>
      <c r="G3039" s="3" t="str">
        <f>HYPERLINK("https://hawk-eye.atlassian.net/browse/RTT-2529?atlOrigin=eyJpIjoiYzgwYTQ0ZjEyNzQzNGJhN2JmNjEyZTM0NmRhZWZhNjIiLCJwIjoic2hlZXRzLWppcmEifQ","RTT-2529")</f>
        <v>RTT-2529</v>
      </c>
      <c r="H3039" s="1" t="s">
        <v>1058</v>
      </c>
      <c r="I3039" s="1" t="s">
        <v>1071</v>
      </c>
      <c r="J3039" s="1" t="s">
        <v>26</v>
      </c>
      <c r="K3039" s="1" t="s">
        <v>4356</v>
      </c>
      <c r="L3039" s="1" t="s">
        <v>26</v>
      </c>
      <c r="M3039" s="1" t="s">
        <v>27</v>
      </c>
      <c r="N3039" s="1" t="s">
        <v>26</v>
      </c>
      <c r="O3039" s="1" t="s">
        <v>26</v>
      </c>
      <c r="P3039" s="4">
        <v>44600.875081018516</v>
      </c>
    </row>
    <row r="3040" hidden="1">
      <c r="A3040" s="1" t="s">
        <v>1055</v>
      </c>
      <c r="B3040" s="3" t="str">
        <f>HYPERLINK("https://hawk-eye.atlassian.net/browse/HWKREPORT-396?atlOrigin=eyJpIjoiYzgwYTQ0ZjEyNzQzNGJhN2JmNjEyZTM0NmRhZWZhNjIiLCJwIjoic2hlZXRzLWppcmEifQ","HWKREPORT-396")</f>
        <v>HWKREPORT-396</v>
      </c>
      <c r="C3040" s="1" t="s">
        <v>4357</v>
      </c>
      <c r="D3040" s="1" t="s">
        <v>23</v>
      </c>
      <c r="E3040" s="1" t="s">
        <v>35</v>
      </c>
      <c r="F3040" s="4">
        <v>44025.02113425926</v>
      </c>
      <c r="G3040" s="3" t="str">
        <f>HYPERLINK("https://hawk-eye.atlassian.net/browse/?atlOrigin=eyJpIjoiYzgwYTQ0ZjEyNzQzNGJhN2JmNjEyZTM0NmRhZWZhNjIiLCJwIjoic2hlZXRzLWppcmEifQ","")</f>
        <v/>
      </c>
      <c r="H3040" s="1" t="s">
        <v>1058</v>
      </c>
      <c r="I3040" s="1" t="s">
        <v>1071</v>
      </c>
      <c r="J3040" s="1" t="s">
        <v>26</v>
      </c>
      <c r="K3040" s="1" t="s">
        <v>1072</v>
      </c>
      <c r="L3040" s="1" t="s">
        <v>26</v>
      </c>
      <c r="M3040" s="1" t="s">
        <v>27</v>
      </c>
      <c r="N3040" s="1" t="s">
        <v>26</v>
      </c>
      <c r="O3040" s="1" t="s">
        <v>26</v>
      </c>
      <c r="P3040" s="4">
        <v>44172.463587962964</v>
      </c>
    </row>
    <row r="3041" hidden="1">
      <c r="A3041" s="1" t="s">
        <v>1055</v>
      </c>
      <c r="B3041" s="3" t="str">
        <f>HYPERLINK("https://hawk-eye.atlassian.net/browse/HWKREPORT-397?atlOrigin=eyJpIjoiYzgwYTQ0ZjEyNzQzNGJhN2JmNjEyZTM0NmRhZWZhNjIiLCJwIjoic2hlZXRzLWppcmEifQ","HWKREPORT-397")</f>
        <v>HWKREPORT-397</v>
      </c>
      <c r="C3041" s="1" t="s">
        <v>4358</v>
      </c>
      <c r="D3041" s="1" t="s">
        <v>23</v>
      </c>
      <c r="E3041" s="1" t="s">
        <v>35</v>
      </c>
      <c r="F3041" s="4">
        <v>44026.729791666665</v>
      </c>
      <c r="G3041" s="3" t="str">
        <f>HYPERLINK("https://hawk-eye.atlassian.net/browse/RTT-2532?atlOrigin=eyJpIjoiYzgwYTQ0ZjEyNzQzNGJhN2JmNjEyZTM0NmRhZWZhNjIiLCJwIjoic2hlZXRzLWppcmEifQ","RTT-2532")</f>
        <v>RTT-2532</v>
      </c>
      <c r="H3041" s="1" t="s">
        <v>1058</v>
      </c>
      <c r="I3041" s="1" t="s">
        <v>1126</v>
      </c>
      <c r="J3041" s="1" t="s">
        <v>26</v>
      </c>
      <c r="K3041" s="1" t="s">
        <v>2111</v>
      </c>
      <c r="L3041" s="1" t="s">
        <v>26</v>
      </c>
      <c r="M3041" s="1" t="s">
        <v>27</v>
      </c>
      <c r="N3041" s="1" t="s">
        <v>26</v>
      </c>
      <c r="O3041" s="1" t="s">
        <v>26</v>
      </c>
      <c r="P3041" s="4">
        <v>44600.874930555554</v>
      </c>
    </row>
    <row r="3042" hidden="1">
      <c r="A3042" s="1" t="s">
        <v>1055</v>
      </c>
      <c r="B3042" s="3" t="str">
        <f>HYPERLINK("https://hawk-eye.atlassian.net/browse/HWKREPORT-398?atlOrigin=eyJpIjoiYzgwYTQ0ZjEyNzQzNGJhN2JmNjEyZTM0NmRhZWZhNjIiLCJwIjoic2hlZXRzLWppcmEifQ","HWKREPORT-398")</f>
        <v>HWKREPORT-398</v>
      </c>
      <c r="C3042" s="1" t="s">
        <v>4359</v>
      </c>
      <c r="D3042" s="1" t="s">
        <v>23</v>
      </c>
      <c r="E3042" s="1" t="s">
        <v>35</v>
      </c>
      <c r="F3042" s="4">
        <v>44028.79304398148</v>
      </c>
      <c r="G3042" s="3" t="str">
        <f>HYPERLINK("https://hawk-eye.atlassian.net/browse/RTT-2560?atlOrigin=eyJpIjoiYzgwYTQ0ZjEyNzQzNGJhN2JmNjEyZTM0NmRhZWZhNjIiLCJwIjoic2hlZXRzLWppcmEifQ","RTT-2560")</f>
        <v>RTT-2560</v>
      </c>
      <c r="H3042" s="1" t="s">
        <v>1058</v>
      </c>
      <c r="I3042" s="1" t="s">
        <v>1071</v>
      </c>
      <c r="J3042" s="1" t="s">
        <v>26</v>
      </c>
      <c r="K3042" s="1" t="s">
        <v>1093</v>
      </c>
      <c r="L3042" s="1" t="s">
        <v>26</v>
      </c>
      <c r="M3042" s="1" t="s">
        <v>27</v>
      </c>
      <c r="N3042" s="1" t="s">
        <v>26</v>
      </c>
      <c r="O3042" s="1" t="s">
        <v>26</v>
      </c>
      <c r="P3042" s="4">
        <v>44140.79143518519</v>
      </c>
    </row>
    <row r="3043" hidden="1">
      <c r="A3043" s="1" t="s">
        <v>21</v>
      </c>
      <c r="B3043" s="3" t="str">
        <f>HYPERLINK("https://hawk-eye.atlassian.net/browse/HWKREPORT-399?atlOrigin=eyJpIjoiYzgwYTQ0ZjEyNzQzNGJhN2JmNjEyZTM0NmRhZWZhNjIiLCJwIjoic2hlZXRzLWppcmEifQ","HWKREPORT-399")</f>
        <v>HWKREPORT-399</v>
      </c>
      <c r="C3043" s="1" t="s">
        <v>4360</v>
      </c>
      <c r="D3043" s="1" t="s">
        <v>23</v>
      </c>
      <c r="E3043" s="1" t="s">
        <v>35</v>
      </c>
      <c r="F3043" s="4">
        <v>44028.8559837963</v>
      </c>
      <c r="G3043" s="3" t="str">
        <f>HYPERLINK("https://hawk-eye.atlassian.net/browse/CONFIG-469?atlOrigin=eyJpIjoiYzgwYTQ0ZjEyNzQzNGJhN2JmNjEyZTM0NmRhZWZhNjIiLCJwIjoic2hlZXRzLWppcmEifQ","CONFIG-469")</f>
        <v>CONFIG-469</v>
      </c>
      <c r="H3043" s="1" t="s">
        <v>1058</v>
      </c>
      <c r="I3043" s="1" t="s">
        <v>1071</v>
      </c>
      <c r="J3043" s="1" t="s">
        <v>26</v>
      </c>
      <c r="K3043" s="1" t="s">
        <v>1134</v>
      </c>
      <c r="L3043" s="1" t="s">
        <v>26</v>
      </c>
      <c r="M3043" s="1" t="s">
        <v>27</v>
      </c>
      <c r="N3043" s="1" t="s">
        <v>26</v>
      </c>
      <c r="O3043" s="1" t="s">
        <v>26</v>
      </c>
      <c r="P3043" s="4">
        <v>44172.461689814816</v>
      </c>
    </row>
    <row r="3044" hidden="1">
      <c r="A3044" s="1" t="s">
        <v>21</v>
      </c>
      <c r="B3044" s="3" t="str">
        <f>HYPERLINK("https://hawk-eye.atlassian.net/browse/HWKREPORT-400?atlOrigin=eyJpIjoiYzgwYTQ0ZjEyNzQzNGJhN2JmNjEyZTM0NmRhZWZhNjIiLCJwIjoic2hlZXRzLWppcmEifQ","HWKREPORT-400")</f>
        <v>HWKREPORT-400</v>
      </c>
      <c r="C3044" s="1" t="s">
        <v>4361</v>
      </c>
      <c r="D3044" s="1" t="s">
        <v>23</v>
      </c>
      <c r="E3044" s="1" t="s">
        <v>35</v>
      </c>
      <c r="F3044" s="4">
        <v>44028.886967592596</v>
      </c>
      <c r="G3044" s="3" t="str">
        <f t="shared" ref="G3044:G3045" si="209">HYPERLINK("https://hawk-eye.atlassian.net/browse/?atlOrigin=eyJpIjoiYzgwYTQ0ZjEyNzQzNGJhN2JmNjEyZTM0NmRhZWZhNjIiLCJwIjoic2hlZXRzLWppcmEifQ","")</f>
        <v/>
      </c>
      <c r="H3044" s="1" t="s">
        <v>1058</v>
      </c>
      <c r="I3044" s="1" t="s">
        <v>1071</v>
      </c>
      <c r="J3044" s="1" t="s">
        <v>26</v>
      </c>
      <c r="K3044" s="1" t="s">
        <v>1762</v>
      </c>
      <c r="L3044" s="1" t="s">
        <v>26</v>
      </c>
      <c r="M3044" s="1" t="s">
        <v>27</v>
      </c>
      <c r="N3044" s="1" t="s">
        <v>26</v>
      </c>
      <c r="O3044" s="1" t="s">
        <v>26</v>
      </c>
      <c r="P3044" s="4">
        <v>44300.035844907405</v>
      </c>
    </row>
    <row r="3045" hidden="1">
      <c r="A3045" s="1" t="s">
        <v>1055</v>
      </c>
      <c r="B3045" s="3" t="str">
        <f>HYPERLINK("https://hawk-eye.atlassian.net/browse/HWKREPORT-401?atlOrigin=eyJpIjoiYzgwYTQ0ZjEyNzQzNGJhN2JmNjEyZTM0NmRhZWZhNjIiLCJwIjoic2hlZXRzLWppcmEifQ","HWKREPORT-401")</f>
        <v>HWKREPORT-401</v>
      </c>
      <c r="C3045" s="1" t="s">
        <v>4362</v>
      </c>
      <c r="D3045" s="1" t="s">
        <v>23</v>
      </c>
      <c r="E3045" s="1" t="s">
        <v>35</v>
      </c>
      <c r="F3045" s="4">
        <v>44028.92974537037</v>
      </c>
      <c r="G3045" s="3" t="str">
        <f t="shared" si="209"/>
        <v/>
      </c>
      <c r="H3045" s="1" t="s">
        <v>1058</v>
      </c>
      <c r="I3045" s="1" t="s">
        <v>1071</v>
      </c>
      <c r="J3045" s="1" t="s">
        <v>26</v>
      </c>
      <c r="K3045" s="1" t="s">
        <v>1134</v>
      </c>
      <c r="L3045" s="1" t="s">
        <v>26</v>
      </c>
      <c r="M3045" s="1" t="s">
        <v>27</v>
      </c>
      <c r="N3045" s="1" t="s">
        <v>26</v>
      </c>
      <c r="O3045" s="1" t="s">
        <v>26</v>
      </c>
      <c r="P3045" s="4">
        <v>44146.596666666665</v>
      </c>
    </row>
    <row r="3046" hidden="1">
      <c r="A3046" s="1" t="s">
        <v>1055</v>
      </c>
      <c r="B3046" s="3" t="str">
        <f>HYPERLINK("https://hawk-eye.atlassian.net/browse/HWKREPORT-402?atlOrigin=eyJpIjoiYzgwYTQ0ZjEyNzQzNGJhN2JmNjEyZTM0NmRhZWZhNjIiLCJwIjoic2hlZXRzLWppcmEifQ","HWKREPORT-402")</f>
        <v>HWKREPORT-402</v>
      </c>
      <c r="C3046" s="1" t="s">
        <v>4363</v>
      </c>
      <c r="D3046" s="1" t="s">
        <v>23</v>
      </c>
      <c r="E3046" s="1" t="s">
        <v>1057</v>
      </c>
      <c r="F3046" s="4">
        <v>44031.721342592595</v>
      </c>
      <c r="G3046" s="3" t="str">
        <f>HYPERLINK("https://hawk-eye.atlassian.net/browse/RTT-2568?atlOrigin=eyJpIjoiYzgwYTQ0ZjEyNzQzNGJhN2JmNjEyZTM0NmRhZWZhNjIiLCJwIjoic2hlZXRzLWppcmEifQ","RTT-2568")</f>
        <v>RTT-2568</v>
      </c>
      <c r="H3046" s="1" t="s">
        <v>1058</v>
      </c>
      <c r="I3046" s="1" t="s">
        <v>1126</v>
      </c>
      <c r="J3046" s="1" t="s">
        <v>26</v>
      </c>
      <c r="K3046" s="1" t="s">
        <v>1362</v>
      </c>
      <c r="L3046" s="1" t="s">
        <v>26</v>
      </c>
      <c r="M3046" s="1" t="s">
        <v>27</v>
      </c>
      <c r="N3046" s="1" t="s">
        <v>26</v>
      </c>
      <c r="O3046" s="1" t="s">
        <v>26</v>
      </c>
      <c r="P3046" s="4">
        <v>44031.721354166664</v>
      </c>
    </row>
    <row r="3047" hidden="1">
      <c r="A3047" s="1" t="s">
        <v>1055</v>
      </c>
      <c r="B3047" s="3" t="str">
        <f>HYPERLINK("https://hawk-eye.atlassian.net/browse/HWKREPORT-403?atlOrigin=eyJpIjoiYzgwYTQ0ZjEyNzQzNGJhN2JmNjEyZTM0NmRhZWZhNjIiLCJwIjoic2hlZXRzLWppcmEifQ","HWKREPORT-403")</f>
        <v>HWKREPORT-403</v>
      </c>
      <c r="C3047" s="1" t="s">
        <v>4364</v>
      </c>
      <c r="D3047" s="1" t="s">
        <v>23</v>
      </c>
      <c r="E3047" s="1" t="s">
        <v>35</v>
      </c>
      <c r="F3047" s="4">
        <v>44032.25315972222</v>
      </c>
      <c r="G3047" s="3" t="str">
        <f>HYPERLINK("https://hawk-eye.atlassian.net/browse/AL-29?atlOrigin=eyJpIjoiYzgwYTQ0ZjEyNzQzNGJhN2JmNjEyZTM0NmRhZWZhNjIiLCJwIjoic2hlZXRzLWppcmEifQ","AL-29")</f>
        <v>AL-29</v>
      </c>
      <c r="H3047" s="1" t="s">
        <v>1058</v>
      </c>
      <c r="I3047" s="1" t="s">
        <v>1071</v>
      </c>
      <c r="J3047" s="1" t="s">
        <v>26</v>
      </c>
      <c r="K3047" s="1" t="s">
        <v>4281</v>
      </c>
      <c r="L3047" s="1" t="s">
        <v>26</v>
      </c>
      <c r="M3047" s="1" t="s">
        <v>27</v>
      </c>
      <c r="N3047" s="1" t="s">
        <v>26</v>
      </c>
      <c r="O3047" s="1" t="s">
        <v>26</v>
      </c>
      <c r="P3047" s="4">
        <v>44068.797372685185</v>
      </c>
    </row>
    <row r="3048" hidden="1">
      <c r="A3048" s="1" t="s">
        <v>1055</v>
      </c>
      <c r="B3048" s="3" t="str">
        <f>HYPERLINK("https://hawk-eye.atlassian.net/browse/HWKREPORT-404?atlOrigin=eyJpIjoiYzgwYTQ0ZjEyNzQzNGJhN2JmNjEyZTM0NmRhZWZhNjIiLCJwIjoic2hlZXRzLWppcmEifQ","HWKREPORT-404")</f>
        <v>HWKREPORT-404</v>
      </c>
      <c r="C3048" s="1" t="s">
        <v>4365</v>
      </c>
      <c r="D3048" s="1" t="s">
        <v>23</v>
      </c>
      <c r="E3048" s="1" t="s">
        <v>35</v>
      </c>
      <c r="F3048" s="4">
        <v>44032.69173611111</v>
      </c>
      <c r="G3048" s="3" t="str">
        <f>HYPERLINK("https://hawk-eye.atlassian.net/browse/TVR-64?atlOrigin=eyJpIjoiYzgwYTQ0ZjEyNzQzNGJhN2JmNjEyZTM0NmRhZWZhNjIiLCJwIjoic2hlZXRzLWppcmEifQ","TVR-64")</f>
        <v>TVR-64</v>
      </c>
      <c r="H3048" s="1" t="s">
        <v>1058</v>
      </c>
      <c r="I3048" s="1" t="s">
        <v>1126</v>
      </c>
      <c r="J3048" s="1" t="s">
        <v>26</v>
      </c>
      <c r="K3048" s="1" t="s">
        <v>1573</v>
      </c>
      <c r="L3048" s="1" t="s">
        <v>26</v>
      </c>
      <c r="M3048" s="1" t="s">
        <v>27</v>
      </c>
      <c r="N3048" s="1" t="s">
        <v>26</v>
      </c>
      <c r="O3048" s="1" t="s">
        <v>26</v>
      </c>
      <c r="P3048" s="4">
        <v>44068.79019675926</v>
      </c>
    </row>
    <row r="3049" hidden="1">
      <c r="A3049" s="1" t="s">
        <v>21</v>
      </c>
      <c r="B3049" s="3" t="str">
        <f>HYPERLINK("https://hawk-eye.atlassian.net/browse/HWKREPORT-405?atlOrigin=eyJpIjoiYzgwYTQ0ZjEyNzQzNGJhN2JmNjEyZTM0NmRhZWZhNjIiLCJwIjoic2hlZXRzLWppcmEifQ","HWKREPORT-405")</f>
        <v>HWKREPORT-405</v>
      </c>
      <c r="C3049" s="6" t="s">
        <v>4366</v>
      </c>
      <c r="D3049" s="1" t="s">
        <v>40</v>
      </c>
      <c r="E3049" s="1" t="s">
        <v>35</v>
      </c>
      <c r="F3049" s="4">
        <v>44032.69873842593</v>
      </c>
      <c r="G3049" s="3" t="str">
        <f>HYPERLINK("https://hawk-eye.atlassian.net/browse/TVR-63?atlOrigin=eyJpIjoiYzgwYTQ0ZjEyNzQzNGJhN2JmNjEyZTM0NmRhZWZhNjIiLCJwIjoic2hlZXRzLWppcmEifQ","TVR-63")</f>
        <v>TVR-63</v>
      </c>
      <c r="H3049" s="1" t="s">
        <v>1058</v>
      </c>
      <c r="I3049" s="1" t="s">
        <v>1126</v>
      </c>
      <c r="J3049" s="1" t="s">
        <v>26</v>
      </c>
      <c r="K3049" s="1" t="s">
        <v>1573</v>
      </c>
      <c r="L3049" s="1" t="s">
        <v>26</v>
      </c>
      <c r="M3049" s="1" t="s">
        <v>27</v>
      </c>
      <c r="N3049" s="1" t="s">
        <v>26</v>
      </c>
      <c r="O3049" s="1" t="s">
        <v>26</v>
      </c>
      <c r="P3049" s="4">
        <v>44068.79734953704</v>
      </c>
    </row>
    <row r="3050" hidden="1">
      <c r="A3050" s="1" t="s">
        <v>1055</v>
      </c>
      <c r="B3050" s="3" t="str">
        <f>HYPERLINK("https://hawk-eye.atlassian.net/browse/HWKREPORT-406?atlOrigin=eyJpIjoiYzgwYTQ0ZjEyNzQzNGJhN2JmNjEyZTM0NmRhZWZhNjIiLCJwIjoic2hlZXRzLWppcmEifQ","HWKREPORT-406")</f>
        <v>HWKREPORT-406</v>
      </c>
      <c r="C3050" s="1" t="s">
        <v>4367</v>
      </c>
      <c r="D3050" s="1" t="s">
        <v>23</v>
      </c>
      <c r="E3050" s="1" t="s">
        <v>35</v>
      </c>
      <c r="F3050" s="4">
        <v>44032.728414351855</v>
      </c>
      <c r="G3050" s="3" t="str">
        <f>HYPERLINK("https://hawk-eye.atlassian.net/browse/RTT-2559?atlOrigin=eyJpIjoiYzgwYTQ0ZjEyNzQzNGJhN2JmNjEyZTM0NmRhZWZhNjIiLCJwIjoic2hlZXRzLWppcmEifQ","RTT-2559")</f>
        <v>RTT-2559</v>
      </c>
      <c r="H3050" s="1" t="s">
        <v>1058</v>
      </c>
      <c r="I3050" s="1" t="s">
        <v>1071</v>
      </c>
      <c r="J3050" s="1" t="s">
        <v>26</v>
      </c>
      <c r="K3050" s="1" t="s">
        <v>1072</v>
      </c>
      <c r="L3050" s="1" t="s">
        <v>26</v>
      </c>
      <c r="M3050" s="1" t="s">
        <v>27</v>
      </c>
      <c r="N3050" s="1" t="s">
        <v>26</v>
      </c>
      <c r="O3050" s="1" t="s">
        <v>26</v>
      </c>
      <c r="P3050" s="4">
        <v>44068.79734953704</v>
      </c>
    </row>
    <row r="3051" hidden="1">
      <c r="A3051" s="1" t="s">
        <v>1055</v>
      </c>
      <c r="B3051" s="3" t="str">
        <f>HYPERLINK("https://hawk-eye.atlassian.net/browse/HWKREPORT-407?atlOrigin=eyJpIjoiYzgwYTQ0ZjEyNzQzNGJhN2JmNjEyZTM0NmRhZWZhNjIiLCJwIjoic2hlZXRzLWppcmEifQ","HWKREPORT-407")</f>
        <v>HWKREPORT-407</v>
      </c>
      <c r="C3051" s="1" t="s">
        <v>4368</v>
      </c>
      <c r="D3051" s="1" t="s">
        <v>23</v>
      </c>
      <c r="E3051" s="1" t="s">
        <v>35</v>
      </c>
      <c r="F3051" s="4">
        <v>44032.91164351852</v>
      </c>
      <c r="G3051" s="3" t="str">
        <f t="shared" ref="G3051:G3052" si="210">HYPERLINK("https://hawk-eye.atlassian.net/browse/?atlOrigin=eyJpIjoiYzgwYTQ0ZjEyNzQzNGJhN2JmNjEyZTM0NmRhZWZhNjIiLCJwIjoic2hlZXRzLWppcmEifQ","")</f>
        <v/>
      </c>
      <c r="H3051" s="1" t="s">
        <v>1058</v>
      </c>
      <c r="I3051" s="1" t="s">
        <v>1071</v>
      </c>
      <c r="J3051" s="1" t="s">
        <v>26</v>
      </c>
      <c r="K3051" s="1" t="s">
        <v>1134</v>
      </c>
      <c r="L3051" s="1" t="s">
        <v>26</v>
      </c>
      <c r="M3051" s="1" t="s">
        <v>27</v>
      </c>
      <c r="N3051" s="1" t="s">
        <v>26</v>
      </c>
      <c r="O3051" s="1" t="s">
        <v>26</v>
      </c>
      <c r="P3051" s="4">
        <v>44158.64402777778</v>
      </c>
    </row>
    <row r="3052" hidden="1">
      <c r="A3052" s="1" t="s">
        <v>1055</v>
      </c>
      <c r="B3052" s="3" t="str">
        <f>HYPERLINK("https://hawk-eye.atlassian.net/browse/HWKREPORT-408?atlOrigin=eyJpIjoiYzgwYTQ0ZjEyNzQzNGJhN2JmNjEyZTM0NmRhZWZhNjIiLCJwIjoic2hlZXRzLWppcmEifQ","HWKREPORT-408")</f>
        <v>HWKREPORT-408</v>
      </c>
      <c r="C3052" s="1" t="s">
        <v>4369</v>
      </c>
      <c r="D3052" s="1" t="s">
        <v>23</v>
      </c>
      <c r="E3052" s="1" t="s">
        <v>35</v>
      </c>
      <c r="F3052" s="4">
        <v>44032.946550925924</v>
      </c>
      <c r="G3052" s="3" t="str">
        <f t="shared" si="210"/>
        <v/>
      </c>
      <c r="H3052" s="1" t="s">
        <v>1058</v>
      </c>
      <c r="I3052" s="1" t="s">
        <v>1071</v>
      </c>
      <c r="J3052" s="1" t="s">
        <v>26</v>
      </c>
      <c r="K3052" s="1" t="s">
        <v>1762</v>
      </c>
      <c r="L3052" s="1" t="s">
        <v>26</v>
      </c>
      <c r="M3052" s="1" t="s">
        <v>27</v>
      </c>
      <c r="N3052" s="1" t="s">
        <v>26</v>
      </c>
      <c r="O3052" s="1" t="s">
        <v>26</v>
      </c>
      <c r="P3052" s="4">
        <v>44501.9028587963</v>
      </c>
    </row>
    <row r="3053" hidden="1">
      <c r="A3053" s="1" t="s">
        <v>1055</v>
      </c>
      <c r="B3053" s="3" t="str">
        <f>HYPERLINK("https://hawk-eye.atlassian.net/browse/HWKREPORT-409?atlOrigin=eyJpIjoiYzgwYTQ0ZjEyNzQzNGJhN2JmNjEyZTM0NmRhZWZhNjIiLCJwIjoic2hlZXRzLWppcmEifQ","HWKREPORT-409")</f>
        <v>HWKREPORT-409</v>
      </c>
      <c r="C3053" s="1" t="s">
        <v>4370</v>
      </c>
      <c r="D3053" s="1" t="s">
        <v>23</v>
      </c>
      <c r="E3053" s="1" t="s">
        <v>35</v>
      </c>
      <c r="F3053" s="4">
        <v>44033.61547453704</v>
      </c>
      <c r="G3053" s="3" t="str">
        <f>HYPERLINK("https://hawk-eye.atlassian.net/browse/RTT-2558?atlOrigin=eyJpIjoiYzgwYTQ0ZjEyNzQzNGJhN2JmNjEyZTM0NmRhZWZhNjIiLCJwIjoic2hlZXRzLWppcmEifQ","RTT-2558")</f>
        <v>RTT-2558</v>
      </c>
      <c r="H3053" s="1" t="s">
        <v>1058</v>
      </c>
      <c r="I3053" s="1" t="s">
        <v>1071</v>
      </c>
      <c r="J3053" s="1" t="s">
        <v>26</v>
      </c>
      <c r="K3053" s="1" t="s">
        <v>1072</v>
      </c>
      <c r="L3053" s="1" t="s">
        <v>26</v>
      </c>
      <c r="M3053" s="1" t="s">
        <v>27</v>
      </c>
      <c r="N3053" s="1" t="s">
        <v>26</v>
      </c>
      <c r="O3053" s="1" t="s">
        <v>26</v>
      </c>
      <c r="P3053" s="4">
        <v>44068.797488425924</v>
      </c>
    </row>
    <row r="3054" hidden="1">
      <c r="A3054" s="1" t="s">
        <v>1055</v>
      </c>
      <c r="B3054" s="3" t="str">
        <f>HYPERLINK("https://hawk-eye.atlassian.net/browse/HWKREPORT-410?atlOrigin=eyJpIjoiYzgwYTQ0ZjEyNzQzNGJhN2JmNjEyZTM0NmRhZWZhNjIiLCJwIjoic2hlZXRzLWppcmEifQ","HWKREPORT-410")</f>
        <v>HWKREPORT-410</v>
      </c>
      <c r="C3054" s="1" t="s">
        <v>4371</v>
      </c>
      <c r="D3054" s="1" t="s">
        <v>23</v>
      </c>
      <c r="E3054" s="1" t="s">
        <v>35</v>
      </c>
      <c r="F3054" s="4">
        <v>44035.00528935185</v>
      </c>
      <c r="G3054" s="3" t="str">
        <f>HYPERLINK("https://hawk-eye.atlassian.net/issues/?atlOrigin=eyJpIjoiYzgwYTQ0ZjEyNzQzNGJhN2JmNjEyZTM0NmRhZWZhNjIiLCJwIjoic2hlZXRzLWppcmEifQ&amp;jql=key+in+%28TSLAV-95%2CTSLAV-96%29","TSLAV-95;TSLAV-96")</f>
        <v>TSLAV-95;TSLAV-96</v>
      </c>
      <c r="H3054" s="1" t="s">
        <v>1058</v>
      </c>
      <c r="I3054" s="1" t="s">
        <v>1126</v>
      </c>
      <c r="J3054" s="1" t="s">
        <v>26</v>
      </c>
      <c r="K3054" s="1" t="s">
        <v>4372</v>
      </c>
      <c r="L3054" s="1" t="s">
        <v>26</v>
      </c>
      <c r="M3054" s="1" t="s">
        <v>27</v>
      </c>
      <c r="N3054" s="1" t="s">
        <v>26</v>
      </c>
      <c r="O3054" s="1" t="s">
        <v>26</v>
      </c>
      <c r="P3054" s="4">
        <v>44068.797476851854</v>
      </c>
    </row>
    <row r="3055" hidden="1">
      <c r="A3055" s="1" t="s">
        <v>21</v>
      </c>
      <c r="B3055" s="3" t="str">
        <f>HYPERLINK("https://hawk-eye.atlassian.net/browse/HWKREPORT-411?atlOrigin=eyJpIjoiYzgwYTQ0ZjEyNzQzNGJhN2JmNjEyZTM0NmRhZWZhNjIiLCJwIjoic2hlZXRzLWppcmEifQ","HWKREPORT-411")</f>
        <v>HWKREPORT-411</v>
      </c>
      <c r="C3055" s="1" t="s">
        <v>4373</v>
      </c>
      <c r="D3055" s="1" t="s">
        <v>23</v>
      </c>
      <c r="E3055" s="1" t="s">
        <v>35</v>
      </c>
      <c r="F3055" s="4">
        <v>44036.646261574075</v>
      </c>
      <c r="G3055" s="3" t="str">
        <f>HYPERLINK("https://hawk-eye.atlassian.net/browse/RTT-2721?atlOrigin=eyJpIjoiYzgwYTQ0ZjEyNzQzNGJhN2JmNjEyZTM0NmRhZWZhNjIiLCJwIjoic2hlZXRzLWppcmEifQ","RTT-2721")</f>
        <v>RTT-2721</v>
      </c>
      <c r="H3055" s="1" t="s">
        <v>1058</v>
      </c>
      <c r="I3055" s="1" t="s">
        <v>1071</v>
      </c>
      <c r="J3055" s="1" t="s">
        <v>26</v>
      </c>
      <c r="K3055" s="1" t="s">
        <v>1072</v>
      </c>
      <c r="L3055" s="1" t="s">
        <v>26</v>
      </c>
      <c r="M3055" s="1" t="s">
        <v>27</v>
      </c>
      <c r="N3055" s="1" t="s">
        <v>26</v>
      </c>
      <c r="O3055" s="1" t="s">
        <v>26</v>
      </c>
      <c r="P3055" s="4">
        <v>44600.87486111111</v>
      </c>
    </row>
    <row r="3056" hidden="1">
      <c r="A3056" s="1" t="s">
        <v>1055</v>
      </c>
      <c r="B3056" s="3" t="str">
        <f>HYPERLINK("https://hawk-eye.atlassian.net/browse/HWKREPORT-412?atlOrigin=eyJpIjoiYzgwYTQ0ZjEyNzQzNGJhN2JmNjEyZTM0NmRhZWZhNjIiLCJwIjoic2hlZXRzLWppcmEifQ","HWKREPORT-412")</f>
        <v>HWKREPORT-412</v>
      </c>
      <c r="C3056" s="1" t="s">
        <v>4374</v>
      </c>
      <c r="D3056" s="1" t="s">
        <v>23</v>
      </c>
      <c r="E3056" s="1" t="s">
        <v>35</v>
      </c>
      <c r="F3056" s="4">
        <v>44038.15087962963</v>
      </c>
      <c r="G3056" s="3" t="str">
        <f>HYPERLINK("https://hawk-eye.atlassian.net/browse/?atlOrigin=eyJpIjoiYzgwYTQ0ZjEyNzQzNGJhN2JmNjEyZTM0NmRhZWZhNjIiLCJwIjoic2hlZXRzLWppcmEifQ","")</f>
        <v/>
      </c>
      <c r="H3056" s="1" t="s">
        <v>1058</v>
      </c>
      <c r="I3056" s="1" t="s">
        <v>1071</v>
      </c>
      <c r="J3056" s="1" t="s">
        <v>26</v>
      </c>
      <c r="K3056" s="1" t="s">
        <v>1072</v>
      </c>
      <c r="L3056" s="1" t="s">
        <v>26</v>
      </c>
      <c r="M3056" s="1" t="s">
        <v>27</v>
      </c>
      <c r="N3056" s="1" t="s">
        <v>26</v>
      </c>
      <c r="O3056" s="1" t="s">
        <v>26</v>
      </c>
      <c r="P3056" s="4">
        <v>44062.65332175926</v>
      </c>
    </row>
    <row r="3057" hidden="1">
      <c r="A3057" s="1" t="s">
        <v>21</v>
      </c>
      <c r="B3057" s="3" t="str">
        <f>HYPERLINK("https://hawk-eye.atlassian.net/browse/HWKREPORT-413?atlOrigin=eyJpIjoiYzgwYTQ0ZjEyNzQzNGJhN2JmNjEyZTM0NmRhZWZhNjIiLCJwIjoic2hlZXRzLWppcmEifQ","HWKREPORT-413")</f>
        <v>HWKREPORT-413</v>
      </c>
      <c r="C3057" s="1" t="s">
        <v>4375</v>
      </c>
      <c r="D3057" s="1" t="s">
        <v>40</v>
      </c>
      <c r="E3057" s="1" t="s">
        <v>35</v>
      </c>
      <c r="F3057" s="4">
        <v>44039.24673611111</v>
      </c>
      <c r="G3057" s="3" t="str">
        <f>HYPERLINK("https://hawk-eye.atlassian.net/browse/AL-32?atlOrigin=eyJpIjoiYzgwYTQ0ZjEyNzQzNGJhN2JmNjEyZTM0NmRhZWZhNjIiLCJwIjoic2hlZXRzLWppcmEifQ","AL-32")</f>
        <v>AL-32</v>
      </c>
      <c r="H3057" s="1" t="s">
        <v>1058</v>
      </c>
      <c r="I3057" s="1" t="s">
        <v>1071</v>
      </c>
      <c r="J3057" s="1" t="s">
        <v>26</v>
      </c>
      <c r="K3057" s="1" t="s">
        <v>4281</v>
      </c>
      <c r="L3057" s="1" t="s">
        <v>26</v>
      </c>
      <c r="M3057" s="1" t="s">
        <v>27</v>
      </c>
      <c r="N3057" s="1" t="s">
        <v>26</v>
      </c>
      <c r="O3057" s="1" t="s">
        <v>26</v>
      </c>
      <c r="P3057" s="4">
        <v>44068.79728009259</v>
      </c>
    </row>
    <row r="3058" hidden="1">
      <c r="A3058" s="1" t="s">
        <v>21</v>
      </c>
      <c r="B3058" s="3" t="str">
        <f>HYPERLINK("https://hawk-eye.atlassian.net/browse/HWKREPORT-414?atlOrigin=eyJpIjoiYzgwYTQ0ZjEyNzQzNGJhN2JmNjEyZTM0NmRhZWZhNjIiLCJwIjoic2hlZXRzLWppcmEifQ","HWKREPORT-414")</f>
        <v>HWKREPORT-414</v>
      </c>
      <c r="C3058" s="1" t="s">
        <v>4376</v>
      </c>
      <c r="D3058" s="1" t="s">
        <v>23</v>
      </c>
      <c r="E3058" s="1" t="s">
        <v>35</v>
      </c>
      <c r="F3058" s="4">
        <v>44039.9359837963</v>
      </c>
      <c r="G3058" s="3" t="str">
        <f>HYPERLINK("https://hawk-eye.atlassian.net/browse/RTT-2587?atlOrigin=eyJpIjoiYzgwYTQ0ZjEyNzQzNGJhN2JmNjEyZTM0NmRhZWZhNjIiLCJwIjoic2hlZXRzLWppcmEifQ","RTT-2587")</f>
        <v>RTT-2587</v>
      </c>
      <c r="H3058" s="1" t="s">
        <v>1058</v>
      </c>
      <c r="I3058" s="1" t="s">
        <v>1071</v>
      </c>
      <c r="J3058" s="1" t="s">
        <v>26</v>
      </c>
      <c r="K3058" s="1" t="s">
        <v>1099</v>
      </c>
      <c r="L3058" s="1" t="s">
        <v>26</v>
      </c>
      <c r="M3058" s="1" t="s">
        <v>27</v>
      </c>
      <c r="N3058" s="1" t="s">
        <v>26</v>
      </c>
      <c r="O3058" s="1" t="s">
        <v>26</v>
      </c>
      <c r="P3058" s="4">
        <v>44600.87465277778</v>
      </c>
    </row>
    <row r="3059" hidden="1">
      <c r="A3059" s="1" t="s">
        <v>1055</v>
      </c>
      <c r="B3059" s="3" t="str">
        <f>HYPERLINK("https://hawk-eye.atlassian.net/browse/HWKREPORT-415?atlOrigin=eyJpIjoiYzgwYTQ0ZjEyNzQzNGJhN2JmNjEyZTM0NmRhZWZhNjIiLCJwIjoic2hlZXRzLWppcmEifQ","HWKREPORT-415")</f>
        <v>HWKREPORT-415</v>
      </c>
      <c r="C3059" s="1" t="s">
        <v>4377</v>
      </c>
      <c r="D3059" s="1" t="s">
        <v>23</v>
      </c>
      <c r="E3059" s="1" t="s">
        <v>35</v>
      </c>
      <c r="F3059" s="4">
        <v>44039.94702546296</v>
      </c>
      <c r="G3059" s="3" t="str">
        <f>HYPERLINK("https://hawk-eye.atlassian.net/browse/RTT-2589?atlOrigin=eyJpIjoiYzgwYTQ0ZjEyNzQzNGJhN2JmNjEyZTM0NmRhZWZhNjIiLCJwIjoic2hlZXRzLWppcmEifQ","RTT-2589")</f>
        <v>RTT-2589</v>
      </c>
      <c r="H3059" s="1" t="s">
        <v>1058</v>
      </c>
      <c r="I3059" s="1" t="s">
        <v>1071</v>
      </c>
      <c r="J3059" s="1" t="s">
        <v>26</v>
      </c>
      <c r="K3059" s="1" t="s">
        <v>1072</v>
      </c>
      <c r="L3059" s="1" t="s">
        <v>26</v>
      </c>
      <c r="M3059" s="1" t="s">
        <v>27</v>
      </c>
      <c r="N3059" s="1" t="s">
        <v>26</v>
      </c>
      <c r="O3059" s="1" t="s">
        <v>26</v>
      </c>
      <c r="P3059" s="4">
        <v>44062.65305555556</v>
      </c>
    </row>
    <row r="3060" hidden="1">
      <c r="A3060" s="1" t="s">
        <v>21</v>
      </c>
      <c r="B3060" s="3" t="str">
        <f>HYPERLINK("https://hawk-eye.atlassian.net/browse/HWKREPORT-416?atlOrigin=eyJpIjoiYzgwYTQ0ZjEyNzQzNGJhN2JmNjEyZTM0NmRhZWZhNjIiLCJwIjoic2hlZXRzLWppcmEifQ","HWKREPORT-416")</f>
        <v>HWKREPORT-416</v>
      </c>
      <c r="C3060" s="1" t="s">
        <v>4378</v>
      </c>
      <c r="D3060" s="1" t="s">
        <v>23</v>
      </c>
      <c r="E3060" s="1" t="s">
        <v>35</v>
      </c>
      <c r="F3060" s="4">
        <v>44041.09228009259</v>
      </c>
      <c r="G3060" s="3" t="str">
        <f>HYPERLINK("https://hawk-eye.atlassian.net/browse/RTT-2602?atlOrigin=eyJpIjoiYzgwYTQ0ZjEyNzQzNGJhN2JmNjEyZTM0NmRhZWZhNjIiLCJwIjoic2hlZXRzLWppcmEifQ","RTT-2602")</f>
        <v>RTT-2602</v>
      </c>
      <c r="H3060" s="1" t="s">
        <v>1058</v>
      </c>
      <c r="I3060" s="1" t="s">
        <v>1071</v>
      </c>
      <c r="J3060" s="1" t="s">
        <v>26</v>
      </c>
      <c r="K3060" s="1" t="s">
        <v>1072</v>
      </c>
      <c r="L3060" s="1" t="s">
        <v>26</v>
      </c>
      <c r="M3060" s="1" t="s">
        <v>27</v>
      </c>
      <c r="N3060" s="1" t="s">
        <v>26</v>
      </c>
      <c r="O3060" s="1" t="s">
        <v>26</v>
      </c>
      <c r="P3060" s="4">
        <v>44068.79723379629</v>
      </c>
    </row>
    <row r="3061" hidden="1">
      <c r="A3061" s="1" t="s">
        <v>1055</v>
      </c>
      <c r="B3061" s="3" t="str">
        <f>HYPERLINK("https://hawk-eye.atlassian.net/browse/HWKREPORT-417?atlOrigin=eyJpIjoiYzgwYTQ0ZjEyNzQzNGJhN2JmNjEyZTM0NmRhZWZhNjIiLCJwIjoic2hlZXRzLWppcmEifQ","HWKREPORT-417")</f>
        <v>HWKREPORT-417</v>
      </c>
      <c r="C3061" s="1" t="s">
        <v>4379</v>
      </c>
      <c r="D3061" s="1" t="s">
        <v>23</v>
      </c>
      <c r="E3061" s="1" t="s">
        <v>35</v>
      </c>
      <c r="F3061" s="4">
        <v>44041.22670138889</v>
      </c>
      <c r="G3061" s="3" t="str">
        <f>HYPERLINK("https://hawk-eye.atlassian.net/browse/RTT-2592?atlOrigin=eyJpIjoiYzgwYTQ0ZjEyNzQzNGJhN2JmNjEyZTM0NmRhZWZhNjIiLCJwIjoic2hlZXRzLWppcmEifQ","RTT-2592")</f>
        <v>RTT-2592</v>
      </c>
      <c r="H3061" s="1" t="s">
        <v>1058</v>
      </c>
      <c r="I3061" s="1" t="s">
        <v>1071</v>
      </c>
      <c r="J3061" s="1" t="s">
        <v>26</v>
      </c>
      <c r="K3061" s="1" t="s">
        <v>1312</v>
      </c>
      <c r="L3061" s="1" t="s">
        <v>26</v>
      </c>
      <c r="M3061" s="1" t="s">
        <v>27</v>
      </c>
      <c r="N3061" s="1" t="s">
        <v>26</v>
      </c>
      <c r="O3061" s="1" t="s">
        <v>26</v>
      </c>
      <c r="P3061" s="4">
        <v>44600.874548611115</v>
      </c>
    </row>
    <row r="3062" hidden="1">
      <c r="A3062" s="1" t="s">
        <v>21</v>
      </c>
      <c r="B3062" s="3" t="str">
        <f>HYPERLINK("https://hawk-eye.atlassian.net/browse/HWKREPORT-418?atlOrigin=eyJpIjoiYzgwYTQ0ZjEyNzQzNGJhN2JmNjEyZTM0NmRhZWZhNjIiLCJwIjoic2hlZXRzLWppcmEifQ","HWKREPORT-418")</f>
        <v>HWKREPORT-418</v>
      </c>
      <c r="C3062" s="1" t="s">
        <v>4380</v>
      </c>
      <c r="D3062" s="1" t="s">
        <v>23</v>
      </c>
      <c r="E3062" s="1" t="s">
        <v>35</v>
      </c>
      <c r="F3062" s="4">
        <v>44041.84480324074</v>
      </c>
      <c r="G3062" s="3" t="str">
        <f>HYPERLINK("https://hawk-eye.atlassian.net/browse/BDS-386?atlOrigin=eyJpIjoiYzgwYTQ0ZjEyNzQzNGJhN2JmNjEyZTM0NmRhZWZhNjIiLCJwIjoic2hlZXRzLWppcmEifQ","BDS-386")</f>
        <v>BDS-386</v>
      </c>
      <c r="H3062" s="1" t="s">
        <v>1058</v>
      </c>
      <c r="I3062" s="1" t="s">
        <v>1071</v>
      </c>
      <c r="J3062" s="1" t="s">
        <v>26</v>
      </c>
      <c r="K3062" s="1" t="s">
        <v>1072</v>
      </c>
      <c r="L3062" s="1" t="s">
        <v>26</v>
      </c>
      <c r="M3062" s="1" t="s">
        <v>27</v>
      </c>
      <c r="N3062" s="1" t="s">
        <v>26</v>
      </c>
      <c r="O3062" s="1" t="s">
        <v>26</v>
      </c>
      <c r="P3062" s="4">
        <v>44062.652719907404</v>
      </c>
    </row>
    <row r="3063" hidden="1">
      <c r="A3063" s="1" t="s">
        <v>21</v>
      </c>
      <c r="B3063" s="3" t="str">
        <f>HYPERLINK("https://hawk-eye.atlassian.net/browse/HWKREPORT-419?atlOrigin=eyJpIjoiYzgwYTQ0ZjEyNzQzNGJhN2JmNjEyZTM0NmRhZWZhNjIiLCJwIjoic2hlZXRzLWppcmEifQ","HWKREPORT-419")</f>
        <v>HWKREPORT-419</v>
      </c>
      <c r="C3063" s="1" t="s">
        <v>4381</v>
      </c>
      <c r="D3063" s="1" t="s">
        <v>23</v>
      </c>
      <c r="E3063" s="1" t="s">
        <v>35</v>
      </c>
      <c r="F3063" s="4">
        <v>44042.11880787037</v>
      </c>
      <c r="G3063" s="3" t="str">
        <f>HYPERLINK("https://hawk-eye.atlassian.net/browse/RTT-2601?atlOrigin=eyJpIjoiYzgwYTQ0ZjEyNzQzNGJhN2JmNjEyZTM0NmRhZWZhNjIiLCJwIjoic2hlZXRzLWppcmEifQ","RTT-2601")</f>
        <v>RTT-2601</v>
      </c>
      <c r="H3063" s="1" t="s">
        <v>1058</v>
      </c>
      <c r="I3063" s="1" t="s">
        <v>1071</v>
      </c>
      <c r="J3063" s="1" t="s">
        <v>26</v>
      </c>
      <c r="K3063" s="1" t="s">
        <v>1072</v>
      </c>
      <c r="L3063" s="1" t="s">
        <v>26</v>
      </c>
      <c r="M3063" s="1" t="s">
        <v>27</v>
      </c>
      <c r="N3063" s="1" t="s">
        <v>26</v>
      </c>
      <c r="O3063" s="1" t="s">
        <v>26</v>
      </c>
      <c r="P3063" s="4">
        <v>44068.7974537037</v>
      </c>
    </row>
    <row r="3064" hidden="1">
      <c r="A3064" s="1" t="s">
        <v>21</v>
      </c>
      <c r="B3064" s="3" t="str">
        <f>HYPERLINK("https://hawk-eye.atlassian.net/browse/HWKREPORT-420?atlOrigin=eyJpIjoiYzgwYTQ0ZjEyNzQzNGJhN2JmNjEyZTM0NmRhZWZhNjIiLCJwIjoic2hlZXRzLWppcmEifQ","HWKREPORT-420")</f>
        <v>HWKREPORT-420</v>
      </c>
      <c r="C3064" s="1" t="s">
        <v>3806</v>
      </c>
      <c r="D3064" s="1" t="s">
        <v>23</v>
      </c>
      <c r="E3064" s="1" t="s">
        <v>35</v>
      </c>
      <c r="F3064" s="4">
        <v>44042.545590277776</v>
      </c>
      <c r="G3064" s="3" t="str">
        <f>HYPERLINK("https://hawk-eye.atlassian.net/browse/RTT-2609?atlOrigin=eyJpIjoiYzgwYTQ0ZjEyNzQzNGJhN2JmNjEyZTM0NmRhZWZhNjIiLCJwIjoic2hlZXRzLWppcmEifQ","RTT-2609")</f>
        <v>RTT-2609</v>
      </c>
      <c r="H3064" s="1" t="s">
        <v>1058</v>
      </c>
      <c r="I3064" s="1" t="s">
        <v>1071</v>
      </c>
      <c r="J3064" s="1" t="s">
        <v>26</v>
      </c>
      <c r="K3064" s="1" t="s">
        <v>1099</v>
      </c>
      <c r="L3064" s="1" t="s">
        <v>26</v>
      </c>
      <c r="M3064" s="1" t="s">
        <v>27</v>
      </c>
      <c r="N3064" s="1" t="s">
        <v>26</v>
      </c>
      <c r="O3064" s="1" t="s">
        <v>26</v>
      </c>
      <c r="P3064" s="4">
        <v>44600.875081018516</v>
      </c>
    </row>
    <row r="3065" hidden="1">
      <c r="A3065" s="1" t="s">
        <v>21</v>
      </c>
      <c r="B3065" s="3" t="str">
        <f>HYPERLINK("https://hawk-eye.atlassian.net/browse/HWKREPORT-421?atlOrigin=eyJpIjoiYzgwYTQ0ZjEyNzQzNGJhN2JmNjEyZTM0NmRhZWZhNjIiLCJwIjoic2hlZXRzLWppcmEifQ","HWKREPORT-421")</f>
        <v>HWKREPORT-421</v>
      </c>
      <c r="C3065" s="1" t="s">
        <v>4382</v>
      </c>
      <c r="D3065" s="1" t="s">
        <v>23</v>
      </c>
      <c r="E3065" s="1" t="s">
        <v>35</v>
      </c>
      <c r="F3065" s="4">
        <v>44042.547002314815</v>
      </c>
      <c r="G3065" s="3" t="str">
        <f>HYPERLINK("https://hawk-eye.atlassian.net/issues/?atlOrigin=eyJpIjoiYzgwYTQ0ZjEyNzQzNGJhN2JmNjEyZTM0NmRhZWZhNjIiLCJwIjoic2hlZXRzLWppcmEifQ&amp;jql=key+in+%28RTT-2608%2CMLB-106%29","RTT-2608;MLB-106")</f>
        <v>RTT-2608;MLB-106</v>
      </c>
      <c r="H3065" s="1" t="s">
        <v>1058</v>
      </c>
      <c r="I3065" s="1" t="s">
        <v>1071</v>
      </c>
      <c r="J3065" s="1" t="s">
        <v>26</v>
      </c>
      <c r="K3065" s="1" t="s">
        <v>1099</v>
      </c>
      <c r="L3065" s="1" t="s">
        <v>26</v>
      </c>
      <c r="M3065" s="1" t="s">
        <v>27</v>
      </c>
      <c r="N3065" s="1" t="s">
        <v>26</v>
      </c>
      <c r="O3065" s="1" t="s">
        <v>26</v>
      </c>
      <c r="P3065" s="4">
        <v>44068.797418981485</v>
      </c>
    </row>
    <row r="3066" hidden="1">
      <c r="A3066" s="1" t="s">
        <v>21</v>
      </c>
      <c r="B3066" s="3" t="str">
        <f>HYPERLINK("https://hawk-eye.atlassian.net/browse/HWKREPORT-422?atlOrigin=eyJpIjoiYzgwYTQ0ZjEyNzQzNGJhN2JmNjEyZTM0NmRhZWZhNjIiLCJwIjoic2hlZXRzLWppcmEifQ","HWKREPORT-422")</f>
        <v>HWKREPORT-422</v>
      </c>
      <c r="C3066" s="1" t="s">
        <v>4383</v>
      </c>
      <c r="D3066" s="1" t="s">
        <v>23</v>
      </c>
      <c r="E3066" s="1" t="s">
        <v>35</v>
      </c>
      <c r="F3066" s="4">
        <v>44042.55563657408</v>
      </c>
      <c r="G3066" s="3" t="str">
        <f>HYPERLINK("https://hawk-eye.atlassian.net/browse/RTT-2607?atlOrigin=eyJpIjoiYzgwYTQ0ZjEyNzQzNGJhN2JmNjEyZTM0NmRhZWZhNjIiLCJwIjoic2hlZXRzLWppcmEifQ","RTT-2607")</f>
        <v>RTT-2607</v>
      </c>
      <c r="H3066" s="1" t="s">
        <v>1058</v>
      </c>
      <c r="I3066" s="1" t="s">
        <v>1071</v>
      </c>
      <c r="J3066" s="1" t="s">
        <v>26</v>
      </c>
      <c r="K3066" s="1" t="s">
        <v>1072</v>
      </c>
      <c r="L3066" s="1" t="s">
        <v>26</v>
      </c>
      <c r="M3066" s="1" t="s">
        <v>27</v>
      </c>
      <c r="N3066" s="1" t="s">
        <v>26</v>
      </c>
      <c r="O3066" s="1" t="s">
        <v>26</v>
      </c>
      <c r="P3066" s="4">
        <v>44068.797430555554</v>
      </c>
    </row>
    <row r="3067" hidden="1">
      <c r="A3067" s="1" t="s">
        <v>1055</v>
      </c>
      <c r="B3067" s="3" t="str">
        <f>HYPERLINK("https://hawk-eye.atlassian.net/browse/HWKREPORT-423?atlOrigin=eyJpIjoiYzgwYTQ0ZjEyNzQzNGJhN2JmNjEyZTM0NmRhZWZhNjIiLCJwIjoic2hlZXRzLWppcmEifQ","HWKREPORT-423")</f>
        <v>HWKREPORT-423</v>
      </c>
      <c r="C3067" s="1" t="s">
        <v>4384</v>
      </c>
      <c r="D3067" s="1" t="s">
        <v>23</v>
      </c>
      <c r="E3067" s="1" t="s">
        <v>35</v>
      </c>
      <c r="F3067" s="4">
        <v>44042.580613425926</v>
      </c>
      <c r="G3067" s="3" t="str">
        <f>HYPERLINK("https://hawk-eye.atlassian.net/browse/RTT-2610?atlOrigin=eyJpIjoiYzgwYTQ0ZjEyNzQzNGJhN2JmNjEyZTM0NmRhZWZhNjIiLCJwIjoic2hlZXRzLWppcmEifQ","RTT-2610")</f>
        <v>RTT-2610</v>
      </c>
      <c r="H3067" s="1" t="s">
        <v>1058</v>
      </c>
      <c r="I3067" s="1" t="s">
        <v>1071</v>
      </c>
      <c r="J3067" s="1" t="s">
        <v>26</v>
      </c>
      <c r="K3067" s="1" t="s">
        <v>4385</v>
      </c>
      <c r="L3067" s="1" t="s">
        <v>26</v>
      </c>
      <c r="M3067" s="1" t="s">
        <v>27</v>
      </c>
      <c r="N3067" s="1" t="s">
        <v>26</v>
      </c>
      <c r="O3067" s="1" t="s">
        <v>26</v>
      </c>
      <c r="P3067" s="4">
        <v>44068.79756944445</v>
      </c>
    </row>
    <row r="3068" hidden="1">
      <c r="A3068" s="1" t="s">
        <v>21</v>
      </c>
      <c r="B3068" s="3" t="str">
        <f>HYPERLINK("https://hawk-eye.atlassian.net/browse/HWKREPORT-424?atlOrigin=eyJpIjoiYzgwYTQ0ZjEyNzQzNGJhN2JmNjEyZTM0NmRhZWZhNjIiLCJwIjoic2hlZXRzLWppcmEifQ","HWKREPORT-424")</f>
        <v>HWKREPORT-424</v>
      </c>
      <c r="C3068" s="1" t="s">
        <v>4386</v>
      </c>
      <c r="D3068" s="1" t="s">
        <v>23</v>
      </c>
      <c r="E3068" s="1" t="s">
        <v>35</v>
      </c>
      <c r="F3068" s="4">
        <v>44042.67380787037</v>
      </c>
      <c r="G3068" s="3" t="str">
        <f>HYPERLINK("https://hawk-eye.atlassian.net/browse/RTT-2616?atlOrigin=eyJpIjoiYzgwYTQ0ZjEyNzQzNGJhN2JmNjEyZTM0NmRhZWZhNjIiLCJwIjoic2hlZXRzLWppcmEifQ","RTT-2616")</f>
        <v>RTT-2616</v>
      </c>
      <c r="H3068" s="1" t="s">
        <v>1058</v>
      </c>
      <c r="I3068" s="1" t="s">
        <v>1071</v>
      </c>
      <c r="J3068" s="1" t="s">
        <v>26</v>
      </c>
      <c r="K3068" s="1" t="s">
        <v>2197</v>
      </c>
      <c r="L3068" s="1" t="s">
        <v>26</v>
      </c>
      <c r="M3068" s="1" t="s">
        <v>27</v>
      </c>
      <c r="N3068" s="1" t="s">
        <v>26</v>
      </c>
      <c r="O3068" s="1" t="s">
        <v>26</v>
      </c>
      <c r="P3068" s="4">
        <v>44068.79752314815</v>
      </c>
    </row>
    <row r="3069" hidden="1">
      <c r="A3069" s="1" t="s">
        <v>21</v>
      </c>
      <c r="B3069" s="3" t="str">
        <f>HYPERLINK("https://hawk-eye.atlassian.net/browse/HWKREPORT-425?atlOrigin=eyJpIjoiYzgwYTQ0ZjEyNzQzNGJhN2JmNjEyZTM0NmRhZWZhNjIiLCJwIjoic2hlZXRzLWppcmEifQ","HWKREPORT-425")</f>
        <v>HWKREPORT-425</v>
      </c>
      <c r="C3069" s="1" t="s">
        <v>4387</v>
      </c>
      <c r="D3069" s="1" t="s">
        <v>23</v>
      </c>
      <c r="E3069" s="1" t="s">
        <v>35</v>
      </c>
      <c r="F3069" s="4">
        <v>44042.84758101852</v>
      </c>
      <c r="G3069" s="3" t="str">
        <f>HYPERLINK("https://hawk-eye.atlassian.net/browse/RTT-2615?atlOrigin=eyJpIjoiYzgwYTQ0ZjEyNzQzNGJhN2JmNjEyZTM0NmRhZWZhNjIiLCJwIjoic2hlZXRzLWppcmEifQ","RTT-2615")</f>
        <v>RTT-2615</v>
      </c>
      <c r="H3069" s="1" t="s">
        <v>1058</v>
      </c>
      <c r="I3069" s="1" t="s">
        <v>1071</v>
      </c>
      <c r="J3069" s="1" t="s">
        <v>26</v>
      </c>
      <c r="K3069" s="1" t="s">
        <v>1072</v>
      </c>
      <c r="L3069" s="1" t="s">
        <v>26</v>
      </c>
      <c r="M3069" s="1" t="s">
        <v>27</v>
      </c>
      <c r="N3069" s="1" t="s">
        <v>26</v>
      </c>
      <c r="O3069" s="1" t="s">
        <v>26</v>
      </c>
      <c r="P3069" s="4">
        <v>44068.79752314815</v>
      </c>
    </row>
    <row r="3070" hidden="1">
      <c r="A3070" s="1" t="s">
        <v>21</v>
      </c>
      <c r="B3070" s="3" t="str">
        <f>HYPERLINK("https://hawk-eye.atlassian.net/browse/HWKREPORT-426?atlOrigin=eyJpIjoiYzgwYTQ0ZjEyNzQzNGJhN2JmNjEyZTM0NmRhZWZhNjIiLCJwIjoic2hlZXRzLWppcmEifQ","HWKREPORT-426")</f>
        <v>HWKREPORT-426</v>
      </c>
      <c r="C3070" s="1" t="s">
        <v>4388</v>
      </c>
      <c r="D3070" s="1" t="s">
        <v>23</v>
      </c>
      <c r="E3070" s="1" t="s">
        <v>35</v>
      </c>
      <c r="F3070" s="4">
        <v>44042.855532407404</v>
      </c>
      <c r="G3070" s="3" t="str">
        <f>HYPERLINK("https://hawk-eye.atlassian.net/browse/RTT-2633?atlOrigin=eyJpIjoiYzgwYTQ0ZjEyNzQzNGJhN2JmNjEyZTM0NmRhZWZhNjIiLCJwIjoic2hlZXRzLWppcmEifQ","RTT-2633")</f>
        <v>RTT-2633</v>
      </c>
      <c r="H3070" s="1" t="s">
        <v>1058</v>
      </c>
      <c r="I3070" s="1" t="s">
        <v>1071</v>
      </c>
      <c r="J3070" s="1" t="s">
        <v>26</v>
      </c>
      <c r="K3070" s="1" t="s">
        <v>1099</v>
      </c>
      <c r="L3070" s="1" t="s">
        <v>26</v>
      </c>
      <c r="M3070" s="1" t="s">
        <v>27</v>
      </c>
      <c r="N3070" s="1" t="s">
        <v>26</v>
      </c>
      <c r="O3070" s="1" t="s">
        <v>26</v>
      </c>
      <c r="P3070" s="4">
        <v>44068.79752314815</v>
      </c>
    </row>
    <row r="3071" hidden="1">
      <c r="A3071" s="1" t="s">
        <v>21</v>
      </c>
      <c r="B3071" s="3" t="str">
        <f>HYPERLINK("https://hawk-eye.atlassian.net/browse/HWKREPORT-427?atlOrigin=eyJpIjoiYzgwYTQ0ZjEyNzQzNGJhN2JmNjEyZTM0NmRhZWZhNjIiLCJwIjoic2hlZXRzLWppcmEifQ","HWKREPORT-427")</f>
        <v>HWKREPORT-427</v>
      </c>
      <c r="C3071" s="1" t="s">
        <v>4389</v>
      </c>
      <c r="D3071" s="1" t="s">
        <v>23</v>
      </c>
      <c r="E3071" s="1" t="s">
        <v>35</v>
      </c>
      <c r="F3071" s="4">
        <v>44043.054236111115</v>
      </c>
      <c r="G3071" s="3" t="str">
        <f>HYPERLINK("https://hawk-eye.atlassian.net/browse/RTT-2614?atlOrigin=eyJpIjoiYzgwYTQ0ZjEyNzQzNGJhN2JmNjEyZTM0NmRhZWZhNjIiLCJwIjoic2hlZXRzLWppcmEifQ","RTT-2614")</f>
        <v>RTT-2614</v>
      </c>
      <c r="H3071" s="1" t="s">
        <v>1058</v>
      </c>
      <c r="I3071" s="1" t="s">
        <v>1071</v>
      </c>
      <c r="J3071" s="1" t="s">
        <v>26</v>
      </c>
      <c r="K3071" s="1" t="s">
        <v>1099</v>
      </c>
      <c r="L3071" s="1" t="s">
        <v>26</v>
      </c>
      <c r="M3071" s="1" t="s">
        <v>27</v>
      </c>
      <c r="N3071" s="1" t="s">
        <v>26</v>
      </c>
      <c r="O3071" s="1" t="s">
        <v>26</v>
      </c>
      <c r="P3071" s="4">
        <v>44644.64686342593</v>
      </c>
    </row>
    <row r="3072" hidden="1">
      <c r="A3072" s="1" t="s">
        <v>21</v>
      </c>
      <c r="B3072" s="3" t="str">
        <f>HYPERLINK("https://hawk-eye.atlassian.net/browse/HWKREPORT-428?atlOrigin=eyJpIjoiYzgwYTQ0ZjEyNzQzNGJhN2JmNjEyZTM0NmRhZWZhNjIiLCJwIjoic2hlZXRzLWppcmEifQ","HWKREPORT-428")</f>
        <v>HWKREPORT-428</v>
      </c>
      <c r="C3072" s="1" t="s">
        <v>4390</v>
      </c>
      <c r="D3072" s="1" t="s">
        <v>23</v>
      </c>
      <c r="E3072" s="1" t="s">
        <v>35</v>
      </c>
      <c r="F3072" s="4">
        <v>44043.0821875</v>
      </c>
      <c r="G3072" s="3" t="str">
        <f>HYPERLINK("https://hawk-eye.atlassian.net/browse/RTT-2618?atlOrigin=eyJpIjoiYzgwYTQ0ZjEyNzQzNGJhN2JmNjEyZTM0NmRhZWZhNjIiLCJwIjoic2hlZXRzLWppcmEifQ","RTT-2618")</f>
        <v>RTT-2618</v>
      </c>
      <c r="H3072" s="1" t="s">
        <v>1058</v>
      </c>
      <c r="I3072" s="1" t="s">
        <v>1071</v>
      </c>
      <c r="J3072" s="1" t="s">
        <v>26</v>
      </c>
      <c r="K3072" s="1" t="s">
        <v>1072</v>
      </c>
      <c r="L3072" s="1" t="s">
        <v>26</v>
      </c>
      <c r="M3072" s="1" t="s">
        <v>27</v>
      </c>
      <c r="N3072" s="1" t="s">
        <v>26</v>
      </c>
      <c r="O3072" s="1" t="s">
        <v>26</v>
      </c>
      <c r="P3072" s="4">
        <v>44068.7975</v>
      </c>
    </row>
    <row r="3073" hidden="1">
      <c r="A3073" s="1" t="s">
        <v>21</v>
      </c>
      <c r="B3073" s="3" t="str">
        <f>HYPERLINK("https://hawk-eye.atlassian.net/browse/HWKREPORT-429?atlOrigin=eyJpIjoiYzgwYTQ0ZjEyNzQzNGJhN2JmNjEyZTM0NmRhZWZhNjIiLCJwIjoic2hlZXRzLWppcmEifQ","HWKREPORT-429")</f>
        <v>HWKREPORT-429</v>
      </c>
      <c r="C3073" s="1" t="s">
        <v>4391</v>
      </c>
      <c r="D3073" s="1" t="s">
        <v>23</v>
      </c>
      <c r="E3073" s="1" t="s">
        <v>35</v>
      </c>
      <c r="F3073" s="4">
        <v>44043.11436342593</v>
      </c>
      <c r="G3073" s="3" t="str">
        <f>HYPERLINK("https://hawk-eye.atlassian.net/browse/RTT-2613?atlOrigin=eyJpIjoiYzgwYTQ0ZjEyNzQzNGJhN2JmNjEyZTM0NmRhZWZhNjIiLCJwIjoic2hlZXRzLWppcmEifQ","RTT-2613")</f>
        <v>RTT-2613</v>
      </c>
      <c r="H3073" s="1" t="s">
        <v>1058</v>
      </c>
      <c r="I3073" s="1" t="s">
        <v>1071</v>
      </c>
      <c r="J3073" s="1" t="s">
        <v>26</v>
      </c>
      <c r="K3073" s="1" t="s">
        <v>1072</v>
      </c>
      <c r="L3073" s="1" t="s">
        <v>26</v>
      </c>
      <c r="M3073" s="1" t="s">
        <v>27</v>
      </c>
      <c r="N3073" s="1" t="s">
        <v>26</v>
      </c>
      <c r="O3073" s="1" t="s">
        <v>26</v>
      </c>
      <c r="P3073" s="4">
        <v>44068.797488425924</v>
      </c>
    </row>
    <row r="3074" hidden="1">
      <c r="A3074" s="1" t="s">
        <v>21</v>
      </c>
      <c r="B3074" s="3" t="str">
        <f>HYPERLINK("https://hawk-eye.atlassian.net/browse/HWKREPORT-430?atlOrigin=eyJpIjoiYzgwYTQ0ZjEyNzQzNGJhN2JmNjEyZTM0NmRhZWZhNjIiLCJwIjoic2hlZXRzLWppcmEifQ","HWKREPORT-430")</f>
        <v>HWKREPORT-430</v>
      </c>
      <c r="C3074" s="1" t="s">
        <v>4392</v>
      </c>
      <c r="D3074" s="1" t="s">
        <v>23</v>
      </c>
      <c r="E3074" s="1" t="s">
        <v>35</v>
      </c>
      <c r="F3074" s="4">
        <v>44043.48798611111</v>
      </c>
      <c r="G3074" s="3" t="str">
        <f>HYPERLINK("https://hawk-eye.atlassian.net/browse/RTT-2658?atlOrigin=eyJpIjoiYzgwYTQ0ZjEyNzQzNGJhN2JmNjEyZTM0NmRhZWZhNjIiLCJwIjoic2hlZXRzLWppcmEifQ","RTT-2658")</f>
        <v>RTT-2658</v>
      </c>
      <c r="H3074" s="1" t="s">
        <v>1058</v>
      </c>
      <c r="I3074" s="1" t="s">
        <v>1126</v>
      </c>
      <c r="J3074" s="1" t="s">
        <v>26</v>
      </c>
      <c r="K3074" s="1" t="s">
        <v>1309</v>
      </c>
      <c r="L3074" s="1" t="s">
        <v>26</v>
      </c>
      <c r="M3074" s="1" t="s">
        <v>27</v>
      </c>
      <c r="N3074" s="1" t="s">
        <v>26</v>
      </c>
      <c r="O3074" s="1" t="s">
        <v>26</v>
      </c>
      <c r="P3074" s="4">
        <v>44600.87489583333</v>
      </c>
    </row>
    <row r="3075" hidden="1">
      <c r="A3075" s="1" t="s">
        <v>21</v>
      </c>
      <c r="B3075" s="3" t="str">
        <f>HYPERLINK("https://hawk-eye.atlassian.net/browse/HWKREPORT-431?atlOrigin=eyJpIjoiYzgwYTQ0ZjEyNzQzNGJhN2JmNjEyZTM0NmRhZWZhNjIiLCJwIjoic2hlZXRzLWppcmEifQ","HWKREPORT-431")</f>
        <v>HWKREPORT-431</v>
      </c>
      <c r="C3075" s="1" t="s">
        <v>4393</v>
      </c>
      <c r="D3075" s="1" t="s">
        <v>34</v>
      </c>
      <c r="E3075" s="1" t="s">
        <v>35</v>
      </c>
      <c r="F3075" s="4">
        <v>44043.491215277776</v>
      </c>
      <c r="G3075" s="3" t="str">
        <f>HYPERLINK("https://hawk-eye.atlassian.net/browse/RTT-2663?atlOrigin=eyJpIjoiYzgwYTQ0ZjEyNzQzNGJhN2JmNjEyZTM0NmRhZWZhNjIiLCJwIjoic2hlZXRzLWppcmEifQ","RTT-2663")</f>
        <v>RTT-2663</v>
      </c>
      <c r="H3075" s="1" t="s">
        <v>1058</v>
      </c>
      <c r="I3075" s="1" t="s">
        <v>1126</v>
      </c>
      <c r="J3075" s="1" t="s">
        <v>26</v>
      </c>
      <c r="K3075" s="1" t="s">
        <v>1309</v>
      </c>
      <c r="L3075" s="1" t="s">
        <v>26</v>
      </c>
      <c r="M3075" s="1" t="s">
        <v>27</v>
      </c>
      <c r="N3075" s="1" t="s">
        <v>26</v>
      </c>
      <c r="O3075" s="1" t="s">
        <v>26</v>
      </c>
      <c r="P3075" s="4">
        <v>44600.87489583333</v>
      </c>
    </row>
    <row r="3076" hidden="1">
      <c r="A3076" s="1" t="s">
        <v>21</v>
      </c>
      <c r="B3076" s="3" t="str">
        <f>HYPERLINK("https://hawk-eye.atlassian.net/browse/HWKREPORT-432?atlOrigin=eyJpIjoiYzgwYTQ0ZjEyNzQzNGJhN2JmNjEyZTM0NmRhZWZhNjIiLCJwIjoic2hlZXRzLWppcmEifQ","HWKREPORT-432")</f>
        <v>HWKREPORT-432</v>
      </c>
      <c r="C3076" s="1" t="s">
        <v>4394</v>
      </c>
      <c r="D3076" s="1" t="s">
        <v>34</v>
      </c>
      <c r="E3076" s="1" t="s">
        <v>35</v>
      </c>
      <c r="F3076" s="4">
        <v>44043.50855324074</v>
      </c>
      <c r="G3076" s="3" t="str">
        <f>HYPERLINK("https://hawk-eye.atlassian.net/browse/RTT-2664?atlOrigin=eyJpIjoiYzgwYTQ0ZjEyNzQzNGJhN2JmNjEyZTM0NmRhZWZhNjIiLCJwIjoic2hlZXRzLWppcmEifQ","RTT-2664")</f>
        <v>RTT-2664</v>
      </c>
      <c r="H3076" s="1" t="s">
        <v>1058</v>
      </c>
      <c r="I3076" s="1" t="s">
        <v>1126</v>
      </c>
      <c r="J3076" s="1" t="s">
        <v>26</v>
      </c>
      <c r="K3076" s="1" t="s">
        <v>1309</v>
      </c>
      <c r="L3076" s="1" t="s">
        <v>26</v>
      </c>
      <c r="M3076" s="1" t="s">
        <v>27</v>
      </c>
      <c r="N3076" s="1" t="s">
        <v>26</v>
      </c>
      <c r="O3076" s="1" t="s">
        <v>26</v>
      </c>
      <c r="P3076" s="4">
        <v>44600.87490740741</v>
      </c>
    </row>
    <row r="3077" hidden="1">
      <c r="A3077" s="1" t="s">
        <v>21</v>
      </c>
      <c r="B3077" s="3" t="str">
        <f>HYPERLINK("https://hawk-eye.atlassian.net/browse/HWKREPORT-433?atlOrigin=eyJpIjoiYzgwYTQ0ZjEyNzQzNGJhN2JmNjEyZTM0NmRhZWZhNjIiLCJwIjoic2hlZXRzLWppcmEifQ","HWKREPORT-433")</f>
        <v>HWKREPORT-433</v>
      </c>
      <c r="C3077" s="1" t="s">
        <v>4395</v>
      </c>
      <c r="D3077" s="1" t="s">
        <v>23</v>
      </c>
      <c r="E3077" s="1" t="s">
        <v>35</v>
      </c>
      <c r="F3077" s="4">
        <v>44043.510775462964</v>
      </c>
      <c r="G3077" s="3" t="str">
        <f>HYPERLINK("https://hawk-eye.atlassian.net/browse/RTT-2659?atlOrigin=eyJpIjoiYzgwYTQ0ZjEyNzQzNGJhN2JmNjEyZTM0NmRhZWZhNjIiLCJwIjoic2hlZXRzLWppcmEifQ","RTT-2659")</f>
        <v>RTT-2659</v>
      </c>
      <c r="H3077" s="1" t="s">
        <v>1058</v>
      </c>
      <c r="I3077" s="1" t="s">
        <v>1126</v>
      </c>
      <c r="J3077" s="1" t="s">
        <v>26</v>
      </c>
      <c r="K3077" s="1" t="s">
        <v>1309</v>
      </c>
      <c r="L3077" s="1" t="s">
        <v>26</v>
      </c>
      <c r="M3077" s="1" t="s">
        <v>27</v>
      </c>
      <c r="N3077" s="1" t="s">
        <v>26</v>
      </c>
      <c r="O3077" s="1" t="s">
        <v>26</v>
      </c>
      <c r="P3077" s="4">
        <v>44600.87489583333</v>
      </c>
    </row>
    <row r="3078" hidden="1">
      <c r="A3078" s="1" t="s">
        <v>21</v>
      </c>
      <c r="B3078" s="3" t="str">
        <f>HYPERLINK("https://hawk-eye.atlassian.net/browse/HWKREPORT-434?atlOrigin=eyJpIjoiYzgwYTQ0ZjEyNzQzNGJhN2JmNjEyZTM0NmRhZWZhNjIiLCJwIjoic2hlZXRzLWppcmEifQ","HWKREPORT-434")</f>
        <v>HWKREPORT-434</v>
      </c>
      <c r="C3078" s="1" t="s">
        <v>4396</v>
      </c>
      <c r="D3078" s="1" t="s">
        <v>23</v>
      </c>
      <c r="E3078" s="1" t="s">
        <v>35</v>
      </c>
      <c r="F3078" s="4">
        <v>44043.51684027778</v>
      </c>
      <c r="G3078" s="3" t="str">
        <f>HYPERLINK("https://hawk-eye.atlassian.net/browse/RTT-2660?atlOrigin=eyJpIjoiYzgwYTQ0ZjEyNzQzNGJhN2JmNjEyZTM0NmRhZWZhNjIiLCJwIjoic2hlZXRzLWppcmEifQ","RTT-2660")</f>
        <v>RTT-2660</v>
      </c>
      <c r="H3078" s="1" t="s">
        <v>1058</v>
      </c>
      <c r="I3078" s="1" t="s">
        <v>1126</v>
      </c>
      <c r="J3078" s="1" t="s">
        <v>26</v>
      </c>
      <c r="K3078" s="1" t="s">
        <v>1309</v>
      </c>
      <c r="L3078" s="1" t="s">
        <v>26</v>
      </c>
      <c r="M3078" s="1" t="s">
        <v>27</v>
      </c>
      <c r="N3078" s="1" t="s">
        <v>26</v>
      </c>
      <c r="O3078" s="1" t="s">
        <v>26</v>
      </c>
      <c r="P3078" s="4">
        <v>44600.87489583333</v>
      </c>
    </row>
    <row r="3079" hidden="1">
      <c r="A3079" s="1" t="s">
        <v>21</v>
      </c>
      <c r="B3079" s="3" t="str">
        <f>HYPERLINK("https://hawk-eye.atlassian.net/browse/HWKREPORT-435?atlOrigin=eyJpIjoiYzgwYTQ0ZjEyNzQzNGJhN2JmNjEyZTM0NmRhZWZhNjIiLCJwIjoic2hlZXRzLWppcmEifQ","HWKREPORT-435")</f>
        <v>HWKREPORT-435</v>
      </c>
      <c r="C3079" s="1" t="s">
        <v>4397</v>
      </c>
      <c r="D3079" s="1" t="s">
        <v>83</v>
      </c>
      <c r="E3079" s="1" t="s">
        <v>35</v>
      </c>
      <c r="F3079" s="4">
        <v>44043.51939814815</v>
      </c>
      <c r="G3079" s="3" t="str">
        <f>HYPERLINK("https://hawk-eye.atlassian.net/browse/RTT-2661?atlOrigin=eyJpIjoiYzgwYTQ0ZjEyNzQzNGJhN2JmNjEyZTM0NmRhZWZhNjIiLCJwIjoic2hlZXRzLWppcmEifQ","RTT-2661")</f>
        <v>RTT-2661</v>
      </c>
      <c r="H3079" s="1" t="s">
        <v>1058</v>
      </c>
      <c r="I3079" s="1" t="s">
        <v>1126</v>
      </c>
      <c r="J3079" s="1" t="s">
        <v>26</v>
      </c>
      <c r="K3079" s="1" t="s">
        <v>1309</v>
      </c>
      <c r="L3079" s="1" t="s">
        <v>26</v>
      </c>
      <c r="M3079" s="1" t="s">
        <v>27</v>
      </c>
      <c r="N3079" s="1" t="s">
        <v>26</v>
      </c>
      <c r="O3079" s="1" t="s">
        <v>26</v>
      </c>
      <c r="P3079" s="4">
        <v>44600.874872685185</v>
      </c>
    </row>
    <row r="3080" hidden="1">
      <c r="A3080" s="1" t="s">
        <v>21</v>
      </c>
      <c r="B3080" s="3" t="str">
        <f>HYPERLINK("https://hawk-eye.atlassian.net/browse/HWKREPORT-436?atlOrigin=eyJpIjoiYzgwYTQ0ZjEyNzQzNGJhN2JmNjEyZTM0NmRhZWZhNjIiLCJwIjoic2hlZXRzLWppcmEifQ","HWKREPORT-436")</f>
        <v>HWKREPORT-436</v>
      </c>
      <c r="C3080" s="1" t="s">
        <v>4398</v>
      </c>
      <c r="D3080" s="1" t="s">
        <v>23</v>
      </c>
      <c r="E3080" s="1" t="s">
        <v>35</v>
      </c>
      <c r="F3080" s="4">
        <v>44043.54324074074</v>
      </c>
      <c r="G3080" s="3" t="str">
        <f>HYPERLINK("https://hawk-eye.atlassian.net/browse/RTT-2662?atlOrigin=eyJpIjoiYzgwYTQ0ZjEyNzQzNGJhN2JmNjEyZTM0NmRhZWZhNjIiLCJwIjoic2hlZXRzLWppcmEifQ","RTT-2662")</f>
        <v>RTT-2662</v>
      </c>
      <c r="H3080" s="1" t="s">
        <v>1058</v>
      </c>
      <c r="I3080" s="1" t="s">
        <v>1126</v>
      </c>
      <c r="J3080" s="1" t="s">
        <v>26</v>
      </c>
      <c r="K3080" s="1" t="s">
        <v>1309</v>
      </c>
      <c r="L3080" s="1" t="s">
        <v>26</v>
      </c>
      <c r="M3080" s="1" t="s">
        <v>27</v>
      </c>
      <c r="N3080" s="1" t="s">
        <v>26</v>
      </c>
      <c r="O3080" s="1" t="s">
        <v>26</v>
      </c>
      <c r="P3080" s="4">
        <v>44600.87484953704</v>
      </c>
    </row>
    <row r="3081" hidden="1">
      <c r="A3081" s="1" t="s">
        <v>21</v>
      </c>
      <c r="B3081" s="3" t="str">
        <f>HYPERLINK("https://hawk-eye.atlassian.net/browse/HWKREPORT-437?atlOrigin=eyJpIjoiYzgwYTQ0ZjEyNzQzNGJhN2JmNjEyZTM0NmRhZWZhNjIiLCJwIjoic2hlZXRzLWppcmEifQ","HWKREPORT-437")</f>
        <v>HWKREPORT-437</v>
      </c>
      <c r="C3081" s="1" t="s">
        <v>4399</v>
      </c>
      <c r="D3081" s="1" t="s">
        <v>23</v>
      </c>
      <c r="E3081" s="1" t="s">
        <v>35</v>
      </c>
      <c r="F3081" s="4">
        <v>44045.99359953704</v>
      </c>
      <c r="G3081" s="3" t="str">
        <f>HYPERLINK("https://hawk-eye.atlassian.net/browse/?atlOrigin=eyJpIjoiYzgwYTQ0ZjEyNzQzNGJhN2JmNjEyZTM0NmRhZWZhNjIiLCJwIjoic2hlZXRzLWppcmEifQ","")</f>
        <v/>
      </c>
      <c r="H3081" s="1" t="s">
        <v>1058</v>
      </c>
      <c r="I3081" s="1" t="s">
        <v>1071</v>
      </c>
      <c r="J3081" s="1" t="s">
        <v>26</v>
      </c>
      <c r="K3081" s="1" t="s">
        <v>1072</v>
      </c>
      <c r="L3081" s="1" t="s">
        <v>26</v>
      </c>
      <c r="M3081" s="1" t="s">
        <v>27</v>
      </c>
      <c r="N3081" s="1" t="s">
        <v>26</v>
      </c>
      <c r="O3081" s="1" t="s">
        <v>26</v>
      </c>
      <c r="P3081" s="4">
        <v>44046.4906712963</v>
      </c>
    </row>
    <row r="3082" hidden="1">
      <c r="A3082" s="1" t="s">
        <v>21</v>
      </c>
      <c r="B3082" s="3" t="str">
        <f>HYPERLINK("https://hawk-eye.atlassian.net/browse/HWKREPORT-438?atlOrigin=eyJpIjoiYzgwYTQ0ZjEyNzQzNGJhN2JmNjEyZTM0NmRhZWZhNjIiLCJwIjoic2hlZXRzLWppcmEifQ","HWKREPORT-438")</f>
        <v>HWKREPORT-438</v>
      </c>
      <c r="C3082" s="1" t="s">
        <v>4375</v>
      </c>
      <c r="D3082" s="1" t="s">
        <v>40</v>
      </c>
      <c r="E3082" s="1" t="s">
        <v>35</v>
      </c>
      <c r="F3082" s="4">
        <v>44047.07923611111</v>
      </c>
      <c r="G3082" s="3" t="str">
        <f>HYPERLINK("https://hawk-eye.atlassian.net/browse/AL-30?atlOrigin=eyJpIjoiYzgwYTQ0ZjEyNzQzNGJhN2JmNjEyZTM0NmRhZWZhNjIiLCJwIjoic2hlZXRzLWppcmEifQ","AL-30")</f>
        <v>AL-30</v>
      </c>
      <c r="H3082" s="1" t="s">
        <v>1058</v>
      </c>
      <c r="I3082" s="1" t="s">
        <v>1071</v>
      </c>
      <c r="J3082" s="1" t="s">
        <v>26</v>
      </c>
      <c r="K3082" s="1" t="s">
        <v>4281</v>
      </c>
      <c r="L3082" s="1" t="s">
        <v>26</v>
      </c>
      <c r="M3082" s="1" t="s">
        <v>27</v>
      </c>
      <c r="N3082" s="1" t="s">
        <v>26</v>
      </c>
      <c r="O3082" s="1" t="s">
        <v>26</v>
      </c>
      <c r="P3082" s="4">
        <v>44600.87453703704</v>
      </c>
    </row>
    <row r="3083" hidden="1">
      <c r="A3083" s="1" t="s">
        <v>21</v>
      </c>
      <c r="B3083" s="3" t="str">
        <f>HYPERLINK("https://hawk-eye.atlassian.net/browse/HWKREPORT-439?atlOrigin=eyJpIjoiYzgwYTQ0ZjEyNzQzNGJhN2JmNjEyZTM0NmRhZWZhNjIiLCJwIjoic2hlZXRzLWppcmEifQ","HWKREPORT-439")</f>
        <v>HWKREPORT-439</v>
      </c>
      <c r="C3083" s="1" t="s">
        <v>4400</v>
      </c>
      <c r="D3083" s="1" t="s">
        <v>23</v>
      </c>
      <c r="E3083" s="1" t="s">
        <v>35</v>
      </c>
      <c r="F3083" s="4">
        <v>44047.8653587963</v>
      </c>
      <c r="G3083" s="3" t="str">
        <f>HYPERLINK("https://hawk-eye.atlassian.net/browse/RTT-2655?atlOrigin=eyJpIjoiYzgwYTQ0ZjEyNzQzNGJhN2JmNjEyZTM0NmRhZWZhNjIiLCJwIjoic2hlZXRzLWppcmEifQ","RTT-2655")</f>
        <v>RTT-2655</v>
      </c>
      <c r="H3083" s="1" t="s">
        <v>1058</v>
      </c>
      <c r="I3083" s="1" t="s">
        <v>1071</v>
      </c>
      <c r="J3083" s="1" t="s">
        <v>26</v>
      </c>
      <c r="K3083" s="1" t="s">
        <v>1312</v>
      </c>
      <c r="L3083" s="1" t="s">
        <v>26</v>
      </c>
      <c r="M3083" s="1" t="s">
        <v>27</v>
      </c>
      <c r="N3083" s="1" t="s">
        <v>26</v>
      </c>
      <c r="O3083" s="1" t="s">
        <v>26</v>
      </c>
      <c r="P3083" s="4">
        <v>44068.79746527778</v>
      </c>
    </row>
    <row r="3084" hidden="1">
      <c r="A3084" s="1" t="s">
        <v>21</v>
      </c>
      <c r="B3084" s="3" t="str">
        <f>HYPERLINK("https://hawk-eye.atlassian.net/browse/HWKREPORT-440?atlOrigin=eyJpIjoiYzgwYTQ0ZjEyNzQzNGJhN2JmNjEyZTM0NmRhZWZhNjIiLCJwIjoic2hlZXRzLWppcmEifQ","HWKREPORT-440")</f>
        <v>HWKREPORT-440</v>
      </c>
      <c r="C3084" s="1" t="s">
        <v>4401</v>
      </c>
      <c r="D3084" s="1" t="s">
        <v>23</v>
      </c>
      <c r="E3084" s="1" t="s">
        <v>35</v>
      </c>
      <c r="F3084" s="4">
        <v>44047.88829861111</v>
      </c>
      <c r="G3084" s="3" t="str">
        <f>HYPERLINK("https://hawk-eye.atlassian.net/browse/?atlOrigin=eyJpIjoiYzgwYTQ0ZjEyNzQzNGJhN2JmNjEyZTM0NmRhZWZhNjIiLCJwIjoic2hlZXRzLWppcmEifQ","")</f>
        <v/>
      </c>
      <c r="H3084" s="1" t="s">
        <v>1058</v>
      </c>
      <c r="I3084" s="1" t="s">
        <v>1071</v>
      </c>
      <c r="J3084" s="1" t="s">
        <v>26</v>
      </c>
      <c r="K3084" s="1" t="s">
        <v>1312</v>
      </c>
      <c r="L3084" s="1" t="s">
        <v>26</v>
      </c>
      <c r="M3084" s="1" t="s">
        <v>27</v>
      </c>
      <c r="N3084" s="1" t="s">
        <v>26</v>
      </c>
      <c r="O3084" s="1" t="s">
        <v>26</v>
      </c>
      <c r="P3084" s="4">
        <v>44062.65152777778</v>
      </c>
    </row>
    <row r="3085" hidden="1">
      <c r="A3085" s="1" t="s">
        <v>21</v>
      </c>
      <c r="B3085" s="3" t="str">
        <f>HYPERLINK("https://hawk-eye.atlassian.net/browse/HWKREPORT-441?atlOrigin=eyJpIjoiYzgwYTQ0ZjEyNzQzNGJhN2JmNjEyZTM0NmRhZWZhNjIiLCJwIjoic2hlZXRzLWppcmEifQ","HWKREPORT-441")</f>
        <v>HWKREPORT-441</v>
      </c>
      <c r="C3085" s="1" t="s">
        <v>4402</v>
      </c>
      <c r="D3085" s="1" t="s">
        <v>23</v>
      </c>
      <c r="E3085" s="1" t="s">
        <v>35</v>
      </c>
      <c r="F3085" s="4">
        <v>44048.00869212963</v>
      </c>
      <c r="G3085" s="3" t="str">
        <f>HYPERLINK("https://hawk-eye.atlassian.net/browse/RTT-2651?atlOrigin=eyJpIjoiYzgwYTQ0ZjEyNzQzNGJhN2JmNjEyZTM0NmRhZWZhNjIiLCJwIjoic2hlZXRzLWppcmEifQ","RTT-2651")</f>
        <v>RTT-2651</v>
      </c>
      <c r="H3085" s="1" t="s">
        <v>1058</v>
      </c>
      <c r="I3085" s="1" t="s">
        <v>1071</v>
      </c>
      <c r="J3085" s="1" t="s">
        <v>26</v>
      </c>
      <c r="K3085" s="1" t="s">
        <v>1072</v>
      </c>
      <c r="L3085" s="1" t="s">
        <v>26</v>
      </c>
      <c r="M3085" s="1" t="s">
        <v>27</v>
      </c>
      <c r="N3085" s="1" t="s">
        <v>26</v>
      </c>
      <c r="O3085" s="1" t="s">
        <v>26</v>
      </c>
      <c r="P3085" s="4">
        <v>44062.651979166665</v>
      </c>
    </row>
    <row r="3086" hidden="1">
      <c r="A3086" s="1" t="s">
        <v>21</v>
      </c>
      <c r="B3086" s="3" t="str">
        <f>HYPERLINK("https://hawk-eye.atlassian.net/browse/HWKREPORT-444?atlOrigin=eyJpIjoiYzgwYTQ0ZjEyNzQzNGJhN2JmNjEyZTM0NmRhZWZhNjIiLCJwIjoic2hlZXRzLWppcmEifQ","HWKREPORT-444")</f>
        <v>HWKREPORT-444</v>
      </c>
      <c r="C3086" s="1" t="s">
        <v>4403</v>
      </c>
      <c r="D3086" s="1" t="s">
        <v>23</v>
      </c>
      <c r="E3086" s="1" t="s">
        <v>35</v>
      </c>
      <c r="F3086" s="4">
        <v>44050.63199074074</v>
      </c>
      <c r="G3086" s="3" t="str">
        <f>HYPERLINK("https://hawk-eye.atlassian.net/browse/AL-31?atlOrigin=eyJpIjoiYzgwYTQ0ZjEyNzQzNGJhN2JmNjEyZTM0NmRhZWZhNjIiLCJwIjoic2hlZXRzLWppcmEifQ","AL-31")</f>
        <v>AL-31</v>
      </c>
      <c r="H3086" s="1" t="s">
        <v>1058</v>
      </c>
      <c r="I3086" s="1" t="s">
        <v>1071</v>
      </c>
      <c r="J3086" s="1" t="s">
        <v>26</v>
      </c>
      <c r="K3086" s="1" t="s">
        <v>4281</v>
      </c>
      <c r="L3086" s="1" t="s">
        <v>26</v>
      </c>
      <c r="M3086" s="1" t="s">
        <v>27</v>
      </c>
      <c r="N3086" s="1" t="s">
        <v>26</v>
      </c>
      <c r="O3086" s="1" t="s">
        <v>26</v>
      </c>
      <c r="P3086" s="4">
        <v>44068.797488425924</v>
      </c>
    </row>
    <row r="3087" hidden="1">
      <c r="A3087" s="1" t="s">
        <v>21</v>
      </c>
      <c r="B3087" s="3" t="str">
        <f>HYPERLINK("https://hawk-eye.atlassian.net/browse/HWKREPORT-445?atlOrigin=eyJpIjoiYzgwYTQ0ZjEyNzQzNGJhN2JmNjEyZTM0NmRhZWZhNjIiLCJwIjoic2hlZXRzLWppcmEifQ","HWKREPORT-445")</f>
        <v>HWKREPORT-445</v>
      </c>
      <c r="C3087" s="1" t="s">
        <v>4404</v>
      </c>
      <c r="D3087" s="1" t="s">
        <v>34</v>
      </c>
      <c r="E3087" s="1" t="s">
        <v>35</v>
      </c>
      <c r="F3087" s="4">
        <v>44051.153912037036</v>
      </c>
      <c r="G3087" s="3" t="str">
        <f>HYPERLINK("https://hawk-eye.atlassian.net/browse/RTT-2683?atlOrigin=eyJpIjoiYzgwYTQ0ZjEyNzQzNGJhN2JmNjEyZTM0NmRhZWZhNjIiLCJwIjoic2hlZXRzLWppcmEifQ","RTT-2683")</f>
        <v>RTT-2683</v>
      </c>
      <c r="H3087" s="1" t="s">
        <v>1058</v>
      </c>
      <c r="I3087" s="1" t="s">
        <v>1071</v>
      </c>
      <c r="J3087" s="1" t="s">
        <v>26</v>
      </c>
      <c r="K3087" s="1" t="s">
        <v>1099</v>
      </c>
      <c r="L3087" s="1" t="s">
        <v>26</v>
      </c>
      <c r="M3087" s="1" t="s">
        <v>27</v>
      </c>
      <c r="N3087" s="1" t="s">
        <v>26</v>
      </c>
      <c r="O3087" s="1" t="s">
        <v>26</v>
      </c>
      <c r="P3087" s="4">
        <v>44582.4509837963</v>
      </c>
    </row>
    <row r="3088" hidden="1">
      <c r="A3088" s="1" t="s">
        <v>21</v>
      </c>
      <c r="B3088" s="3" t="str">
        <f>HYPERLINK("https://hawk-eye.atlassian.net/browse/HWKREPORT-446?atlOrigin=eyJpIjoiYzgwYTQ0ZjEyNzQzNGJhN2JmNjEyZTM0NmRhZWZhNjIiLCJwIjoic2hlZXRzLWppcmEifQ","HWKREPORT-446")</f>
        <v>HWKREPORT-446</v>
      </c>
      <c r="C3088" s="1" t="s">
        <v>4405</v>
      </c>
      <c r="D3088" s="1" t="s">
        <v>23</v>
      </c>
      <c r="E3088" s="1" t="s">
        <v>35</v>
      </c>
      <c r="F3088" s="4">
        <v>44057.74120370371</v>
      </c>
      <c r="G3088" s="3" t="str">
        <f>HYPERLINK("https://hawk-eye.atlassian.net/browse/?atlOrigin=eyJpIjoiYzgwYTQ0ZjEyNzQzNGJhN2JmNjEyZTM0NmRhZWZhNjIiLCJwIjoic2hlZXRzLWppcmEifQ","")</f>
        <v/>
      </c>
      <c r="H3088" s="1" t="s">
        <v>1058</v>
      </c>
      <c r="I3088" s="1" t="s">
        <v>1071</v>
      </c>
      <c r="J3088" s="1" t="s">
        <v>26</v>
      </c>
      <c r="K3088" s="1" t="s">
        <v>1099</v>
      </c>
      <c r="L3088" s="1" t="s">
        <v>26</v>
      </c>
      <c r="M3088" s="1" t="s">
        <v>27</v>
      </c>
      <c r="N3088" s="1" t="s">
        <v>26</v>
      </c>
      <c r="O3088" s="1" t="s">
        <v>26</v>
      </c>
      <c r="P3088" s="4">
        <v>44060.510833333334</v>
      </c>
    </row>
    <row r="3089" hidden="1">
      <c r="A3089" s="1" t="s">
        <v>21</v>
      </c>
      <c r="B3089" s="3" t="str">
        <f>HYPERLINK("https://hawk-eye.atlassian.net/browse/HWKREPORT-447?atlOrigin=eyJpIjoiYzgwYTQ0ZjEyNzQzNGJhN2JmNjEyZTM0NmRhZWZhNjIiLCJwIjoic2hlZXRzLWppcmEifQ","HWKREPORT-447")</f>
        <v>HWKREPORT-447</v>
      </c>
      <c r="C3089" s="1" t="s">
        <v>4406</v>
      </c>
      <c r="D3089" s="1" t="s">
        <v>40</v>
      </c>
      <c r="E3089" s="1" t="s">
        <v>35</v>
      </c>
      <c r="F3089" s="4">
        <v>44058.9625</v>
      </c>
      <c r="G3089" s="3" t="str">
        <f>HYPERLINK("https://hawk-eye.atlassian.net/browse/TVR-67?atlOrigin=eyJpIjoiYzgwYTQ0ZjEyNzQzNGJhN2JmNjEyZTM0NmRhZWZhNjIiLCJwIjoic2hlZXRzLWppcmEifQ","TVR-67")</f>
        <v>TVR-67</v>
      </c>
      <c r="H3089" s="1" t="s">
        <v>1058</v>
      </c>
      <c r="I3089" s="1" t="s">
        <v>1126</v>
      </c>
      <c r="J3089" s="1" t="s">
        <v>26</v>
      </c>
      <c r="K3089" s="1" t="s">
        <v>1573</v>
      </c>
      <c r="L3089" s="1" t="s">
        <v>26</v>
      </c>
      <c r="M3089" s="1" t="s">
        <v>27</v>
      </c>
      <c r="N3089" s="1" t="s">
        <v>26</v>
      </c>
      <c r="O3089" s="1" t="s">
        <v>26</v>
      </c>
      <c r="P3089" s="4">
        <v>44068.79744212963</v>
      </c>
    </row>
    <row r="3090" hidden="1">
      <c r="A3090" s="1" t="s">
        <v>21</v>
      </c>
      <c r="B3090" s="3" t="str">
        <f>HYPERLINK("https://hawk-eye.atlassian.net/browse/HWKREPORT-448?atlOrigin=eyJpIjoiYzgwYTQ0ZjEyNzQzNGJhN2JmNjEyZTM0NmRhZWZhNjIiLCJwIjoic2hlZXRzLWppcmEifQ","HWKREPORT-448")</f>
        <v>HWKREPORT-448</v>
      </c>
      <c r="C3090" s="1" t="s">
        <v>4407</v>
      </c>
      <c r="D3090" s="1" t="s">
        <v>23</v>
      </c>
      <c r="E3090" s="1" t="s">
        <v>35</v>
      </c>
      <c r="F3090" s="4">
        <v>44060.820243055554</v>
      </c>
      <c r="G3090" s="3" t="str">
        <f>HYPERLINK("https://hawk-eye.atlassian.net/browse/RTT-2707?atlOrigin=eyJpIjoiYzgwYTQ0ZjEyNzQzNGJhN2JmNjEyZTM0NmRhZWZhNjIiLCJwIjoic2hlZXRzLWppcmEifQ","RTT-2707")</f>
        <v>RTT-2707</v>
      </c>
      <c r="H3090" s="1" t="s">
        <v>1058</v>
      </c>
      <c r="I3090" s="1" t="s">
        <v>1071</v>
      </c>
      <c r="J3090" s="1" t="s">
        <v>26</v>
      </c>
      <c r="K3090" s="1" t="s">
        <v>1072</v>
      </c>
      <c r="L3090" s="1" t="s">
        <v>26</v>
      </c>
      <c r="M3090" s="1" t="s">
        <v>27</v>
      </c>
      <c r="N3090" s="1" t="s">
        <v>26</v>
      </c>
      <c r="O3090" s="1" t="s">
        <v>26</v>
      </c>
      <c r="P3090" s="4">
        <v>44503.37265046296</v>
      </c>
    </row>
    <row r="3091" hidden="1">
      <c r="A3091" s="1" t="s">
        <v>21</v>
      </c>
      <c r="B3091" s="3" t="str">
        <f>HYPERLINK("https://hawk-eye.atlassian.net/browse/HWKREPORT-449?atlOrigin=eyJpIjoiYzgwYTQ0ZjEyNzQzNGJhN2JmNjEyZTM0NmRhZWZhNjIiLCJwIjoic2hlZXRzLWppcmEifQ","HWKREPORT-449")</f>
        <v>HWKREPORT-449</v>
      </c>
      <c r="C3091" s="1" t="s">
        <v>4408</v>
      </c>
      <c r="D3091" s="1" t="s">
        <v>23</v>
      </c>
      <c r="E3091" s="1" t="s">
        <v>35</v>
      </c>
      <c r="F3091" s="4">
        <v>44062.0021875</v>
      </c>
      <c r="G3091" s="3" t="str">
        <f>HYPERLINK("https://hawk-eye.atlassian.net/browse/BDS-391?atlOrigin=eyJpIjoiYzgwYTQ0ZjEyNzQzNGJhN2JmNjEyZTM0NmRhZWZhNjIiLCJwIjoic2hlZXRzLWppcmEifQ","BDS-391")</f>
        <v>BDS-391</v>
      </c>
      <c r="H3091" s="1" t="s">
        <v>1058</v>
      </c>
      <c r="I3091" s="1" t="s">
        <v>1071</v>
      </c>
      <c r="J3091" s="1" t="s">
        <v>26</v>
      </c>
      <c r="K3091" s="1" t="s">
        <v>1072</v>
      </c>
      <c r="L3091" s="1" t="s">
        <v>26</v>
      </c>
      <c r="M3091" s="1" t="s">
        <v>27</v>
      </c>
      <c r="N3091" s="1" t="s">
        <v>26</v>
      </c>
      <c r="O3091" s="1" t="s">
        <v>26</v>
      </c>
      <c r="P3091" s="4">
        <v>44095.70921296296</v>
      </c>
    </row>
    <row r="3092" hidden="1">
      <c r="A3092" s="1" t="s">
        <v>21</v>
      </c>
      <c r="B3092" s="3" t="str">
        <f>HYPERLINK("https://hawk-eye.atlassian.net/browse/HWKREPORT-450?atlOrigin=eyJpIjoiYzgwYTQ0ZjEyNzQzNGJhN2JmNjEyZTM0NmRhZWZhNjIiLCJwIjoic2hlZXRzLWppcmEifQ","HWKREPORT-450")</f>
        <v>HWKREPORT-450</v>
      </c>
      <c r="C3092" s="1" t="s">
        <v>4409</v>
      </c>
      <c r="D3092" s="1" t="s">
        <v>40</v>
      </c>
      <c r="E3092" s="1" t="s">
        <v>35</v>
      </c>
      <c r="F3092" s="4">
        <v>44062.17113425926</v>
      </c>
      <c r="G3092" s="3" t="str">
        <f>HYPERLINK("https://hawk-eye.atlassian.net/browse/TVR-68?atlOrigin=eyJpIjoiYzgwYTQ0ZjEyNzQzNGJhN2JmNjEyZTM0NmRhZWZhNjIiLCJwIjoic2hlZXRzLWppcmEifQ","TVR-68")</f>
        <v>TVR-68</v>
      </c>
      <c r="H3092" s="1" t="s">
        <v>1058</v>
      </c>
      <c r="I3092" s="1" t="s">
        <v>1126</v>
      </c>
      <c r="J3092" s="1" t="s">
        <v>26</v>
      </c>
      <c r="K3092" s="1" t="s">
        <v>1573</v>
      </c>
      <c r="L3092" s="1" t="s">
        <v>26</v>
      </c>
      <c r="M3092" s="1" t="s">
        <v>27</v>
      </c>
      <c r="N3092" s="1" t="s">
        <v>26</v>
      </c>
      <c r="O3092" s="1" t="s">
        <v>26</v>
      </c>
      <c r="P3092" s="4">
        <v>44068.797326388885</v>
      </c>
    </row>
    <row r="3093" hidden="1">
      <c r="A3093" s="1" t="s">
        <v>1055</v>
      </c>
      <c r="B3093" s="3" t="str">
        <f>HYPERLINK("https://hawk-eye.atlassian.net/browse/HWKREPORT-451?atlOrigin=eyJpIjoiYzgwYTQ0ZjEyNzQzNGJhN2JmNjEyZTM0NmRhZWZhNjIiLCJwIjoic2hlZXRzLWppcmEifQ","HWKREPORT-451")</f>
        <v>HWKREPORT-451</v>
      </c>
      <c r="C3093" s="1" t="s">
        <v>4410</v>
      </c>
      <c r="D3093" s="1" t="s">
        <v>23</v>
      </c>
      <c r="E3093" s="1" t="s">
        <v>35</v>
      </c>
      <c r="F3093" s="4">
        <v>44062.60040509259</v>
      </c>
      <c r="G3093" s="3" t="str">
        <f>HYPERLINK("https://hawk-eye.atlassian.net/browse/RTT-2720?atlOrigin=eyJpIjoiYzgwYTQ0ZjEyNzQzNGJhN2JmNjEyZTM0NmRhZWZhNjIiLCJwIjoic2hlZXRzLWppcmEifQ","RTT-2720")</f>
        <v>RTT-2720</v>
      </c>
      <c r="H3093" s="1" t="s">
        <v>1058</v>
      </c>
      <c r="I3093" s="1" t="s">
        <v>1071</v>
      </c>
      <c r="J3093" s="1" t="s">
        <v>26</v>
      </c>
      <c r="K3093" s="1" t="s">
        <v>1072</v>
      </c>
      <c r="L3093" s="1" t="s">
        <v>26</v>
      </c>
      <c r="M3093" s="1" t="s">
        <v>27</v>
      </c>
      <c r="N3093" s="1" t="s">
        <v>26</v>
      </c>
      <c r="O3093" s="1" t="s">
        <v>26</v>
      </c>
      <c r="P3093" s="4">
        <v>44600.8749537037</v>
      </c>
    </row>
    <row r="3094" hidden="1">
      <c r="A3094" s="1" t="s">
        <v>21</v>
      </c>
      <c r="B3094" s="3" t="str">
        <f>HYPERLINK("https://hawk-eye.atlassian.net/browse/HWKREPORT-452?atlOrigin=eyJpIjoiYzgwYTQ0ZjEyNzQzNGJhN2JmNjEyZTM0NmRhZWZhNjIiLCJwIjoic2hlZXRzLWppcmEifQ","HWKREPORT-452")</f>
        <v>HWKREPORT-452</v>
      </c>
      <c r="C3094" s="1" t="s">
        <v>4411</v>
      </c>
      <c r="D3094" s="1" t="s">
        <v>23</v>
      </c>
      <c r="E3094" s="1" t="s">
        <v>35</v>
      </c>
      <c r="F3094" s="4">
        <v>44063.73584490741</v>
      </c>
      <c r="G3094" s="3" t="str">
        <f>HYPERLINK("https://hawk-eye.atlassian.net/browse/?atlOrigin=eyJpIjoiYzgwYTQ0ZjEyNzQzNGJhN2JmNjEyZTM0NmRhZWZhNjIiLCJwIjoic2hlZXRzLWppcmEifQ","")</f>
        <v/>
      </c>
      <c r="H3094" s="1" t="s">
        <v>1058</v>
      </c>
      <c r="I3094" s="1" t="s">
        <v>1082</v>
      </c>
      <c r="J3094" s="1" t="s">
        <v>26</v>
      </c>
      <c r="K3094" s="1" t="s">
        <v>1148</v>
      </c>
      <c r="L3094" s="1" t="s">
        <v>26</v>
      </c>
      <c r="M3094" s="1" t="s">
        <v>27</v>
      </c>
      <c r="N3094" s="1" t="s">
        <v>26</v>
      </c>
      <c r="O3094" s="1" t="s">
        <v>26</v>
      </c>
      <c r="P3094" s="4">
        <v>44600.875081018516</v>
      </c>
    </row>
    <row r="3095" hidden="1">
      <c r="A3095" s="1" t="s">
        <v>21</v>
      </c>
      <c r="B3095" s="3" t="str">
        <f>HYPERLINK("https://hawk-eye.atlassian.net/browse/HWKREPORT-453?atlOrigin=eyJpIjoiYzgwYTQ0ZjEyNzQzNGJhN2JmNjEyZTM0NmRhZWZhNjIiLCJwIjoic2hlZXRzLWppcmEifQ","HWKREPORT-453")</f>
        <v>HWKREPORT-453</v>
      </c>
      <c r="C3095" s="1" t="s">
        <v>4412</v>
      </c>
      <c r="D3095" s="1" t="s">
        <v>23</v>
      </c>
      <c r="E3095" s="1" t="s">
        <v>35</v>
      </c>
      <c r="F3095" s="4">
        <v>44063.74662037037</v>
      </c>
      <c r="G3095" s="3" t="str">
        <f>HYPERLINK("https://hawk-eye.atlassian.net/browse/RTT-2724?atlOrigin=eyJpIjoiYzgwYTQ0ZjEyNzQzNGJhN2JmNjEyZTM0NmRhZWZhNjIiLCJwIjoic2hlZXRzLWppcmEifQ","RTT-2724")</f>
        <v>RTT-2724</v>
      </c>
      <c r="H3095" s="1" t="s">
        <v>1058</v>
      </c>
      <c r="I3095" s="1" t="s">
        <v>1071</v>
      </c>
      <c r="J3095" s="1" t="s">
        <v>26</v>
      </c>
      <c r="K3095" s="1" t="s">
        <v>1072</v>
      </c>
      <c r="L3095" s="1" t="s">
        <v>26</v>
      </c>
      <c r="M3095" s="1" t="s">
        <v>27</v>
      </c>
      <c r="N3095" s="1" t="s">
        <v>26</v>
      </c>
      <c r="O3095" s="1" t="s">
        <v>26</v>
      </c>
      <c r="P3095" s="4">
        <v>44600.875069444446</v>
      </c>
    </row>
    <row r="3096" hidden="1">
      <c r="A3096" s="1" t="s">
        <v>21</v>
      </c>
      <c r="B3096" s="3" t="str">
        <f>HYPERLINK("https://hawk-eye.atlassian.net/browse/HWKREPORT-454?atlOrigin=eyJpIjoiYzgwYTQ0ZjEyNzQzNGJhN2JmNjEyZTM0NmRhZWZhNjIiLCJwIjoic2hlZXRzLWppcmEifQ","HWKREPORT-454")</f>
        <v>HWKREPORT-454</v>
      </c>
      <c r="C3096" s="1" t="s">
        <v>4413</v>
      </c>
      <c r="D3096" s="1" t="s">
        <v>23</v>
      </c>
      <c r="E3096" s="1" t="s">
        <v>35</v>
      </c>
      <c r="F3096" s="4">
        <v>44063.80709490741</v>
      </c>
      <c r="G3096" s="3" t="str">
        <f>HYPERLINK("https://hawk-eye.atlassian.net/browse/RTT-2725?atlOrigin=eyJpIjoiYzgwYTQ0ZjEyNzQzNGJhN2JmNjEyZTM0NmRhZWZhNjIiLCJwIjoic2hlZXRzLWppcmEifQ","RTT-2725")</f>
        <v>RTT-2725</v>
      </c>
      <c r="H3096" s="1" t="s">
        <v>1058</v>
      </c>
      <c r="I3096" s="1" t="s">
        <v>1071</v>
      </c>
      <c r="J3096" s="1" t="s">
        <v>26</v>
      </c>
      <c r="K3096" s="1" t="s">
        <v>1072</v>
      </c>
      <c r="L3096" s="1" t="s">
        <v>26</v>
      </c>
      <c r="M3096" s="1" t="s">
        <v>27</v>
      </c>
      <c r="N3096" s="1" t="s">
        <v>26</v>
      </c>
      <c r="O3096" s="1" t="s">
        <v>26</v>
      </c>
      <c r="P3096" s="4">
        <v>44600.87505787037</v>
      </c>
    </row>
    <row r="3097" hidden="1">
      <c r="A3097" s="1" t="s">
        <v>21</v>
      </c>
      <c r="B3097" s="3" t="str">
        <f>HYPERLINK("https://hawk-eye.atlassian.net/browse/HWKREPORT-455?atlOrigin=eyJpIjoiYzgwYTQ0ZjEyNzQzNGJhN2JmNjEyZTM0NmRhZWZhNjIiLCJwIjoic2hlZXRzLWppcmEifQ","HWKREPORT-455")</f>
        <v>HWKREPORT-455</v>
      </c>
      <c r="C3097" s="1" t="s">
        <v>4414</v>
      </c>
      <c r="D3097" s="1" t="s">
        <v>23</v>
      </c>
      <c r="E3097" s="1" t="s">
        <v>35</v>
      </c>
      <c r="F3097" s="4">
        <v>44063.811736111114</v>
      </c>
      <c r="G3097" s="3" t="str">
        <f>HYPERLINK("https://hawk-eye.atlassian.net/browse/RTT-2728?atlOrigin=eyJpIjoiYzgwYTQ0ZjEyNzQzNGJhN2JmNjEyZTM0NmRhZWZhNjIiLCJwIjoic2hlZXRzLWppcmEifQ","RTT-2728")</f>
        <v>RTT-2728</v>
      </c>
      <c r="H3097" s="1" t="s">
        <v>1058</v>
      </c>
      <c r="I3097" s="1" t="s">
        <v>1071</v>
      </c>
      <c r="J3097" s="1" t="s">
        <v>26</v>
      </c>
      <c r="K3097" s="1" t="s">
        <v>1072</v>
      </c>
      <c r="L3097" s="1" t="s">
        <v>26</v>
      </c>
      <c r="M3097" s="1" t="s">
        <v>27</v>
      </c>
      <c r="N3097" s="1" t="s">
        <v>26</v>
      </c>
      <c r="O3097" s="1" t="s">
        <v>26</v>
      </c>
      <c r="P3097" s="4">
        <v>44600.8750462963</v>
      </c>
    </row>
    <row r="3098" hidden="1">
      <c r="A3098" s="1" t="s">
        <v>21</v>
      </c>
      <c r="B3098" s="3" t="str">
        <f>HYPERLINK("https://hawk-eye.atlassian.net/browse/HWKREPORT-456?atlOrigin=eyJpIjoiYzgwYTQ0ZjEyNzQzNGJhN2JmNjEyZTM0NmRhZWZhNjIiLCJwIjoic2hlZXRzLWppcmEifQ","HWKREPORT-456")</f>
        <v>HWKREPORT-456</v>
      </c>
      <c r="C3098" s="1" t="s">
        <v>4415</v>
      </c>
      <c r="D3098" s="1" t="s">
        <v>23</v>
      </c>
      <c r="E3098" s="1" t="s">
        <v>35</v>
      </c>
      <c r="F3098" s="4">
        <v>44064.050358796296</v>
      </c>
      <c r="G3098" s="3" t="str">
        <f>HYPERLINK("https://hawk-eye.atlassian.net/browse/BDP-145?atlOrigin=eyJpIjoiYzgwYTQ0ZjEyNzQzNGJhN2JmNjEyZTM0NmRhZWZhNjIiLCJwIjoic2hlZXRzLWppcmEifQ","BDP-145")</f>
        <v>BDP-145</v>
      </c>
      <c r="H3098" s="1" t="s">
        <v>1058</v>
      </c>
      <c r="I3098" s="1" t="s">
        <v>1071</v>
      </c>
      <c r="J3098" s="1" t="s">
        <v>26</v>
      </c>
      <c r="K3098" s="1" t="s">
        <v>4031</v>
      </c>
      <c r="L3098" s="1" t="s">
        <v>26</v>
      </c>
      <c r="M3098" s="1" t="s">
        <v>27</v>
      </c>
      <c r="N3098" s="1" t="s">
        <v>26</v>
      </c>
      <c r="O3098" s="1" t="s">
        <v>26</v>
      </c>
      <c r="P3098" s="4">
        <v>44600.874976851854</v>
      </c>
    </row>
    <row r="3099" hidden="1">
      <c r="A3099" s="1" t="s">
        <v>21</v>
      </c>
      <c r="B3099" s="3" t="str">
        <f>HYPERLINK("https://hawk-eye.atlassian.net/browse/HWKREPORT-457?atlOrigin=eyJpIjoiYzgwYTQ0ZjEyNzQzNGJhN2JmNjEyZTM0NmRhZWZhNjIiLCJwIjoic2hlZXRzLWppcmEifQ","HWKREPORT-457")</f>
        <v>HWKREPORT-457</v>
      </c>
      <c r="C3099" s="1" t="s">
        <v>4416</v>
      </c>
      <c r="D3099" s="1" t="s">
        <v>23</v>
      </c>
      <c r="E3099" s="1" t="s">
        <v>35</v>
      </c>
      <c r="F3099" s="4">
        <v>44064.067881944444</v>
      </c>
      <c r="G3099" s="3" t="str">
        <f>HYPERLINK("https://hawk-eye.atlassian.net/browse/RTT-2727?atlOrigin=eyJpIjoiYzgwYTQ0ZjEyNzQzNGJhN2JmNjEyZTM0NmRhZWZhNjIiLCJwIjoic2hlZXRzLWppcmEifQ","RTT-2727")</f>
        <v>RTT-2727</v>
      </c>
      <c r="H3099" s="1" t="s">
        <v>1058</v>
      </c>
      <c r="I3099" s="1" t="s">
        <v>1071</v>
      </c>
      <c r="J3099" s="1" t="s">
        <v>26</v>
      </c>
      <c r="K3099" s="1" t="s">
        <v>1072</v>
      </c>
      <c r="L3099" s="1" t="s">
        <v>26</v>
      </c>
      <c r="M3099" s="1" t="s">
        <v>27</v>
      </c>
      <c r="N3099" s="1" t="s">
        <v>26</v>
      </c>
      <c r="O3099" s="1" t="s">
        <v>26</v>
      </c>
      <c r="P3099" s="4">
        <v>44600.87501157408</v>
      </c>
    </row>
    <row r="3100" hidden="1">
      <c r="A3100" s="1" t="s">
        <v>21</v>
      </c>
      <c r="B3100" s="3" t="str">
        <f>HYPERLINK("https://hawk-eye.atlassian.net/browse/HWKREPORT-458?atlOrigin=eyJpIjoiYzgwYTQ0ZjEyNzQzNGJhN2JmNjEyZTM0NmRhZWZhNjIiLCJwIjoic2hlZXRzLWppcmEifQ","HWKREPORT-458")</f>
        <v>HWKREPORT-458</v>
      </c>
      <c r="C3100" s="1" t="s">
        <v>4417</v>
      </c>
      <c r="D3100" s="1" t="s">
        <v>23</v>
      </c>
      <c r="E3100" s="1" t="s">
        <v>35</v>
      </c>
      <c r="F3100" s="4">
        <v>44064.40592592592</v>
      </c>
      <c r="G3100" s="3" t="str">
        <f>HYPERLINK("https://hawk-eye.atlassian.net/browse/GT-821?atlOrigin=eyJpIjoiYzgwYTQ0ZjEyNzQzNGJhN2JmNjEyZTM0NmRhZWZhNjIiLCJwIjoic2hlZXRzLWppcmEifQ","GT-821")</f>
        <v>GT-821</v>
      </c>
      <c r="H3100" s="1" t="s">
        <v>1058</v>
      </c>
      <c r="I3100" s="1" t="s">
        <v>1082</v>
      </c>
      <c r="J3100" s="1" t="s">
        <v>26</v>
      </c>
      <c r="K3100" s="1" t="s">
        <v>1105</v>
      </c>
      <c r="L3100" s="1" t="s">
        <v>26</v>
      </c>
      <c r="M3100" s="1" t="s">
        <v>27</v>
      </c>
      <c r="N3100" s="1" t="s">
        <v>26</v>
      </c>
      <c r="O3100" s="1" t="s">
        <v>26</v>
      </c>
      <c r="P3100" s="4">
        <v>45008.71824074074</v>
      </c>
    </row>
    <row r="3101" hidden="1">
      <c r="A3101" s="1" t="s">
        <v>21</v>
      </c>
      <c r="B3101" s="3" t="str">
        <f>HYPERLINK("https://hawk-eye.atlassian.net/browse/HWKREPORT-459?atlOrigin=eyJpIjoiYzgwYTQ0ZjEyNzQzNGJhN2JmNjEyZTM0NmRhZWZhNjIiLCJwIjoic2hlZXRzLWppcmEifQ","HWKREPORT-459")</f>
        <v>HWKREPORT-459</v>
      </c>
      <c r="C3101" s="1" t="s">
        <v>4418</v>
      </c>
      <c r="D3101" s="1" t="s">
        <v>23</v>
      </c>
      <c r="E3101" s="1" t="s">
        <v>35</v>
      </c>
      <c r="F3101" s="4">
        <v>44064.7244212963</v>
      </c>
      <c r="G3101" s="3" t="str">
        <f>HYPERLINK("https://hawk-eye.atlassian.net/browse/RTT-2730?atlOrigin=eyJpIjoiYzgwYTQ0ZjEyNzQzNGJhN2JmNjEyZTM0NmRhZWZhNjIiLCJwIjoic2hlZXRzLWppcmEifQ","RTT-2730")</f>
        <v>RTT-2730</v>
      </c>
      <c r="H3101" s="1" t="s">
        <v>1058</v>
      </c>
      <c r="I3101" s="1" t="s">
        <v>1071</v>
      </c>
      <c r="J3101" s="1" t="s">
        <v>26</v>
      </c>
      <c r="K3101" s="1" t="s">
        <v>1072</v>
      </c>
      <c r="L3101" s="1" t="s">
        <v>26</v>
      </c>
      <c r="M3101" s="1" t="s">
        <v>27</v>
      </c>
      <c r="N3101" s="1" t="s">
        <v>26</v>
      </c>
      <c r="O3101" s="1" t="s">
        <v>26</v>
      </c>
      <c r="P3101" s="4">
        <v>44600.87482638889</v>
      </c>
    </row>
    <row r="3102" hidden="1">
      <c r="A3102" s="1" t="s">
        <v>21</v>
      </c>
      <c r="B3102" s="3" t="str">
        <f>HYPERLINK("https://hawk-eye.atlassian.net/browse/HWKREPORT-258?atlOrigin=eyJpIjoiYzgwYTQ0ZjEyNzQzNGJhN2JmNjEyZTM0NmRhZWZhNjIiLCJwIjoic2hlZXRzLWppcmEifQ","HWKREPORT-258")</f>
        <v>HWKREPORT-258</v>
      </c>
      <c r="C3102" s="1" t="s">
        <v>4419</v>
      </c>
      <c r="D3102" s="1" t="s">
        <v>23</v>
      </c>
      <c r="E3102" s="1" t="s">
        <v>35</v>
      </c>
      <c r="F3102" s="4">
        <v>43851.5630787037</v>
      </c>
      <c r="G3102" s="3" t="str">
        <f t="shared" ref="G3102:G3103" si="211">HYPERLINK("https://hawk-eye.atlassian.net/browse/?atlOrigin=eyJpIjoiYzgwYTQ0ZjEyNzQzNGJhN2JmNjEyZTM0NmRhZWZhNjIiLCJwIjoic2hlZXRzLWppcmEifQ","")</f>
        <v/>
      </c>
      <c r="H3102" s="1" t="s">
        <v>1058</v>
      </c>
      <c r="I3102" s="1" t="s">
        <v>1082</v>
      </c>
      <c r="J3102" s="1" t="s">
        <v>26</v>
      </c>
      <c r="K3102" s="1" t="s">
        <v>2937</v>
      </c>
      <c r="L3102" s="1" t="s">
        <v>26</v>
      </c>
      <c r="M3102" s="1" t="s">
        <v>27</v>
      </c>
      <c r="N3102" s="1" t="s">
        <v>26</v>
      </c>
      <c r="O3102" s="1" t="s">
        <v>26</v>
      </c>
      <c r="P3102" s="4">
        <v>44068.791446759256</v>
      </c>
    </row>
    <row r="3103" hidden="1">
      <c r="A3103" s="1" t="s">
        <v>1055</v>
      </c>
      <c r="B3103" s="3" t="str">
        <f>HYPERLINK("https://hawk-eye.atlassian.net/browse/HWKREPORT-259?atlOrigin=eyJpIjoiYzgwYTQ0ZjEyNzQzNGJhN2JmNjEyZTM0NmRhZWZhNjIiLCJwIjoic2hlZXRzLWppcmEifQ","HWKREPORT-259")</f>
        <v>HWKREPORT-259</v>
      </c>
      <c r="C3103" s="1" t="s">
        <v>4420</v>
      </c>
      <c r="D3103" s="1" t="s">
        <v>23</v>
      </c>
      <c r="E3103" s="1" t="s">
        <v>35</v>
      </c>
      <c r="F3103" s="4">
        <v>43852.112233796295</v>
      </c>
      <c r="G3103" s="3" t="str">
        <f t="shared" si="211"/>
        <v/>
      </c>
      <c r="H3103" s="1" t="s">
        <v>1058</v>
      </c>
      <c r="I3103" s="1" t="s">
        <v>1071</v>
      </c>
      <c r="J3103" s="1" t="s">
        <v>26</v>
      </c>
      <c r="K3103" s="1" t="s">
        <v>1309</v>
      </c>
      <c r="L3103" s="1" t="s">
        <v>26</v>
      </c>
      <c r="M3103" s="1" t="s">
        <v>27</v>
      </c>
      <c r="N3103" s="1" t="s">
        <v>26</v>
      </c>
      <c r="O3103" s="1" t="s">
        <v>26</v>
      </c>
      <c r="P3103" s="4">
        <v>43864.58435185185</v>
      </c>
    </row>
    <row r="3104" hidden="1">
      <c r="A3104" s="1" t="s">
        <v>21</v>
      </c>
      <c r="B3104" s="3" t="str">
        <f>HYPERLINK("https://hawk-eye.atlassian.net/browse/HWKREPORT-260?atlOrigin=eyJpIjoiYzgwYTQ0ZjEyNzQzNGJhN2JmNjEyZTM0NmRhZWZhNjIiLCJwIjoic2hlZXRzLWppcmEifQ","HWKREPORT-260")</f>
        <v>HWKREPORT-260</v>
      </c>
      <c r="C3104" s="1" t="s">
        <v>4421</v>
      </c>
      <c r="D3104" s="1" t="s">
        <v>23</v>
      </c>
      <c r="E3104" s="1" t="s">
        <v>1057</v>
      </c>
      <c r="F3104" s="4">
        <v>43852.32027777778</v>
      </c>
      <c r="G3104" s="3" t="str">
        <f>HYPERLINK("https://hawk-eye.atlassian.net/browse/TVR-58?atlOrigin=eyJpIjoiYzgwYTQ0ZjEyNzQzNGJhN2JmNjEyZTM0NmRhZWZhNjIiLCJwIjoic2hlZXRzLWppcmEifQ","TVR-58")</f>
        <v>TVR-58</v>
      </c>
      <c r="H3104" s="1" t="s">
        <v>1058</v>
      </c>
      <c r="I3104" s="1" t="s">
        <v>1126</v>
      </c>
      <c r="J3104" s="1" t="s">
        <v>26</v>
      </c>
      <c r="K3104" s="1" t="s">
        <v>1573</v>
      </c>
      <c r="L3104" s="1" t="s">
        <v>26</v>
      </c>
      <c r="M3104" s="1" t="s">
        <v>27</v>
      </c>
      <c r="N3104" s="1" t="s">
        <v>26</v>
      </c>
      <c r="O3104" s="1" t="s">
        <v>26</v>
      </c>
      <c r="P3104" s="4">
        <v>43852.320289351854</v>
      </c>
    </row>
    <row r="3105" hidden="1">
      <c r="A3105" s="1" t="s">
        <v>21</v>
      </c>
      <c r="B3105" s="3" t="str">
        <f>HYPERLINK("https://hawk-eye.atlassian.net/browse/HWKREPORT-261?atlOrigin=eyJpIjoiYzgwYTQ0ZjEyNzQzNGJhN2JmNjEyZTM0NmRhZWZhNjIiLCJwIjoic2hlZXRzLWppcmEifQ","HWKREPORT-261")</f>
        <v>HWKREPORT-261</v>
      </c>
      <c r="C3105" s="1" t="s">
        <v>4422</v>
      </c>
      <c r="D3105" s="1" t="s">
        <v>83</v>
      </c>
      <c r="E3105" s="1" t="s">
        <v>35</v>
      </c>
      <c r="F3105" s="4">
        <v>43852.323171296295</v>
      </c>
      <c r="G3105" s="3" t="str">
        <f t="shared" ref="G3105:G3106" si="212">HYPERLINK("https://hawk-eye.atlassian.net/browse/?atlOrigin=eyJpIjoiYzgwYTQ0ZjEyNzQzNGJhN2JmNjEyZTM0NmRhZWZhNjIiLCJwIjoic2hlZXRzLWppcmEifQ","")</f>
        <v/>
      </c>
      <c r="H3105" s="1" t="s">
        <v>1058</v>
      </c>
      <c r="I3105" s="1" t="s">
        <v>1126</v>
      </c>
      <c r="J3105" s="1" t="s">
        <v>26</v>
      </c>
      <c r="K3105" s="1" t="s">
        <v>1573</v>
      </c>
      <c r="L3105" s="1" t="s">
        <v>26</v>
      </c>
      <c r="M3105" s="1" t="s">
        <v>27</v>
      </c>
      <c r="N3105" s="1" t="s">
        <v>26</v>
      </c>
      <c r="O3105" s="1" t="s">
        <v>26</v>
      </c>
      <c r="P3105" s="4">
        <v>45258.65888888889</v>
      </c>
    </row>
    <row r="3106" hidden="1">
      <c r="A3106" s="1" t="s">
        <v>21</v>
      </c>
      <c r="B3106" s="3" t="str">
        <f>HYPERLINK("https://hawk-eye.atlassian.net/browse/HWKREPORT-262?atlOrigin=eyJpIjoiYzgwYTQ0ZjEyNzQzNGJhN2JmNjEyZTM0NmRhZWZhNjIiLCJwIjoic2hlZXRzLWppcmEifQ","HWKREPORT-262")</f>
        <v>HWKREPORT-262</v>
      </c>
      <c r="C3106" s="1" t="s">
        <v>4423</v>
      </c>
      <c r="D3106" s="1" t="s">
        <v>83</v>
      </c>
      <c r="E3106" s="1" t="s">
        <v>1057</v>
      </c>
      <c r="F3106" s="4">
        <v>43856.205104166664</v>
      </c>
      <c r="G3106" s="3" t="str">
        <f t="shared" si="212"/>
        <v/>
      </c>
      <c r="H3106" s="1" t="s">
        <v>1058</v>
      </c>
      <c r="I3106" s="1" t="s">
        <v>1126</v>
      </c>
      <c r="J3106" s="1" t="s">
        <v>26</v>
      </c>
      <c r="K3106" s="1" t="s">
        <v>4424</v>
      </c>
      <c r="L3106" s="1" t="s">
        <v>26</v>
      </c>
      <c r="M3106" s="1" t="s">
        <v>27</v>
      </c>
      <c r="N3106" s="1" t="s">
        <v>26</v>
      </c>
      <c r="O3106" s="1" t="s">
        <v>26</v>
      </c>
      <c r="P3106" s="4">
        <v>43856.205104166664</v>
      </c>
    </row>
    <row r="3107" hidden="1">
      <c r="A3107" s="1" t="s">
        <v>21</v>
      </c>
      <c r="B3107" s="3" t="str">
        <f>HYPERLINK("https://hawk-eye.atlassian.net/browse/HWKREPORT-263?atlOrigin=eyJpIjoiYzgwYTQ0ZjEyNzQzNGJhN2JmNjEyZTM0NmRhZWZhNjIiLCJwIjoic2hlZXRzLWppcmEifQ","HWKREPORT-263")</f>
        <v>HWKREPORT-263</v>
      </c>
      <c r="C3107" s="1" t="s">
        <v>4425</v>
      </c>
      <c r="D3107" s="1" t="s">
        <v>23</v>
      </c>
      <c r="E3107" s="1" t="s">
        <v>35</v>
      </c>
      <c r="F3107" s="4">
        <v>43857.21571759259</v>
      </c>
      <c r="G3107" s="3" t="str">
        <f>HYPERLINK("https://hawk-eye.atlassian.net/browse/RTT-1730?atlOrigin=eyJpIjoiYzgwYTQ0ZjEyNzQzNGJhN2JmNjEyZTM0NmRhZWZhNjIiLCJwIjoic2hlZXRzLWppcmEifQ","RTT-1730")</f>
        <v>RTT-1730</v>
      </c>
      <c r="H3107" s="1" t="s">
        <v>1058</v>
      </c>
      <c r="I3107" s="1" t="s">
        <v>1126</v>
      </c>
      <c r="J3107" s="1" t="s">
        <v>26</v>
      </c>
      <c r="K3107" s="1" t="s">
        <v>1362</v>
      </c>
      <c r="L3107" s="1" t="s">
        <v>26</v>
      </c>
      <c r="M3107" s="1" t="s">
        <v>27</v>
      </c>
      <c r="N3107" s="1" t="s">
        <v>26</v>
      </c>
      <c r="O3107" s="1" t="s">
        <v>26</v>
      </c>
      <c r="P3107" s="4">
        <v>44090.41086805556</v>
      </c>
    </row>
    <row r="3108" hidden="1">
      <c r="A3108" s="1" t="s">
        <v>1055</v>
      </c>
      <c r="B3108" s="3" t="str">
        <f>HYPERLINK("https://hawk-eye.atlassian.net/browse/HWKREPORT-264?atlOrigin=eyJpIjoiYzgwYTQ0ZjEyNzQzNGJhN2JmNjEyZTM0NmRhZWZhNjIiLCJwIjoic2hlZXRzLWppcmEifQ","HWKREPORT-264")</f>
        <v>HWKREPORT-264</v>
      </c>
      <c r="C3108" s="1" t="s">
        <v>4426</v>
      </c>
      <c r="D3108" s="1" t="s">
        <v>23</v>
      </c>
      <c r="E3108" s="1" t="s">
        <v>35</v>
      </c>
      <c r="F3108" s="4">
        <v>43859.185428240744</v>
      </c>
      <c r="G3108" s="3" t="str">
        <f>HYPERLINK("https://hawk-eye.atlassian.net/browse/?atlOrigin=eyJpIjoiYzgwYTQ0ZjEyNzQzNGJhN2JmNjEyZTM0NmRhZWZhNjIiLCJwIjoic2hlZXRzLWppcmEifQ","")</f>
        <v/>
      </c>
      <c r="H3108" s="1" t="s">
        <v>1058</v>
      </c>
      <c r="I3108" s="1" t="s">
        <v>1126</v>
      </c>
      <c r="J3108" s="1" t="s">
        <v>26</v>
      </c>
      <c r="K3108" s="1" t="s">
        <v>1362</v>
      </c>
      <c r="L3108" s="1" t="s">
        <v>26</v>
      </c>
      <c r="M3108" s="1" t="s">
        <v>27</v>
      </c>
      <c r="N3108" s="1" t="s">
        <v>26</v>
      </c>
      <c r="O3108" s="1" t="s">
        <v>26</v>
      </c>
      <c r="P3108" s="4">
        <v>43920.622141203705</v>
      </c>
    </row>
    <row r="3109" hidden="1">
      <c r="A3109" s="1" t="s">
        <v>1055</v>
      </c>
      <c r="B3109" s="3" t="str">
        <f>HYPERLINK("https://hawk-eye.atlassian.net/browse/HWKREPORT-265?atlOrigin=eyJpIjoiYzgwYTQ0ZjEyNzQzNGJhN2JmNjEyZTM0NmRhZWZhNjIiLCJwIjoic2hlZXRzLWppcmEifQ","HWKREPORT-265")</f>
        <v>HWKREPORT-265</v>
      </c>
      <c r="C3109" s="1" t="s">
        <v>4427</v>
      </c>
      <c r="D3109" s="1" t="s">
        <v>23</v>
      </c>
      <c r="E3109" s="1" t="s">
        <v>35</v>
      </c>
      <c r="F3109" s="4">
        <v>43860.00549768518</v>
      </c>
      <c r="G3109" s="3" t="str">
        <f>HYPERLINK("https://hawk-eye.atlassian.net/browse/RTT-1743?atlOrigin=eyJpIjoiYzgwYTQ0ZjEyNzQzNGJhN2JmNjEyZTM0NmRhZWZhNjIiLCJwIjoic2hlZXRzLWppcmEifQ","RTT-1743")</f>
        <v>RTT-1743</v>
      </c>
      <c r="H3109" s="1" t="s">
        <v>1058</v>
      </c>
      <c r="I3109" s="1" t="s">
        <v>1071</v>
      </c>
      <c r="J3109" s="1" t="s">
        <v>26</v>
      </c>
      <c r="K3109" s="1" t="s">
        <v>1312</v>
      </c>
      <c r="L3109" s="1" t="s">
        <v>26</v>
      </c>
      <c r="M3109" s="1" t="s">
        <v>27</v>
      </c>
      <c r="N3109" s="1" t="s">
        <v>26</v>
      </c>
      <c r="O3109" s="1" t="s">
        <v>26</v>
      </c>
      <c r="P3109" s="4">
        <v>44068.797326388885</v>
      </c>
    </row>
    <row r="3110" hidden="1">
      <c r="A3110" s="1" t="s">
        <v>1055</v>
      </c>
      <c r="B3110" s="3" t="str">
        <f>HYPERLINK("https://hawk-eye.atlassian.net/browse/HWKREPORT-266?atlOrigin=eyJpIjoiYzgwYTQ0ZjEyNzQzNGJhN2JmNjEyZTM0NmRhZWZhNjIiLCJwIjoic2hlZXRzLWppcmEifQ","HWKREPORT-266")</f>
        <v>HWKREPORT-266</v>
      </c>
      <c r="C3110" s="1" t="s">
        <v>4428</v>
      </c>
      <c r="D3110" s="1" t="s">
        <v>23</v>
      </c>
      <c r="E3110" s="1" t="s">
        <v>35</v>
      </c>
      <c r="F3110" s="4">
        <v>43860.52548611111</v>
      </c>
      <c r="G3110" s="3" t="str">
        <f>HYPERLINK("https://hawk-eye.atlassian.net/browse/RTT-1742?atlOrigin=eyJpIjoiYzgwYTQ0ZjEyNzQzNGJhN2JmNjEyZTM0NmRhZWZhNjIiLCJwIjoic2hlZXRzLWppcmEifQ","RTT-1742")</f>
        <v>RTT-1742</v>
      </c>
      <c r="H3110" s="1" t="s">
        <v>1058</v>
      </c>
      <c r="I3110" s="1" t="s">
        <v>1071</v>
      </c>
      <c r="J3110" s="1" t="s">
        <v>26</v>
      </c>
      <c r="K3110" s="1" t="s">
        <v>1312</v>
      </c>
      <c r="L3110" s="1" t="s">
        <v>26</v>
      </c>
      <c r="M3110" s="1" t="s">
        <v>27</v>
      </c>
      <c r="N3110" s="1" t="s">
        <v>26</v>
      </c>
      <c r="O3110" s="1" t="s">
        <v>26</v>
      </c>
      <c r="P3110" s="4">
        <v>44068.79730324074</v>
      </c>
    </row>
    <row r="3111" hidden="1">
      <c r="A3111" s="1" t="s">
        <v>21</v>
      </c>
      <c r="B3111" s="3" t="str">
        <f>HYPERLINK("https://hawk-eye.atlassian.net/browse/HWKREPORT-267?atlOrigin=eyJpIjoiYzgwYTQ0ZjEyNzQzNGJhN2JmNjEyZTM0NmRhZWZhNjIiLCJwIjoic2hlZXRzLWppcmEifQ","HWKREPORT-267")</f>
        <v>HWKREPORT-267</v>
      </c>
      <c r="C3111" s="1" t="s">
        <v>4429</v>
      </c>
      <c r="D3111" s="1" t="s">
        <v>23</v>
      </c>
      <c r="E3111" s="1" t="s">
        <v>35</v>
      </c>
      <c r="F3111" s="4">
        <v>43864.39025462963</v>
      </c>
      <c r="G3111" s="3" t="str">
        <f>HYPERLINK("https://hawk-eye.atlassian.net/browse/CTK-53?atlOrigin=eyJpIjoiYzgwYTQ0ZjEyNzQzNGJhN2JmNjEyZTM0NmRhZWZhNjIiLCJwIjoic2hlZXRzLWppcmEifQ","CTK-53")</f>
        <v>CTK-53</v>
      </c>
      <c r="H3111" s="1" t="s">
        <v>1058</v>
      </c>
      <c r="I3111" s="1" t="s">
        <v>1082</v>
      </c>
      <c r="J3111" s="1" t="s">
        <v>26</v>
      </c>
      <c r="K3111" s="1" t="s">
        <v>1083</v>
      </c>
      <c r="L3111" s="1" t="s">
        <v>26</v>
      </c>
      <c r="M3111" s="1" t="s">
        <v>27</v>
      </c>
      <c r="N3111" s="1" t="s">
        <v>26</v>
      </c>
      <c r="O3111" s="1" t="s">
        <v>26</v>
      </c>
      <c r="P3111" s="4">
        <v>45083.46952546296</v>
      </c>
    </row>
    <row r="3112" hidden="1">
      <c r="A3112" s="1" t="s">
        <v>21</v>
      </c>
      <c r="B3112" s="3" t="str">
        <f>HYPERLINK("https://hawk-eye.atlassian.net/browse/HWKREPORT-268?atlOrigin=eyJpIjoiYzgwYTQ0ZjEyNzQzNGJhN2JmNjEyZTM0NmRhZWZhNjIiLCJwIjoic2hlZXRzLWppcmEifQ","HWKREPORT-268")</f>
        <v>HWKREPORT-268</v>
      </c>
      <c r="C3112" s="1" t="s">
        <v>4430</v>
      </c>
      <c r="D3112" s="1" t="s">
        <v>23</v>
      </c>
      <c r="E3112" s="1" t="s">
        <v>35</v>
      </c>
      <c r="F3112" s="4">
        <v>43864.39271990741</v>
      </c>
      <c r="G3112" s="3" t="str">
        <f>HYPERLINK("https://hawk-eye.atlassian.net/browse/CTK-54?atlOrigin=eyJpIjoiYzgwYTQ0ZjEyNzQzNGJhN2JmNjEyZTM0NmRhZWZhNjIiLCJwIjoic2hlZXRzLWppcmEifQ","CTK-54")</f>
        <v>CTK-54</v>
      </c>
      <c r="H3112" s="1" t="s">
        <v>1058</v>
      </c>
      <c r="I3112" s="1" t="s">
        <v>1082</v>
      </c>
      <c r="J3112" s="1" t="s">
        <v>26</v>
      </c>
      <c r="K3112" s="1" t="s">
        <v>1083</v>
      </c>
      <c r="L3112" s="1" t="s">
        <v>26</v>
      </c>
      <c r="M3112" s="1" t="s">
        <v>27</v>
      </c>
      <c r="N3112" s="1" t="s">
        <v>26</v>
      </c>
      <c r="O3112" s="1" t="s">
        <v>26</v>
      </c>
      <c r="P3112" s="4">
        <v>44068.7921875</v>
      </c>
    </row>
    <row r="3113" hidden="1">
      <c r="A3113" s="1" t="s">
        <v>1055</v>
      </c>
      <c r="B3113" s="3" t="str">
        <f>HYPERLINK("https://hawk-eye.atlassian.net/browse/HWKREPORT-269?atlOrigin=eyJpIjoiYzgwYTQ0ZjEyNzQzNGJhN2JmNjEyZTM0NmRhZWZhNjIiLCJwIjoic2hlZXRzLWppcmEifQ","HWKREPORT-269")</f>
        <v>HWKREPORT-269</v>
      </c>
      <c r="C3113" s="1" t="s">
        <v>4431</v>
      </c>
      <c r="D3113" s="1" t="s">
        <v>23</v>
      </c>
      <c r="E3113" s="1" t="s">
        <v>35</v>
      </c>
      <c r="F3113" s="4">
        <v>43864.856307870374</v>
      </c>
      <c r="G3113" s="3" t="str">
        <f>HYPERLINK("https://hawk-eye.atlassian.net/browse/RTT-1760?atlOrigin=eyJpIjoiYzgwYTQ0ZjEyNzQzNGJhN2JmNjEyZTM0NmRhZWZhNjIiLCJwIjoic2hlZXRzLWppcmEifQ","RTT-1760")</f>
        <v>RTT-1760</v>
      </c>
      <c r="H3113" s="1" t="s">
        <v>1058</v>
      </c>
      <c r="I3113" s="1" t="s">
        <v>1071</v>
      </c>
      <c r="J3113" s="1" t="s">
        <v>26</v>
      </c>
      <c r="K3113" s="1" t="s">
        <v>1312</v>
      </c>
      <c r="L3113" s="1" t="s">
        <v>26</v>
      </c>
      <c r="M3113" s="1" t="s">
        <v>27</v>
      </c>
      <c r="N3113" s="1" t="s">
        <v>26</v>
      </c>
      <c r="O3113" s="1" t="s">
        <v>26</v>
      </c>
      <c r="P3113" s="4">
        <v>44068.79733796296</v>
      </c>
    </row>
    <row r="3114" hidden="1">
      <c r="A3114" s="1" t="s">
        <v>21</v>
      </c>
      <c r="B3114" s="3" t="str">
        <f>HYPERLINK("https://hawk-eye.atlassian.net/browse/HWKREPORT-270?atlOrigin=eyJpIjoiYzgwYTQ0ZjEyNzQzNGJhN2JmNjEyZTM0NmRhZWZhNjIiLCJwIjoic2hlZXRzLWppcmEifQ","HWKREPORT-270")</f>
        <v>HWKREPORT-270</v>
      </c>
      <c r="C3114" s="1" t="s">
        <v>4432</v>
      </c>
      <c r="D3114" s="1" t="s">
        <v>23</v>
      </c>
      <c r="E3114" s="1" t="s">
        <v>35</v>
      </c>
      <c r="F3114" s="4">
        <v>43864.86319444444</v>
      </c>
      <c r="G3114" s="3" t="str">
        <f t="shared" ref="G3114:G3115" si="213">HYPERLINK("https://hawk-eye.atlassian.net/browse/RTT-1761?atlOrigin=eyJpIjoiYzgwYTQ0ZjEyNzQzNGJhN2JmNjEyZTM0NmRhZWZhNjIiLCJwIjoic2hlZXRzLWppcmEifQ","RTT-1761")</f>
        <v>RTT-1761</v>
      </c>
      <c r="H3114" s="1" t="s">
        <v>1058</v>
      </c>
      <c r="I3114" s="1" t="s">
        <v>1071</v>
      </c>
      <c r="J3114" s="1" t="s">
        <v>26</v>
      </c>
      <c r="K3114" s="1" t="s">
        <v>1312</v>
      </c>
      <c r="L3114" s="1" t="s">
        <v>26</v>
      </c>
      <c r="M3114" s="1" t="s">
        <v>27</v>
      </c>
      <c r="N3114" s="1" t="s">
        <v>26</v>
      </c>
      <c r="O3114" s="1" t="s">
        <v>26</v>
      </c>
      <c r="P3114" s="4">
        <v>43921.39368055556</v>
      </c>
    </row>
    <row r="3115" hidden="1">
      <c r="A3115" s="1" t="s">
        <v>21</v>
      </c>
      <c r="B3115" s="3" t="str">
        <f>HYPERLINK("https://hawk-eye.atlassian.net/browse/HWKREPORT-271?atlOrigin=eyJpIjoiYzgwYTQ0ZjEyNzQzNGJhN2JmNjEyZTM0NmRhZWZhNjIiLCJwIjoic2hlZXRzLWppcmEifQ","HWKREPORT-271")</f>
        <v>HWKREPORT-271</v>
      </c>
      <c r="C3115" s="1" t="s">
        <v>4433</v>
      </c>
      <c r="D3115" s="1" t="s">
        <v>23</v>
      </c>
      <c r="E3115" s="1" t="s">
        <v>35</v>
      </c>
      <c r="F3115" s="4">
        <v>43864.94445601852</v>
      </c>
      <c r="G3115" s="3" t="str">
        <f t="shared" si="213"/>
        <v>RTT-1761</v>
      </c>
      <c r="H3115" s="1" t="s">
        <v>1058</v>
      </c>
      <c r="I3115" s="1" t="s">
        <v>1071</v>
      </c>
      <c r="J3115" s="1" t="s">
        <v>26</v>
      </c>
      <c r="K3115" s="1" t="s">
        <v>1312</v>
      </c>
      <c r="L3115" s="1" t="s">
        <v>26</v>
      </c>
      <c r="M3115" s="1" t="s">
        <v>27</v>
      </c>
      <c r="N3115" s="1" t="s">
        <v>26</v>
      </c>
      <c r="O3115" s="1" t="s">
        <v>26</v>
      </c>
      <c r="P3115" s="4">
        <v>43935.40546296296</v>
      </c>
    </row>
    <row r="3116" hidden="1">
      <c r="A3116" s="1" t="s">
        <v>21</v>
      </c>
      <c r="B3116" s="3" t="str">
        <f>HYPERLINK("https://hawk-eye.atlassian.net/browse/HWKREPORT-272?atlOrigin=eyJpIjoiYzgwYTQ0ZjEyNzQzNGJhN2JmNjEyZTM0NmRhZWZhNjIiLCJwIjoic2hlZXRzLWppcmEifQ","HWKREPORT-272")</f>
        <v>HWKREPORT-272</v>
      </c>
      <c r="C3116" s="1" t="s">
        <v>4434</v>
      </c>
      <c r="D3116" s="1" t="s">
        <v>23</v>
      </c>
      <c r="E3116" s="1" t="s">
        <v>35</v>
      </c>
      <c r="F3116" s="4">
        <v>43869.48777777778</v>
      </c>
      <c r="G3116" s="3" t="str">
        <f>HYPERLINK("https://hawk-eye.atlassian.net/browse/TDS-1139?atlOrigin=eyJpIjoiYzgwYTQ0ZjEyNzQzNGJhN2JmNjEyZTM0NmRhZWZhNjIiLCJwIjoic2hlZXRzLWppcmEifQ","TDS-1139")</f>
        <v>TDS-1139</v>
      </c>
      <c r="H3116" s="1" t="s">
        <v>1058</v>
      </c>
      <c r="I3116" s="1" t="s">
        <v>1126</v>
      </c>
      <c r="J3116" s="1" t="s">
        <v>26</v>
      </c>
      <c r="K3116" s="1" t="s">
        <v>4435</v>
      </c>
      <c r="L3116" s="1" t="s">
        <v>26</v>
      </c>
      <c r="M3116" s="1" t="s">
        <v>27</v>
      </c>
      <c r="N3116" s="1" t="s">
        <v>26</v>
      </c>
      <c r="O3116" s="1" t="s">
        <v>26</v>
      </c>
      <c r="P3116" s="4">
        <v>44068.79728009259</v>
      </c>
    </row>
    <row r="3117" hidden="1">
      <c r="A3117" s="1" t="s">
        <v>21</v>
      </c>
      <c r="B3117" s="3" t="str">
        <f>HYPERLINK("https://hawk-eye.atlassian.net/browse/HWKREPORT-273?atlOrigin=eyJpIjoiYzgwYTQ0ZjEyNzQzNGJhN2JmNjEyZTM0NmRhZWZhNjIiLCJwIjoic2hlZXRzLWppcmEifQ","HWKREPORT-273")</f>
        <v>HWKREPORT-273</v>
      </c>
      <c r="C3117" s="1" t="s">
        <v>4436</v>
      </c>
      <c r="D3117" s="1" t="s">
        <v>34</v>
      </c>
      <c r="E3117" s="1" t="s">
        <v>35</v>
      </c>
      <c r="F3117" s="4">
        <v>43870.07247685185</v>
      </c>
      <c r="G3117" s="3" t="str">
        <f>HYPERLINK("https://hawk-eye.atlassian.net/browse/RTT-1782?atlOrigin=eyJpIjoiYzgwYTQ0ZjEyNzQzNGJhN2JmNjEyZTM0NmRhZWZhNjIiLCJwIjoic2hlZXRzLWppcmEifQ","RTT-1782")</f>
        <v>RTT-1782</v>
      </c>
      <c r="H3117" s="1" t="s">
        <v>1058</v>
      </c>
      <c r="I3117" s="1" t="s">
        <v>1126</v>
      </c>
      <c r="J3117" s="1" t="s">
        <v>26</v>
      </c>
      <c r="K3117" s="1" t="s">
        <v>1309</v>
      </c>
      <c r="L3117" s="1" t="s">
        <v>26</v>
      </c>
      <c r="M3117" s="1" t="s">
        <v>27</v>
      </c>
      <c r="N3117" s="1" t="s">
        <v>26</v>
      </c>
      <c r="O3117" s="1" t="s">
        <v>26</v>
      </c>
      <c r="P3117" s="4">
        <v>44068.79728009259</v>
      </c>
    </row>
    <row r="3118" hidden="1">
      <c r="A3118" s="1" t="s">
        <v>21</v>
      </c>
      <c r="B3118" s="3" t="str">
        <f>HYPERLINK("https://hawk-eye.atlassian.net/browse/HWKREPORT-274?atlOrigin=eyJpIjoiYzgwYTQ0ZjEyNzQzNGJhN2JmNjEyZTM0NmRhZWZhNjIiLCJwIjoic2hlZXRzLWppcmEifQ","HWKREPORT-274")</f>
        <v>HWKREPORT-274</v>
      </c>
      <c r="C3118" s="1" t="s">
        <v>4437</v>
      </c>
      <c r="D3118" s="1" t="s">
        <v>34</v>
      </c>
      <c r="E3118" s="1" t="s">
        <v>35</v>
      </c>
      <c r="F3118" s="4">
        <v>43870.080104166664</v>
      </c>
      <c r="G3118" s="3" t="str">
        <f>HYPERLINK("https://hawk-eye.atlassian.net/browse/RTT-1783?atlOrigin=eyJpIjoiYzgwYTQ0ZjEyNzQzNGJhN2JmNjEyZTM0NmRhZWZhNjIiLCJwIjoic2hlZXRzLWppcmEifQ","RTT-1783")</f>
        <v>RTT-1783</v>
      </c>
      <c r="H3118" s="1" t="s">
        <v>1058</v>
      </c>
      <c r="I3118" s="1" t="s">
        <v>1126</v>
      </c>
      <c r="J3118" s="1" t="s">
        <v>26</v>
      </c>
      <c r="K3118" s="1" t="s">
        <v>1309</v>
      </c>
      <c r="L3118" s="1" t="s">
        <v>26</v>
      </c>
      <c r="M3118" s="1" t="s">
        <v>27</v>
      </c>
      <c r="N3118" s="1" t="s">
        <v>26</v>
      </c>
      <c r="O3118" s="1" t="s">
        <v>26</v>
      </c>
      <c r="P3118" s="4">
        <v>44068.79729166667</v>
      </c>
    </row>
    <row r="3119" hidden="1">
      <c r="A3119" s="1" t="s">
        <v>21</v>
      </c>
      <c r="B3119" s="3" t="str">
        <f>HYPERLINK("https://hawk-eye.atlassian.net/browse/HWKREPORT-275?atlOrigin=eyJpIjoiYzgwYTQ0ZjEyNzQzNGJhN2JmNjEyZTM0NmRhZWZhNjIiLCJwIjoic2hlZXRzLWppcmEifQ","HWKREPORT-275")</f>
        <v>HWKREPORT-275</v>
      </c>
      <c r="C3119" s="1" t="s">
        <v>4438</v>
      </c>
      <c r="D3119" s="1" t="s">
        <v>34</v>
      </c>
      <c r="E3119" s="1" t="s">
        <v>35</v>
      </c>
      <c r="F3119" s="4">
        <v>43870.735983796294</v>
      </c>
      <c r="G3119" s="3" t="str">
        <f>HYPERLINK("https://hawk-eye.atlassian.net/browse/RTT-1781?atlOrigin=eyJpIjoiYzgwYTQ0ZjEyNzQzNGJhN2JmNjEyZTM0NmRhZWZhNjIiLCJwIjoic2hlZXRzLWppcmEifQ","RTT-1781")</f>
        <v>RTT-1781</v>
      </c>
      <c r="H3119" s="1" t="s">
        <v>1058</v>
      </c>
      <c r="I3119" s="1" t="s">
        <v>1071</v>
      </c>
      <c r="J3119" s="1" t="s">
        <v>26</v>
      </c>
      <c r="K3119" s="1" t="s">
        <v>1134</v>
      </c>
      <c r="L3119" s="1" t="s">
        <v>26</v>
      </c>
      <c r="M3119" s="1" t="s">
        <v>27</v>
      </c>
      <c r="N3119" s="1" t="s">
        <v>26</v>
      </c>
      <c r="O3119" s="1" t="s">
        <v>26</v>
      </c>
      <c r="P3119" s="4">
        <v>44068.79729166667</v>
      </c>
    </row>
    <row r="3120" hidden="1">
      <c r="A3120" s="1" t="s">
        <v>21</v>
      </c>
      <c r="B3120" s="3" t="str">
        <f>HYPERLINK("https://hawk-eye.atlassian.net/browse/HWKREPORT-276?atlOrigin=eyJpIjoiYzgwYTQ0ZjEyNzQzNGJhN2JmNjEyZTM0NmRhZWZhNjIiLCJwIjoic2hlZXRzLWppcmEifQ","HWKREPORT-276")</f>
        <v>HWKREPORT-276</v>
      </c>
      <c r="C3120" s="1" t="s">
        <v>4439</v>
      </c>
      <c r="D3120" s="1" t="s">
        <v>23</v>
      </c>
      <c r="E3120" s="1" t="s">
        <v>35</v>
      </c>
      <c r="F3120" s="4">
        <v>43870.941458333335</v>
      </c>
      <c r="G3120" s="3" t="str">
        <f>HYPERLINK("https://hawk-eye.atlassian.net/browse/RTT-1780?atlOrigin=eyJpIjoiYzgwYTQ0ZjEyNzQzNGJhN2JmNjEyZTM0NmRhZWZhNjIiLCJwIjoic2hlZXRzLWppcmEifQ","RTT-1780")</f>
        <v>RTT-1780</v>
      </c>
      <c r="H3120" s="1" t="s">
        <v>1058</v>
      </c>
      <c r="I3120" s="1" t="s">
        <v>1071</v>
      </c>
      <c r="J3120" s="1" t="s">
        <v>26</v>
      </c>
      <c r="K3120" s="1" t="s">
        <v>1312</v>
      </c>
      <c r="L3120" s="1" t="s">
        <v>26</v>
      </c>
      <c r="M3120" s="1" t="s">
        <v>27</v>
      </c>
      <c r="N3120" s="1" t="s">
        <v>26</v>
      </c>
      <c r="O3120" s="1" t="s">
        <v>26</v>
      </c>
      <c r="P3120" s="4">
        <v>44068.79730324074</v>
      </c>
    </row>
    <row r="3121" hidden="1">
      <c r="A3121" s="1" t="s">
        <v>1055</v>
      </c>
      <c r="B3121" s="3" t="str">
        <f>HYPERLINK("https://hawk-eye.atlassian.net/browse/HWKREPORT-277?atlOrigin=eyJpIjoiYzgwYTQ0ZjEyNzQzNGJhN2JmNjEyZTM0NmRhZWZhNjIiLCJwIjoic2hlZXRzLWppcmEifQ","HWKREPORT-277")</f>
        <v>HWKREPORT-277</v>
      </c>
      <c r="C3121" s="1" t="s">
        <v>4440</v>
      </c>
      <c r="D3121" s="1" t="s">
        <v>23</v>
      </c>
      <c r="E3121" s="1" t="s">
        <v>35</v>
      </c>
      <c r="F3121" s="4">
        <v>43872.672372685185</v>
      </c>
      <c r="G3121" s="3" t="str">
        <f>HYPERLINK("https://hawk-eye.atlassian.net/browse/RTT-1998?atlOrigin=eyJpIjoiYzgwYTQ0ZjEyNzQzNGJhN2JmNjEyZTM0NmRhZWZhNjIiLCJwIjoic2hlZXRzLWppcmEifQ","RTT-1998")</f>
        <v>RTT-1998</v>
      </c>
      <c r="H3121" s="1" t="s">
        <v>1058</v>
      </c>
      <c r="I3121" s="1" t="s">
        <v>1126</v>
      </c>
      <c r="J3121" s="1" t="s">
        <v>26</v>
      </c>
      <c r="K3121" s="1" t="s">
        <v>4441</v>
      </c>
      <c r="L3121" s="1" t="s">
        <v>26</v>
      </c>
      <c r="M3121" s="1" t="s">
        <v>27</v>
      </c>
      <c r="N3121" s="1" t="s">
        <v>26</v>
      </c>
      <c r="O3121" s="1" t="s">
        <v>26</v>
      </c>
      <c r="P3121" s="4">
        <v>44166.745983796296</v>
      </c>
    </row>
    <row r="3122" hidden="1">
      <c r="A3122" s="1" t="s">
        <v>1055</v>
      </c>
      <c r="B3122" s="3" t="str">
        <f>HYPERLINK("https://hawk-eye.atlassian.net/browse/HWKREPORT-278?atlOrigin=eyJpIjoiYzgwYTQ0ZjEyNzQzNGJhN2JmNjEyZTM0NmRhZWZhNjIiLCJwIjoic2hlZXRzLWppcmEifQ","HWKREPORT-278")</f>
        <v>HWKREPORT-278</v>
      </c>
      <c r="C3122" s="1" t="s">
        <v>4442</v>
      </c>
      <c r="D3122" s="1" t="s">
        <v>23</v>
      </c>
      <c r="E3122" s="1" t="s">
        <v>35</v>
      </c>
      <c r="F3122" s="4">
        <v>43873.639699074076</v>
      </c>
      <c r="G3122" s="3" t="str">
        <f>HYPERLINK("https://hawk-eye.atlassian.net/browse/?atlOrigin=eyJpIjoiYzgwYTQ0ZjEyNzQzNGJhN2JmNjEyZTM0NmRhZWZhNjIiLCJwIjoic2hlZXRzLWppcmEifQ","")</f>
        <v/>
      </c>
      <c r="H3122" s="1" t="s">
        <v>1058</v>
      </c>
      <c r="I3122" s="1" t="s">
        <v>1071</v>
      </c>
      <c r="J3122" s="1" t="s">
        <v>26</v>
      </c>
      <c r="K3122" s="1" t="s">
        <v>1362</v>
      </c>
      <c r="L3122" s="1" t="s">
        <v>26</v>
      </c>
      <c r="M3122" s="1" t="s">
        <v>27</v>
      </c>
      <c r="N3122" s="1" t="s">
        <v>26</v>
      </c>
      <c r="O3122" s="1" t="s">
        <v>26</v>
      </c>
      <c r="P3122" s="4">
        <v>43920.62710648148</v>
      </c>
    </row>
    <row r="3123" hidden="1">
      <c r="A3123" s="1" t="s">
        <v>1055</v>
      </c>
      <c r="B3123" s="3" t="str">
        <f>HYPERLINK("https://hawk-eye.atlassian.net/browse/HWKREPORT-279?atlOrigin=eyJpIjoiYzgwYTQ0ZjEyNzQzNGJhN2JmNjEyZTM0NmRhZWZhNjIiLCJwIjoic2hlZXRzLWppcmEifQ","HWKREPORT-279")</f>
        <v>HWKREPORT-279</v>
      </c>
      <c r="C3123" s="1" t="s">
        <v>4443</v>
      </c>
      <c r="D3123" s="1" t="s">
        <v>23</v>
      </c>
      <c r="E3123" s="1" t="s">
        <v>35</v>
      </c>
      <c r="F3123" s="4">
        <v>43874.75682870371</v>
      </c>
      <c r="G3123" s="3" t="str">
        <f>HYPERLINK("https://hawk-eye.atlassian.net/browse/TVR-59?atlOrigin=eyJpIjoiYzgwYTQ0ZjEyNzQzNGJhN2JmNjEyZTM0NmRhZWZhNjIiLCJwIjoic2hlZXRzLWppcmEifQ","TVR-59")</f>
        <v>TVR-59</v>
      </c>
      <c r="H3123" s="1" t="s">
        <v>1058</v>
      </c>
      <c r="I3123" s="1" t="s">
        <v>1126</v>
      </c>
      <c r="J3123" s="1" t="s">
        <v>26</v>
      </c>
      <c r="K3123" s="1" t="s">
        <v>1573</v>
      </c>
      <c r="L3123" s="1" t="s">
        <v>26</v>
      </c>
      <c r="M3123" s="1" t="s">
        <v>27</v>
      </c>
      <c r="N3123" s="1" t="s">
        <v>26</v>
      </c>
      <c r="O3123" s="1" t="s">
        <v>26</v>
      </c>
      <c r="P3123" s="4">
        <v>44068.797372685185</v>
      </c>
    </row>
    <row r="3124" hidden="1">
      <c r="A3124" s="1" t="s">
        <v>1055</v>
      </c>
      <c r="B3124" s="3" t="str">
        <f>HYPERLINK("https://hawk-eye.atlassian.net/browse/HWKREPORT-280?atlOrigin=eyJpIjoiYzgwYTQ0ZjEyNzQzNGJhN2JmNjEyZTM0NmRhZWZhNjIiLCJwIjoic2hlZXRzLWppcmEifQ","HWKREPORT-280")</f>
        <v>HWKREPORT-280</v>
      </c>
      <c r="C3124" s="1" t="s">
        <v>4444</v>
      </c>
      <c r="D3124" s="1" t="s">
        <v>23</v>
      </c>
      <c r="E3124" s="1" t="s">
        <v>35</v>
      </c>
      <c r="F3124" s="4">
        <v>43874.75866898148</v>
      </c>
      <c r="G3124" s="3" t="str">
        <f t="shared" ref="G3124:G3125" si="214">HYPERLINK("https://hawk-eye.atlassian.net/browse/?atlOrigin=eyJpIjoiYzgwYTQ0ZjEyNzQzNGJhN2JmNjEyZTM0NmRhZWZhNjIiLCJwIjoic2hlZXRzLWppcmEifQ","")</f>
        <v/>
      </c>
      <c r="H3124" s="1" t="s">
        <v>1058</v>
      </c>
      <c r="I3124" s="1" t="s">
        <v>1126</v>
      </c>
      <c r="J3124" s="1" t="s">
        <v>26</v>
      </c>
      <c r="K3124" s="1" t="s">
        <v>1105</v>
      </c>
      <c r="L3124" s="1" t="s">
        <v>26</v>
      </c>
      <c r="M3124" s="1" t="s">
        <v>27</v>
      </c>
      <c r="N3124" s="1" t="s">
        <v>26</v>
      </c>
      <c r="O3124" s="1" t="s">
        <v>26</v>
      </c>
      <c r="P3124" s="4">
        <v>44068.79087962963</v>
      </c>
    </row>
    <row r="3125" hidden="1">
      <c r="A3125" s="1" t="s">
        <v>1055</v>
      </c>
      <c r="B3125" s="3" t="str">
        <f>HYPERLINK("https://hawk-eye.atlassian.net/browse/HWKREPORT-281?atlOrigin=eyJpIjoiYzgwYTQ0ZjEyNzQzNGJhN2JmNjEyZTM0NmRhZWZhNjIiLCJwIjoic2hlZXRzLWppcmEifQ","HWKREPORT-281")</f>
        <v>HWKREPORT-281</v>
      </c>
      <c r="C3125" s="1" t="s">
        <v>4445</v>
      </c>
      <c r="D3125" s="1" t="s">
        <v>23</v>
      </c>
      <c r="E3125" s="1" t="s">
        <v>35</v>
      </c>
      <c r="F3125" s="4">
        <v>43874.76021990741</v>
      </c>
      <c r="G3125" s="3" t="str">
        <f t="shared" si="214"/>
        <v/>
      </c>
      <c r="H3125" s="1" t="s">
        <v>1058</v>
      </c>
      <c r="I3125" s="1" t="s">
        <v>1126</v>
      </c>
      <c r="J3125" s="1" t="s">
        <v>26</v>
      </c>
      <c r="K3125" s="1" t="s">
        <v>1148</v>
      </c>
      <c r="L3125" s="1" t="s">
        <v>26</v>
      </c>
      <c r="M3125" s="1" t="s">
        <v>27</v>
      </c>
      <c r="N3125" s="1" t="s">
        <v>26</v>
      </c>
      <c r="O3125" s="1" t="s">
        <v>26</v>
      </c>
      <c r="P3125" s="4">
        <v>44068.7934837963</v>
      </c>
    </row>
    <row r="3126" hidden="1">
      <c r="A3126" s="1" t="s">
        <v>21</v>
      </c>
      <c r="B3126" s="3" t="str">
        <f>HYPERLINK("https://hawk-eye.atlassian.net/browse/HWKREPORT-282?atlOrigin=eyJpIjoiYzgwYTQ0ZjEyNzQzNGJhN2JmNjEyZTM0NmRhZWZhNjIiLCJwIjoic2hlZXRzLWppcmEifQ","HWKREPORT-282")</f>
        <v>HWKREPORT-282</v>
      </c>
      <c r="C3126" s="1" t="s">
        <v>4446</v>
      </c>
      <c r="D3126" s="1" t="s">
        <v>23</v>
      </c>
      <c r="E3126" s="1" t="s">
        <v>35</v>
      </c>
      <c r="F3126" s="4">
        <v>43884.48394675926</v>
      </c>
      <c r="G3126" s="3" t="str">
        <f>HYPERLINK("https://hawk-eye.atlassian.net/browse/VARDICT-131?atlOrigin=eyJpIjoiYzgwYTQ0ZjEyNzQzNGJhN2JmNjEyZTM0NmRhZWZhNjIiLCJwIjoic2hlZXRzLWppcmEifQ","VARDICT-131")</f>
        <v>VARDICT-131</v>
      </c>
      <c r="H3126" s="1" t="s">
        <v>1058</v>
      </c>
      <c r="I3126" s="1" t="s">
        <v>1085</v>
      </c>
      <c r="J3126" s="1" t="s">
        <v>26</v>
      </c>
      <c r="K3126" s="1" t="s">
        <v>1290</v>
      </c>
      <c r="L3126" s="1" t="s">
        <v>26</v>
      </c>
      <c r="M3126" s="1" t="s">
        <v>27</v>
      </c>
      <c r="N3126" s="1" t="s">
        <v>26</v>
      </c>
      <c r="O3126" s="1" t="s">
        <v>26</v>
      </c>
      <c r="P3126" s="4">
        <v>44068.797268518516</v>
      </c>
    </row>
    <row r="3127" hidden="1">
      <c r="A3127" s="1" t="s">
        <v>21</v>
      </c>
      <c r="B3127" s="3" t="str">
        <f>HYPERLINK("https://hawk-eye.atlassian.net/browse/HWKREPORT-283?atlOrigin=eyJpIjoiYzgwYTQ0ZjEyNzQzNGJhN2JmNjEyZTM0NmRhZWZhNjIiLCJwIjoic2hlZXRzLWppcmEifQ","HWKREPORT-283")</f>
        <v>HWKREPORT-283</v>
      </c>
      <c r="C3127" s="1" t="s">
        <v>4447</v>
      </c>
      <c r="D3127" s="1" t="s">
        <v>23</v>
      </c>
      <c r="E3127" s="1" t="s">
        <v>35</v>
      </c>
      <c r="F3127" s="4">
        <v>43885.08565972222</v>
      </c>
      <c r="G3127" s="3" t="str">
        <f>HYPERLINK("https://hawk-eye.atlassian.net/browse/RTT-1859?atlOrigin=eyJpIjoiYzgwYTQ0ZjEyNzQzNGJhN2JmNjEyZTM0NmRhZWZhNjIiLCJwIjoic2hlZXRzLWppcmEifQ","RTT-1859")</f>
        <v>RTT-1859</v>
      </c>
      <c r="H3127" s="1" t="s">
        <v>1058</v>
      </c>
      <c r="I3127" s="1" t="s">
        <v>1071</v>
      </c>
      <c r="J3127" s="1" t="s">
        <v>26</v>
      </c>
      <c r="K3127" s="1" t="s">
        <v>1312</v>
      </c>
      <c r="L3127" s="1" t="s">
        <v>26</v>
      </c>
      <c r="M3127" s="1" t="s">
        <v>27</v>
      </c>
      <c r="N3127" s="1" t="s">
        <v>26</v>
      </c>
      <c r="O3127" s="1" t="s">
        <v>26</v>
      </c>
      <c r="P3127" s="4">
        <v>44172.463229166664</v>
      </c>
    </row>
    <row r="3128" hidden="1">
      <c r="A3128" s="1" t="s">
        <v>21</v>
      </c>
      <c r="B3128" s="3" t="str">
        <f>HYPERLINK("https://hawk-eye.atlassian.net/browse/HWKREPORT-284?atlOrigin=eyJpIjoiYzgwYTQ0ZjEyNzQzNGJhN2JmNjEyZTM0NmRhZWZhNjIiLCJwIjoic2hlZXRzLWppcmEifQ","HWKREPORT-284")</f>
        <v>HWKREPORT-284</v>
      </c>
      <c r="C3128" s="1" t="s">
        <v>4448</v>
      </c>
      <c r="D3128" s="1" t="s">
        <v>23</v>
      </c>
      <c r="E3128" s="1" t="s">
        <v>35</v>
      </c>
      <c r="F3128" s="4">
        <v>43887.13484953704</v>
      </c>
      <c r="G3128" s="3" t="str">
        <f>HYPERLINK("https://hawk-eye.atlassian.net/browse/?atlOrigin=eyJpIjoiYzgwYTQ0ZjEyNzQzNGJhN2JmNjEyZTM0NmRhZWZhNjIiLCJwIjoic2hlZXRzLWppcmEifQ","")</f>
        <v/>
      </c>
      <c r="H3128" s="1" t="s">
        <v>1058</v>
      </c>
      <c r="I3128" s="1" t="s">
        <v>1071</v>
      </c>
      <c r="J3128" s="1" t="s">
        <v>26</v>
      </c>
      <c r="K3128" s="1" t="s">
        <v>1362</v>
      </c>
      <c r="L3128" s="1" t="s">
        <v>26</v>
      </c>
      <c r="M3128" s="1" t="s">
        <v>27</v>
      </c>
      <c r="N3128" s="1" t="s">
        <v>26</v>
      </c>
      <c r="O3128" s="1" t="s">
        <v>26</v>
      </c>
      <c r="P3128" s="4">
        <v>43899.58849537037</v>
      </c>
    </row>
    <row r="3129" hidden="1">
      <c r="A3129" s="1" t="s">
        <v>21</v>
      </c>
      <c r="B3129" s="3" t="str">
        <f>HYPERLINK("https://hawk-eye.atlassian.net/browse/HWKREPORT-285?atlOrigin=eyJpIjoiYzgwYTQ0ZjEyNzQzNGJhN2JmNjEyZTM0NmRhZWZhNjIiLCJwIjoic2hlZXRzLWppcmEifQ","HWKREPORT-285")</f>
        <v>HWKREPORT-285</v>
      </c>
      <c r="C3129" s="1" t="s">
        <v>4449</v>
      </c>
      <c r="D3129" s="1" t="s">
        <v>23</v>
      </c>
      <c r="E3129" s="1" t="s">
        <v>35</v>
      </c>
      <c r="F3129" s="4">
        <v>43892.026921296296</v>
      </c>
      <c r="G3129" s="3" t="str">
        <f>HYPERLINK("https://hawk-eye.atlassian.net/browse/RTT-1884?atlOrigin=eyJpIjoiYzgwYTQ0ZjEyNzQzNGJhN2JmNjEyZTM0NmRhZWZhNjIiLCJwIjoic2hlZXRzLWppcmEifQ","RTT-1884")</f>
        <v>RTT-1884</v>
      </c>
      <c r="H3129" s="1" t="s">
        <v>1058</v>
      </c>
      <c r="I3129" s="1" t="s">
        <v>1071</v>
      </c>
      <c r="J3129" s="1" t="s">
        <v>26</v>
      </c>
      <c r="K3129" s="1" t="s">
        <v>1099</v>
      </c>
      <c r="L3129" s="1" t="s">
        <v>26</v>
      </c>
      <c r="M3129" s="1" t="s">
        <v>27</v>
      </c>
      <c r="N3129" s="1" t="s">
        <v>26</v>
      </c>
      <c r="O3129" s="1" t="s">
        <v>26</v>
      </c>
      <c r="P3129" s="4">
        <v>44068.79755787037</v>
      </c>
    </row>
    <row r="3130" hidden="1">
      <c r="A3130" s="1" t="s">
        <v>21</v>
      </c>
      <c r="B3130" s="3" t="str">
        <f>HYPERLINK("https://hawk-eye.atlassian.net/browse/HWKREPORT-286?atlOrigin=eyJpIjoiYzgwYTQ0ZjEyNzQzNGJhN2JmNjEyZTM0NmRhZWZhNjIiLCJwIjoic2hlZXRzLWppcmEifQ","HWKREPORT-286")</f>
        <v>HWKREPORT-286</v>
      </c>
      <c r="C3130" s="1" t="s">
        <v>4450</v>
      </c>
      <c r="D3130" s="1" t="s">
        <v>34</v>
      </c>
      <c r="E3130" s="1" t="s">
        <v>35</v>
      </c>
      <c r="F3130" s="4">
        <v>43895.13858796296</v>
      </c>
      <c r="G3130" s="3" t="str">
        <f>HYPERLINK("https://hawk-eye.atlassian.net/browse/RTT-1908?atlOrigin=eyJpIjoiYzgwYTQ0ZjEyNzQzNGJhN2JmNjEyZTM0NmRhZWZhNjIiLCJwIjoic2hlZXRzLWppcmEifQ","RTT-1908")</f>
        <v>RTT-1908</v>
      </c>
      <c r="H3130" s="1" t="s">
        <v>1058</v>
      </c>
      <c r="I3130" s="1" t="s">
        <v>1071</v>
      </c>
      <c r="J3130" s="1" t="s">
        <v>26</v>
      </c>
      <c r="K3130" s="1" t="s">
        <v>1362</v>
      </c>
      <c r="L3130" s="1" t="s">
        <v>26</v>
      </c>
      <c r="M3130" s="1" t="s">
        <v>27</v>
      </c>
      <c r="N3130" s="1" t="s">
        <v>26</v>
      </c>
      <c r="O3130" s="1" t="s">
        <v>26</v>
      </c>
      <c r="P3130" s="4">
        <v>44068.79739583333</v>
      </c>
    </row>
    <row r="3131" hidden="1">
      <c r="A3131" s="1" t="s">
        <v>1055</v>
      </c>
      <c r="B3131" s="3" t="str">
        <f>HYPERLINK("https://hawk-eye.atlassian.net/browse/HWKREPORT-287?atlOrigin=eyJpIjoiYzgwYTQ0ZjEyNzQzNGJhN2JmNjEyZTM0NmRhZWZhNjIiLCJwIjoic2hlZXRzLWppcmEifQ","HWKREPORT-287")</f>
        <v>HWKREPORT-287</v>
      </c>
      <c r="C3131" s="1" t="s">
        <v>4451</v>
      </c>
      <c r="D3131" s="1" t="s">
        <v>23</v>
      </c>
      <c r="E3131" s="1" t="s">
        <v>35</v>
      </c>
      <c r="F3131" s="4">
        <v>43895.802407407406</v>
      </c>
      <c r="G3131" s="3" t="str">
        <f>HYPERLINK("https://hawk-eye.atlassian.net/browse/?atlOrigin=eyJpIjoiYzgwYTQ0ZjEyNzQzNGJhN2JmNjEyZTM0NmRhZWZhNjIiLCJwIjoic2hlZXRzLWppcmEifQ","")</f>
        <v/>
      </c>
      <c r="H3131" s="1" t="s">
        <v>1058</v>
      </c>
      <c r="I3131" s="1" t="s">
        <v>1071</v>
      </c>
      <c r="J3131" s="1" t="s">
        <v>26</v>
      </c>
      <c r="K3131" s="1" t="s">
        <v>1362</v>
      </c>
      <c r="L3131" s="1" t="s">
        <v>26</v>
      </c>
      <c r="M3131" s="1" t="s">
        <v>27</v>
      </c>
      <c r="N3131" s="1" t="s">
        <v>26</v>
      </c>
      <c r="O3131" s="1" t="s">
        <v>26</v>
      </c>
      <c r="P3131" s="4">
        <v>44503.372152777774</v>
      </c>
    </row>
    <row r="3132" hidden="1">
      <c r="A3132" s="1" t="s">
        <v>1055</v>
      </c>
      <c r="B3132" s="3" t="str">
        <f>HYPERLINK("https://hawk-eye.atlassian.net/browse/HWKREPORT-288?atlOrigin=eyJpIjoiYzgwYTQ0ZjEyNzQzNGJhN2JmNjEyZTM0NmRhZWZhNjIiLCJwIjoic2hlZXRzLWppcmEifQ","HWKREPORT-288")</f>
        <v>HWKREPORT-288</v>
      </c>
      <c r="C3132" s="1" t="s">
        <v>4452</v>
      </c>
      <c r="D3132" s="1" t="s">
        <v>23</v>
      </c>
      <c r="E3132" s="1" t="s">
        <v>35</v>
      </c>
      <c r="F3132" s="4">
        <v>43895.803761574076</v>
      </c>
      <c r="G3132" s="3" t="str">
        <f>HYPERLINK("https://hawk-eye.atlassian.net/browse/RTT-1907?atlOrigin=eyJpIjoiYzgwYTQ0ZjEyNzQzNGJhN2JmNjEyZTM0NmRhZWZhNjIiLCJwIjoic2hlZXRzLWppcmEifQ","RTT-1907")</f>
        <v>RTT-1907</v>
      </c>
      <c r="H3132" s="1" t="s">
        <v>1058</v>
      </c>
      <c r="I3132" s="1" t="s">
        <v>1071</v>
      </c>
      <c r="J3132" s="1" t="s">
        <v>26</v>
      </c>
      <c r="K3132" s="1" t="s">
        <v>1362</v>
      </c>
      <c r="L3132" s="1" t="s">
        <v>26</v>
      </c>
      <c r="M3132" s="1" t="s">
        <v>27</v>
      </c>
      <c r="N3132" s="1" t="s">
        <v>26</v>
      </c>
      <c r="O3132" s="1" t="s">
        <v>26</v>
      </c>
      <c r="P3132" s="4">
        <v>44068.79746527778</v>
      </c>
    </row>
    <row r="3133" hidden="1">
      <c r="A3133" s="1" t="s">
        <v>21</v>
      </c>
      <c r="B3133" s="3" t="str">
        <f>HYPERLINK("https://hawk-eye.atlassian.net/browse/HWKREPORT-289?atlOrigin=eyJpIjoiYzgwYTQ0ZjEyNzQzNGJhN2JmNjEyZTM0NmRhZWZhNjIiLCJwIjoic2hlZXRzLWppcmEifQ","HWKREPORT-289")</f>
        <v>HWKREPORT-289</v>
      </c>
      <c r="C3133" s="1" t="s">
        <v>4453</v>
      </c>
      <c r="D3133" s="1" t="s">
        <v>34</v>
      </c>
      <c r="E3133" s="1" t="s">
        <v>35</v>
      </c>
      <c r="F3133" s="4">
        <v>43895.857835648145</v>
      </c>
      <c r="G3133" s="3" t="str">
        <f>HYPERLINK("https://hawk-eye.atlassian.net/browse/RTT-1904?atlOrigin=eyJpIjoiYzgwYTQ0ZjEyNzQzNGJhN2JmNjEyZTM0NmRhZWZhNjIiLCJwIjoic2hlZXRzLWppcmEifQ","RTT-1904")</f>
        <v>RTT-1904</v>
      </c>
      <c r="H3133" s="1" t="s">
        <v>1058</v>
      </c>
      <c r="I3133" s="1" t="s">
        <v>1071</v>
      </c>
      <c r="J3133" s="1" t="s">
        <v>26</v>
      </c>
      <c r="K3133" s="1" t="s">
        <v>1362</v>
      </c>
      <c r="L3133" s="1" t="s">
        <v>26</v>
      </c>
      <c r="M3133" s="1" t="s">
        <v>27</v>
      </c>
      <c r="N3133" s="1" t="s">
        <v>26</v>
      </c>
      <c r="O3133" s="1" t="s">
        <v>26</v>
      </c>
      <c r="P3133" s="4">
        <v>44068.797476851854</v>
      </c>
    </row>
    <row r="3134" hidden="1">
      <c r="A3134" s="1" t="s">
        <v>1055</v>
      </c>
      <c r="B3134" s="3" t="str">
        <f>HYPERLINK("https://hawk-eye.atlassian.net/browse/HWKREPORT-290?atlOrigin=eyJpIjoiYzgwYTQ0ZjEyNzQzNGJhN2JmNjEyZTM0NmRhZWZhNjIiLCJwIjoic2hlZXRzLWppcmEifQ","HWKREPORT-290")</f>
        <v>HWKREPORT-290</v>
      </c>
      <c r="C3134" s="1" t="s">
        <v>4454</v>
      </c>
      <c r="D3134" s="1" t="s">
        <v>23</v>
      </c>
      <c r="E3134" s="1" t="s">
        <v>35</v>
      </c>
      <c r="F3134" s="4">
        <v>43896.056539351855</v>
      </c>
      <c r="G3134" s="3" t="str">
        <f>HYPERLINK("https://hawk-eye.atlassian.net/browse/RTT-1760?atlOrigin=eyJpIjoiYzgwYTQ0ZjEyNzQzNGJhN2JmNjEyZTM0NmRhZWZhNjIiLCJwIjoic2hlZXRzLWppcmEifQ","RTT-1760")</f>
        <v>RTT-1760</v>
      </c>
      <c r="H3134" s="1" t="s">
        <v>1058</v>
      </c>
      <c r="I3134" s="1" t="s">
        <v>1071</v>
      </c>
      <c r="J3134" s="1" t="s">
        <v>26</v>
      </c>
      <c r="K3134" s="1" t="s">
        <v>1312</v>
      </c>
      <c r="L3134" s="1" t="s">
        <v>26</v>
      </c>
      <c r="M3134" s="1" t="s">
        <v>27</v>
      </c>
      <c r="N3134" s="1" t="s">
        <v>26</v>
      </c>
      <c r="O3134" s="1" t="s">
        <v>26</v>
      </c>
      <c r="P3134" s="4">
        <v>43937.481527777774</v>
      </c>
    </row>
    <row r="3135" hidden="1">
      <c r="A3135" s="1" t="s">
        <v>1055</v>
      </c>
      <c r="B3135" s="3" t="str">
        <f>HYPERLINK("https://hawk-eye.atlassian.net/browse/HWKREPORT-291?atlOrigin=eyJpIjoiYzgwYTQ0ZjEyNzQzNGJhN2JmNjEyZTM0NmRhZWZhNjIiLCJwIjoic2hlZXRzLWppcmEifQ","HWKREPORT-291")</f>
        <v>HWKREPORT-291</v>
      </c>
      <c r="C3135" s="1" t="s">
        <v>4455</v>
      </c>
      <c r="D3135" s="1" t="s">
        <v>23</v>
      </c>
      <c r="E3135" s="1" t="s">
        <v>35</v>
      </c>
      <c r="F3135" s="4">
        <v>43898.654652777775</v>
      </c>
      <c r="G3135" s="3" t="str">
        <f>HYPERLINK("https://hawk-eye.atlassian.net/browse/RTT-1900?atlOrigin=eyJpIjoiYzgwYTQ0ZjEyNzQzNGJhN2JmNjEyZTM0NmRhZWZhNjIiLCJwIjoic2hlZXRzLWppcmEifQ","RTT-1900")</f>
        <v>RTT-1900</v>
      </c>
      <c r="H3135" s="1" t="s">
        <v>1058</v>
      </c>
      <c r="I3135" s="1" t="s">
        <v>1071</v>
      </c>
      <c r="J3135" s="1" t="s">
        <v>26</v>
      </c>
      <c r="K3135" s="1" t="s">
        <v>1362</v>
      </c>
      <c r="L3135" s="1" t="s">
        <v>26</v>
      </c>
      <c r="M3135" s="1" t="s">
        <v>27</v>
      </c>
      <c r="N3135" s="1" t="s">
        <v>26</v>
      </c>
      <c r="O3135" s="1" t="s">
        <v>26</v>
      </c>
      <c r="P3135" s="4">
        <v>44068.79736111111</v>
      </c>
    </row>
    <row r="3136" hidden="1">
      <c r="A3136" s="1" t="s">
        <v>21</v>
      </c>
      <c r="B3136" s="3" t="str">
        <f>HYPERLINK("https://hawk-eye.atlassian.net/browse/HWKREPORT-292?atlOrigin=eyJpIjoiYzgwYTQ0ZjEyNzQzNGJhN2JmNjEyZTM0NmRhZWZhNjIiLCJwIjoic2hlZXRzLWppcmEifQ","HWKREPORT-292")</f>
        <v>HWKREPORT-292</v>
      </c>
      <c r="C3136" s="1" t="s">
        <v>4456</v>
      </c>
      <c r="D3136" s="1" t="s">
        <v>34</v>
      </c>
      <c r="E3136" s="1" t="s">
        <v>35</v>
      </c>
      <c r="F3136" s="4">
        <v>43898.683333333334</v>
      </c>
      <c r="G3136" s="3" t="str">
        <f>HYPERLINK("https://hawk-eye.atlassian.net/browse/RTT-1906?atlOrigin=eyJpIjoiYzgwYTQ0ZjEyNzQzNGJhN2JmNjEyZTM0NmRhZWZhNjIiLCJwIjoic2hlZXRzLWppcmEifQ","RTT-1906")</f>
        <v>RTT-1906</v>
      </c>
      <c r="H3136" s="1" t="s">
        <v>1058</v>
      </c>
      <c r="I3136" s="1" t="s">
        <v>1071</v>
      </c>
      <c r="J3136" s="1" t="s">
        <v>26</v>
      </c>
      <c r="K3136" s="1" t="s">
        <v>1362</v>
      </c>
      <c r="L3136" s="1" t="s">
        <v>26</v>
      </c>
      <c r="M3136" s="1" t="s">
        <v>27</v>
      </c>
      <c r="N3136" s="1" t="s">
        <v>26</v>
      </c>
      <c r="O3136" s="1" t="s">
        <v>26</v>
      </c>
      <c r="P3136" s="4">
        <v>44068.79734953704</v>
      </c>
    </row>
    <row r="3137" hidden="1">
      <c r="A3137" s="1" t="s">
        <v>1055</v>
      </c>
      <c r="B3137" s="3" t="str">
        <f>HYPERLINK("https://hawk-eye.atlassian.net/browse/HWKREPORT-293?atlOrigin=eyJpIjoiYzgwYTQ0ZjEyNzQzNGJhN2JmNjEyZTM0NmRhZWZhNjIiLCJwIjoic2hlZXRzLWppcmEifQ","HWKREPORT-293")</f>
        <v>HWKREPORT-293</v>
      </c>
      <c r="C3137" s="1" t="s">
        <v>4457</v>
      </c>
      <c r="D3137" s="1" t="s">
        <v>23</v>
      </c>
      <c r="E3137" s="1" t="s">
        <v>35</v>
      </c>
      <c r="F3137" s="4">
        <v>43899.05814814815</v>
      </c>
      <c r="G3137" s="3" t="str">
        <f>HYPERLINK("https://hawk-eye.atlassian.net/browse/RTT-1905?atlOrigin=eyJpIjoiYzgwYTQ0ZjEyNzQzNGJhN2JmNjEyZTM0NmRhZWZhNjIiLCJwIjoic2hlZXRzLWppcmEifQ","RTT-1905")</f>
        <v>RTT-1905</v>
      </c>
      <c r="H3137" s="1" t="s">
        <v>1058</v>
      </c>
      <c r="I3137" s="1" t="s">
        <v>1071</v>
      </c>
      <c r="J3137" s="1" t="s">
        <v>26</v>
      </c>
      <c r="K3137" s="1" t="s">
        <v>1362</v>
      </c>
      <c r="L3137" s="1" t="s">
        <v>26</v>
      </c>
      <c r="M3137" s="1" t="s">
        <v>27</v>
      </c>
      <c r="N3137" s="1" t="s">
        <v>26</v>
      </c>
      <c r="O3137" s="1" t="s">
        <v>26</v>
      </c>
      <c r="P3137" s="4">
        <v>44090.41116898148</v>
      </c>
    </row>
    <row r="3138" hidden="1">
      <c r="A3138" s="1" t="s">
        <v>21</v>
      </c>
      <c r="B3138" s="3" t="str">
        <f>HYPERLINK("https://hawk-eye.atlassian.net/browse/HWKREPORT-294?atlOrigin=eyJpIjoiYzgwYTQ0ZjEyNzQzNGJhN2JmNjEyZTM0NmRhZWZhNjIiLCJwIjoic2hlZXRzLWppcmEifQ","HWKREPORT-294")</f>
        <v>HWKREPORT-294</v>
      </c>
      <c r="C3138" s="1" t="s">
        <v>4458</v>
      </c>
      <c r="D3138" s="1" t="s">
        <v>23</v>
      </c>
      <c r="E3138" s="1" t="s">
        <v>35</v>
      </c>
      <c r="F3138" s="4">
        <v>43900.86682870371</v>
      </c>
      <c r="G3138" s="3" t="str">
        <f>HYPERLINK("https://hawk-eye.atlassian.net/browse/RTT-1945?atlOrigin=eyJpIjoiYzgwYTQ0ZjEyNzQzNGJhN2JmNjEyZTM0NmRhZWZhNjIiLCJwIjoic2hlZXRzLWppcmEifQ","RTT-1945")</f>
        <v>RTT-1945</v>
      </c>
      <c r="H3138" s="1" t="s">
        <v>1058</v>
      </c>
      <c r="I3138" s="1" t="s">
        <v>1071</v>
      </c>
      <c r="J3138" s="1" t="s">
        <v>26</v>
      </c>
      <c r="K3138" s="1" t="s">
        <v>1099</v>
      </c>
      <c r="L3138" s="1" t="s">
        <v>26</v>
      </c>
      <c r="M3138" s="1" t="s">
        <v>27</v>
      </c>
      <c r="N3138" s="1" t="s">
        <v>26</v>
      </c>
      <c r="O3138" s="1" t="s">
        <v>26</v>
      </c>
      <c r="P3138" s="4">
        <v>44068.79734953704</v>
      </c>
    </row>
    <row r="3139" hidden="1">
      <c r="A3139" s="1" t="s">
        <v>1055</v>
      </c>
      <c r="B3139" s="3" t="str">
        <f>HYPERLINK("https://hawk-eye.atlassian.net/browse/HWKREPORT-295?atlOrigin=eyJpIjoiYzgwYTQ0ZjEyNzQzNGJhN2JmNjEyZTM0NmRhZWZhNjIiLCJwIjoic2hlZXRzLWppcmEifQ","HWKREPORT-295")</f>
        <v>HWKREPORT-295</v>
      </c>
      <c r="C3139" s="1" t="s">
        <v>4459</v>
      </c>
      <c r="D3139" s="1" t="s">
        <v>23</v>
      </c>
      <c r="E3139" s="1" t="s">
        <v>35</v>
      </c>
      <c r="F3139" s="4">
        <v>43903.76648148148</v>
      </c>
      <c r="G3139" s="3" t="str">
        <f t="shared" ref="G3139:G3140" si="215">HYPERLINK("https://hawk-eye.atlassian.net/browse/?atlOrigin=eyJpIjoiYzgwYTQ0ZjEyNzQzNGJhN2JmNjEyZTM0NmRhZWZhNjIiLCJwIjoic2hlZXRzLWppcmEifQ","")</f>
        <v/>
      </c>
      <c r="H3139" s="1" t="s">
        <v>1058</v>
      </c>
      <c r="I3139" s="1" t="s">
        <v>1071</v>
      </c>
      <c r="J3139" s="1" t="s">
        <v>26</v>
      </c>
      <c r="K3139" s="1" t="s">
        <v>1312</v>
      </c>
      <c r="L3139" s="1" t="s">
        <v>26</v>
      </c>
      <c r="M3139" s="1" t="s">
        <v>27</v>
      </c>
      <c r="N3139" s="1" t="s">
        <v>26</v>
      </c>
      <c r="O3139" s="1" t="s">
        <v>26</v>
      </c>
      <c r="P3139" s="4">
        <v>44992.47864583333</v>
      </c>
    </row>
    <row r="3140" hidden="1">
      <c r="A3140" s="1" t="s">
        <v>1055</v>
      </c>
      <c r="B3140" s="3" t="str">
        <f>HYPERLINK("https://hawk-eye.atlassian.net/browse/HWKREPORT-296?atlOrigin=eyJpIjoiYzgwYTQ0ZjEyNzQzNGJhN2JmNjEyZTM0NmRhZWZhNjIiLCJwIjoic2hlZXRzLWppcmEifQ","HWKREPORT-296")</f>
        <v>HWKREPORT-296</v>
      </c>
      <c r="C3140" s="1" t="s">
        <v>4460</v>
      </c>
      <c r="D3140" s="1" t="s">
        <v>23</v>
      </c>
      <c r="E3140" s="1" t="s">
        <v>35</v>
      </c>
      <c r="F3140" s="4">
        <v>43906.56945601852</v>
      </c>
      <c r="G3140" s="3" t="str">
        <f t="shared" si="215"/>
        <v/>
      </c>
      <c r="H3140" s="1" t="s">
        <v>1058</v>
      </c>
      <c r="I3140" s="1" t="s">
        <v>1071</v>
      </c>
      <c r="J3140" s="1" t="s">
        <v>26</v>
      </c>
      <c r="K3140" s="1" t="s">
        <v>26</v>
      </c>
      <c r="L3140" s="1" t="s">
        <v>26</v>
      </c>
      <c r="M3140" s="1" t="s">
        <v>27</v>
      </c>
      <c r="N3140" s="1" t="s">
        <v>26</v>
      </c>
      <c r="O3140" s="1" t="s">
        <v>26</v>
      </c>
      <c r="P3140" s="4">
        <v>43917.67197916667</v>
      </c>
    </row>
    <row r="3141" hidden="1">
      <c r="A3141" s="1" t="s">
        <v>1055</v>
      </c>
      <c r="B3141" s="3" t="str">
        <f>HYPERLINK("https://hawk-eye.atlassian.net/browse/HWKREPORT-297?atlOrigin=eyJpIjoiYzgwYTQ0ZjEyNzQzNGJhN2JmNjEyZTM0NmRhZWZhNjIiLCJwIjoic2hlZXRzLWppcmEifQ","HWKREPORT-297")</f>
        <v>HWKREPORT-297</v>
      </c>
      <c r="C3141" s="1" t="s">
        <v>4461</v>
      </c>
      <c r="D3141" s="1" t="s">
        <v>23</v>
      </c>
      <c r="E3141" s="1" t="s">
        <v>35</v>
      </c>
      <c r="F3141" s="4">
        <v>43908.88065972222</v>
      </c>
      <c r="G3141" s="3" t="str">
        <f>HYPERLINK("https://hawk-eye.atlassian.net/browse/RTT-1992?atlOrigin=eyJpIjoiYzgwYTQ0ZjEyNzQzNGJhN2JmNjEyZTM0NmRhZWZhNjIiLCJwIjoic2hlZXRzLWppcmEifQ","RTT-1992")</f>
        <v>RTT-1992</v>
      </c>
      <c r="H3141" s="1" t="s">
        <v>1058</v>
      </c>
      <c r="I3141" s="1" t="s">
        <v>1071</v>
      </c>
      <c r="J3141" s="1" t="s">
        <v>26</v>
      </c>
      <c r="K3141" s="1" t="s">
        <v>1312</v>
      </c>
      <c r="L3141" s="1" t="s">
        <v>26</v>
      </c>
      <c r="M3141" s="1" t="s">
        <v>27</v>
      </c>
      <c r="N3141" s="1" t="s">
        <v>26</v>
      </c>
      <c r="O3141" s="1" t="s">
        <v>26</v>
      </c>
      <c r="P3141" s="4">
        <v>44068.79734953704</v>
      </c>
    </row>
    <row r="3142" hidden="1">
      <c r="A3142" s="1" t="s">
        <v>1055</v>
      </c>
      <c r="B3142" s="3" t="str">
        <f>HYPERLINK("https://hawk-eye.atlassian.net/browse/HWKREPORT-298?atlOrigin=eyJpIjoiYzgwYTQ0ZjEyNzQzNGJhN2JmNjEyZTM0NmRhZWZhNjIiLCJwIjoic2hlZXRzLWppcmEifQ","HWKREPORT-298")</f>
        <v>HWKREPORT-298</v>
      </c>
      <c r="C3142" s="1" t="s">
        <v>4462</v>
      </c>
      <c r="D3142" s="1" t="s">
        <v>23</v>
      </c>
      <c r="E3142" s="1" t="s">
        <v>35</v>
      </c>
      <c r="F3142" s="4">
        <v>43912.983194444445</v>
      </c>
      <c r="G3142" s="3" t="str">
        <f>HYPERLINK("https://hawk-eye.atlassian.net/issues/?atlOrigin=eyJpIjoiYzgwYTQ0ZjEyNzQzNGJhN2JmNjEyZTM0NmRhZWZhNjIiLCJwIjoic2hlZXRzLWppcmEifQ&amp;jql=key+in+%28BDP-11%2CBDP-12%29","BDP-11;BDP-12")</f>
        <v>BDP-11;BDP-12</v>
      </c>
      <c r="H3142" s="1" t="s">
        <v>1058</v>
      </c>
      <c r="I3142" s="1" t="s">
        <v>1071</v>
      </c>
      <c r="J3142" s="1" t="s">
        <v>26</v>
      </c>
      <c r="K3142" s="1" t="s">
        <v>26</v>
      </c>
      <c r="L3142" s="1" t="s">
        <v>26</v>
      </c>
      <c r="M3142" s="1" t="s">
        <v>27</v>
      </c>
      <c r="N3142" s="1" t="s">
        <v>26</v>
      </c>
      <c r="O3142" s="1" t="s">
        <v>26</v>
      </c>
      <c r="P3142" s="4">
        <v>44300.03619212963</v>
      </c>
    </row>
    <row r="3143" hidden="1">
      <c r="A3143" s="1" t="s">
        <v>21</v>
      </c>
      <c r="B3143" s="3" t="str">
        <f>HYPERLINK("https://hawk-eye.atlassian.net/browse/HWKREPORT-299?atlOrigin=eyJpIjoiYzgwYTQ0ZjEyNzQzNGJhN2JmNjEyZTM0NmRhZWZhNjIiLCJwIjoic2hlZXRzLWppcmEifQ","HWKREPORT-299")</f>
        <v>HWKREPORT-299</v>
      </c>
      <c r="C3143" s="1" t="s">
        <v>4463</v>
      </c>
      <c r="D3143" s="1" t="s">
        <v>34</v>
      </c>
      <c r="E3143" s="1" t="s">
        <v>35</v>
      </c>
      <c r="F3143" s="4">
        <v>43913.41653935185</v>
      </c>
      <c r="G3143" s="3" t="str">
        <f>HYPERLINK("https://hawk-eye.atlassian.net/browse/TDS-1143?atlOrigin=eyJpIjoiYzgwYTQ0ZjEyNzQzNGJhN2JmNjEyZTM0NmRhZWZhNjIiLCJwIjoic2hlZXRzLWppcmEifQ","TDS-1143")</f>
        <v>TDS-1143</v>
      </c>
      <c r="H3143" s="1" t="s">
        <v>1058</v>
      </c>
      <c r="I3143" s="1" t="s">
        <v>1126</v>
      </c>
      <c r="J3143" s="1" t="s">
        <v>26</v>
      </c>
      <c r="K3143" s="1" t="s">
        <v>4464</v>
      </c>
      <c r="L3143" s="1" t="s">
        <v>26</v>
      </c>
      <c r="M3143" s="1" t="s">
        <v>27</v>
      </c>
      <c r="N3143" s="1" t="s">
        <v>26</v>
      </c>
      <c r="O3143" s="1" t="s">
        <v>26</v>
      </c>
      <c r="P3143" s="4">
        <v>44994.466944444444</v>
      </c>
    </row>
    <row r="3144" hidden="1">
      <c r="A3144" s="1" t="s">
        <v>1055</v>
      </c>
      <c r="B3144" s="3" t="str">
        <f>HYPERLINK("https://hawk-eye.atlassian.net/browse/HWKREPORT-300?atlOrigin=eyJpIjoiYzgwYTQ0ZjEyNzQzNGJhN2JmNjEyZTM0NmRhZWZhNjIiLCJwIjoic2hlZXRzLWppcmEifQ","HWKREPORT-300")</f>
        <v>HWKREPORT-300</v>
      </c>
      <c r="C3144" s="1" t="s">
        <v>4465</v>
      </c>
      <c r="D3144" s="1" t="s">
        <v>23</v>
      </c>
      <c r="E3144" s="1" t="s">
        <v>35</v>
      </c>
      <c r="F3144" s="4">
        <v>43913.504837962966</v>
      </c>
      <c r="G3144" s="3" t="str">
        <f>HYPERLINK("https://hawk-eye.atlassian.net/browse/RTT-1961?atlOrigin=eyJpIjoiYzgwYTQ0ZjEyNzQzNGJhN2JmNjEyZTM0NmRhZWZhNjIiLCJwIjoic2hlZXRzLWppcmEifQ","RTT-1961")</f>
        <v>RTT-1961</v>
      </c>
      <c r="H3144" s="1" t="s">
        <v>1058</v>
      </c>
      <c r="I3144" s="1" t="s">
        <v>1126</v>
      </c>
      <c r="J3144" s="1" t="s">
        <v>26</v>
      </c>
      <c r="K3144" s="1" t="s">
        <v>1545</v>
      </c>
      <c r="L3144" s="1" t="s">
        <v>26</v>
      </c>
      <c r="M3144" s="1" t="s">
        <v>27</v>
      </c>
      <c r="N3144" s="1" t="s">
        <v>26</v>
      </c>
      <c r="O3144" s="1" t="s">
        <v>26</v>
      </c>
      <c r="P3144" s="4">
        <v>44068.79751157408</v>
      </c>
    </row>
    <row r="3145" hidden="1">
      <c r="A3145" s="1" t="s">
        <v>21</v>
      </c>
      <c r="B3145" s="3" t="str">
        <f>HYPERLINK("https://hawk-eye.atlassian.net/browse/HWKREPORT-301?atlOrigin=eyJpIjoiYzgwYTQ0ZjEyNzQzNGJhN2JmNjEyZTM0NmRhZWZhNjIiLCJwIjoic2hlZXRzLWppcmEifQ","HWKREPORT-301")</f>
        <v>HWKREPORT-301</v>
      </c>
      <c r="C3145" s="1" t="s">
        <v>4466</v>
      </c>
      <c r="D3145" s="1" t="s">
        <v>83</v>
      </c>
      <c r="E3145" s="1" t="s">
        <v>1057</v>
      </c>
      <c r="F3145" s="4">
        <v>43916.62451388889</v>
      </c>
      <c r="G3145" s="3" t="str">
        <f>HYPERLINK("https://hawk-eye.atlassian.net/browse/?atlOrigin=eyJpIjoiYzgwYTQ0ZjEyNzQzNGJhN2JmNjEyZTM0NmRhZWZhNjIiLCJwIjoic2hlZXRzLWppcmEifQ","")</f>
        <v/>
      </c>
      <c r="H3145" s="1" t="s">
        <v>1058</v>
      </c>
      <c r="I3145" s="1" t="s">
        <v>1126</v>
      </c>
      <c r="J3145" s="1" t="s">
        <v>26</v>
      </c>
      <c r="K3145" s="1" t="s">
        <v>1247</v>
      </c>
      <c r="L3145" s="1" t="s">
        <v>26</v>
      </c>
      <c r="M3145" s="1" t="s">
        <v>27</v>
      </c>
      <c r="N3145" s="1" t="s">
        <v>26</v>
      </c>
      <c r="O3145" s="1" t="s">
        <v>26</v>
      </c>
      <c r="P3145" s="4">
        <v>43916.62451388889</v>
      </c>
    </row>
    <row r="3146" hidden="1">
      <c r="A3146" s="1" t="s">
        <v>1055</v>
      </c>
      <c r="B3146" s="3" t="str">
        <f>HYPERLINK("https://hawk-eye.atlassian.net/browse/HWKREPORT-302?atlOrigin=eyJpIjoiYzgwYTQ0ZjEyNzQzNGJhN2JmNjEyZTM0NmRhZWZhNjIiLCJwIjoic2hlZXRzLWppcmEifQ","HWKREPORT-302")</f>
        <v>HWKREPORT-302</v>
      </c>
      <c r="C3146" s="1" t="s">
        <v>4467</v>
      </c>
      <c r="D3146" s="1" t="s">
        <v>23</v>
      </c>
      <c r="E3146" s="1" t="s">
        <v>35</v>
      </c>
      <c r="F3146" s="4">
        <v>43916.71079861111</v>
      </c>
      <c r="G3146" s="3" t="str">
        <f>HYPERLINK("https://hawk-eye.atlassian.net/browse/RTT-1999?atlOrigin=eyJpIjoiYzgwYTQ0ZjEyNzQzNGJhN2JmNjEyZTM0NmRhZWZhNjIiLCJwIjoic2hlZXRzLWppcmEifQ","RTT-1999")</f>
        <v>RTT-1999</v>
      </c>
      <c r="H3146" s="1" t="s">
        <v>1058</v>
      </c>
      <c r="I3146" s="1" t="s">
        <v>1126</v>
      </c>
      <c r="J3146" s="1" t="s">
        <v>26</v>
      </c>
      <c r="K3146" s="1" t="s">
        <v>1312</v>
      </c>
      <c r="L3146" s="1" t="s">
        <v>26</v>
      </c>
      <c r="M3146" s="1" t="s">
        <v>27</v>
      </c>
      <c r="N3146" s="1" t="s">
        <v>26</v>
      </c>
      <c r="O3146" s="1" t="s">
        <v>26</v>
      </c>
      <c r="P3146" s="4">
        <v>44068.79725694445</v>
      </c>
    </row>
    <row r="3147" hidden="1">
      <c r="A3147" s="1" t="s">
        <v>21</v>
      </c>
      <c r="B3147" s="3" t="str">
        <f>HYPERLINK("https://hawk-eye.atlassian.net/browse/HWKREPORT-303?atlOrigin=eyJpIjoiYzgwYTQ0ZjEyNzQzNGJhN2JmNjEyZTM0NmRhZWZhNjIiLCJwIjoic2hlZXRzLWppcmEifQ","HWKREPORT-303")</f>
        <v>HWKREPORT-303</v>
      </c>
      <c r="C3147" s="1" t="s">
        <v>4468</v>
      </c>
      <c r="D3147" s="1" t="s">
        <v>23</v>
      </c>
      <c r="E3147" s="1" t="s">
        <v>35</v>
      </c>
      <c r="F3147" s="4">
        <v>43916.71371527778</v>
      </c>
      <c r="G3147" s="3" t="str">
        <f>HYPERLINK("https://hawk-eye.atlassian.net/browse/RTT-1977?atlOrigin=eyJpIjoiYzgwYTQ0ZjEyNzQzNGJhN2JmNjEyZTM0NmRhZWZhNjIiLCJwIjoic2hlZXRzLWppcmEifQ","RTT-1977")</f>
        <v>RTT-1977</v>
      </c>
      <c r="H3147" s="1" t="s">
        <v>1058</v>
      </c>
      <c r="I3147" s="1" t="s">
        <v>1071</v>
      </c>
      <c r="J3147" s="1" t="s">
        <v>26</v>
      </c>
      <c r="K3147" s="1" t="s">
        <v>1362</v>
      </c>
      <c r="L3147" s="1" t="s">
        <v>26</v>
      </c>
      <c r="M3147" s="1" t="s">
        <v>27</v>
      </c>
      <c r="N3147" s="1" t="s">
        <v>26</v>
      </c>
      <c r="O3147" s="1" t="s">
        <v>26</v>
      </c>
      <c r="P3147" s="4">
        <v>44068.79725694445</v>
      </c>
    </row>
    <row r="3148" hidden="1">
      <c r="A3148" s="1" t="s">
        <v>21</v>
      </c>
      <c r="B3148" s="3" t="str">
        <f>HYPERLINK("https://hawk-eye.atlassian.net/browse/HWKREPORT-304?atlOrigin=eyJpIjoiYzgwYTQ0ZjEyNzQzNGJhN2JmNjEyZTM0NmRhZWZhNjIiLCJwIjoic2hlZXRzLWppcmEifQ","HWKREPORT-304")</f>
        <v>HWKREPORT-304</v>
      </c>
      <c r="C3148" s="1" t="s">
        <v>4469</v>
      </c>
      <c r="D3148" s="1" t="s">
        <v>23</v>
      </c>
      <c r="E3148" s="1" t="s">
        <v>35</v>
      </c>
      <c r="F3148" s="4">
        <v>43916.93858796296</v>
      </c>
      <c r="G3148" s="3" t="str">
        <f>HYPERLINK("https://hawk-eye.atlassian.net/browse/RTT-2048?atlOrigin=eyJpIjoiYzgwYTQ0ZjEyNzQzNGJhN2JmNjEyZTM0NmRhZWZhNjIiLCJwIjoic2hlZXRzLWppcmEifQ","RTT-2048")</f>
        <v>RTT-2048</v>
      </c>
      <c r="H3148" s="1" t="s">
        <v>1058</v>
      </c>
      <c r="I3148" s="1" t="s">
        <v>1071</v>
      </c>
      <c r="J3148" s="1" t="s">
        <v>26</v>
      </c>
      <c r="K3148" s="1" t="s">
        <v>1362</v>
      </c>
      <c r="L3148" s="1" t="s">
        <v>26</v>
      </c>
      <c r="M3148" s="1" t="s">
        <v>27</v>
      </c>
      <c r="N3148" s="1" t="s">
        <v>26</v>
      </c>
      <c r="O3148" s="1" t="s">
        <v>26</v>
      </c>
      <c r="P3148" s="4">
        <v>44068.79738425926</v>
      </c>
    </row>
    <row r="3149" hidden="1">
      <c r="A3149" s="1" t="s">
        <v>1055</v>
      </c>
      <c r="B3149" s="3" t="str">
        <f>HYPERLINK("https://hawk-eye.atlassian.net/browse/HWKREPORT-305?atlOrigin=eyJpIjoiYzgwYTQ0ZjEyNzQzNGJhN2JmNjEyZTM0NmRhZWZhNjIiLCJwIjoic2hlZXRzLWppcmEifQ","HWKREPORT-305")</f>
        <v>HWKREPORT-305</v>
      </c>
      <c r="C3149" s="1" t="s">
        <v>4470</v>
      </c>
      <c r="D3149" s="1" t="s">
        <v>23</v>
      </c>
      <c r="E3149" s="1" t="s">
        <v>35</v>
      </c>
      <c r="F3149" s="4">
        <v>43920.614583333336</v>
      </c>
      <c r="G3149" s="3" t="str">
        <f>HYPERLINK("https://hawk-eye.atlassian.net/browse/VVC-174?atlOrigin=eyJpIjoiYzgwYTQ0ZjEyNzQzNGJhN2JmNjEyZTM0NmRhZWZhNjIiLCJwIjoic2hlZXRzLWppcmEifQ","VVC-174")</f>
        <v>VVC-174</v>
      </c>
      <c r="H3149" s="1" t="s">
        <v>1058</v>
      </c>
      <c r="I3149" s="1" t="s">
        <v>1126</v>
      </c>
      <c r="J3149" s="1" t="s">
        <v>26</v>
      </c>
      <c r="K3149" s="1" t="s">
        <v>1247</v>
      </c>
      <c r="L3149" s="1" t="s">
        <v>26</v>
      </c>
      <c r="M3149" s="1" t="s">
        <v>27</v>
      </c>
      <c r="N3149" s="1" t="s">
        <v>26</v>
      </c>
      <c r="O3149" s="1" t="s">
        <v>26</v>
      </c>
      <c r="P3149" s="4">
        <v>44146.742847222224</v>
      </c>
    </row>
    <row r="3150" hidden="1">
      <c r="A3150" s="1" t="s">
        <v>1055</v>
      </c>
      <c r="B3150" s="3" t="str">
        <f>HYPERLINK("https://hawk-eye.atlassian.net/browse/HWKREPORT-306?atlOrigin=eyJpIjoiYzgwYTQ0ZjEyNzQzNGJhN2JmNjEyZTM0NmRhZWZhNjIiLCJwIjoic2hlZXRzLWppcmEifQ","HWKREPORT-306")</f>
        <v>HWKREPORT-306</v>
      </c>
      <c r="C3150" s="1" t="s">
        <v>4471</v>
      </c>
      <c r="D3150" s="1" t="s">
        <v>83</v>
      </c>
      <c r="E3150" s="1" t="s">
        <v>35</v>
      </c>
      <c r="F3150" s="4">
        <v>43920.65760416666</v>
      </c>
      <c r="G3150" s="3" t="str">
        <f>HYPERLINK("https://hawk-eye.atlassian.net/browse/?atlOrigin=eyJpIjoiYzgwYTQ0ZjEyNzQzNGJhN2JmNjEyZTM0NmRhZWZhNjIiLCJwIjoic2hlZXRzLWppcmEifQ","")</f>
        <v/>
      </c>
      <c r="H3150" s="1" t="s">
        <v>1058</v>
      </c>
      <c r="I3150" s="1" t="s">
        <v>1126</v>
      </c>
      <c r="J3150" s="1" t="s">
        <v>26</v>
      </c>
      <c r="K3150" s="1" t="s">
        <v>1116</v>
      </c>
      <c r="L3150" s="1" t="s">
        <v>26</v>
      </c>
      <c r="M3150" s="1" t="s">
        <v>27</v>
      </c>
      <c r="N3150" s="1" t="s">
        <v>26</v>
      </c>
      <c r="O3150" s="1" t="s">
        <v>26</v>
      </c>
      <c r="P3150" s="4">
        <v>45327.73447916667</v>
      </c>
    </row>
    <row r="3151" hidden="1">
      <c r="A3151" s="1" t="s">
        <v>1055</v>
      </c>
      <c r="B3151" s="3" t="str">
        <f>HYPERLINK("https://hawk-eye.atlassian.net/browse/HWKREPORT-307?atlOrigin=eyJpIjoiYzgwYTQ0ZjEyNzQzNGJhN2JmNjEyZTM0NmRhZWZhNjIiLCJwIjoic2hlZXRzLWppcmEifQ","HWKREPORT-307")</f>
        <v>HWKREPORT-307</v>
      </c>
      <c r="C3151" s="1" t="s">
        <v>4472</v>
      </c>
      <c r="D3151" s="1" t="s">
        <v>23</v>
      </c>
      <c r="E3151" s="1" t="s">
        <v>35</v>
      </c>
      <c r="F3151" s="4">
        <v>43921.584282407406</v>
      </c>
      <c r="G3151" s="3" t="str">
        <f>HYPERLINK("https://hawk-eye.atlassian.net/browse/RTT-2016?atlOrigin=eyJpIjoiYzgwYTQ0ZjEyNzQzNGJhN2JmNjEyZTM0NmRhZWZhNjIiLCJwIjoic2hlZXRzLWppcmEifQ","RTT-2016")</f>
        <v>RTT-2016</v>
      </c>
      <c r="H3151" s="1" t="s">
        <v>1058</v>
      </c>
      <c r="I3151" s="1" t="s">
        <v>1071</v>
      </c>
      <c r="J3151" s="1" t="s">
        <v>26</v>
      </c>
      <c r="K3151" s="1" t="s">
        <v>3091</v>
      </c>
      <c r="L3151" s="1" t="s">
        <v>26</v>
      </c>
      <c r="M3151" s="1" t="s">
        <v>27</v>
      </c>
      <c r="N3151" s="1" t="s">
        <v>26</v>
      </c>
      <c r="O3151" s="1" t="s">
        <v>26</v>
      </c>
      <c r="P3151" s="4">
        <v>44090.411516203705</v>
      </c>
    </row>
    <row r="3152" hidden="1">
      <c r="A3152" s="1" t="s">
        <v>1055</v>
      </c>
      <c r="B3152" s="3" t="str">
        <f>HYPERLINK("https://hawk-eye.atlassian.net/browse/HWKREPORT-308?atlOrigin=eyJpIjoiYzgwYTQ0ZjEyNzQzNGJhN2JmNjEyZTM0NmRhZWZhNjIiLCJwIjoic2hlZXRzLWppcmEifQ","HWKREPORT-308")</f>
        <v>HWKREPORT-308</v>
      </c>
      <c r="C3152" s="1" t="s">
        <v>4473</v>
      </c>
      <c r="D3152" s="1" t="s">
        <v>23</v>
      </c>
      <c r="E3152" s="1" t="s">
        <v>35</v>
      </c>
      <c r="F3152" s="4">
        <v>43921.60642361111</v>
      </c>
      <c r="G3152" s="3" t="str">
        <f>HYPERLINK("https://hawk-eye.atlassian.net/browse/?atlOrigin=eyJpIjoiYzgwYTQ0ZjEyNzQzNGJhN2JmNjEyZTM0NmRhZWZhNjIiLCJwIjoic2hlZXRzLWppcmEifQ","")</f>
        <v/>
      </c>
      <c r="H3152" s="1" t="s">
        <v>1058</v>
      </c>
      <c r="I3152" s="1" t="s">
        <v>1071</v>
      </c>
      <c r="J3152" s="1" t="s">
        <v>26</v>
      </c>
      <c r="K3152" s="1" t="s">
        <v>1762</v>
      </c>
      <c r="L3152" s="1" t="s">
        <v>26</v>
      </c>
      <c r="M3152" s="1" t="s">
        <v>27</v>
      </c>
      <c r="N3152" s="1" t="s">
        <v>26</v>
      </c>
      <c r="O3152" s="1" t="s">
        <v>26</v>
      </c>
      <c r="P3152" s="4">
        <v>44992.47887731482</v>
      </c>
    </row>
    <row r="3153" hidden="1">
      <c r="A3153" s="1" t="s">
        <v>21</v>
      </c>
      <c r="B3153" s="3" t="str">
        <f>HYPERLINK("https://hawk-eye.atlassian.net/browse/HWKREPORT-309?atlOrigin=eyJpIjoiYzgwYTQ0ZjEyNzQzNGJhN2JmNjEyZTM0NmRhZWZhNjIiLCJwIjoic2hlZXRzLWppcmEifQ","HWKREPORT-309")</f>
        <v>HWKREPORT-309</v>
      </c>
      <c r="C3153" s="1" t="s">
        <v>4474</v>
      </c>
      <c r="D3153" s="1" t="s">
        <v>23</v>
      </c>
      <c r="E3153" s="1" t="s">
        <v>35</v>
      </c>
      <c r="F3153" s="4">
        <v>43921.61268518519</v>
      </c>
      <c r="G3153" s="3" t="str">
        <f>HYPERLINK("https://hawk-eye.atlassian.net/browse/RTT-2017?atlOrigin=eyJpIjoiYzgwYTQ0ZjEyNzQzNGJhN2JmNjEyZTM0NmRhZWZhNjIiLCJwIjoic2hlZXRzLWppcmEifQ","RTT-2017")</f>
        <v>RTT-2017</v>
      </c>
      <c r="H3153" s="1" t="s">
        <v>1058</v>
      </c>
      <c r="I3153" s="1" t="s">
        <v>1071</v>
      </c>
      <c r="J3153" s="1" t="s">
        <v>26</v>
      </c>
      <c r="K3153" s="1" t="s">
        <v>1362</v>
      </c>
      <c r="L3153" s="1" t="s">
        <v>26</v>
      </c>
      <c r="M3153" s="1" t="s">
        <v>27</v>
      </c>
      <c r="N3153" s="1" t="s">
        <v>26</v>
      </c>
      <c r="O3153" s="1" t="s">
        <v>26</v>
      </c>
      <c r="P3153" s="4">
        <v>44068.79738425926</v>
      </c>
    </row>
    <row r="3154" hidden="1">
      <c r="A3154" s="1" t="s">
        <v>21</v>
      </c>
      <c r="B3154" s="3" t="str">
        <f>HYPERLINK("https://hawk-eye.atlassian.net/browse/HWKREPORT-310?atlOrigin=eyJpIjoiYzgwYTQ0ZjEyNzQzNGJhN2JmNjEyZTM0NmRhZWZhNjIiLCJwIjoic2hlZXRzLWppcmEifQ","HWKREPORT-310")</f>
        <v>HWKREPORT-310</v>
      </c>
      <c r="C3154" s="1" t="s">
        <v>4475</v>
      </c>
      <c r="D3154" s="1" t="s">
        <v>23</v>
      </c>
      <c r="E3154" s="1" t="s">
        <v>35</v>
      </c>
      <c r="F3154" s="4">
        <v>43921.7031712963</v>
      </c>
      <c r="G3154" s="3" t="str">
        <f>HYPERLINK("https://hawk-eye.atlassian.net/browse/RTT-2018?atlOrigin=eyJpIjoiYzgwYTQ0ZjEyNzQzNGJhN2JmNjEyZTM0NmRhZWZhNjIiLCJwIjoic2hlZXRzLWppcmEifQ","RTT-2018")</f>
        <v>RTT-2018</v>
      </c>
      <c r="H3154" s="1" t="s">
        <v>1058</v>
      </c>
      <c r="I3154" s="1" t="s">
        <v>1071</v>
      </c>
      <c r="J3154" s="1" t="s">
        <v>26</v>
      </c>
      <c r="K3154" s="1" t="s">
        <v>1312</v>
      </c>
      <c r="L3154" s="1" t="s">
        <v>26</v>
      </c>
      <c r="M3154" s="1" t="s">
        <v>27</v>
      </c>
      <c r="N3154" s="1" t="s">
        <v>26</v>
      </c>
      <c r="O3154" s="1" t="s">
        <v>26</v>
      </c>
      <c r="P3154" s="4">
        <v>44068.79738425926</v>
      </c>
    </row>
    <row r="3155" hidden="1">
      <c r="A3155" s="1" t="s">
        <v>21</v>
      </c>
      <c r="B3155" s="3" t="str">
        <f>HYPERLINK("https://hawk-eye.atlassian.net/browse/HWKREPORT-311?atlOrigin=eyJpIjoiYzgwYTQ0ZjEyNzQzNGJhN2JmNjEyZTM0NmRhZWZhNjIiLCJwIjoic2hlZXRzLWppcmEifQ","HWKREPORT-311")</f>
        <v>HWKREPORT-311</v>
      </c>
      <c r="C3155" s="1" t="s">
        <v>4476</v>
      </c>
      <c r="D3155" s="1" t="s">
        <v>34</v>
      </c>
      <c r="E3155" s="1" t="s">
        <v>35</v>
      </c>
      <c r="F3155" s="4">
        <v>43921.78707175926</v>
      </c>
      <c r="G3155" s="3" t="str">
        <f>HYPERLINK("https://hawk-eye.atlassian.net/browse/RTT-2019?atlOrigin=eyJpIjoiYzgwYTQ0ZjEyNzQzNGJhN2JmNjEyZTM0NmRhZWZhNjIiLCJwIjoic2hlZXRzLWppcmEifQ","RTT-2019")</f>
        <v>RTT-2019</v>
      </c>
      <c r="H3155" s="1" t="s">
        <v>1058</v>
      </c>
      <c r="I3155" s="1" t="s">
        <v>1071</v>
      </c>
      <c r="J3155" s="1" t="s">
        <v>26</v>
      </c>
      <c r="K3155" s="1" t="s">
        <v>1312</v>
      </c>
      <c r="L3155" s="1" t="s">
        <v>26</v>
      </c>
      <c r="M3155" s="1" t="s">
        <v>27</v>
      </c>
      <c r="N3155" s="1" t="s">
        <v>26</v>
      </c>
      <c r="O3155" s="1" t="s">
        <v>26</v>
      </c>
      <c r="P3155" s="4">
        <v>44068.797372685185</v>
      </c>
    </row>
    <row r="3156" hidden="1">
      <c r="A3156" s="1" t="s">
        <v>21</v>
      </c>
      <c r="B3156" s="3" t="str">
        <f>HYPERLINK("https://hawk-eye.atlassian.net/browse/HWKREPORT-312?atlOrigin=eyJpIjoiYzgwYTQ0ZjEyNzQzNGJhN2JmNjEyZTM0NmRhZWZhNjIiLCJwIjoic2hlZXRzLWppcmEifQ","HWKREPORT-312")</f>
        <v>HWKREPORT-312</v>
      </c>
      <c r="C3156" s="1" t="s">
        <v>4477</v>
      </c>
      <c r="D3156" s="1" t="s">
        <v>23</v>
      </c>
      <c r="E3156" s="1" t="s">
        <v>35</v>
      </c>
      <c r="F3156" s="4">
        <v>43923.07648148148</v>
      </c>
      <c r="G3156" s="3" t="str">
        <f>HYPERLINK("https://hawk-eye.atlassian.net/browse/RTT-2046?atlOrigin=eyJpIjoiYzgwYTQ0ZjEyNzQzNGJhN2JmNjEyZTM0NmRhZWZhNjIiLCJwIjoic2hlZXRzLWppcmEifQ","RTT-2046")</f>
        <v>RTT-2046</v>
      </c>
      <c r="H3156" s="1" t="s">
        <v>1058</v>
      </c>
      <c r="I3156" s="1" t="s">
        <v>1071</v>
      </c>
      <c r="J3156" s="1" t="s">
        <v>26</v>
      </c>
      <c r="K3156" s="1" t="s">
        <v>1312</v>
      </c>
      <c r="L3156" s="1" t="s">
        <v>26</v>
      </c>
      <c r="M3156" s="1" t="s">
        <v>27</v>
      </c>
      <c r="N3156" s="1" t="s">
        <v>26</v>
      </c>
      <c r="O3156" s="1" t="s">
        <v>26</v>
      </c>
      <c r="P3156" s="4">
        <v>44068.797314814816</v>
      </c>
    </row>
    <row r="3157" hidden="1">
      <c r="A3157" s="1" t="s">
        <v>21</v>
      </c>
      <c r="B3157" s="3" t="str">
        <f>HYPERLINK("https://hawk-eye.atlassian.net/browse/HWKREPORT-313?atlOrigin=eyJpIjoiYzgwYTQ0ZjEyNzQzNGJhN2JmNjEyZTM0NmRhZWZhNjIiLCJwIjoic2hlZXRzLWppcmEifQ","HWKREPORT-313")</f>
        <v>HWKREPORT-313</v>
      </c>
      <c r="C3157" s="1" t="s">
        <v>4478</v>
      </c>
      <c r="D3157" s="1" t="s">
        <v>23</v>
      </c>
      <c r="E3157" s="1" t="s">
        <v>35</v>
      </c>
      <c r="F3157" s="4">
        <v>43923.077418981484</v>
      </c>
      <c r="G3157" s="3" t="str">
        <f>HYPERLINK("https://hawk-eye.atlassian.net/browse/RTT-2022?atlOrigin=eyJpIjoiYzgwYTQ0ZjEyNzQzNGJhN2JmNjEyZTM0NmRhZWZhNjIiLCJwIjoic2hlZXRzLWppcmEifQ","RTT-2022")</f>
        <v>RTT-2022</v>
      </c>
      <c r="H3157" s="1" t="s">
        <v>1058</v>
      </c>
      <c r="I3157" s="1" t="s">
        <v>1071</v>
      </c>
      <c r="J3157" s="1" t="s">
        <v>26</v>
      </c>
      <c r="K3157" s="1" t="s">
        <v>1362</v>
      </c>
      <c r="L3157" s="1" t="s">
        <v>26</v>
      </c>
      <c r="M3157" s="1" t="s">
        <v>27</v>
      </c>
      <c r="N3157" s="1" t="s">
        <v>26</v>
      </c>
      <c r="O3157" s="1" t="s">
        <v>26</v>
      </c>
      <c r="P3157" s="4">
        <v>44068.797314814816</v>
      </c>
    </row>
    <row r="3158" hidden="1">
      <c r="A3158" s="1" t="s">
        <v>1055</v>
      </c>
      <c r="B3158" s="3" t="str">
        <f>HYPERLINK("https://hawk-eye.atlassian.net/browse/HWKREPORT-314?atlOrigin=eyJpIjoiYzgwYTQ0ZjEyNzQzNGJhN2JmNjEyZTM0NmRhZWZhNjIiLCJwIjoic2hlZXRzLWppcmEifQ","HWKREPORT-314")</f>
        <v>HWKREPORT-314</v>
      </c>
      <c r="C3158" s="1" t="s">
        <v>4479</v>
      </c>
      <c r="D3158" s="1" t="s">
        <v>23</v>
      </c>
      <c r="E3158" s="1" t="s">
        <v>35</v>
      </c>
      <c r="F3158" s="4">
        <v>43923.07947916666</v>
      </c>
      <c r="G3158" s="3" t="str">
        <f>HYPERLINK("https://hawk-eye.atlassian.net/browse/RTT-2027?atlOrigin=eyJpIjoiYzgwYTQ0ZjEyNzQzNGJhN2JmNjEyZTM0NmRhZWZhNjIiLCJwIjoic2hlZXRzLWppcmEifQ","RTT-2027")</f>
        <v>RTT-2027</v>
      </c>
      <c r="H3158" s="1" t="s">
        <v>1058</v>
      </c>
      <c r="I3158" s="1" t="s">
        <v>1071</v>
      </c>
      <c r="J3158" s="1" t="s">
        <v>26</v>
      </c>
      <c r="K3158" s="1" t="s">
        <v>1362</v>
      </c>
      <c r="L3158" s="1" t="s">
        <v>26</v>
      </c>
      <c r="M3158" s="1" t="s">
        <v>27</v>
      </c>
      <c r="N3158" s="1" t="s">
        <v>26</v>
      </c>
      <c r="O3158" s="1" t="s">
        <v>26</v>
      </c>
      <c r="P3158" s="4">
        <v>44068.79730324074</v>
      </c>
    </row>
    <row r="3159" hidden="1">
      <c r="A3159" s="1" t="s">
        <v>1055</v>
      </c>
      <c r="B3159" s="3" t="str">
        <f>HYPERLINK("https://hawk-eye.atlassian.net/browse/HWKREPORT-315?atlOrigin=eyJpIjoiYzgwYTQ0ZjEyNzQzNGJhN2JmNjEyZTM0NmRhZWZhNjIiLCJwIjoic2hlZXRzLWppcmEifQ","HWKREPORT-315")</f>
        <v>HWKREPORT-315</v>
      </c>
      <c r="C3159" s="1" t="s">
        <v>4480</v>
      </c>
      <c r="D3159" s="1" t="s">
        <v>23</v>
      </c>
      <c r="E3159" s="1" t="s">
        <v>35</v>
      </c>
      <c r="F3159" s="4">
        <v>43923.08043981482</v>
      </c>
      <c r="G3159" s="3" t="str">
        <f>HYPERLINK("https://hawk-eye.atlassian.net/browse/RTT-2026?atlOrigin=eyJpIjoiYzgwYTQ0ZjEyNzQzNGJhN2JmNjEyZTM0NmRhZWZhNjIiLCJwIjoic2hlZXRzLWppcmEifQ","RTT-2026")</f>
        <v>RTT-2026</v>
      </c>
      <c r="H3159" s="1" t="s">
        <v>1058</v>
      </c>
      <c r="I3159" s="1" t="s">
        <v>1071</v>
      </c>
      <c r="J3159" s="1" t="s">
        <v>26</v>
      </c>
      <c r="K3159" s="1" t="s">
        <v>1362</v>
      </c>
      <c r="L3159" s="1" t="s">
        <v>26</v>
      </c>
      <c r="M3159" s="1" t="s">
        <v>27</v>
      </c>
      <c r="N3159" s="1" t="s">
        <v>26</v>
      </c>
      <c r="O3159" s="1" t="s">
        <v>26</v>
      </c>
      <c r="P3159" s="4">
        <v>44068.797314814816</v>
      </c>
    </row>
    <row r="3160" hidden="1">
      <c r="A3160" s="1" t="s">
        <v>21</v>
      </c>
      <c r="B3160" s="3" t="str">
        <f>HYPERLINK("https://hawk-eye.atlassian.net/browse/HWKREPORT-316?atlOrigin=eyJpIjoiYzgwYTQ0ZjEyNzQzNGJhN2JmNjEyZTM0NmRhZWZhNjIiLCJwIjoic2hlZXRzLWppcmEifQ","HWKREPORT-316")</f>
        <v>HWKREPORT-316</v>
      </c>
      <c r="C3160" s="1" t="s">
        <v>4481</v>
      </c>
      <c r="D3160" s="1" t="s">
        <v>23</v>
      </c>
      <c r="E3160" s="1" t="s">
        <v>35</v>
      </c>
      <c r="F3160" s="4">
        <v>43923.08170138889</v>
      </c>
      <c r="G3160" s="3" t="str">
        <f>HYPERLINK("https://hawk-eye.atlassian.net/browse/RTT-2023?atlOrigin=eyJpIjoiYzgwYTQ0ZjEyNzQzNGJhN2JmNjEyZTM0NmRhZWZhNjIiLCJwIjoic2hlZXRzLWppcmEifQ","RTT-2023")</f>
        <v>RTT-2023</v>
      </c>
      <c r="H3160" s="1" t="s">
        <v>1058</v>
      </c>
      <c r="I3160" s="1" t="s">
        <v>1071</v>
      </c>
      <c r="J3160" s="1" t="s">
        <v>26</v>
      </c>
      <c r="K3160" s="1" t="s">
        <v>1362</v>
      </c>
      <c r="L3160" s="1" t="s">
        <v>26</v>
      </c>
      <c r="M3160" s="1" t="s">
        <v>27</v>
      </c>
      <c r="N3160" s="1" t="s">
        <v>26</v>
      </c>
      <c r="O3160" s="1" t="s">
        <v>26</v>
      </c>
      <c r="P3160" s="4">
        <v>44068.797314814816</v>
      </c>
    </row>
    <row r="3161" hidden="1">
      <c r="A3161" s="1" t="s">
        <v>1055</v>
      </c>
      <c r="B3161" s="3" t="str">
        <f>HYPERLINK("https://hawk-eye.atlassian.net/browse/HWKREPORT-317?atlOrigin=eyJpIjoiYzgwYTQ0ZjEyNzQzNGJhN2JmNjEyZTM0NmRhZWZhNjIiLCJwIjoic2hlZXRzLWppcmEifQ","HWKREPORT-317")</f>
        <v>HWKREPORT-317</v>
      </c>
      <c r="C3161" s="1" t="s">
        <v>4482</v>
      </c>
      <c r="D3161" s="1" t="s">
        <v>23</v>
      </c>
      <c r="E3161" s="1" t="s">
        <v>35</v>
      </c>
      <c r="F3161" s="4">
        <v>43923.08306712963</v>
      </c>
      <c r="G3161" s="3" t="str">
        <f>HYPERLINK("https://hawk-eye.atlassian.net/browse/RTT-2024?atlOrigin=eyJpIjoiYzgwYTQ0ZjEyNzQzNGJhN2JmNjEyZTM0NmRhZWZhNjIiLCJwIjoic2hlZXRzLWppcmEifQ","RTT-2024")</f>
        <v>RTT-2024</v>
      </c>
      <c r="H3161" s="1" t="s">
        <v>1058</v>
      </c>
      <c r="I3161" s="1" t="s">
        <v>1071</v>
      </c>
      <c r="J3161" s="1" t="s">
        <v>26</v>
      </c>
      <c r="K3161" s="1" t="s">
        <v>1362</v>
      </c>
      <c r="L3161" s="1" t="s">
        <v>26</v>
      </c>
      <c r="M3161" s="1" t="s">
        <v>27</v>
      </c>
      <c r="N3161" s="1" t="s">
        <v>26</v>
      </c>
      <c r="O3161" s="1" t="s">
        <v>26</v>
      </c>
      <c r="P3161" s="4">
        <v>44068.797326388885</v>
      </c>
    </row>
    <row r="3162" hidden="1">
      <c r="A3162" s="1" t="s">
        <v>21</v>
      </c>
      <c r="B3162" s="3" t="str">
        <f>HYPERLINK("https://hawk-eye.atlassian.net/browse/HWKREPORT-318?atlOrigin=eyJpIjoiYzgwYTQ0ZjEyNzQzNGJhN2JmNjEyZTM0NmRhZWZhNjIiLCJwIjoic2hlZXRzLWppcmEifQ","HWKREPORT-318")</f>
        <v>HWKREPORT-318</v>
      </c>
      <c r="C3162" s="1" t="s">
        <v>4483</v>
      </c>
      <c r="D3162" s="1" t="s">
        <v>23</v>
      </c>
      <c r="E3162" s="1" t="s">
        <v>35</v>
      </c>
      <c r="F3162" s="4">
        <v>43923.089224537034</v>
      </c>
      <c r="G3162" s="3" t="str">
        <f>HYPERLINK("https://hawk-eye.atlassian.net/browse/?atlOrigin=eyJpIjoiYzgwYTQ0ZjEyNzQzNGJhN2JmNjEyZTM0NmRhZWZhNjIiLCJwIjoic2hlZXRzLWppcmEifQ","")</f>
        <v/>
      </c>
      <c r="H3162" s="1" t="s">
        <v>1058</v>
      </c>
      <c r="I3162" s="1" t="s">
        <v>1071</v>
      </c>
      <c r="J3162" s="1" t="s">
        <v>26</v>
      </c>
      <c r="K3162" s="1" t="s">
        <v>1362</v>
      </c>
      <c r="L3162" s="1" t="s">
        <v>26</v>
      </c>
      <c r="M3162" s="1" t="s">
        <v>27</v>
      </c>
      <c r="N3162" s="1" t="s">
        <v>26</v>
      </c>
      <c r="O3162" s="1" t="s">
        <v>26</v>
      </c>
      <c r="P3162" s="4">
        <v>43923.66434027778</v>
      </c>
    </row>
    <row r="3163" hidden="1">
      <c r="A3163" s="1" t="s">
        <v>21</v>
      </c>
      <c r="B3163" s="3" t="str">
        <f>HYPERLINK("https://hawk-eye.atlassian.net/browse/HWKREPORT-319?atlOrigin=eyJpIjoiYzgwYTQ0ZjEyNzQzNGJhN2JmNjEyZTM0NmRhZWZhNjIiLCJwIjoic2hlZXRzLWppcmEifQ","HWKREPORT-319")</f>
        <v>HWKREPORT-319</v>
      </c>
      <c r="C3163" s="1" t="s">
        <v>4484</v>
      </c>
      <c r="D3163" s="1" t="s">
        <v>23</v>
      </c>
      <c r="E3163" s="1" t="s">
        <v>35</v>
      </c>
      <c r="F3163" s="4">
        <v>43923.603784722225</v>
      </c>
      <c r="G3163" s="3" t="str">
        <f>HYPERLINK("https://hawk-eye.atlassian.net/browse/RTT-2029?atlOrigin=eyJpIjoiYzgwYTQ0ZjEyNzQzNGJhN2JmNjEyZTM0NmRhZWZhNjIiLCJwIjoic2hlZXRzLWppcmEifQ","RTT-2029")</f>
        <v>RTT-2029</v>
      </c>
      <c r="H3163" s="1" t="s">
        <v>1058</v>
      </c>
      <c r="I3163" s="1" t="s">
        <v>1071</v>
      </c>
      <c r="J3163" s="1" t="s">
        <v>26</v>
      </c>
      <c r="K3163" s="1" t="s">
        <v>1362</v>
      </c>
      <c r="L3163" s="1" t="s">
        <v>26</v>
      </c>
      <c r="M3163" s="1" t="s">
        <v>27</v>
      </c>
      <c r="N3163" s="1" t="s">
        <v>26</v>
      </c>
      <c r="O3163" s="1" t="s">
        <v>26</v>
      </c>
      <c r="P3163" s="4">
        <v>44068.79746527778</v>
      </c>
    </row>
    <row r="3164" hidden="1">
      <c r="A3164" s="1" t="s">
        <v>1055</v>
      </c>
      <c r="B3164" s="3" t="str">
        <f>HYPERLINK("https://hawk-eye.atlassian.net/browse/HWKREPORT-320?atlOrigin=eyJpIjoiYzgwYTQ0ZjEyNzQzNGJhN2JmNjEyZTM0NmRhZWZhNjIiLCJwIjoic2hlZXRzLWppcmEifQ","HWKREPORT-320")</f>
        <v>HWKREPORT-320</v>
      </c>
      <c r="C3164" s="1" t="s">
        <v>4485</v>
      </c>
      <c r="D3164" s="1" t="s">
        <v>23</v>
      </c>
      <c r="E3164" s="1" t="s">
        <v>35</v>
      </c>
      <c r="F3164" s="4">
        <v>43923.605787037035</v>
      </c>
      <c r="G3164" s="3" t="str">
        <f>HYPERLINK("https://hawk-eye.atlassian.net/browse/RTT-2190?atlOrigin=eyJpIjoiYzgwYTQ0ZjEyNzQzNGJhN2JmNjEyZTM0NmRhZWZhNjIiLCJwIjoic2hlZXRzLWppcmEifQ","RTT-2190")</f>
        <v>RTT-2190</v>
      </c>
      <c r="H3164" s="1" t="s">
        <v>1058</v>
      </c>
      <c r="I3164" s="1" t="s">
        <v>1071</v>
      </c>
      <c r="J3164" s="1" t="s">
        <v>26</v>
      </c>
      <c r="K3164" s="1" t="s">
        <v>1312</v>
      </c>
      <c r="L3164" s="1" t="s">
        <v>26</v>
      </c>
      <c r="M3164" s="1" t="s">
        <v>27</v>
      </c>
      <c r="N3164" s="1" t="s">
        <v>26</v>
      </c>
      <c r="O3164" s="1" t="s">
        <v>26</v>
      </c>
      <c r="P3164" s="4">
        <v>44090.41175925926</v>
      </c>
    </row>
    <row r="3165" hidden="1">
      <c r="A3165" s="1" t="s">
        <v>1055</v>
      </c>
      <c r="B3165" s="3" t="str">
        <f>HYPERLINK("https://hawk-eye.atlassian.net/browse/HWKREPORT-321?atlOrigin=eyJpIjoiYzgwYTQ0ZjEyNzQzNGJhN2JmNjEyZTM0NmRhZWZhNjIiLCJwIjoic2hlZXRzLWppcmEifQ","HWKREPORT-321")</f>
        <v>HWKREPORT-321</v>
      </c>
      <c r="C3165" s="1" t="s">
        <v>4486</v>
      </c>
      <c r="D3165" s="1" t="s">
        <v>23</v>
      </c>
      <c r="E3165" s="1" t="s">
        <v>35</v>
      </c>
      <c r="F3165" s="4">
        <v>43924.61981481482</v>
      </c>
      <c r="G3165" s="3" t="str">
        <f>HYPERLINK("https://hawk-eye.atlassian.net/browse/RTT-2038?atlOrigin=eyJpIjoiYzgwYTQ0ZjEyNzQzNGJhN2JmNjEyZTM0NmRhZWZhNjIiLCJwIjoic2hlZXRzLWppcmEifQ","RTT-2038")</f>
        <v>RTT-2038</v>
      </c>
      <c r="H3165" s="1" t="s">
        <v>1058</v>
      </c>
      <c r="I3165" s="1" t="s">
        <v>1126</v>
      </c>
      <c r="J3165" s="1" t="s">
        <v>26</v>
      </c>
      <c r="K3165" s="1" t="s">
        <v>1312</v>
      </c>
      <c r="L3165" s="1" t="s">
        <v>26</v>
      </c>
      <c r="M3165" s="1" t="s">
        <v>27</v>
      </c>
      <c r="N3165" s="1" t="s">
        <v>26</v>
      </c>
      <c r="O3165" s="1" t="s">
        <v>26</v>
      </c>
      <c r="P3165" s="4">
        <v>43965.425092592595</v>
      </c>
    </row>
    <row r="3166" hidden="1">
      <c r="A3166" s="1" t="s">
        <v>21</v>
      </c>
      <c r="B3166" s="3" t="str">
        <f>HYPERLINK("https://hawk-eye.atlassian.net/browse/HWKREPORT-322?atlOrigin=eyJpIjoiYzgwYTQ0ZjEyNzQzNGJhN2JmNjEyZTM0NmRhZWZhNjIiLCJwIjoic2hlZXRzLWppcmEifQ","HWKREPORT-322")</f>
        <v>HWKREPORT-322</v>
      </c>
      <c r="C3166" s="1" t="s">
        <v>4487</v>
      </c>
      <c r="D3166" s="1" t="s">
        <v>23</v>
      </c>
      <c r="E3166" s="1" t="s">
        <v>35</v>
      </c>
      <c r="F3166" s="4">
        <v>43927.79256944444</v>
      </c>
      <c r="G3166" s="3" t="str">
        <f t="shared" ref="G3166:G3167" si="216">HYPERLINK("https://hawk-eye.atlassian.net/browse/?atlOrigin=eyJpIjoiYzgwYTQ0ZjEyNzQzNGJhN2JmNjEyZTM0NmRhZWZhNjIiLCJwIjoic2hlZXRzLWppcmEifQ","")</f>
        <v/>
      </c>
      <c r="H3166" s="1" t="s">
        <v>1058</v>
      </c>
      <c r="I3166" s="1" t="s">
        <v>1071</v>
      </c>
      <c r="J3166" s="1" t="s">
        <v>26</v>
      </c>
      <c r="K3166" s="1" t="s">
        <v>1362</v>
      </c>
      <c r="L3166" s="1" t="s">
        <v>26</v>
      </c>
      <c r="M3166" s="1" t="s">
        <v>27</v>
      </c>
      <c r="N3166" s="1" t="s">
        <v>26</v>
      </c>
      <c r="O3166" s="1" t="s">
        <v>26</v>
      </c>
      <c r="P3166" s="4">
        <v>43928.49836805555</v>
      </c>
    </row>
    <row r="3167" hidden="1">
      <c r="A3167" s="1" t="s">
        <v>21</v>
      </c>
      <c r="B3167" s="3" t="str">
        <f>HYPERLINK("https://hawk-eye.atlassian.net/browse/HWKREPORT-323?atlOrigin=eyJpIjoiYzgwYTQ0ZjEyNzQzNGJhN2JmNjEyZTM0NmRhZWZhNjIiLCJwIjoic2hlZXRzLWppcmEifQ","HWKREPORT-323")</f>
        <v>HWKREPORT-323</v>
      </c>
      <c r="C3167" s="1" t="s">
        <v>4488</v>
      </c>
      <c r="D3167" s="1" t="s">
        <v>23</v>
      </c>
      <c r="E3167" s="1" t="s">
        <v>35</v>
      </c>
      <c r="F3167" s="4">
        <v>43927.83399305555</v>
      </c>
      <c r="G3167" s="3" t="str">
        <f t="shared" si="216"/>
        <v/>
      </c>
      <c r="H3167" s="1" t="s">
        <v>1058</v>
      </c>
      <c r="I3167" s="1" t="s">
        <v>1071</v>
      </c>
      <c r="J3167" s="1" t="s">
        <v>26</v>
      </c>
      <c r="K3167" s="1" t="s">
        <v>1362</v>
      </c>
      <c r="L3167" s="1" t="s">
        <v>26</v>
      </c>
      <c r="M3167" s="1" t="s">
        <v>27</v>
      </c>
      <c r="N3167" s="1" t="s">
        <v>26</v>
      </c>
      <c r="O3167" s="1" t="s">
        <v>26</v>
      </c>
      <c r="P3167" s="4">
        <v>43938.44969907407</v>
      </c>
    </row>
    <row r="3168" hidden="1">
      <c r="A3168" s="1" t="s">
        <v>21</v>
      </c>
      <c r="B3168" s="3" t="str">
        <f>HYPERLINK("https://hawk-eye.atlassian.net/browse/HWKREPORT-324?atlOrigin=eyJpIjoiYzgwYTQ0ZjEyNzQzNGJhN2JmNjEyZTM0NmRhZWZhNjIiLCJwIjoic2hlZXRzLWppcmEifQ","HWKREPORT-324")</f>
        <v>HWKREPORT-324</v>
      </c>
      <c r="C3168" s="1" t="s">
        <v>4489</v>
      </c>
      <c r="D3168" s="1" t="s">
        <v>23</v>
      </c>
      <c r="E3168" s="1" t="s">
        <v>35</v>
      </c>
      <c r="F3168" s="4">
        <v>43928.57407407407</v>
      </c>
      <c r="G3168" s="3" t="str">
        <f>HYPERLINK("https://hawk-eye.atlassian.net/browse/RTT-2047?atlOrigin=eyJpIjoiYzgwYTQ0ZjEyNzQzNGJhN2JmNjEyZTM0NmRhZWZhNjIiLCJwIjoic2hlZXRzLWppcmEifQ","RTT-2047")</f>
        <v>RTT-2047</v>
      </c>
      <c r="H3168" s="1" t="s">
        <v>1058</v>
      </c>
      <c r="I3168" s="1" t="s">
        <v>1071</v>
      </c>
      <c r="J3168" s="1" t="s">
        <v>26</v>
      </c>
      <c r="K3168" s="1" t="s">
        <v>1362</v>
      </c>
      <c r="L3168" s="1" t="s">
        <v>26</v>
      </c>
      <c r="M3168" s="1" t="s">
        <v>27</v>
      </c>
      <c r="N3168" s="1" t="s">
        <v>26</v>
      </c>
      <c r="O3168" s="1" t="s">
        <v>26</v>
      </c>
      <c r="P3168" s="4">
        <v>44068.797314814816</v>
      </c>
    </row>
    <row r="3169" hidden="1">
      <c r="A3169" s="1" t="s">
        <v>21</v>
      </c>
      <c r="B3169" s="3" t="str">
        <f>HYPERLINK("https://hawk-eye.atlassian.net/browse/HWKREPORT-325?atlOrigin=eyJpIjoiYzgwYTQ0ZjEyNzQzNGJhN2JmNjEyZTM0NmRhZWZhNjIiLCJwIjoic2hlZXRzLWppcmEifQ","HWKREPORT-325")</f>
        <v>HWKREPORT-325</v>
      </c>
      <c r="C3169" s="1" t="s">
        <v>4490</v>
      </c>
      <c r="D3169" s="1" t="s">
        <v>23</v>
      </c>
      <c r="E3169" s="1" t="s">
        <v>35</v>
      </c>
      <c r="F3169" s="4">
        <v>43929.67616898148</v>
      </c>
      <c r="G3169" s="3" t="str">
        <f t="shared" ref="G3169:G3170" si="217">HYPERLINK("https://hawk-eye.atlassian.net/browse/?atlOrigin=eyJpIjoiYzgwYTQ0ZjEyNzQzNGJhN2JmNjEyZTM0NmRhZWZhNjIiLCJwIjoic2hlZXRzLWppcmEifQ","")</f>
        <v/>
      </c>
      <c r="H3169" s="1" t="s">
        <v>1058</v>
      </c>
      <c r="I3169" s="1" t="s">
        <v>1071</v>
      </c>
      <c r="J3169" s="1" t="s">
        <v>26</v>
      </c>
      <c r="K3169" s="1" t="s">
        <v>1099</v>
      </c>
      <c r="L3169" s="1" t="s">
        <v>26</v>
      </c>
      <c r="M3169" s="1" t="s">
        <v>27</v>
      </c>
      <c r="N3169" s="1" t="s">
        <v>26</v>
      </c>
      <c r="O3169" s="1" t="s">
        <v>26</v>
      </c>
      <c r="P3169" s="4">
        <v>44172.46393518519</v>
      </c>
    </row>
    <row r="3170" hidden="1">
      <c r="A3170" s="1" t="s">
        <v>1055</v>
      </c>
      <c r="B3170" s="3" t="str">
        <f>HYPERLINK("https://hawk-eye.atlassian.net/browse/HWKREPORT-326?atlOrigin=eyJpIjoiYzgwYTQ0ZjEyNzQzNGJhN2JmNjEyZTM0NmRhZWZhNjIiLCJwIjoic2hlZXRzLWppcmEifQ","HWKREPORT-326")</f>
        <v>HWKREPORT-326</v>
      </c>
      <c r="C3170" s="1" t="s">
        <v>4491</v>
      </c>
      <c r="D3170" s="1" t="s">
        <v>23</v>
      </c>
      <c r="E3170" s="1" t="s">
        <v>35</v>
      </c>
      <c r="F3170" s="4">
        <v>43930.645104166666</v>
      </c>
      <c r="G3170" s="3" t="str">
        <f t="shared" si="217"/>
        <v/>
      </c>
      <c r="H3170" s="1" t="s">
        <v>1058</v>
      </c>
      <c r="I3170" s="1" t="s">
        <v>1071</v>
      </c>
      <c r="J3170" s="1" t="s">
        <v>26</v>
      </c>
      <c r="K3170" s="1" t="s">
        <v>1099</v>
      </c>
      <c r="L3170" s="1" t="s">
        <v>26</v>
      </c>
      <c r="M3170" s="1" t="s">
        <v>27</v>
      </c>
      <c r="N3170" s="1" t="s">
        <v>26</v>
      </c>
      <c r="O3170" s="1" t="s">
        <v>26</v>
      </c>
      <c r="P3170" s="4">
        <v>45216.37013888889</v>
      </c>
    </row>
    <row r="3171" hidden="1">
      <c r="A3171" s="1" t="s">
        <v>1055</v>
      </c>
      <c r="B3171" s="3" t="str">
        <f>HYPERLINK("https://hawk-eye.atlassian.net/browse/HWKREPORT-327?atlOrigin=eyJpIjoiYzgwYTQ0ZjEyNzQzNGJhN2JmNjEyZTM0NmRhZWZhNjIiLCJwIjoic2hlZXRzLWppcmEifQ","HWKREPORT-327")</f>
        <v>HWKREPORT-327</v>
      </c>
      <c r="C3171" s="1" t="s">
        <v>4492</v>
      </c>
      <c r="D3171" s="1" t="s">
        <v>23</v>
      </c>
      <c r="E3171" s="1" t="s">
        <v>35</v>
      </c>
      <c r="F3171" s="4">
        <v>43930.91233796296</v>
      </c>
      <c r="G3171" s="3" t="str">
        <f>HYPERLINK("https://hawk-eye.atlassian.net/browse/RTT-2059?atlOrigin=eyJpIjoiYzgwYTQ0ZjEyNzQzNGJhN2JmNjEyZTM0NmRhZWZhNjIiLCJwIjoic2hlZXRzLWppcmEifQ","RTT-2059")</f>
        <v>RTT-2059</v>
      </c>
      <c r="H3171" s="1" t="s">
        <v>1058</v>
      </c>
      <c r="I3171" s="1" t="s">
        <v>1071</v>
      </c>
      <c r="J3171" s="1" t="s">
        <v>26</v>
      </c>
      <c r="K3171" s="1" t="s">
        <v>1072</v>
      </c>
      <c r="L3171" s="1" t="s">
        <v>26</v>
      </c>
      <c r="M3171" s="1" t="s">
        <v>27</v>
      </c>
      <c r="N3171" s="1" t="s">
        <v>26</v>
      </c>
      <c r="O3171" s="1" t="s">
        <v>26</v>
      </c>
      <c r="P3171" s="4">
        <v>44068.79746527778</v>
      </c>
    </row>
    <row r="3172" hidden="1">
      <c r="A3172" s="1" t="s">
        <v>1055</v>
      </c>
      <c r="B3172" s="3" t="str">
        <f>HYPERLINK("https://hawk-eye.atlassian.net/browse/HWKREPORT-328?atlOrigin=eyJpIjoiYzgwYTQ0ZjEyNzQzNGJhN2JmNjEyZTM0NmRhZWZhNjIiLCJwIjoic2hlZXRzLWppcmEifQ","HWKREPORT-328")</f>
        <v>HWKREPORT-328</v>
      </c>
      <c r="C3172" s="1" t="s">
        <v>4493</v>
      </c>
      <c r="D3172" s="1" t="s">
        <v>23</v>
      </c>
      <c r="E3172" s="1" t="s">
        <v>35</v>
      </c>
      <c r="F3172" s="4">
        <v>43931.60865740741</v>
      </c>
      <c r="G3172" s="3" t="str">
        <f>HYPERLINK("https://hawk-eye.atlassian.net/browse/RTT-2058?atlOrigin=eyJpIjoiYzgwYTQ0ZjEyNzQzNGJhN2JmNjEyZTM0NmRhZWZhNjIiLCJwIjoic2hlZXRzLWppcmEifQ","RTT-2058")</f>
        <v>RTT-2058</v>
      </c>
      <c r="H3172" s="1" t="s">
        <v>1058</v>
      </c>
      <c r="I3172" s="1" t="s">
        <v>1071</v>
      </c>
      <c r="J3172" s="1" t="s">
        <v>26</v>
      </c>
      <c r="K3172" s="1" t="s">
        <v>1312</v>
      </c>
      <c r="L3172" s="1" t="s">
        <v>26</v>
      </c>
      <c r="M3172" s="1" t="s">
        <v>27</v>
      </c>
      <c r="N3172" s="1" t="s">
        <v>26</v>
      </c>
      <c r="O3172" s="1" t="s">
        <v>26</v>
      </c>
      <c r="P3172" s="4">
        <v>44068.79746527778</v>
      </c>
    </row>
    <row r="3173" hidden="1">
      <c r="A3173" s="1" t="s">
        <v>21</v>
      </c>
      <c r="B3173" s="3" t="str">
        <f>HYPERLINK("https://hawk-eye.atlassian.net/browse/HWKREPORT-329?atlOrigin=eyJpIjoiYzgwYTQ0ZjEyNzQzNGJhN2JmNjEyZTM0NmRhZWZhNjIiLCJwIjoic2hlZXRzLWppcmEifQ","HWKREPORT-329")</f>
        <v>HWKREPORT-329</v>
      </c>
      <c r="C3173" s="1" t="s">
        <v>4494</v>
      </c>
      <c r="D3173" s="1" t="s">
        <v>23</v>
      </c>
      <c r="E3173" s="1" t="s">
        <v>35</v>
      </c>
      <c r="F3173" s="4">
        <v>43931.61253472222</v>
      </c>
      <c r="G3173" s="3" t="str">
        <f>HYPERLINK("https://hawk-eye.atlassian.net/browse/RTT-2057?atlOrigin=eyJpIjoiYzgwYTQ0ZjEyNzQzNGJhN2JmNjEyZTM0NmRhZWZhNjIiLCJwIjoic2hlZXRzLWppcmEifQ","RTT-2057")</f>
        <v>RTT-2057</v>
      </c>
      <c r="H3173" s="1" t="s">
        <v>1058</v>
      </c>
      <c r="I3173" s="1" t="s">
        <v>1071</v>
      </c>
      <c r="J3173" s="1" t="s">
        <v>26</v>
      </c>
      <c r="K3173" s="1" t="s">
        <v>1099</v>
      </c>
      <c r="L3173" s="1" t="s">
        <v>26</v>
      </c>
      <c r="M3173" s="1" t="s">
        <v>27</v>
      </c>
      <c r="N3173" s="1" t="s">
        <v>26</v>
      </c>
      <c r="O3173" s="1" t="s">
        <v>26</v>
      </c>
      <c r="P3173" s="4">
        <v>44068.797476851854</v>
      </c>
    </row>
    <row r="3174" hidden="1">
      <c r="A3174" s="1" t="s">
        <v>21</v>
      </c>
      <c r="B3174" s="3" t="str">
        <f>HYPERLINK("https://hawk-eye.atlassian.net/browse/HWKREPORT-330?atlOrigin=eyJpIjoiYzgwYTQ0ZjEyNzQzNGJhN2JmNjEyZTM0NmRhZWZhNjIiLCJwIjoic2hlZXRzLWppcmEifQ","HWKREPORT-330")</f>
        <v>HWKREPORT-330</v>
      </c>
      <c r="C3174" s="1" t="s">
        <v>4495</v>
      </c>
      <c r="D3174" s="1" t="s">
        <v>23</v>
      </c>
      <c r="E3174" s="1" t="s">
        <v>35</v>
      </c>
      <c r="F3174" s="4">
        <v>43931.62099537037</v>
      </c>
      <c r="G3174" s="3" t="str">
        <f t="shared" ref="G3174:G3176" si="218">HYPERLINK("https://hawk-eye.atlassian.net/browse/?atlOrigin=eyJpIjoiYzgwYTQ0ZjEyNzQzNGJhN2JmNjEyZTM0NmRhZWZhNjIiLCJwIjoic2hlZXRzLWppcmEifQ","")</f>
        <v/>
      </c>
      <c r="H3174" s="1" t="s">
        <v>1058</v>
      </c>
      <c r="I3174" s="1" t="s">
        <v>1071</v>
      </c>
      <c r="J3174" s="1" t="s">
        <v>26</v>
      </c>
      <c r="K3174" s="1" t="s">
        <v>1072</v>
      </c>
      <c r="L3174" s="1" t="s">
        <v>26</v>
      </c>
      <c r="M3174" s="1" t="s">
        <v>27</v>
      </c>
      <c r="N3174" s="1" t="s">
        <v>26</v>
      </c>
      <c r="O3174" s="1" t="s">
        <v>26</v>
      </c>
      <c r="P3174" s="4">
        <v>44006.430613425924</v>
      </c>
    </row>
    <row r="3175" hidden="1">
      <c r="A3175" s="1" t="s">
        <v>1055</v>
      </c>
      <c r="B3175" s="3" t="str">
        <f>HYPERLINK("https://hawk-eye.atlassian.net/browse/HWKREPORT-331?atlOrigin=eyJpIjoiYzgwYTQ0ZjEyNzQzNGJhN2JmNjEyZTM0NmRhZWZhNjIiLCJwIjoic2hlZXRzLWppcmEifQ","HWKREPORT-331")</f>
        <v>HWKREPORT-331</v>
      </c>
      <c r="C3175" s="1" t="s">
        <v>4496</v>
      </c>
      <c r="D3175" s="1" t="s">
        <v>23</v>
      </c>
      <c r="E3175" s="1" t="s">
        <v>35</v>
      </c>
      <c r="F3175" s="4">
        <v>43931.66721064815</v>
      </c>
      <c r="G3175" s="3" t="str">
        <f t="shared" si="218"/>
        <v/>
      </c>
      <c r="H3175" s="1" t="s">
        <v>1058</v>
      </c>
      <c r="I3175" s="1" t="s">
        <v>1071</v>
      </c>
      <c r="J3175" s="1" t="s">
        <v>26</v>
      </c>
      <c r="K3175" s="1" t="s">
        <v>26</v>
      </c>
      <c r="L3175" s="1" t="s">
        <v>26</v>
      </c>
      <c r="M3175" s="1" t="s">
        <v>27</v>
      </c>
      <c r="N3175" s="1" t="s">
        <v>26</v>
      </c>
      <c r="O3175" s="1" t="s">
        <v>26</v>
      </c>
      <c r="P3175" s="4">
        <v>44124.602013888885</v>
      </c>
    </row>
    <row r="3176" hidden="1">
      <c r="A3176" s="1" t="s">
        <v>1055</v>
      </c>
      <c r="B3176" s="3" t="str">
        <f>HYPERLINK("https://hawk-eye.atlassian.net/browse/HWKREPORT-332?atlOrigin=eyJpIjoiYzgwYTQ0ZjEyNzQzNGJhN2JmNjEyZTM0NmRhZWZhNjIiLCJwIjoic2hlZXRzLWppcmEifQ","HWKREPORT-332")</f>
        <v>HWKREPORT-332</v>
      </c>
      <c r="C3176" s="1" t="s">
        <v>4497</v>
      </c>
      <c r="D3176" s="1" t="s">
        <v>23</v>
      </c>
      <c r="E3176" s="1" t="s">
        <v>35</v>
      </c>
      <c r="F3176" s="4">
        <v>43931.67306712963</v>
      </c>
      <c r="G3176" s="3" t="str">
        <f t="shared" si="218"/>
        <v/>
      </c>
      <c r="H3176" s="1" t="s">
        <v>1058</v>
      </c>
      <c r="I3176" s="1" t="s">
        <v>1071</v>
      </c>
      <c r="J3176" s="1" t="s">
        <v>26</v>
      </c>
      <c r="K3176" s="1" t="s">
        <v>1312</v>
      </c>
      <c r="L3176" s="1" t="s">
        <v>26</v>
      </c>
      <c r="M3176" s="1" t="s">
        <v>27</v>
      </c>
      <c r="N3176" s="1" t="s">
        <v>26</v>
      </c>
      <c r="O3176" s="1" t="s">
        <v>26</v>
      </c>
      <c r="P3176" s="4">
        <v>43935.51274305556</v>
      </c>
    </row>
    <row r="3177" hidden="1">
      <c r="A3177" s="1" t="s">
        <v>21</v>
      </c>
      <c r="B3177" s="3" t="str">
        <f>HYPERLINK("https://hawk-eye.atlassian.net/browse/HWKREPORT-333?atlOrigin=eyJpIjoiYzgwYTQ0ZjEyNzQzNGJhN2JmNjEyZTM0NmRhZWZhNjIiLCJwIjoic2hlZXRzLWppcmEifQ","HWKREPORT-333")</f>
        <v>HWKREPORT-333</v>
      </c>
      <c r="C3177" s="1" t="s">
        <v>4498</v>
      </c>
      <c r="D3177" s="1" t="s">
        <v>23</v>
      </c>
      <c r="E3177" s="1" t="s">
        <v>35</v>
      </c>
      <c r="F3177" s="4">
        <v>43934.89671296296</v>
      </c>
      <c r="G3177" s="3" t="str">
        <f>HYPERLINK("https://hawk-eye.atlassian.net/browse/RTT-2056?atlOrigin=eyJpIjoiYzgwYTQ0ZjEyNzQzNGJhN2JmNjEyZTM0NmRhZWZhNjIiLCJwIjoic2hlZXRzLWppcmEifQ","RTT-2056")</f>
        <v>RTT-2056</v>
      </c>
      <c r="H3177" s="1" t="s">
        <v>1058</v>
      </c>
      <c r="I3177" s="1" t="s">
        <v>1071</v>
      </c>
      <c r="J3177" s="1" t="s">
        <v>26</v>
      </c>
      <c r="K3177" s="1" t="s">
        <v>1362</v>
      </c>
      <c r="L3177" s="1" t="s">
        <v>26</v>
      </c>
      <c r="M3177" s="1" t="s">
        <v>27</v>
      </c>
      <c r="N3177" s="1" t="s">
        <v>26</v>
      </c>
      <c r="O3177" s="1" t="s">
        <v>26</v>
      </c>
      <c r="P3177" s="4">
        <v>44090.41438657408</v>
      </c>
    </row>
    <row r="3178" hidden="1">
      <c r="A3178" s="1" t="s">
        <v>21</v>
      </c>
      <c r="B3178" s="3" t="str">
        <f>HYPERLINK("https://hawk-eye.atlassian.net/browse/HWKREPORT-334?atlOrigin=eyJpIjoiYzgwYTQ0ZjEyNzQzNGJhN2JmNjEyZTM0NmRhZWZhNjIiLCJwIjoic2hlZXRzLWppcmEifQ","HWKREPORT-334")</f>
        <v>HWKREPORT-334</v>
      </c>
      <c r="C3178" s="1" t="s">
        <v>4499</v>
      </c>
      <c r="D3178" s="1" t="s">
        <v>23</v>
      </c>
      <c r="E3178" s="1" t="s">
        <v>35</v>
      </c>
      <c r="F3178" s="4">
        <v>43935.42600694444</v>
      </c>
      <c r="G3178" s="3" t="str">
        <f>HYPERLINK("https://hawk-eye.atlassian.net/browse/RTT-2124?atlOrigin=eyJpIjoiYzgwYTQ0ZjEyNzQzNGJhN2JmNjEyZTM0NmRhZWZhNjIiLCJwIjoic2hlZXRzLWppcmEifQ","RTT-2124")</f>
        <v>RTT-2124</v>
      </c>
      <c r="H3178" s="1" t="s">
        <v>1058</v>
      </c>
      <c r="I3178" s="1" t="s">
        <v>1126</v>
      </c>
      <c r="J3178" s="1" t="s">
        <v>26</v>
      </c>
      <c r="K3178" s="1" t="s">
        <v>1309</v>
      </c>
      <c r="L3178" s="1" t="s">
        <v>26</v>
      </c>
      <c r="M3178" s="1" t="s">
        <v>27</v>
      </c>
      <c r="N3178" s="1" t="s">
        <v>26</v>
      </c>
      <c r="O3178" s="1" t="s">
        <v>26</v>
      </c>
      <c r="P3178" s="4">
        <v>44068.79754629629</v>
      </c>
    </row>
    <row r="3179" hidden="1">
      <c r="A3179" s="1" t="s">
        <v>21</v>
      </c>
      <c r="B3179" s="3" t="str">
        <f>HYPERLINK("https://hawk-eye.atlassian.net/browse/HWKREPORT-335?atlOrigin=eyJpIjoiYzgwYTQ0ZjEyNzQzNGJhN2JmNjEyZTM0NmRhZWZhNjIiLCJwIjoic2hlZXRzLWppcmEifQ","HWKREPORT-335")</f>
        <v>HWKREPORT-335</v>
      </c>
      <c r="C3179" s="1" t="s">
        <v>4500</v>
      </c>
      <c r="D3179" s="1" t="s">
        <v>23</v>
      </c>
      <c r="E3179" s="1" t="s">
        <v>35</v>
      </c>
      <c r="F3179" s="4">
        <v>43935.623564814814</v>
      </c>
      <c r="G3179" s="3" t="str">
        <f>HYPERLINK("https://hawk-eye.atlassian.net/browse/RTT-2070?atlOrigin=eyJpIjoiYzgwYTQ0ZjEyNzQzNGJhN2JmNjEyZTM0NmRhZWZhNjIiLCJwIjoic2hlZXRzLWppcmEifQ","RTT-2070")</f>
        <v>RTT-2070</v>
      </c>
      <c r="H3179" s="1" t="s">
        <v>1058</v>
      </c>
      <c r="I3179" s="1" t="s">
        <v>1071</v>
      </c>
      <c r="J3179" s="1" t="s">
        <v>26</v>
      </c>
      <c r="K3179" s="1" t="s">
        <v>1362</v>
      </c>
      <c r="L3179" s="1" t="s">
        <v>26</v>
      </c>
      <c r="M3179" s="1" t="s">
        <v>27</v>
      </c>
      <c r="N3179" s="1" t="s">
        <v>26</v>
      </c>
      <c r="O3179" s="1" t="s">
        <v>26</v>
      </c>
      <c r="P3179" s="4">
        <v>44068.797488425924</v>
      </c>
    </row>
    <row r="3180" hidden="1">
      <c r="A3180" s="1" t="s">
        <v>21</v>
      </c>
      <c r="B3180" s="3" t="str">
        <f>HYPERLINK("https://hawk-eye.atlassian.net/browse/HWKREPORT-336?atlOrigin=eyJpIjoiYzgwYTQ0ZjEyNzQzNGJhN2JmNjEyZTM0NmRhZWZhNjIiLCJwIjoic2hlZXRzLWppcmEifQ","HWKREPORT-336")</f>
        <v>HWKREPORT-336</v>
      </c>
      <c r="C3180" s="1" t="s">
        <v>4501</v>
      </c>
      <c r="D3180" s="1" t="s">
        <v>34</v>
      </c>
      <c r="E3180" s="1" t="s">
        <v>1057</v>
      </c>
      <c r="F3180" s="4">
        <v>43937.61649305555</v>
      </c>
      <c r="G3180" s="3" t="str">
        <f t="shared" ref="G3180:G3182" si="219">HYPERLINK("https://hawk-eye.atlassian.net/browse/?atlOrigin=eyJpIjoiYzgwYTQ0ZjEyNzQzNGJhN2JmNjEyZTM0NmRhZWZhNjIiLCJwIjoic2hlZXRzLWppcmEifQ","")</f>
        <v/>
      </c>
      <c r="H3180" s="1" t="s">
        <v>1058</v>
      </c>
      <c r="I3180" s="1" t="s">
        <v>1126</v>
      </c>
      <c r="J3180" s="1" t="s">
        <v>26</v>
      </c>
      <c r="K3180" s="1" t="s">
        <v>4502</v>
      </c>
      <c r="L3180" s="1" t="s">
        <v>26</v>
      </c>
      <c r="M3180" s="1" t="s">
        <v>27</v>
      </c>
      <c r="N3180" s="1" t="s">
        <v>26</v>
      </c>
      <c r="O3180" s="1" t="s">
        <v>26</v>
      </c>
      <c r="P3180" s="4">
        <v>43937.61650462963</v>
      </c>
    </row>
    <row r="3181" hidden="1">
      <c r="A3181" s="1" t="s">
        <v>21</v>
      </c>
      <c r="B3181" s="3" t="str">
        <f>HYPERLINK("https://hawk-eye.atlassian.net/browse/HWKREPORT-337?atlOrigin=eyJpIjoiYzgwYTQ0ZjEyNzQzNGJhN2JmNjEyZTM0NmRhZWZhNjIiLCJwIjoic2hlZXRzLWppcmEifQ","HWKREPORT-337")</f>
        <v>HWKREPORT-337</v>
      </c>
      <c r="C3181" s="1" t="s">
        <v>4503</v>
      </c>
      <c r="D3181" s="1" t="s">
        <v>23</v>
      </c>
      <c r="E3181" s="1" t="s">
        <v>35</v>
      </c>
      <c r="F3181" s="4">
        <v>43938.456967592596</v>
      </c>
      <c r="G3181" s="3" t="str">
        <f t="shared" si="219"/>
        <v/>
      </c>
      <c r="H3181" s="1" t="s">
        <v>1058</v>
      </c>
      <c r="I3181" s="1" t="s">
        <v>1126</v>
      </c>
      <c r="J3181" s="1" t="s">
        <v>26</v>
      </c>
      <c r="K3181" s="1" t="s">
        <v>1573</v>
      </c>
      <c r="L3181" s="1" t="s">
        <v>26</v>
      </c>
      <c r="M3181" s="1" t="s">
        <v>27</v>
      </c>
      <c r="N3181" s="1" t="s">
        <v>26</v>
      </c>
      <c r="O3181" s="1" t="s">
        <v>26</v>
      </c>
      <c r="P3181" s="4">
        <v>45258.65961805556</v>
      </c>
    </row>
    <row r="3182" hidden="1">
      <c r="A3182" s="1" t="s">
        <v>1055</v>
      </c>
      <c r="B3182" s="3" t="str">
        <f>HYPERLINK("https://hawk-eye.atlassian.net/browse/HWKREPORT-338?atlOrigin=eyJpIjoiYzgwYTQ0ZjEyNzQzNGJhN2JmNjEyZTM0NmRhZWZhNjIiLCJwIjoic2hlZXRzLWppcmEifQ","HWKREPORT-338")</f>
        <v>HWKREPORT-338</v>
      </c>
      <c r="C3182" s="1" t="s">
        <v>4504</v>
      </c>
      <c r="D3182" s="1" t="s">
        <v>23</v>
      </c>
      <c r="E3182" s="1" t="s">
        <v>35</v>
      </c>
      <c r="F3182" s="4">
        <v>43948.563125</v>
      </c>
      <c r="G3182" s="3" t="str">
        <f t="shared" si="219"/>
        <v/>
      </c>
      <c r="H3182" s="1" t="s">
        <v>1058</v>
      </c>
      <c r="I3182" s="1" t="s">
        <v>1071</v>
      </c>
      <c r="J3182" s="1" t="s">
        <v>26</v>
      </c>
      <c r="K3182" s="1" t="s">
        <v>4212</v>
      </c>
      <c r="L3182" s="1" t="s">
        <v>26</v>
      </c>
      <c r="M3182" s="1" t="s">
        <v>27</v>
      </c>
      <c r="N3182" s="1" t="s">
        <v>26</v>
      </c>
      <c r="O3182" s="1" t="s">
        <v>26</v>
      </c>
      <c r="P3182" s="4">
        <v>43948.65052083333</v>
      </c>
    </row>
    <row r="3183" hidden="1">
      <c r="A3183" s="1" t="s">
        <v>1055</v>
      </c>
      <c r="B3183" s="3" t="str">
        <f>HYPERLINK("https://hawk-eye.atlassian.net/browse/HWKREPORT-339?atlOrigin=eyJpIjoiYzgwYTQ0ZjEyNzQzNGJhN2JmNjEyZTM0NmRhZWZhNjIiLCJwIjoic2hlZXRzLWppcmEifQ","HWKREPORT-339")</f>
        <v>HWKREPORT-339</v>
      </c>
      <c r="C3183" s="1" t="s">
        <v>4505</v>
      </c>
      <c r="D3183" s="1" t="s">
        <v>23</v>
      </c>
      <c r="E3183" s="1" t="s">
        <v>35</v>
      </c>
      <c r="F3183" s="4">
        <v>43956.50303240741</v>
      </c>
      <c r="G3183" s="3" t="str">
        <f>HYPERLINK("https://hawk-eye.atlassian.net/issues/?atlOrigin=eyJpIjoiYzgwYTQ0ZjEyNzQzNGJhN2JmNjEyZTM0NmRhZWZhNjIiLCJwIjoic2hlZXRzLWppcmEifQ&amp;jql=key+in+%28RTT-2183%2CRTT-2171%29","RTT-2183;RTT-2171")</f>
        <v>RTT-2183;RTT-2171</v>
      </c>
      <c r="H3183" s="1" t="s">
        <v>1058</v>
      </c>
      <c r="I3183" s="1" t="s">
        <v>1126</v>
      </c>
      <c r="J3183" s="1" t="s">
        <v>26</v>
      </c>
      <c r="K3183" s="1" t="s">
        <v>1312</v>
      </c>
      <c r="L3183" s="1" t="s">
        <v>26</v>
      </c>
      <c r="M3183" s="1" t="s">
        <v>27</v>
      </c>
      <c r="N3183" s="1" t="s">
        <v>26</v>
      </c>
      <c r="O3183" s="1" t="s">
        <v>26</v>
      </c>
      <c r="P3183" s="4">
        <v>44140.79077546296</v>
      </c>
    </row>
    <row r="3184" hidden="1">
      <c r="A3184" s="1" t="s">
        <v>21</v>
      </c>
      <c r="B3184" s="3" t="str">
        <f>HYPERLINK("https://hawk-eye.atlassian.net/browse/HWKREPORT-340?atlOrigin=eyJpIjoiYzgwYTQ0ZjEyNzQzNGJhN2JmNjEyZTM0NmRhZWZhNjIiLCJwIjoic2hlZXRzLWppcmEifQ","HWKREPORT-340")</f>
        <v>HWKREPORT-340</v>
      </c>
      <c r="C3184" s="1" t="s">
        <v>4506</v>
      </c>
      <c r="D3184" s="1" t="s">
        <v>34</v>
      </c>
      <c r="E3184" s="1" t="s">
        <v>1057</v>
      </c>
      <c r="F3184" s="4">
        <v>43956.67778935185</v>
      </c>
      <c r="G3184" s="3" t="str">
        <f>HYPERLINK("https://hawk-eye.atlassian.net/browse/GT-183?atlOrigin=eyJpIjoiYzgwYTQ0ZjEyNzQzNGJhN2JmNjEyZTM0NmRhZWZhNjIiLCJwIjoic2hlZXRzLWppcmEifQ","GT-183")</f>
        <v>GT-183</v>
      </c>
      <c r="H3184" s="1" t="s">
        <v>1058</v>
      </c>
      <c r="I3184" s="1" t="s">
        <v>1126</v>
      </c>
      <c r="J3184" s="1" t="s">
        <v>26</v>
      </c>
      <c r="K3184" s="1" t="s">
        <v>4183</v>
      </c>
      <c r="L3184" s="1" t="s">
        <v>26</v>
      </c>
      <c r="M3184" s="1" t="s">
        <v>27</v>
      </c>
      <c r="N3184" s="1" t="s">
        <v>26</v>
      </c>
      <c r="O3184" s="1" t="s">
        <v>26</v>
      </c>
      <c r="P3184" s="4">
        <v>43956.6778125</v>
      </c>
    </row>
    <row r="3185" hidden="1">
      <c r="A3185" s="1" t="s">
        <v>1055</v>
      </c>
      <c r="B3185" s="3" t="str">
        <f>HYPERLINK("https://hawk-eye.atlassian.net/browse/HWKREPORT-341?atlOrigin=eyJpIjoiYzgwYTQ0ZjEyNzQzNGJhN2JmNjEyZTM0NmRhZWZhNjIiLCJwIjoic2hlZXRzLWppcmEifQ","HWKREPORT-341")</f>
        <v>HWKREPORT-341</v>
      </c>
      <c r="C3185" s="1" t="s">
        <v>4507</v>
      </c>
      <c r="D3185" s="1" t="s">
        <v>23</v>
      </c>
      <c r="E3185" s="1" t="s">
        <v>35</v>
      </c>
      <c r="F3185" s="4">
        <v>43956.68512731481</v>
      </c>
      <c r="G3185" s="3" t="str">
        <f>HYPERLINK("https://hawk-eye.atlassian.net/browse/RTT-2185?atlOrigin=eyJpIjoiYzgwYTQ0ZjEyNzQzNGJhN2JmNjEyZTM0NmRhZWZhNjIiLCJwIjoic2hlZXRzLWppcmEifQ","RTT-2185")</f>
        <v>RTT-2185</v>
      </c>
      <c r="H3185" s="1" t="s">
        <v>1058</v>
      </c>
      <c r="I3185" s="1" t="s">
        <v>1071</v>
      </c>
      <c r="J3185" s="1" t="s">
        <v>26</v>
      </c>
      <c r="K3185" s="1" t="s">
        <v>1312</v>
      </c>
      <c r="L3185" s="1" t="s">
        <v>26</v>
      </c>
      <c r="M3185" s="1" t="s">
        <v>27</v>
      </c>
      <c r="N3185" s="1" t="s">
        <v>26</v>
      </c>
      <c r="O3185" s="1" t="s">
        <v>26</v>
      </c>
      <c r="P3185" s="4">
        <v>44090.41203703704</v>
      </c>
    </row>
    <row r="3186" hidden="1">
      <c r="A3186" s="1" t="s">
        <v>1055</v>
      </c>
      <c r="B3186" s="3" t="str">
        <f>HYPERLINK("https://hawk-eye.atlassian.net/browse/HWKREPORT-342?atlOrigin=eyJpIjoiYzgwYTQ0ZjEyNzQzNGJhN2JmNjEyZTM0NmRhZWZhNjIiLCJwIjoic2hlZXRzLWppcmEifQ","HWKREPORT-342")</f>
        <v>HWKREPORT-342</v>
      </c>
      <c r="C3186" s="1" t="s">
        <v>4508</v>
      </c>
      <c r="D3186" s="1" t="s">
        <v>23</v>
      </c>
      <c r="E3186" s="1" t="s">
        <v>35</v>
      </c>
      <c r="F3186" s="4">
        <v>43956.68719907408</v>
      </c>
      <c r="G3186" s="3" t="str">
        <f>HYPERLINK("https://hawk-eye.atlassian.net/browse/RTT-2186?atlOrigin=eyJpIjoiYzgwYTQ0ZjEyNzQzNGJhN2JmNjEyZTM0NmRhZWZhNjIiLCJwIjoic2hlZXRzLWppcmEifQ","RTT-2186")</f>
        <v>RTT-2186</v>
      </c>
      <c r="H3186" s="1" t="s">
        <v>1058</v>
      </c>
      <c r="I3186" s="1" t="s">
        <v>1071</v>
      </c>
      <c r="J3186" s="1" t="s">
        <v>26</v>
      </c>
      <c r="K3186" s="1" t="s">
        <v>1312</v>
      </c>
      <c r="L3186" s="1" t="s">
        <v>26</v>
      </c>
      <c r="M3186" s="1" t="s">
        <v>27</v>
      </c>
      <c r="N3186" s="1" t="s">
        <v>26</v>
      </c>
      <c r="O3186" s="1" t="s">
        <v>26</v>
      </c>
      <c r="P3186" s="4">
        <v>44068.797534722224</v>
      </c>
    </row>
    <row r="3187" hidden="1">
      <c r="A3187" s="1" t="s">
        <v>21</v>
      </c>
      <c r="B3187" s="3" t="str">
        <f>HYPERLINK("https://hawk-eye.atlassian.net/browse/HWKREPORT-343?atlOrigin=eyJpIjoiYzgwYTQ0ZjEyNzQzNGJhN2JmNjEyZTM0NmRhZWZhNjIiLCJwIjoic2hlZXRzLWppcmEifQ","HWKREPORT-343")</f>
        <v>HWKREPORT-343</v>
      </c>
      <c r="C3187" s="1" t="s">
        <v>4509</v>
      </c>
      <c r="D3187" s="1" t="s">
        <v>40</v>
      </c>
      <c r="E3187" s="1" t="s">
        <v>35</v>
      </c>
      <c r="F3187" s="4">
        <v>43957.92859953704</v>
      </c>
      <c r="G3187" s="3" t="str">
        <f>HYPERLINK("https://hawk-eye.atlassian.net/browse/BMVR-12?atlOrigin=eyJpIjoiYzgwYTQ0ZjEyNzQzNGJhN2JmNjEyZTM0NmRhZWZhNjIiLCJwIjoic2hlZXRzLWppcmEifQ","BMVR-12")</f>
        <v>BMVR-12</v>
      </c>
      <c r="H3187" s="1" t="s">
        <v>1058</v>
      </c>
      <c r="I3187" s="1" t="s">
        <v>1377</v>
      </c>
      <c r="J3187" s="1" t="s">
        <v>26</v>
      </c>
      <c r="K3187" s="1" t="s">
        <v>4510</v>
      </c>
      <c r="L3187" s="1" t="s">
        <v>26</v>
      </c>
      <c r="M3187" s="1" t="s">
        <v>27</v>
      </c>
      <c r="N3187" s="1" t="s">
        <v>26</v>
      </c>
      <c r="O3187" s="1" t="s">
        <v>26</v>
      </c>
      <c r="P3187" s="4">
        <v>44600.87457175926</v>
      </c>
    </row>
    <row r="3188" hidden="1">
      <c r="A3188" s="1" t="s">
        <v>1055</v>
      </c>
      <c r="B3188" s="3" t="str">
        <f>HYPERLINK("https://hawk-eye.atlassian.net/browse/HWKREPORT-344?atlOrigin=eyJpIjoiYzgwYTQ0ZjEyNzQzNGJhN2JmNjEyZTM0NmRhZWZhNjIiLCJwIjoic2hlZXRzLWppcmEifQ","HWKREPORT-344")</f>
        <v>HWKREPORT-344</v>
      </c>
      <c r="C3188" s="1" t="s">
        <v>4511</v>
      </c>
      <c r="D3188" s="1" t="s">
        <v>23</v>
      </c>
      <c r="E3188" s="1" t="s">
        <v>35</v>
      </c>
      <c r="F3188" s="4">
        <v>43958.11377314815</v>
      </c>
      <c r="G3188" s="3" t="str">
        <f>HYPERLINK("https://hawk-eye.atlassian.net/browse/RTT-2194?atlOrigin=eyJpIjoiYzgwYTQ0ZjEyNzQzNGJhN2JmNjEyZTM0NmRhZWZhNjIiLCJwIjoic2hlZXRzLWppcmEifQ","RTT-2194")</f>
        <v>RTT-2194</v>
      </c>
      <c r="H3188" s="1" t="s">
        <v>1058</v>
      </c>
      <c r="I3188" s="1" t="s">
        <v>1071</v>
      </c>
      <c r="J3188" s="1" t="s">
        <v>26</v>
      </c>
      <c r="K3188" s="1" t="s">
        <v>1072</v>
      </c>
      <c r="L3188" s="1" t="s">
        <v>26</v>
      </c>
      <c r="M3188" s="1" t="s">
        <v>27</v>
      </c>
      <c r="N3188" s="1" t="s">
        <v>26</v>
      </c>
      <c r="O3188" s="1" t="s">
        <v>26</v>
      </c>
      <c r="P3188" s="4">
        <v>44068.797268518516</v>
      </c>
    </row>
    <row r="3189" hidden="1">
      <c r="A3189" s="1" t="s">
        <v>21</v>
      </c>
      <c r="B3189" s="3" t="str">
        <f>HYPERLINK("https://hawk-eye.atlassian.net/browse/HWKREPORT-345?atlOrigin=eyJpIjoiYzgwYTQ0ZjEyNzQzNGJhN2JmNjEyZTM0NmRhZWZhNjIiLCJwIjoic2hlZXRzLWppcmEifQ","HWKREPORT-345")</f>
        <v>HWKREPORT-345</v>
      </c>
      <c r="C3189" s="1" t="s">
        <v>4512</v>
      </c>
      <c r="D3189" s="1" t="s">
        <v>23</v>
      </c>
      <c r="E3189" s="1" t="s">
        <v>35</v>
      </c>
      <c r="F3189" s="4">
        <v>43958.7237962963</v>
      </c>
      <c r="G3189" s="3" t="str">
        <f>HYPERLINK("https://hawk-eye.atlassian.net/browse/RTT-2197?atlOrigin=eyJpIjoiYzgwYTQ0ZjEyNzQzNGJhN2JmNjEyZTM0NmRhZWZhNjIiLCJwIjoic2hlZXRzLWppcmEifQ","RTT-2197")</f>
        <v>RTT-2197</v>
      </c>
      <c r="H3189" s="1" t="s">
        <v>1058</v>
      </c>
      <c r="I3189" s="1" t="s">
        <v>1071</v>
      </c>
      <c r="J3189" s="1" t="s">
        <v>26</v>
      </c>
      <c r="K3189" s="1" t="s">
        <v>1072</v>
      </c>
      <c r="L3189" s="1" t="s">
        <v>26</v>
      </c>
      <c r="M3189" s="1" t="s">
        <v>27</v>
      </c>
      <c r="N3189" s="1" t="s">
        <v>26</v>
      </c>
      <c r="O3189" s="1" t="s">
        <v>26</v>
      </c>
      <c r="P3189" s="4">
        <v>44068.79733796296</v>
      </c>
    </row>
    <row r="3190" hidden="1">
      <c r="A3190" s="1" t="s">
        <v>1055</v>
      </c>
      <c r="B3190" s="3" t="str">
        <f>HYPERLINK("https://hawk-eye.atlassian.net/browse/HWKREPORT-346?atlOrigin=eyJpIjoiYzgwYTQ0ZjEyNzQzNGJhN2JmNjEyZTM0NmRhZWZhNjIiLCJwIjoic2hlZXRzLWppcmEifQ","HWKREPORT-346")</f>
        <v>HWKREPORT-346</v>
      </c>
      <c r="C3190" s="1" t="s">
        <v>4513</v>
      </c>
      <c r="D3190" s="1" t="s">
        <v>23</v>
      </c>
      <c r="E3190" s="1" t="s">
        <v>35</v>
      </c>
      <c r="F3190" s="4">
        <v>43958.81369212963</v>
      </c>
      <c r="G3190" s="3" t="str">
        <f>HYPERLINK("https://hawk-eye.atlassian.net/browse/RTT-2203?atlOrigin=eyJpIjoiYzgwYTQ0ZjEyNzQzNGJhN2JmNjEyZTM0NmRhZWZhNjIiLCJwIjoic2hlZXRzLWppcmEifQ","RTT-2203")</f>
        <v>RTT-2203</v>
      </c>
      <c r="H3190" s="1" t="s">
        <v>1058</v>
      </c>
      <c r="I3190" s="1" t="s">
        <v>1126</v>
      </c>
      <c r="J3190" s="1" t="s">
        <v>26</v>
      </c>
      <c r="K3190" s="1" t="s">
        <v>1545</v>
      </c>
      <c r="L3190" s="1" t="s">
        <v>26</v>
      </c>
      <c r="M3190" s="1" t="s">
        <v>27</v>
      </c>
      <c r="N3190" s="1" t="s">
        <v>26</v>
      </c>
      <c r="O3190" s="1" t="s">
        <v>26</v>
      </c>
      <c r="P3190" s="4">
        <v>44068.79736111111</v>
      </c>
    </row>
    <row r="3191" hidden="1">
      <c r="A3191" s="1" t="s">
        <v>21</v>
      </c>
      <c r="B3191" s="3" t="str">
        <f>HYPERLINK("https://hawk-eye.atlassian.net/browse/HWKREPORT-347?atlOrigin=eyJpIjoiYzgwYTQ0ZjEyNzQzNGJhN2JmNjEyZTM0NmRhZWZhNjIiLCJwIjoic2hlZXRzLWppcmEifQ","HWKREPORT-347")</f>
        <v>HWKREPORT-347</v>
      </c>
      <c r="C3191" s="1" t="s">
        <v>4514</v>
      </c>
      <c r="D3191" s="1" t="s">
        <v>23</v>
      </c>
      <c r="E3191" s="1" t="s">
        <v>35</v>
      </c>
      <c r="F3191" s="4">
        <v>43959.74851851852</v>
      </c>
      <c r="G3191" s="3" t="str">
        <f>HYPERLINK("https://hawk-eye.atlassian.net/browse/RTT-2199?atlOrigin=eyJpIjoiYzgwYTQ0ZjEyNzQzNGJhN2JmNjEyZTM0NmRhZWZhNjIiLCJwIjoic2hlZXRzLWppcmEifQ","RTT-2199")</f>
        <v>RTT-2199</v>
      </c>
      <c r="H3191" s="1" t="s">
        <v>1058</v>
      </c>
      <c r="I3191" s="1" t="s">
        <v>1071</v>
      </c>
      <c r="J3191" s="1" t="s">
        <v>26</v>
      </c>
      <c r="K3191" s="1" t="s">
        <v>1072</v>
      </c>
      <c r="L3191" s="1" t="s">
        <v>26</v>
      </c>
      <c r="M3191" s="1" t="s">
        <v>27</v>
      </c>
      <c r="N3191" s="1" t="s">
        <v>26</v>
      </c>
      <c r="O3191" s="1" t="s">
        <v>26</v>
      </c>
      <c r="P3191" s="4">
        <v>44090.41420138889</v>
      </c>
    </row>
    <row r="3192" hidden="1">
      <c r="A3192" s="1" t="s">
        <v>21</v>
      </c>
      <c r="B3192" s="3" t="str">
        <f>HYPERLINK("https://hawk-eye.atlassian.net/browse/HWKREPORT-348?atlOrigin=eyJpIjoiYzgwYTQ0ZjEyNzQzNGJhN2JmNjEyZTM0NmRhZWZhNjIiLCJwIjoic2hlZXRzLWppcmEifQ","HWKREPORT-348")</f>
        <v>HWKREPORT-348</v>
      </c>
      <c r="C3192" s="1" t="s">
        <v>4515</v>
      </c>
      <c r="D3192" s="1" t="s">
        <v>23</v>
      </c>
      <c r="E3192" s="1" t="s">
        <v>35</v>
      </c>
      <c r="F3192" s="4">
        <v>43962.77991898148</v>
      </c>
      <c r="G3192" s="3" t="str">
        <f>HYPERLINK("https://hawk-eye.atlassian.net/browse/RTT-2212?atlOrigin=eyJpIjoiYzgwYTQ0ZjEyNzQzNGJhN2JmNjEyZTM0NmRhZWZhNjIiLCJwIjoic2hlZXRzLWppcmEifQ","RTT-2212")</f>
        <v>RTT-2212</v>
      </c>
      <c r="H3192" s="1" t="s">
        <v>1058</v>
      </c>
      <c r="I3192" s="1" t="s">
        <v>1071</v>
      </c>
      <c r="J3192" s="1" t="s">
        <v>26</v>
      </c>
      <c r="K3192" s="1" t="s">
        <v>1072</v>
      </c>
      <c r="L3192" s="1" t="s">
        <v>26</v>
      </c>
      <c r="M3192" s="1" t="s">
        <v>27</v>
      </c>
      <c r="N3192" s="1" t="s">
        <v>26</v>
      </c>
      <c r="O3192" s="1" t="s">
        <v>26</v>
      </c>
      <c r="P3192" s="4">
        <v>44068.79751157408</v>
      </c>
    </row>
    <row r="3193" hidden="1">
      <c r="A3193" s="1" t="s">
        <v>21</v>
      </c>
      <c r="B3193" s="3" t="str">
        <f>HYPERLINK("https://hawk-eye.atlassian.net/browse/HWKREPORT-349?atlOrigin=eyJpIjoiYzgwYTQ0ZjEyNzQzNGJhN2JmNjEyZTM0NmRhZWZhNjIiLCJwIjoic2hlZXRzLWppcmEifQ","HWKREPORT-349")</f>
        <v>HWKREPORT-349</v>
      </c>
      <c r="C3193" s="1" t="s">
        <v>4516</v>
      </c>
      <c r="D3193" s="1" t="s">
        <v>23</v>
      </c>
      <c r="E3193" s="1" t="s">
        <v>35</v>
      </c>
      <c r="F3193" s="4">
        <v>43969.84501157407</v>
      </c>
      <c r="G3193" s="3" t="str">
        <f>HYPERLINK("https://hawk-eye.atlassian.net/browse/RTT-2245?atlOrigin=eyJpIjoiYzgwYTQ0ZjEyNzQzNGJhN2JmNjEyZTM0NmRhZWZhNjIiLCJwIjoic2hlZXRzLWppcmEifQ","RTT-2245")</f>
        <v>RTT-2245</v>
      </c>
      <c r="H3193" s="1" t="s">
        <v>1058</v>
      </c>
      <c r="I3193" s="1" t="s">
        <v>1071</v>
      </c>
      <c r="J3193" s="1" t="s">
        <v>26</v>
      </c>
      <c r="K3193" s="1" t="s">
        <v>1099</v>
      </c>
      <c r="L3193" s="1" t="s">
        <v>26</v>
      </c>
      <c r="M3193" s="1" t="s">
        <v>27</v>
      </c>
      <c r="N3193" s="1" t="s">
        <v>26</v>
      </c>
      <c r="O3193" s="1" t="s">
        <v>26</v>
      </c>
      <c r="P3193" s="4">
        <v>44068.79739583333</v>
      </c>
    </row>
    <row r="3194" hidden="1">
      <c r="A3194" s="1" t="s">
        <v>21</v>
      </c>
      <c r="B3194" s="3" t="str">
        <f>HYPERLINK("https://hawk-eye.atlassian.net/browse/HWKREPORT-350?atlOrigin=eyJpIjoiYzgwYTQ0ZjEyNzQzNGJhN2JmNjEyZTM0NmRhZWZhNjIiLCJwIjoic2hlZXRzLWppcmEifQ","HWKREPORT-350")</f>
        <v>HWKREPORT-350</v>
      </c>
      <c r="C3194" s="1" t="s">
        <v>4517</v>
      </c>
      <c r="D3194" s="1" t="s">
        <v>23</v>
      </c>
      <c r="E3194" s="1" t="s">
        <v>35</v>
      </c>
      <c r="F3194" s="4">
        <v>43970.76385416667</v>
      </c>
      <c r="G3194" s="3" t="str">
        <f>HYPERLINK("https://hawk-eye.atlassian.net/browse/RTT-2251?atlOrigin=eyJpIjoiYzgwYTQ0ZjEyNzQzNGJhN2JmNjEyZTM0NmRhZWZhNjIiLCJwIjoic2hlZXRzLWppcmEifQ","RTT-2251")</f>
        <v>RTT-2251</v>
      </c>
      <c r="H3194" s="1" t="s">
        <v>1058</v>
      </c>
      <c r="I3194" s="1" t="s">
        <v>1071</v>
      </c>
      <c r="J3194" s="1" t="s">
        <v>26</v>
      </c>
      <c r="K3194" s="1" t="s">
        <v>1099</v>
      </c>
      <c r="L3194" s="1" t="s">
        <v>26</v>
      </c>
      <c r="M3194" s="1" t="s">
        <v>27</v>
      </c>
      <c r="N3194" s="1" t="s">
        <v>26</v>
      </c>
      <c r="O3194" s="1" t="s">
        <v>26</v>
      </c>
      <c r="P3194" s="4">
        <v>44095.71424768519</v>
      </c>
    </row>
    <row r="3195" hidden="1">
      <c r="A3195" s="1" t="s">
        <v>21</v>
      </c>
      <c r="B3195" s="3" t="str">
        <f>HYPERLINK("https://hawk-eye.atlassian.net/browse/HWKREPORT-351?atlOrigin=eyJpIjoiYzgwYTQ0ZjEyNzQzNGJhN2JmNjEyZTM0NmRhZWZhNjIiLCJwIjoic2hlZXRzLWppcmEifQ","HWKREPORT-351")</f>
        <v>HWKREPORT-351</v>
      </c>
      <c r="C3195" s="1" t="s">
        <v>4518</v>
      </c>
      <c r="D3195" s="1" t="s">
        <v>23</v>
      </c>
      <c r="E3195" s="1" t="s">
        <v>35</v>
      </c>
      <c r="F3195" s="4">
        <v>43971.61966435185</v>
      </c>
      <c r="G3195" s="3" t="str">
        <f>HYPERLINK("https://hawk-eye.atlassian.net/browse/RTT-2259?atlOrigin=eyJpIjoiYzgwYTQ0ZjEyNzQzNGJhN2JmNjEyZTM0NmRhZWZhNjIiLCJwIjoic2hlZXRzLWppcmEifQ","RTT-2259")</f>
        <v>RTT-2259</v>
      </c>
      <c r="H3195" s="1" t="s">
        <v>1058</v>
      </c>
      <c r="I3195" s="1" t="s">
        <v>1071</v>
      </c>
      <c r="J3195" s="1" t="s">
        <v>26</v>
      </c>
      <c r="K3195" s="1" t="s">
        <v>1099</v>
      </c>
      <c r="L3195" s="1" t="s">
        <v>26</v>
      </c>
      <c r="M3195" s="1" t="s">
        <v>27</v>
      </c>
      <c r="N3195" s="1" t="s">
        <v>26</v>
      </c>
      <c r="O3195" s="1" t="s">
        <v>26</v>
      </c>
      <c r="P3195" s="4">
        <v>44090.41469907408</v>
      </c>
    </row>
    <row r="3196" hidden="1">
      <c r="A3196" s="1" t="s">
        <v>21</v>
      </c>
      <c r="B3196" s="3" t="str">
        <f>HYPERLINK("https://hawk-eye.atlassian.net/browse/HWKREPORT-352?atlOrigin=eyJpIjoiYzgwYTQ0ZjEyNzQzNGJhN2JmNjEyZTM0NmRhZWZhNjIiLCJwIjoic2hlZXRzLWppcmEifQ","HWKREPORT-352")</f>
        <v>HWKREPORT-352</v>
      </c>
      <c r="C3196" s="1" t="s">
        <v>4519</v>
      </c>
      <c r="D3196" s="1" t="s">
        <v>23</v>
      </c>
      <c r="E3196" s="1" t="s">
        <v>35</v>
      </c>
      <c r="F3196" s="4">
        <v>43972.75815972222</v>
      </c>
      <c r="G3196" s="3" t="str">
        <f>HYPERLINK("https://hawk-eye.atlassian.net/browse/?atlOrigin=eyJpIjoiYzgwYTQ0ZjEyNzQzNGJhN2JmNjEyZTM0NmRhZWZhNjIiLCJwIjoic2hlZXRzLWppcmEifQ","")</f>
        <v/>
      </c>
      <c r="H3196" s="1" t="s">
        <v>1058</v>
      </c>
      <c r="I3196" s="1" t="s">
        <v>1071</v>
      </c>
      <c r="J3196" s="1" t="s">
        <v>26</v>
      </c>
      <c r="K3196" s="1" t="s">
        <v>1134</v>
      </c>
      <c r="L3196" s="1" t="s">
        <v>26</v>
      </c>
      <c r="M3196" s="1" t="s">
        <v>27</v>
      </c>
      <c r="N3196" s="1" t="s">
        <v>26</v>
      </c>
      <c r="O3196" s="1" t="s">
        <v>26</v>
      </c>
      <c r="P3196" s="4">
        <v>44006.43016203704</v>
      </c>
    </row>
    <row r="3197" hidden="1">
      <c r="A3197" s="1" t="s">
        <v>1055</v>
      </c>
      <c r="B3197" s="3" t="str">
        <f>HYPERLINK("https://hawk-eye.atlassian.net/browse/HWKREPORT-353?atlOrigin=eyJpIjoiYzgwYTQ0ZjEyNzQzNGJhN2JmNjEyZTM0NmRhZWZhNjIiLCJwIjoic2hlZXRzLWppcmEifQ","HWKREPORT-353")</f>
        <v>HWKREPORT-353</v>
      </c>
      <c r="C3197" s="1" t="s">
        <v>4520</v>
      </c>
      <c r="D3197" s="1" t="s">
        <v>23</v>
      </c>
      <c r="E3197" s="1" t="s">
        <v>1207</v>
      </c>
      <c r="F3197" s="4">
        <v>43980.80401620371</v>
      </c>
      <c r="G3197" s="3" t="str">
        <f>HYPERLINK("https://hawk-eye.atlassian.net/browse/RTT-2296?atlOrigin=eyJpIjoiYzgwYTQ0ZjEyNzQzNGJhN2JmNjEyZTM0NmRhZWZhNjIiLCJwIjoic2hlZXRzLWppcmEifQ","RTT-2296")</f>
        <v>RTT-2296</v>
      </c>
      <c r="H3197" s="1" t="s">
        <v>1058</v>
      </c>
      <c r="I3197" s="1" t="s">
        <v>1071</v>
      </c>
      <c r="J3197" s="1" t="s">
        <v>26</v>
      </c>
      <c r="K3197" s="1" t="s">
        <v>1072</v>
      </c>
      <c r="L3197" s="1" t="s">
        <v>26</v>
      </c>
      <c r="M3197" s="1" t="s">
        <v>27</v>
      </c>
      <c r="N3197" s="1" t="s">
        <v>26</v>
      </c>
      <c r="O3197" s="1" t="s">
        <v>26</v>
      </c>
      <c r="P3197" s="4">
        <v>45022.30721064815</v>
      </c>
    </row>
    <row r="3198" hidden="1">
      <c r="A3198" s="1" t="s">
        <v>21</v>
      </c>
      <c r="B3198" s="3" t="str">
        <f>HYPERLINK("https://hawk-eye.atlassian.net/browse/HWKREPORT-354?atlOrigin=eyJpIjoiYzgwYTQ0ZjEyNzQzNGJhN2JmNjEyZTM0NmRhZWZhNjIiLCJwIjoic2hlZXRzLWppcmEifQ","HWKREPORT-354")</f>
        <v>HWKREPORT-354</v>
      </c>
      <c r="C3198" s="1" t="s">
        <v>4521</v>
      </c>
      <c r="D3198" s="1" t="s">
        <v>23</v>
      </c>
      <c r="E3198" s="1" t="s">
        <v>35</v>
      </c>
      <c r="F3198" s="4">
        <v>43980.80978009259</v>
      </c>
      <c r="G3198" s="3" t="str">
        <f>HYPERLINK("https://hawk-eye.atlassian.net/browse/RTT-2295?atlOrigin=eyJpIjoiYzgwYTQ0ZjEyNzQzNGJhN2JmNjEyZTM0NmRhZWZhNjIiLCJwIjoic2hlZXRzLWppcmEifQ","RTT-2295")</f>
        <v>RTT-2295</v>
      </c>
      <c r="H3198" s="1" t="s">
        <v>1058</v>
      </c>
      <c r="I3198" s="1" t="s">
        <v>1071</v>
      </c>
      <c r="J3198" s="1" t="s">
        <v>26</v>
      </c>
      <c r="K3198" s="1" t="s">
        <v>1099</v>
      </c>
      <c r="L3198" s="1" t="s">
        <v>26</v>
      </c>
      <c r="M3198" s="1" t="s">
        <v>27</v>
      </c>
      <c r="N3198" s="1" t="s">
        <v>26</v>
      </c>
      <c r="O3198" s="1" t="s">
        <v>26</v>
      </c>
      <c r="P3198" s="4">
        <v>44068.79754629629</v>
      </c>
    </row>
    <row r="3199" hidden="1">
      <c r="A3199" s="1" t="s">
        <v>21</v>
      </c>
      <c r="B3199" s="3" t="str">
        <f>HYPERLINK("https://hawk-eye.atlassian.net/browse/HWKREPORT-355?atlOrigin=eyJpIjoiYzgwYTQ0ZjEyNzQzNGJhN2JmNjEyZTM0NmRhZWZhNjIiLCJwIjoic2hlZXRzLWppcmEifQ","HWKREPORT-355")</f>
        <v>HWKREPORT-355</v>
      </c>
      <c r="C3199" s="1" t="s">
        <v>4522</v>
      </c>
      <c r="D3199" s="1" t="s">
        <v>23</v>
      </c>
      <c r="E3199" s="1" t="s">
        <v>35</v>
      </c>
      <c r="F3199" s="4">
        <v>43980.98217592593</v>
      </c>
      <c r="G3199" s="3" t="str">
        <f>HYPERLINK("https://hawk-eye.atlassian.net/browse/RTT-2294?atlOrigin=eyJpIjoiYzgwYTQ0ZjEyNzQzNGJhN2JmNjEyZTM0NmRhZWZhNjIiLCJwIjoic2hlZXRzLWppcmEifQ","RTT-2294")</f>
        <v>RTT-2294</v>
      </c>
      <c r="H3199" s="1" t="s">
        <v>1058</v>
      </c>
      <c r="I3199" s="1" t="s">
        <v>1071</v>
      </c>
      <c r="J3199" s="1" t="s">
        <v>26</v>
      </c>
      <c r="K3199" s="1" t="s">
        <v>1099</v>
      </c>
      <c r="L3199" s="1" t="s">
        <v>26</v>
      </c>
      <c r="M3199" s="1" t="s">
        <v>27</v>
      </c>
      <c r="N3199" s="1" t="s">
        <v>26</v>
      </c>
      <c r="O3199" s="1" t="s">
        <v>26</v>
      </c>
      <c r="P3199" s="4">
        <v>44068.797534722224</v>
      </c>
    </row>
    <row r="3200" hidden="1">
      <c r="A3200" s="1" t="s">
        <v>21</v>
      </c>
      <c r="B3200" s="3" t="str">
        <f>HYPERLINK("https://hawk-eye.atlassian.net/browse/HWKREPORT-356?atlOrigin=eyJpIjoiYzgwYTQ0ZjEyNzQzNGJhN2JmNjEyZTM0NmRhZWZhNjIiLCJwIjoic2hlZXRzLWppcmEifQ","HWKREPORT-356")</f>
        <v>HWKREPORT-356</v>
      </c>
      <c r="C3200" s="1" t="s">
        <v>4523</v>
      </c>
      <c r="D3200" s="1" t="s">
        <v>23</v>
      </c>
      <c r="E3200" s="1" t="s">
        <v>35</v>
      </c>
      <c r="F3200" s="4">
        <v>43980.99332175926</v>
      </c>
      <c r="G3200" s="3" t="str">
        <f>HYPERLINK("https://hawk-eye.atlassian.net/browse/RTT-2293?atlOrigin=eyJpIjoiYzgwYTQ0ZjEyNzQzNGJhN2JmNjEyZTM0NmRhZWZhNjIiLCJwIjoic2hlZXRzLWppcmEifQ","RTT-2293")</f>
        <v>RTT-2293</v>
      </c>
      <c r="H3200" s="1" t="s">
        <v>1058</v>
      </c>
      <c r="I3200" s="1" t="s">
        <v>1071</v>
      </c>
      <c r="J3200" s="1" t="s">
        <v>26</v>
      </c>
      <c r="K3200" s="1" t="s">
        <v>1072</v>
      </c>
      <c r="L3200" s="1" t="s">
        <v>26</v>
      </c>
      <c r="M3200" s="1" t="s">
        <v>27</v>
      </c>
      <c r="N3200" s="1" t="s">
        <v>26</v>
      </c>
      <c r="O3200" s="1" t="s">
        <v>26</v>
      </c>
      <c r="P3200" s="4">
        <v>44068.79729166667</v>
      </c>
    </row>
    <row r="3201" hidden="1">
      <c r="A3201" s="1" t="s">
        <v>1055</v>
      </c>
      <c r="B3201" s="3" t="str">
        <f>HYPERLINK("https://hawk-eye.atlassian.net/browse/HWKREPORT-357?atlOrigin=eyJpIjoiYzgwYTQ0ZjEyNzQzNGJhN2JmNjEyZTM0NmRhZWZhNjIiLCJwIjoic2hlZXRzLWppcmEifQ","HWKREPORT-357")</f>
        <v>HWKREPORT-357</v>
      </c>
      <c r="C3201" s="1" t="s">
        <v>4524</v>
      </c>
      <c r="D3201" s="1" t="s">
        <v>23</v>
      </c>
      <c r="E3201" s="1" t="s">
        <v>1057</v>
      </c>
      <c r="F3201" s="4">
        <v>43984.579189814816</v>
      </c>
      <c r="G3201" s="3" t="str">
        <f t="shared" ref="G3201:G3202" si="220">HYPERLINK("https://hawk-eye.atlassian.net/browse/?atlOrigin=eyJpIjoiYzgwYTQ0ZjEyNzQzNGJhN2JmNjEyZTM0NmRhZWZhNjIiLCJwIjoic2hlZXRzLWppcmEifQ","")</f>
        <v/>
      </c>
      <c r="H3201" s="1" t="s">
        <v>1058</v>
      </c>
      <c r="I3201" s="1" t="s">
        <v>1071</v>
      </c>
      <c r="J3201" s="1" t="s">
        <v>26</v>
      </c>
      <c r="K3201" s="1" t="s">
        <v>1762</v>
      </c>
      <c r="L3201" s="1" t="s">
        <v>26</v>
      </c>
      <c r="M3201" s="1" t="s">
        <v>27</v>
      </c>
      <c r="N3201" s="1" t="s">
        <v>26</v>
      </c>
      <c r="O3201" s="1" t="s">
        <v>26</v>
      </c>
      <c r="P3201" s="4">
        <v>43984.579189814816</v>
      </c>
    </row>
    <row r="3202" hidden="1">
      <c r="A3202" s="1" t="s">
        <v>1055</v>
      </c>
      <c r="B3202" s="3" t="str">
        <f>HYPERLINK("https://hawk-eye.atlassian.net/browse/HWKREPORT-158?atlOrigin=eyJpIjoiYzgwYTQ0ZjEyNzQzNGJhN2JmNjEyZTM0NmRhZWZhNjIiLCJwIjoic2hlZXRzLWppcmEifQ","HWKREPORT-158")</f>
        <v>HWKREPORT-158</v>
      </c>
      <c r="C3202" s="1" t="s">
        <v>4525</v>
      </c>
      <c r="D3202" s="1" t="s">
        <v>23</v>
      </c>
      <c r="E3202" s="1" t="s">
        <v>35</v>
      </c>
      <c r="F3202" s="4">
        <v>43613.699583333335</v>
      </c>
      <c r="G3202" s="3" t="str">
        <f t="shared" si="220"/>
        <v/>
      </c>
      <c r="H3202" s="1" t="s">
        <v>1058</v>
      </c>
      <c r="I3202" s="1" t="s">
        <v>1071</v>
      </c>
      <c r="J3202" s="1" t="s">
        <v>26</v>
      </c>
      <c r="K3202" s="1" t="s">
        <v>26</v>
      </c>
      <c r="L3202" s="1" t="s">
        <v>26</v>
      </c>
      <c r="M3202" s="1" t="s">
        <v>27</v>
      </c>
      <c r="N3202" s="1" t="s">
        <v>26</v>
      </c>
      <c r="O3202" s="1" t="s">
        <v>26</v>
      </c>
      <c r="P3202" s="4">
        <v>43672.63825231481</v>
      </c>
    </row>
    <row r="3203" hidden="1">
      <c r="A3203" s="1" t="s">
        <v>1055</v>
      </c>
      <c r="B3203" s="3" t="str">
        <f>HYPERLINK("https://hawk-eye.atlassian.net/browse/HWKREPORT-159?atlOrigin=eyJpIjoiYzgwYTQ0ZjEyNzQzNGJhN2JmNjEyZTM0NmRhZWZhNjIiLCJwIjoic2hlZXRzLWppcmEifQ","HWKREPORT-159")</f>
        <v>HWKREPORT-159</v>
      </c>
      <c r="C3203" s="1" t="s">
        <v>4526</v>
      </c>
      <c r="D3203" s="1" t="s">
        <v>23</v>
      </c>
      <c r="E3203" s="1" t="s">
        <v>35</v>
      </c>
      <c r="F3203" s="4">
        <v>43613.70065972222</v>
      </c>
      <c r="G3203" s="3" t="str">
        <f>HYPERLINK("https://hawk-eye.atlassian.net/browse/RTT-954?atlOrigin=eyJpIjoiYzgwYTQ0ZjEyNzQzNGJhN2JmNjEyZTM0NmRhZWZhNjIiLCJwIjoic2hlZXRzLWppcmEifQ","RTT-954")</f>
        <v>RTT-954</v>
      </c>
      <c r="H3203" s="1" t="s">
        <v>1058</v>
      </c>
      <c r="I3203" s="1" t="s">
        <v>1071</v>
      </c>
      <c r="J3203" s="1" t="s">
        <v>26</v>
      </c>
      <c r="K3203" s="1" t="s">
        <v>26</v>
      </c>
      <c r="L3203" s="1" t="s">
        <v>26</v>
      </c>
      <c r="M3203" s="1" t="s">
        <v>27</v>
      </c>
      <c r="N3203" s="1" t="s">
        <v>26</v>
      </c>
      <c r="O3203" s="1" t="s">
        <v>26</v>
      </c>
      <c r="P3203" s="4">
        <v>43684.51210648148</v>
      </c>
    </row>
    <row r="3204" hidden="1">
      <c r="A3204" s="1" t="s">
        <v>1055</v>
      </c>
      <c r="B3204" s="3" t="str">
        <f>HYPERLINK("https://hawk-eye.atlassian.net/browse/HWKREPORT-160?atlOrigin=eyJpIjoiYzgwYTQ0ZjEyNzQzNGJhN2JmNjEyZTM0NmRhZWZhNjIiLCJwIjoic2hlZXRzLWppcmEifQ","HWKREPORT-160")</f>
        <v>HWKREPORT-160</v>
      </c>
      <c r="C3204" s="1" t="s">
        <v>4527</v>
      </c>
      <c r="D3204" s="1" t="s">
        <v>23</v>
      </c>
      <c r="E3204" s="1" t="s">
        <v>35</v>
      </c>
      <c r="F3204" s="4">
        <v>43613.701215277775</v>
      </c>
      <c r="G3204" s="3" t="str">
        <f>HYPERLINK("https://hawk-eye.atlassian.net/browse/RTT-950?atlOrigin=eyJpIjoiYzgwYTQ0ZjEyNzQzNGJhN2JmNjEyZTM0NmRhZWZhNjIiLCJwIjoic2hlZXRzLWppcmEifQ","RTT-950")</f>
        <v>RTT-950</v>
      </c>
      <c r="H3204" s="1" t="s">
        <v>1058</v>
      </c>
      <c r="I3204" s="1" t="s">
        <v>1071</v>
      </c>
      <c r="J3204" s="1" t="s">
        <v>26</v>
      </c>
      <c r="K3204" s="1" t="s">
        <v>1362</v>
      </c>
      <c r="L3204" s="1" t="s">
        <v>26</v>
      </c>
      <c r="M3204" s="1" t="s">
        <v>27</v>
      </c>
      <c r="N3204" s="1" t="s">
        <v>26</v>
      </c>
      <c r="O3204" s="1" t="s">
        <v>26</v>
      </c>
      <c r="P3204" s="4">
        <v>44172.46780092592</v>
      </c>
    </row>
    <row r="3205" hidden="1">
      <c r="A3205" s="1" t="s">
        <v>1055</v>
      </c>
      <c r="B3205" s="3" t="str">
        <f>HYPERLINK("https://hawk-eye.atlassian.net/browse/HWKREPORT-161?atlOrigin=eyJpIjoiYzgwYTQ0ZjEyNzQzNGJhN2JmNjEyZTM0NmRhZWZhNjIiLCJwIjoic2hlZXRzLWppcmEifQ","HWKREPORT-161")</f>
        <v>HWKREPORT-161</v>
      </c>
      <c r="C3205" s="1" t="s">
        <v>4528</v>
      </c>
      <c r="D3205" s="1" t="s">
        <v>23</v>
      </c>
      <c r="E3205" s="1" t="s">
        <v>35</v>
      </c>
      <c r="F3205" s="4">
        <v>43613.70212962963</v>
      </c>
      <c r="G3205" s="3" t="str">
        <f>HYPERLINK("https://hawk-eye.atlassian.net/browse/?atlOrigin=eyJpIjoiYzgwYTQ0ZjEyNzQzNGJhN2JmNjEyZTM0NmRhZWZhNjIiLCJwIjoic2hlZXRzLWppcmEifQ","")</f>
        <v/>
      </c>
      <c r="H3205" s="1" t="s">
        <v>1058</v>
      </c>
      <c r="I3205" s="1" t="s">
        <v>1071</v>
      </c>
      <c r="J3205" s="1" t="s">
        <v>26</v>
      </c>
      <c r="K3205" s="1" t="s">
        <v>2111</v>
      </c>
      <c r="L3205" s="1" t="s">
        <v>26</v>
      </c>
      <c r="M3205" s="1" t="s">
        <v>27</v>
      </c>
      <c r="N3205" s="1" t="s">
        <v>26</v>
      </c>
      <c r="O3205" s="1" t="s">
        <v>26</v>
      </c>
      <c r="P3205" s="4">
        <v>43923.50950231482</v>
      </c>
    </row>
    <row r="3206" hidden="1">
      <c r="A3206" s="1" t="s">
        <v>1055</v>
      </c>
      <c r="B3206" s="3" t="str">
        <f>HYPERLINK("https://hawk-eye.atlassian.net/browse/HWKREPORT-162?atlOrigin=eyJpIjoiYzgwYTQ0ZjEyNzQzNGJhN2JmNjEyZTM0NmRhZWZhNjIiLCJwIjoic2hlZXRzLWppcmEifQ","HWKREPORT-162")</f>
        <v>HWKREPORT-162</v>
      </c>
      <c r="C3206" s="1" t="s">
        <v>4529</v>
      </c>
      <c r="D3206" s="1" t="s">
        <v>23</v>
      </c>
      <c r="E3206" s="1" t="s">
        <v>35</v>
      </c>
      <c r="F3206" s="4">
        <v>43614.65997685185</v>
      </c>
      <c r="G3206" s="3" t="str">
        <f>HYPERLINK("https://hawk-eye.atlassian.net/browse/RTT-954?atlOrigin=eyJpIjoiYzgwYTQ0ZjEyNzQzNGJhN2JmNjEyZTM0NmRhZWZhNjIiLCJwIjoic2hlZXRzLWppcmEifQ","RTT-954")</f>
        <v>RTT-954</v>
      </c>
      <c r="H3206" s="1" t="s">
        <v>1058</v>
      </c>
      <c r="I3206" s="1" t="s">
        <v>1071</v>
      </c>
      <c r="J3206" s="1" t="s">
        <v>26</v>
      </c>
      <c r="K3206" s="1" t="s">
        <v>1362</v>
      </c>
      <c r="L3206" s="1" t="s">
        <v>26</v>
      </c>
      <c r="M3206" s="1" t="s">
        <v>27</v>
      </c>
      <c r="N3206" s="1" t="s">
        <v>26</v>
      </c>
      <c r="O3206" s="1" t="s">
        <v>26</v>
      </c>
      <c r="P3206" s="4">
        <v>44068.797268518516</v>
      </c>
    </row>
    <row r="3207" hidden="1">
      <c r="A3207" s="1" t="s">
        <v>1055</v>
      </c>
      <c r="B3207" s="3" t="str">
        <f>HYPERLINK("https://hawk-eye.atlassian.net/browse/HWKREPORT-163?atlOrigin=eyJpIjoiYzgwYTQ0ZjEyNzQzNGJhN2JmNjEyZTM0NmRhZWZhNjIiLCJwIjoic2hlZXRzLWppcmEifQ","HWKREPORT-163")</f>
        <v>HWKREPORT-163</v>
      </c>
      <c r="C3207" s="1" t="s">
        <v>4530</v>
      </c>
      <c r="D3207" s="1" t="s">
        <v>23</v>
      </c>
      <c r="E3207" s="1" t="s">
        <v>35</v>
      </c>
      <c r="F3207" s="4">
        <v>43614.66893518518</v>
      </c>
      <c r="G3207" s="3" t="str">
        <f>HYPERLINK("https://hawk-eye.atlassian.net/browse/RTT-1470?atlOrigin=eyJpIjoiYzgwYTQ0ZjEyNzQzNGJhN2JmNjEyZTM0NmRhZWZhNjIiLCJwIjoic2hlZXRzLWppcmEifQ","RTT-1470")</f>
        <v>RTT-1470</v>
      </c>
      <c r="H3207" s="1" t="s">
        <v>1058</v>
      </c>
      <c r="I3207" s="1" t="s">
        <v>1071</v>
      </c>
      <c r="J3207" s="1" t="s">
        <v>26</v>
      </c>
      <c r="K3207" s="1" t="s">
        <v>26</v>
      </c>
      <c r="L3207" s="1" t="s">
        <v>26</v>
      </c>
      <c r="M3207" s="1" t="s">
        <v>27</v>
      </c>
      <c r="N3207" s="1" t="s">
        <v>26</v>
      </c>
      <c r="O3207" s="1" t="s">
        <v>26</v>
      </c>
      <c r="P3207" s="4">
        <v>44172.467361111114</v>
      </c>
    </row>
    <row r="3208" hidden="1">
      <c r="A3208" s="1" t="s">
        <v>1055</v>
      </c>
      <c r="B3208" s="3" t="str">
        <f>HYPERLINK("https://hawk-eye.atlassian.net/browse/HWKREPORT-164?atlOrigin=eyJpIjoiYzgwYTQ0ZjEyNzQzNGJhN2JmNjEyZTM0NmRhZWZhNjIiLCJwIjoic2hlZXRzLWppcmEifQ","HWKREPORT-164")</f>
        <v>HWKREPORT-164</v>
      </c>
      <c r="C3208" s="1" t="s">
        <v>4531</v>
      </c>
      <c r="D3208" s="1" t="s">
        <v>23</v>
      </c>
      <c r="E3208" s="1" t="s">
        <v>35</v>
      </c>
      <c r="F3208" s="4">
        <v>43616.62520833333</v>
      </c>
      <c r="G3208" s="3" t="str">
        <f>HYPERLINK("https://hawk-eye.atlassian.net/browse/RTT-963?atlOrigin=eyJpIjoiYzgwYTQ0ZjEyNzQzNGJhN2JmNjEyZTM0NmRhZWZhNjIiLCJwIjoic2hlZXRzLWppcmEifQ","RTT-963")</f>
        <v>RTT-963</v>
      </c>
      <c r="H3208" s="1" t="s">
        <v>1058</v>
      </c>
      <c r="I3208" s="1" t="s">
        <v>1071</v>
      </c>
      <c r="J3208" s="1" t="s">
        <v>26</v>
      </c>
      <c r="K3208" s="1" t="s">
        <v>1362</v>
      </c>
      <c r="L3208" s="1" t="s">
        <v>26</v>
      </c>
      <c r="M3208" s="1" t="s">
        <v>27</v>
      </c>
      <c r="N3208" s="1" t="s">
        <v>26</v>
      </c>
      <c r="O3208" s="1" t="s">
        <v>26</v>
      </c>
      <c r="P3208" s="4">
        <v>44068.797268518516</v>
      </c>
    </row>
    <row r="3209" hidden="1">
      <c r="A3209" s="1" t="s">
        <v>21</v>
      </c>
      <c r="B3209" s="3" t="str">
        <f>HYPERLINK("https://hawk-eye.atlassian.net/browse/HWKREPORT-165?atlOrigin=eyJpIjoiYzgwYTQ0ZjEyNzQzNGJhN2JmNjEyZTM0NmRhZWZhNjIiLCJwIjoic2hlZXRzLWppcmEifQ","HWKREPORT-165")</f>
        <v>HWKREPORT-165</v>
      </c>
      <c r="C3209" s="1" t="s">
        <v>4532</v>
      </c>
      <c r="D3209" s="1" t="s">
        <v>23</v>
      </c>
      <c r="E3209" s="1" t="s">
        <v>35</v>
      </c>
      <c r="F3209" s="4">
        <v>43616.92979166667</v>
      </c>
      <c r="G3209" s="3" t="str">
        <f>HYPERLINK("https://hawk-eye.atlassian.net/browse/RTT-948?atlOrigin=eyJpIjoiYzgwYTQ0ZjEyNzQzNGJhN2JmNjEyZTM0NmRhZWZhNjIiLCJwIjoic2hlZXRzLWppcmEifQ","RTT-948")</f>
        <v>RTT-948</v>
      </c>
      <c r="H3209" s="1" t="s">
        <v>1058</v>
      </c>
      <c r="I3209" s="1" t="s">
        <v>1071</v>
      </c>
      <c r="J3209" s="1" t="s">
        <v>26</v>
      </c>
      <c r="K3209" s="1" t="s">
        <v>1362</v>
      </c>
      <c r="L3209" s="1" t="s">
        <v>26</v>
      </c>
      <c r="M3209" s="1" t="s">
        <v>27</v>
      </c>
      <c r="N3209" s="1" t="s">
        <v>26</v>
      </c>
      <c r="O3209" s="1" t="s">
        <v>26</v>
      </c>
      <c r="P3209" s="4">
        <v>43618.61515046296</v>
      </c>
    </row>
    <row r="3210" hidden="1">
      <c r="A3210" s="1" t="s">
        <v>21</v>
      </c>
      <c r="B3210" s="3" t="str">
        <f>HYPERLINK("https://hawk-eye.atlassian.net/browse/HWKREPORT-166?atlOrigin=eyJpIjoiYzgwYTQ0ZjEyNzQzNGJhN2JmNjEyZTM0NmRhZWZhNjIiLCJwIjoic2hlZXRzLWppcmEifQ","HWKREPORT-166")</f>
        <v>HWKREPORT-166</v>
      </c>
      <c r="C3210" s="1" t="s">
        <v>4533</v>
      </c>
      <c r="D3210" s="1" t="s">
        <v>23</v>
      </c>
      <c r="E3210" s="1" t="s">
        <v>1057</v>
      </c>
      <c r="F3210" s="4">
        <v>43620.73805555556</v>
      </c>
      <c r="G3210" s="3" t="str">
        <f t="shared" ref="G3210:G3216" si="221">HYPERLINK("https://hawk-eye.atlassian.net/browse/?atlOrigin=eyJpIjoiYzgwYTQ0ZjEyNzQzNGJhN2JmNjEyZTM0NmRhZWZhNjIiLCJwIjoic2hlZXRzLWppcmEifQ","")</f>
        <v/>
      </c>
      <c r="H3210" s="1" t="s">
        <v>1058</v>
      </c>
      <c r="I3210" s="1" t="s">
        <v>1085</v>
      </c>
      <c r="J3210" s="1" t="s">
        <v>26</v>
      </c>
      <c r="K3210" s="1" t="s">
        <v>4534</v>
      </c>
      <c r="L3210" s="1" t="s">
        <v>26</v>
      </c>
      <c r="M3210" s="1" t="s">
        <v>27</v>
      </c>
      <c r="N3210" s="1" t="s">
        <v>26</v>
      </c>
      <c r="O3210" s="1" t="s">
        <v>26</v>
      </c>
      <c r="P3210" s="4">
        <v>43620.73805555556</v>
      </c>
    </row>
    <row r="3211" hidden="1">
      <c r="A3211" s="1" t="s">
        <v>21</v>
      </c>
      <c r="B3211" s="3" t="str">
        <f>HYPERLINK("https://hawk-eye.atlassian.net/browse/HWKREPORT-167?atlOrigin=eyJpIjoiYzgwYTQ0ZjEyNzQzNGJhN2JmNjEyZTM0NmRhZWZhNjIiLCJwIjoic2hlZXRzLWppcmEifQ","HWKREPORT-167")</f>
        <v>HWKREPORT-167</v>
      </c>
      <c r="C3211" s="1" t="s">
        <v>4535</v>
      </c>
      <c r="D3211" s="1" t="s">
        <v>23</v>
      </c>
      <c r="E3211" s="1" t="s">
        <v>1057</v>
      </c>
      <c r="F3211" s="4">
        <v>43620.744375</v>
      </c>
      <c r="G3211" s="3" t="str">
        <f t="shared" si="221"/>
        <v/>
      </c>
      <c r="H3211" s="1" t="s">
        <v>1058</v>
      </c>
      <c r="I3211" s="1" t="s">
        <v>1085</v>
      </c>
      <c r="J3211" s="1" t="s">
        <v>26</v>
      </c>
      <c r="K3211" s="1" t="s">
        <v>4534</v>
      </c>
      <c r="L3211" s="1" t="s">
        <v>26</v>
      </c>
      <c r="M3211" s="1" t="s">
        <v>27</v>
      </c>
      <c r="N3211" s="1" t="s">
        <v>26</v>
      </c>
      <c r="O3211" s="1" t="s">
        <v>26</v>
      </c>
      <c r="P3211" s="4">
        <v>43620.74438657407</v>
      </c>
    </row>
    <row r="3212" hidden="1">
      <c r="A3212" s="1" t="s">
        <v>21</v>
      </c>
      <c r="B3212" s="3" t="str">
        <f>HYPERLINK("https://hawk-eye.atlassian.net/browse/HWKREPORT-168?atlOrigin=eyJpIjoiYzgwYTQ0ZjEyNzQzNGJhN2JmNjEyZTM0NmRhZWZhNjIiLCJwIjoic2hlZXRzLWppcmEifQ","HWKREPORT-168")</f>
        <v>HWKREPORT-168</v>
      </c>
      <c r="C3212" s="1" t="s">
        <v>4536</v>
      </c>
      <c r="D3212" s="1" t="s">
        <v>23</v>
      </c>
      <c r="E3212" s="1" t="s">
        <v>1057</v>
      </c>
      <c r="F3212" s="4">
        <v>43621.6675</v>
      </c>
      <c r="G3212" s="3" t="str">
        <f t="shared" si="221"/>
        <v/>
      </c>
      <c r="H3212" s="1" t="s">
        <v>1058</v>
      </c>
      <c r="I3212" s="1" t="s">
        <v>1085</v>
      </c>
      <c r="J3212" s="1" t="s">
        <v>26</v>
      </c>
      <c r="K3212" s="1" t="s">
        <v>4534</v>
      </c>
      <c r="L3212" s="1" t="s">
        <v>26</v>
      </c>
      <c r="M3212" s="1" t="s">
        <v>27</v>
      </c>
      <c r="N3212" s="1" t="s">
        <v>26</v>
      </c>
      <c r="O3212" s="1" t="s">
        <v>26</v>
      </c>
      <c r="P3212" s="4">
        <v>43621.6675</v>
      </c>
    </row>
    <row r="3213" hidden="1">
      <c r="A3213" s="1" t="s">
        <v>21</v>
      </c>
      <c r="B3213" s="3" t="str">
        <f>HYPERLINK("https://hawk-eye.atlassian.net/browse/HWKREPORT-169?atlOrigin=eyJpIjoiYzgwYTQ0ZjEyNzQzNGJhN2JmNjEyZTM0NmRhZWZhNjIiLCJwIjoic2hlZXRzLWppcmEifQ","HWKREPORT-169")</f>
        <v>HWKREPORT-169</v>
      </c>
      <c r="C3213" s="1" t="s">
        <v>4537</v>
      </c>
      <c r="D3213" s="1" t="s">
        <v>23</v>
      </c>
      <c r="E3213" s="1" t="s">
        <v>35</v>
      </c>
      <c r="F3213" s="4">
        <v>43621.69510416667</v>
      </c>
      <c r="G3213" s="3" t="str">
        <f t="shared" si="221"/>
        <v/>
      </c>
      <c r="H3213" s="1" t="s">
        <v>1058</v>
      </c>
      <c r="I3213" s="1" t="s">
        <v>1085</v>
      </c>
      <c r="J3213" s="1" t="s">
        <v>26</v>
      </c>
      <c r="K3213" s="1" t="s">
        <v>1925</v>
      </c>
      <c r="L3213" s="1" t="s">
        <v>26</v>
      </c>
      <c r="M3213" s="1" t="s">
        <v>27</v>
      </c>
      <c r="N3213" s="1" t="s">
        <v>26</v>
      </c>
      <c r="O3213" s="1" t="s">
        <v>26</v>
      </c>
      <c r="P3213" s="4">
        <v>45090.481770833336</v>
      </c>
    </row>
    <row r="3214" hidden="1">
      <c r="A3214" s="1" t="s">
        <v>21</v>
      </c>
      <c r="B3214" s="3" t="str">
        <f>HYPERLINK("https://hawk-eye.atlassian.net/browse/HWKREPORT-170?atlOrigin=eyJpIjoiYzgwYTQ0ZjEyNzQzNGJhN2JmNjEyZTM0NmRhZWZhNjIiLCJwIjoic2hlZXRzLWppcmEifQ","HWKREPORT-170")</f>
        <v>HWKREPORT-170</v>
      </c>
      <c r="C3214" s="1" t="s">
        <v>4538</v>
      </c>
      <c r="D3214" s="1" t="s">
        <v>23</v>
      </c>
      <c r="E3214" s="1" t="s">
        <v>35</v>
      </c>
      <c r="F3214" s="4">
        <v>43621.701469907406</v>
      </c>
      <c r="G3214" s="3" t="str">
        <f t="shared" si="221"/>
        <v/>
      </c>
      <c r="H3214" s="1" t="s">
        <v>1058</v>
      </c>
      <c r="I3214" s="1" t="s">
        <v>1085</v>
      </c>
      <c r="J3214" s="1" t="s">
        <v>26</v>
      </c>
      <c r="K3214" s="1" t="s">
        <v>1925</v>
      </c>
      <c r="L3214" s="1" t="s">
        <v>26</v>
      </c>
      <c r="M3214" s="1" t="s">
        <v>27</v>
      </c>
      <c r="N3214" s="1" t="s">
        <v>26</v>
      </c>
      <c r="O3214" s="1" t="s">
        <v>26</v>
      </c>
      <c r="P3214" s="4">
        <v>45090.48196759259</v>
      </c>
    </row>
    <row r="3215" hidden="1">
      <c r="A3215" s="1" t="s">
        <v>21</v>
      </c>
      <c r="B3215" s="3" t="str">
        <f>HYPERLINK("https://hawk-eye.atlassian.net/browse/HWKREPORT-171?atlOrigin=eyJpIjoiYzgwYTQ0ZjEyNzQzNGJhN2JmNjEyZTM0NmRhZWZhNjIiLCJwIjoic2hlZXRzLWppcmEifQ","HWKREPORT-171")</f>
        <v>HWKREPORT-171</v>
      </c>
      <c r="C3215" s="1" t="s">
        <v>4539</v>
      </c>
      <c r="D3215" s="1" t="s">
        <v>23</v>
      </c>
      <c r="E3215" s="1" t="s">
        <v>35</v>
      </c>
      <c r="F3215" s="4">
        <v>43621.70400462963</v>
      </c>
      <c r="G3215" s="3" t="str">
        <f t="shared" si="221"/>
        <v/>
      </c>
      <c r="H3215" s="1" t="s">
        <v>1058</v>
      </c>
      <c r="I3215" s="1" t="s">
        <v>1085</v>
      </c>
      <c r="J3215" s="1" t="s">
        <v>26</v>
      </c>
      <c r="K3215" s="1" t="s">
        <v>1925</v>
      </c>
      <c r="L3215" s="1" t="s">
        <v>26</v>
      </c>
      <c r="M3215" s="1" t="s">
        <v>27</v>
      </c>
      <c r="N3215" s="1" t="s">
        <v>26</v>
      </c>
      <c r="O3215" s="1" t="s">
        <v>26</v>
      </c>
      <c r="P3215" s="4">
        <v>45090.48212962963</v>
      </c>
    </row>
    <row r="3216" hidden="1">
      <c r="A3216" s="1" t="s">
        <v>21</v>
      </c>
      <c r="B3216" s="3" t="str">
        <f>HYPERLINK("https://hawk-eye.atlassian.net/browse/HWKREPORT-172?atlOrigin=eyJpIjoiYzgwYTQ0ZjEyNzQzNGJhN2JmNjEyZTM0NmRhZWZhNjIiLCJwIjoic2hlZXRzLWppcmEifQ","HWKREPORT-172")</f>
        <v>HWKREPORT-172</v>
      </c>
      <c r="C3216" s="1" t="s">
        <v>4540</v>
      </c>
      <c r="D3216" s="1" t="s">
        <v>23</v>
      </c>
      <c r="E3216" s="1" t="s">
        <v>1057</v>
      </c>
      <c r="F3216" s="4">
        <v>43621.707349537035</v>
      </c>
      <c r="G3216" s="3" t="str">
        <f t="shared" si="221"/>
        <v/>
      </c>
      <c r="H3216" s="1" t="s">
        <v>1058</v>
      </c>
      <c r="I3216" s="1" t="s">
        <v>1085</v>
      </c>
      <c r="J3216" s="1" t="s">
        <v>26</v>
      </c>
      <c r="K3216" s="1" t="s">
        <v>4534</v>
      </c>
      <c r="L3216" s="1" t="s">
        <v>26</v>
      </c>
      <c r="M3216" s="1" t="s">
        <v>27</v>
      </c>
      <c r="N3216" s="1" t="s">
        <v>26</v>
      </c>
      <c r="O3216" s="1" t="s">
        <v>26</v>
      </c>
      <c r="P3216" s="4">
        <v>43621.707349537035</v>
      </c>
    </row>
    <row r="3217" hidden="1">
      <c r="A3217" s="1" t="s">
        <v>21</v>
      </c>
      <c r="B3217" s="3" t="str">
        <f>HYPERLINK("https://hawk-eye.atlassian.net/browse/HWKREPORT-173?atlOrigin=eyJpIjoiYzgwYTQ0ZjEyNzQzNGJhN2JmNjEyZTM0NmRhZWZhNjIiLCJwIjoic2hlZXRzLWppcmEifQ","HWKREPORT-173")</f>
        <v>HWKREPORT-173</v>
      </c>
      <c r="C3217" s="1" t="s">
        <v>4541</v>
      </c>
      <c r="D3217" s="1" t="s">
        <v>34</v>
      </c>
      <c r="E3217" s="1" t="s">
        <v>35</v>
      </c>
      <c r="F3217" s="4">
        <v>43622.575694444444</v>
      </c>
      <c r="G3217" s="3" t="str">
        <f>HYPERLINK("https://hawk-eye.atlassian.net/browse/TDS-995?atlOrigin=eyJpIjoiYzgwYTQ0ZjEyNzQzNGJhN2JmNjEyZTM0NmRhZWZhNjIiLCJwIjoic2hlZXRzLWppcmEifQ","TDS-995")</f>
        <v>TDS-995</v>
      </c>
      <c r="H3217" s="1" t="s">
        <v>1058</v>
      </c>
      <c r="I3217" s="1" t="s">
        <v>1126</v>
      </c>
      <c r="J3217" s="1" t="s">
        <v>26</v>
      </c>
      <c r="K3217" s="1" t="s">
        <v>4424</v>
      </c>
      <c r="L3217" s="1" t="s">
        <v>26</v>
      </c>
      <c r="M3217" s="1" t="s">
        <v>27</v>
      </c>
      <c r="N3217" s="1" t="s">
        <v>26</v>
      </c>
      <c r="O3217" s="1" t="s">
        <v>26</v>
      </c>
      <c r="P3217" s="4">
        <v>43804.4865625</v>
      </c>
    </row>
    <row r="3218" hidden="1">
      <c r="A3218" s="1" t="s">
        <v>21</v>
      </c>
      <c r="B3218" s="3" t="str">
        <f>HYPERLINK("https://hawk-eye.atlassian.net/browse/HWKREPORT-174?atlOrigin=eyJpIjoiYzgwYTQ0ZjEyNzQzNGJhN2JmNjEyZTM0NmRhZWZhNjIiLCJwIjoic2hlZXRzLWppcmEifQ","HWKREPORT-174")</f>
        <v>HWKREPORT-174</v>
      </c>
      <c r="C3218" s="1" t="s">
        <v>4542</v>
      </c>
      <c r="D3218" s="1" t="s">
        <v>34</v>
      </c>
      <c r="E3218" s="1" t="s">
        <v>35</v>
      </c>
      <c r="F3218" s="4">
        <v>43623.71099537037</v>
      </c>
      <c r="G3218" s="3" t="str">
        <f>HYPERLINK("https://hawk-eye.atlassian.net/browse/RTT-986?atlOrigin=eyJpIjoiYzgwYTQ0ZjEyNzQzNGJhN2JmNjEyZTM0NmRhZWZhNjIiLCJwIjoic2hlZXRzLWppcmEifQ","RTT-986")</f>
        <v>RTT-986</v>
      </c>
      <c r="H3218" s="1" t="s">
        <v>1058</v>
      </c>
      <c r="I3218" s="1" t="s">
        <v>1071</v>
      </c>
      <c r="J3218" s="1" t="s">
        <v>26</v>
      </c>
      <c r="K3218" s="1" t="s">
        <v>1362</v>
      </c>
      <c r="L3218" s="1" t="s">
        <v>26</v>
      </c>
      <c r="M3218" s="1" t="s">
        <v>27</v>
      </c>
      <c r="N3218" s="1" t="s">
        <v>26</v>
      </c>
      <c r="O3218" s="1" t="s">
        <v>26</v>
      </c>
      <c r="P3218" s="4">
        <v>44068.79738425926</v>
      </c>
    </row>
    <row r="3219" hidden="1">
      <c r="A3219" s="1" t="s">
        <v>21</v>
      </c>
      <c r="B3219" s="3" t="str">
        <f>HYPERLINK("https://hawk-eye.atlassian.net/browse/HWKREPORT-175?atlOrigin=eyJpIjoiYzgwYTQ0ZjEyNzQzNGJhN2JmNjEyZTM0NmRhZWZhNjIiLCJwIjoic2hlZXRzLWppcmEifQ","HWKREPORT-175")</f>
        <v>HWKREPORT-175</v>
      </c>
      <c r="C3219" s="1" t="s">
        <v>4543</v>
      </c>
      <c r="D3219" s="1" t="s">
        <v>23</v>
      </c>
      <c r="E3219" s="1" t="s">
        <v>35</v>
      </c>
      <c r="F3219" s="4">
        <v>43626.40456018518</v>
      </c>
      <c r="G3219" s="3" t="str">
        <f t="shared" ref="G3219:G3220" si="222">HYPERLINK("https://hawk-eye.atlassian.net/browse/?atlOrigin=eyJpIjoiYzgwYTQ0ZjEyNzQzNGJhN2JmNjEyZTM0NmRhZWZhNjIiLCJwIjoic2hlZXRzLWppcmEifQ","")</f>
        <v/>
      </c>
      <c r="H3219" s="1" t="s">
        <v>1058</v>
      </c>
      <c r="I3219" s="1" t="s">
        <v>1085</v>
      </c>
      <c r="J3219" s="1" t="s">
        <v>26</v>
      </c>
      <c r="K3219" s="1" t="s">
        <v>1925</v>
      </c>
      <c r="L3219" s="1" t="s">
        <v>26</v>
      </c>
      <c r="M3219" s="1" t="s">
        <v>27</v>
      </c>
      <c r="N3219" s="1" t="s">
        <v>26</v>
      </c>
      <c r="O3219" s="1" t="s">
        <v>26</v>
      </c>
      <c r="P3219" s="4">
        <v>45216.36981481482</v>
      </c>
    </row>
    <row r="3220" hidden="1">
      <c r="A3220" s="1" t="s">
        <v>21</v>
      </c>
      <c r="B3220" s="3" t="str">
        <f>HYPERLINK("https://hawk-eye.atlassian.net/browse/HWKREPORT-176?atlOrigin=eyJpIjoiYzgwYTQ0ZjEyNzQzNGJhN2JmNjEyZTM0NmRhZWZhNjIiLCJwIjoic2hlZXRzLWppcmEifQ","HWKREPORT-176")</f>
        <v>HWKREPORT-176</v>
      </c>
      <c r="C3220" s="1" t="s">
        <v>4544</v>
      </c>
      <c r="D3220" s="1" t="s">
        <v>23</v>
      </c>
      <c r="E3220" s="1" t="s">
        <v>35</v>
      </c>
      <c r="F3220" s="4">
        <v>43626.407858796294</v>
      </c>
      <c r="G3220" s="3" t="str">
        <f t="shared" si="222"/>
        <v/>
      </c>
      <c r="H3220" s="1" t="s">
        <v>1058</v>
      </c>
      <c r="I3220" s="1" t="s">
        <v>1085</v>
      </c>
      <c r="J3220" s="1" t="s">
        <v>26</v>
      </c>
      <c r="K3220" s="1" t="s">
        <v>1925</v>
      </c>
      <c r="L3220" s="1" t="s">
        <v>26</v>
      </c>
      <c r="M3220" s="1" t="s">
        <v>27</v>
      </c>
      <c r="N3220" s="1" t="s">
        <v>26</v>
      </c>
      <c r="O3220" s="1" t="s">
        <v>26</v>
      </c>
      <c r="P3220" s="4">
        <v>45090.48229166667</v>
      </c>
    </row>
    <row r="3221" hidden="1">
      <c r="A3221" s="1" t="s">
        <v>21</v>
      </c>
      <c r="B3221" s="3" t="str">
        <f>HYPERLINK("https://hawk-eye.atlassian.net/browse/HWKREPORT-177?atlOrigin=eyJpIjoiYzgwYTQ0ZjEyNzQzNGJhN2JmNjEyZTM0NmRhZWZhNjIiLCJwIjoic2hlZXRzLWppcmEifQ","HWKREPORT-177")</f>
        <v>HWKREPORT-177</v>
      </c>
      <c r="C3221" s="1" t="s">
        <v>4545</v>
      </c>
      <c r="D3221" s="1" t="s">
        <v>23</v>
      </c>
      <c r="E3221" s="1" t="s">
        <v>35</v>
      </c>
      <c r="F3221" s="4">
        <v>43634.60493055556</v>
      </c>
      <c r="G3221" s="3" t="str">
        <f>HYPERLINK("https://hawk-eye.atlassian.net/browse/RTT-1018?atlOrigin=eyJpIjoiYzgwYTQ0ZjEyNzQzNGJhN2JmNjEyZTM0NmRhZWZhNjIiLCJwIjoic2hlZXRzLWppcmEifQ","RTT-1018")</f>
        <v>RTT-1018</v>
      </c>
      <c r="H3221" s="1" t="s">
        <v>1058</v>
      </c>
      <c r="I3221" s="1" t="s">
        <v>1126</v>
      </c>
      <c r="J3221" s="1" t="s">
        <v>26</v>
      </c>
      <c r="K3221" s="1" t="s">
        <v>2111</v>
      </c>
      <c r="L3221" s="1" t="s">
        <v>26</v>
      </c>
      <c r="M3221" s="1" t="s">
        <v>27</v>
      </c>
      <c r="N3221" s="1" t="s">
        <v>26</v>
      </c>
      <c r="O3221" s="1" t="s">
        <v>26</v>
      </c>
      <c r="P3221" s="4">
        <v>44068.797326388885</v>
      </c>
    </row>
    <row r="3222" hidden="1">
      <c r="A3222" s="1" t="s">
        <v>1055</v>
      </c>
      <c r="B3222" s="3" t="str">
        <f>HYPERLINK("https://hawk-eye.atlassian.net/browse/HWKREPORT-178?atlOrigin=eyJpIjoiYzgwYTQ0ZjEyNzQzNGJhN2JmNjEyZTM0NmRhZWZhNjIiLCJwIjoic2hlZXRzLWppcmEifQ","HWKREPORT-178")</f>
        <v>HWKREPORT-178</v>
      </c>
      <c r="C3222" s="1" t="s">
        <v>4546</v>
      </c>
      <c r="D3222" s="1" t="s">
        <v>23</v>
      </c>
      <c r="E3222" s="1" t="s">
        <v>35</v>
      </c>
      <c r="F3222" s="4">
        <v>43637.421331018515</v>
      </c>
      <c r="G3222" s="3" t="str">
        <f>HYPERLINK("https://hawk-eye.atlassian.net/browse/RTT-1039?atlOrigin=eyJpIjoiYzgwYTQ0ZjEyNzQzNGJhN2JmNjEyZTM0NmRhZWZhNjIiLCJwIjoic2hlZXRzLWppcmEifQ","RTT-1039")</f>
        <v>RTT-1039</v>
      </c>
      <c r="H3222" s="1" t="s">
        <v>1058</v>
      </c>
      <c r="I3222" s="1" t="s">
        <v>1071</v>
      </c>
      <c r="J3222" s="1" t="s">
        <v>26</v>
      </c>
      <c r="K3222" s="1" t="s">
        <v>1312</v>
      </c>
      <c r="L3222" s="1" t="s">
        <v>26</v>
      </c>
      <c r="M3222" s="1" t="s">
        <v>27</v>
      </c>
      <c r="N3222" s="1" t="s">
        <v>26</v>
      </c>
      <c r="O3222" s="1" t="s">
        <v>26</v>
      </c>
      <c r="P3222" s="4">
        <v>43684.512557870374</v>
      </c>
    </row>
    <row r="3223" hidden="1">
      <c r="A3223" s="1" t="s">
        <v>1055</v>
      </c>
      <c r="B3223" s="3" t="str">
        <f>HYPERLINK("https://hawk-eye.atlassian.net/browse/HWKREPORT-179?atlOrigin=eyJpIjoiYzgwYTQ0ZjEyNzQzNGJhN2JmNjEyZTM0NmRhZWZhNjIiLCJwIjoic2hlZXRzLWppcmEifQ","HWKREPORT-179")</f>
        <v>HWKREPORT-179</v>
      </c>
      <c r="C3223" s="1" t="s">
        <v>4547</v>
      </c>
      <c r="D3223" s="1" t="s">
        <v>23</v>
      </c>
      <c r="E3223" s="1" t="s">
        <v>35</v>
      </c>
      <c r="F3223" s="4">
        <v>43637.433344907404</v>
      </c>
      <c r="G3223" s="3" t="str">
        <f>HYPERLINK("https://hawk-eye.atlassian.net/browse/RTT-514?atlOrigin=eyJpIjoiYzgwYTQ0ZjEyNzQzNGJhN2JmNjEyZTM0NmRhZWZhNjIiLCJwIjoic2hlZXRzLWppcmEifQ","RTT-514")</f>
        <v>RTT-514</v>
      </c>
      <c r="H3223" s="1" t="s">
        <v>1058</v>
      </c>
      <c r="I3223" s="1" t="s">
        <v>1071</v>
      </c>
      <c r="J3223" s="1" t="s">
        <v>26</v>
      </c>
      <c r="K3223" s="1" t="s">
        <v>1312</v>
      </c>
      <c r="L3223" s="1" t="s">
        <v>26</v>
      </c>
      <c r="M3223" s="1" t="s">
        <v>27</v>
      </c>
      <c r="N3223" s="1" t="s">
        <v>26</v>
      </c>
      <c r="O3223" s="1" t="s">
        <v>26</v>
      </c>
      <c r="P3223" s="4">
        <v>43920.63315972222</v>
      </c>
    </row>
    <row r="3224" hidden="1">
      <c r="A3224" s="1" t="s">
        <v>1055</v>
      </c>
      <c r="B3224" s="3" t="str">
        <f>HYPERLINK("https://hawk-eye.atlassian.net/browse/HWKREPORT-180?atlOrigin=eyJpIjoiYzgwYTQ0ZjEyNzQzNGJhN2JmNjEyZTM0NmRhZWZhNjIiLCJwIjoic2hlZXRzLWppcmEifQ","HWKREPORT-180")</f>
        <v>HWKREPORT-180</v>
      </c>
      <c r="C3224" s="1" t="s">
        <v>4548</v>
      </c>
      <c r="D3224" s="1" t="s">
        <v>23</v>
      </c>
      <c r="E3224" s="1" t="s">
        <v>35</v>
      </c>
      <c r="F3224" s="4">
        <v>43637.43923611111</v>
      </c>
      <c r="G3224" s="3" t="str">
        <f>HYPERLINK("https://hawk-eye.atlassian.net/browse/RTT-1038?atlOrigin=eyJpIjoiYzgwYTQ0ZjEyNzQzNGJhN2JmNjEyZTM0NmRhZWZhNjIiLCJwIjoic2hlZXRzLWppcmEifQ","RTT-1038")</f>
        <v>RTT-1038</v>
      </c>
      <c r="H3224" s="1" t="s">
        <v>1058</v>
      </c>
      <c r="I3224" s="1" t="s">
        <v>1071</v>
      </c>
      <c r="J3224" s="1" t="s">
        <v>26</v>
      </c>
      <c r="K3224" s="1" t="s">
        <v>1309</v>
      </c>
      <c r="L3224" s="1" t="s">
        <v>26</v>
      </c>
      <c r="M3224" s="1" t="s">
        <v>27</v>
      </c>
      <c r="N3224" s="1" t="s">
        <v>26</v>
      </c>
      <c r="O3224" s="1" t="s">
        <v>26</v>
      </c>
      <c r="P3224" s="4">
        <v>44068.7974537037</v>
      </c>
    </row>
    <row r="3225" hidden="1">
      <c r="A3225" s="1" t="s">
        <v>1055</v>
      </c>
      <c r="B3225" s="3" t="str">
        <f>HYPERLINK("https://hawk-eye.atlassian.net/browse/HWKREPORT-181?atlOrigin=eyJpIjoiYzgwYTQ0ZjEyNzQzNGJhN2JmNjEyZTM0NmRhZWZhNjIiLCJwIjoic2hlZXRzLWppcmEifQ","HWKREPORT-181")</f>
        <v>HWKREPORT-181</v>
      </c>
      <c r="C3225" s="1" t="s">
        <v>4549</v>
      </c>
      <c r="D3225" s="1" t="s">
        <v>23</v>
      </c>
      <c r="E3225" s="1" t="s">
        <v>35</v>
      </c>
      <c r="F3225" s="4">
        <v>43637.44372685185</v>
      </c>
      <c r="G3225" s="3" t="str">
        <f>HYPERLINK("https://hawk-eye.atlassian.net/browse/RTT-1037?atlOrigin=eyJpIjoiYzgwYTQ0ZjEyNzQzNGJhN2JmNjEyZTM0NmRhZWZhNjIiLCJwIjoic2hlZXRzLWppcmEifQ","RTT-1037")</f>
        <v>RTT-1037</v>
      </c>
      <c r="H3225" s="1" t="s">
        <v>1058</v>
      </c>
      <c r="I3225" s="1" t="s">
        <v>1071</v>
      </c>
      <c r="J3225" s="1" t="s">
        <v>26</v>
      </c>
      <c r="K3225" s="1" t="s">
        <v>1312</v>
      </c>
      <c r="L3225" s="1" t="s">
        <v>26</v>
      </c>
      <c r="M3225" s="1" t="s">
        <v>27</v>
      </c>
      <c r="N3225" s="1" t="s">
        <v>26</v>
      </c>
      <c r="O3225" s="1" t="s">
        <v>26</v>
      </c>
      <c r="P3225" s="4">
        <v>44068.7974537037</v>
      </c>
    </row>
    <row r="3226" hidden="1">
      <c r="A3226" s="1" t="s">
        <v>1055</v>
      </c>
      <c r="B3226" s="3" t="str">
        <f>HYPERLINK("https://hawk-eye.atlassian.net/browse/HWKREPORT-182?atlOrigin=eyJpIjoiYzgwYTQ0ZjEyNzQzNGJhN2JmNjEyZTM0NmRhZWZhNjIiLCJwIjoic2hlZXRzLWppcmEifQ","HWKREPORT-182")</f>
        <v>HWKREPORT-182</v>
      </c>
      <c r="C3226" s="1" t="s">
        <v>4550</v>
      </c>
      <c r="D3226" s="1" t="s">
        <v>23</v>
      </c>
      <c r="E3226" s="1" t="s">
        <v>35</v>
      </c>
      <c r="F3226" s="4">
        <v>43637.47980324074</v>
      </c>
      <c r="G3226" s="3" t="str">
        <f>HYPERLINK("https://hawk-eye.atlassian.net/browse/?atlOrigin=eyJpIjoiYzgwYTQ0ZjEyNzQzNGJhN2JmNjEyZTM0NmRhZWZhNjIiLCJwIjoic2hlZXRzLWppcmEifQ","")</f>
        <v/>
      </c>
      <c r="H3226" s="1" t="s">
        <v>1058</v>
      </c>
      <c r="I3226" s="1" t="s">
        <v>1071</v>
      </c>
      <c r="J3226" s="1" t="s">
        <v>26</v>
      </c>
      <c r="K3226" s="1" t="s">
        <v>1309</v>
      </c>
      <c r="L3226" s="1" t="s">
        <v>26</v>
      </c>
      <c r="M3226" s="1" t="s">
        <v>27</v>
      </c>
      <c r="N3226" s="1" t="s">
        <v>26</v>
      </c>
      <c r="O3226" s="1" t="s">
        <v>26</v>
      </c>
      <c r="P3226" s="4">
        <v>43684.512824074074</v>
      </c>
    </row>
    <row r="3227" hidden="1">
      <c r="A3227" s="1" t="s">
        <v>21</v>
      </c>
      <c r="B3227" s="3" t="str">
        <f>HYPERLINK("https://hawk-eye.atlassian.net/browse/HWKREPORT-183?atlOrigin=eyJpIjoiYzgwYTQ0ZjEyNzQzNGJhN2JmNjEyZTM0NmRhZWZhNjIiLCJwIjoic2hlZXRzLWppcmEifQ","HWKREPORT-183")</f>
        <v>HWKREPORT-183</v>
      </c>
      <c r="C3227" s="1" t="s">
        <v>4551</v>
      </c>
      <c r="D3227" s="1" t="s">
        <v>23</v>
      </c>
      <c r="E3227" s="1" t="s">
        <v>35</v>
      </c>
      <c r="F3227" s="4">
        <v>43637.66875</v>
      </c>
      <c r="G3227" s="3" t="str">
        <f>HYPERLINK("https://hawk-eye.atlassian.net/browse/RTT-1036?atlOrigin=eyJpIjoiYzgwYTQ0ZjEyNzQzNGJhN2JmNjEyZTM0NmRhZWZhNjIiLCJwIjoic2hlZXRzLWppcmEifQ","RTT-1036")</f>
        <v>RTT-1036</v>
      </c>
      <c r="H3227" s="1" t="s">
        <v>1058</v>
      </c>
      <c r="I3227" s="1" t="s">
        <v>1071</v>
      </c>
      <c r="J3227" s="1" t="s">
        <v>26</v>
      </c>
      <c r="K3227" s="1" t="s">
        <v>4552</v>
      </c>
      <c r="L3227" s="1" t="s">
        <v>26</v>
      </c>
      <c r="M3227" s="1" t="s">
        <v>27</v>
      </c>
      <c r="N3227" s="1" t="s">
        <v>26</v>
      </c>
      <c r="O3227" s="1" t="s">
        <v>26</v>
      </c>
      <c r="P3227" s="4">
        <v>43840.69296296296</v>
      </c>
    </row>
    <row r="3228" hidden="1">
      <c r="A3228" s="1" t="s">
        <v>1055</v>
      </c>
      <c r="B3228" s="3" t="str">
        <f>HYPERLINK("https://hawk-eye.atlassian.net/browse/HWKREPORT-184?atlOrigin=eyJpIjoiYzgwYTQ0ZjEyNzQzNGJhN2JmNjEyZTM0NmRhZWZhNjIiLCJwIjoic2hlZXRzLWppcmEifQ","HWKREPORT-184")</f>
        <v>HWKREPORT-184</v>
      </c>
      <c r="C3228" s="1" t="s">
        <v>4553</v>
      </c>
      <c r="D3228" s="1" t="s">
        <v>23</v>
      </c>
      <c r="E3228" s="1" t="s">
        <v>35</v>
      </c>
      <c r="F3228" s="4">
        <v>43637.671261574076</v>
      </c>
      <c r="G3228" s="3" t="str">
        <f>HYPERLINK("https://hawk-eye.atlassian.net/browse/RTT-1035?atlOrigin=eyJpIjoiYzgwYTQ0ZjEyNzQzNGJhN2JmNjEyZTM0NmRhZWZhNjIiLCJwIjoic2hlZXRzLWppcmEifQ","RTT-1035")</f>
        <v>RTT-1035</v>
      </c>
      <c r="H3228" s="1" t="s">
        <v>1058</v>
      </c>
      <c r="I3228" s="1" t="s">
        <v>1071</v>
      </c>
      <c r="J3228" s="1" t="s">
        <v>26</v>
      </c>
      <c r="K3228" s="1" t="s">
        <v>1545</v>
      </c>
      <c r="L3228" s="1" t="s">
        <v>26</v>
      </c>
      <c r="M3228" s="1" t="s">
        <v>27</v>
      </c>
      <c r="N3228" s="1" t="s">
        <v>26</v>
      </c>
      <c r="O3228" s="1" t="s">
        <v>26</v>
      </c>
      <c r="P3228" s="4">
        <v>44046.59842592593</v>
      </c>
    </row>
    <row r="3229" hidden="1">
      <c r="A3229" s="1" t="s">
        <v>21</v>
      </c>
      <c r="B3229" s="3" t="str">
        <f>HYPERLINK("https://hawk-eye.atlassian.net/browse/HWKREPORT-185?atlOrigin=eyJpIjoiYzgwYTQ0ZjEyNzQzNGJhN2JmNjEyZTM0NmRhZWZhNjIiLCJwIjoic2hlZXRzLWppcmEifQ","HWKREPORT-185")</f>
        <v>HWKREPORT-185</v>
      </c>
      <c r="C3229" s="1" t="s">
        <v>4554</v>
      </c>
      <c r="D3229" s="1" t="s">
        <v>34</v>
      </c>
      <c r="E3229" s="1" t="s">
        <v>35</v>
      </c>
      <c r="F3229" s="4">
        <v>43640.59887731481</v>
      </c>
      <c r="G3229" s="3" t="str">
        <f>HYPERLINK("https://hawk-eye.atlassian.net/browse/RTT-1060?atlOrigin=eyJpIjoiYzgwYTQ0ZjEyNzQzNGJhN2JmNjEyZTM0NmRhZWZhNjIiLCJwIjoic2hlZXRzLWppcmEifQ","RTT-1060")</f>
        <v>RTT-1060</v>
      </c>
      <c r="H3229" s="1" t="s">
        <v>1058</v>
      </c>
      <c r="I3229" s="1" t="s">
        <v>1126</v>
      </c>
      <c r="J3229" s="1" t="s">
        <v>26</v>
      </c>
      <c r="K3229" s="1" t="s">
        <v>2111</v>
      </c>
      <c r="L3229" s="1" t="s">
        <v>26</v>
      </c>
      <c r="M3229" s="1" t="s">
        <v>27</v>
      </c>
      <c r="N3229" s="1" t="s">
        <v>26</v>
      </c>
      <c r="O3229" s="1" t="s">
        <v>26</v>
      </c>
      <c r="P3229" s="4">
        <v>44068.7975</v>
      </c>
    </row>
    <row r="3230" hidden="1">
      <c r="A3230" s="1" t="s">
        <v>1055</v>
      </c>
      <c r="B3230" s="3" t="str">
        <f>HYPERLINK("https://hawk-eye.atlassian.net/browse/HWKREPORT-186?atlOrigin=eyJpIjoiYzgwYTQ0ZjEyNzQzNGJhN2JmNjEyZTM0NmRhZWZhNjIiLCJwIjoic2hlZXRzLWppcmEifQ","HWKREPORT-186")</f>
        <v>HWKREPORT-186</v>
      </c>
      <c r="C3230" s="1" t="s">
        <v>4555</v>
      </c>
      <c r="D3230" s="1" t="s">
        <v>23</v>
      </c>
      <c r="E3230" s="1" t="s">
        <v>35</v>
      </c>
      <c r="F3230" s="4">
        <v>43642.38284722222</v>
      </c>
      <c r="G3230" s="3" t="str">
        <f>HYPERLINK("https://hawk-eye.atlassian.net/browse/RTT-1068?atlOrigin=eyJpIjoiYzgwYTQ0ZjEyNzQzNGJhN2JmNjEyZTM0NmRhZWZhNjIiLCJwIjoic2hlZXRzLWppcmEifQ","RTT-1068")</f>
        <v>RTT-1068</v>
      </c>
      <c r="H3230" s="1" t="s">
        <v>1058</v>
      </c>
      <c r="I3230" s="1" t="s">
        <v>1126</v>
      </c>
      <c r="J3230" s="1" t="s">
        <v>26</v>
      </c>
      <c r="K3230" s="1" t="s">
        <v>2111</v>
      </c>
      <c r="L3230" s="1" t="s">
        <v>26</v>
      </c>
      <c r="M3230" s="1" t="s">
        <v>27</v>
      </c>
      <c r="N3230" s="1" t="s">
        <v>26</v>
      </c>
      <c r="O3230" s="1" t="s">
        <v>26</v>
      </c>
      <c r="P3230" s="4">
        <v>44068.79744212963</v>
      </c>
    </row>
    <row r="3231" hidden="1">
      <c r="A3231" s="1" t="s">
        <v>1055</v>
      </c>
      <c r="B3231" s="3" t="str">
        <f>HYPERLINK("https://hawk-eye.atlassian.net/browse/HWKREPORT-187?atlOrigin=eyJpIjoiYzgwYTQ0ZjEyNzQzNGJhN2JmNjEyZTM0NmRhZWZhNjIiLCJwIjoic2hlZXRzLWppcmEifQ","HWKREPORT-187")</f>
        <v>HWKREPORT-187</v>
      </c>
      <c r="C3231" s="1" t="s">
        <v>4556</v>
      </c>
      <c r="D3231" s="1" t="s">
        <v>23</v>
      </c>
      <c r="E3231" s="1" t="s">
        <v>35</v>
      </c>
      <c r="F3231" s="4">
        <v>43643.60670138889</v>
      </c>
      <c r="G3231" s="3" t="str">
        <f>HYPERLINK("https://hawk-eye.atlassian.net/browse/RTT-1066?atlOrigin=eyJpIjoiYzgwYTQ0ZjEyNzQzNGJhN2JmNjEyZTM0NmRhZWZhNjIiLCJwIjoic2hlZXRzLWppcmEifQ","RTT-1066")</f>
        <v>RTT-1066</v>
      </c>
      <c r="H3231" s="1" t="s">
        <v>1058</v>
      </c>
      <c r="I3231" s="1" t="s">
        <v>1071</v>
      </c>
      <c r="J3231" s="1" t="s">
        <v>26</v>
      </c>
      <c r="K3231" s="1" t="s">
        <v>1309</v>
      </c>
      <c r="L3231" s="1" t="s">
        <v>26</v>
      </c>
      <c r="M3231" s="1" t="s">
        <v>27</v>
      </c>
      <c r="N3231" s="1" t="s">
        <v>26</v>
      </c>
      <c r="O3231" s="1" t="s">
        <v>26</v>
      </c>
      <c r="P3231" s="4">
        <v>44068.79724537037</v>
      </c>
    </row>
    <row r="3232" hidden="1">
      <c r="A3232" s="1" t="s">
        <v>1055</v>
      </c>
      <c r="B3232" s="3" t="str">
        <f>HYPERLINK("https://hawk-eye.atlassian.net/browse/HWKREPORT-188?atlOrigin=eyJpIjoiYzgwYTQ0ZjEyNzQzNGJhN2JmNjEyZTM0NmRhZWZhNjIiLCJwIjoic2hlZXRzLWppcmEifQ","HWKREPORT-188")</f>
        <v>HWKREPORT-188</v>
      </c>
      <c r="C3232" s="1" t="s">
        <v>4557</v>
      </c>
      <c r="D3232" s="1" t="s">
        <v>23</v>
      </c>
      <c r="E3232" s="1" t="s">
        <v>35</v>
      </c>
      <c r="F3232" s="4">
        <v>43645.82496527778</v>
      </c>
      <c r="G3232" s="3" t="str">
        <f>HYPERLINK("https://hawk-eye.atlassian.net/browse/RTT-1071?atlOrigin=eyJpIjoiYzgwYTQ0ZjEyNzQzNGJhN2JmNjEyZTM0NmRhZWZhNjIiLCJwIjoic2hlZXRzLWppcmEifQ","RTT-1071")</f>
        <v>RTT-1071</v>
      </c>
      <c r="H3232" s="1" t="s">
        <v>1058</v>
      </c>
      <c r="I3232" s="1" t="s">
        <v>1071</v>
      </c>
      <c r="J3232" s="1" t="s">
        <v>26</v>
      </c>
      <c r="K3232" s="1" t="s">
        <v>1312</v>
      </c>
      <c r="L3232" s="1" t="s">
        <v>26</v>
      </c>
      <c r="M3232" s="1" t="s">
        <v>27</v>
      </c>
      <c r="N3232" s="1" t="s">
        <v>26</v>
      </c>
      <c r="O3232" s="1" t="s">
        <v>26</v>
      </c>
      <c r="P3232" s="4">
        <v>44068.79738425926</v>
      </c>
    </row>
    <row r="3233" hidden="1">
      <c r="A3233" s="1" t="s">
        <v>21</v>
      </c>
      <c r="B3233" s="3" t="str">
        <f>HYPERLINK("https://hawk-eye.atlassian.net/browse/HWKREPORT-189?atlOrigin=eyJpIjoiYzgwYTQ0ZjEyNzQzNGJhN2JmNjEyZTM0NmRhZWZhNjIiLCJwIjoic2hlZXRzLWppcmEifQ","HWKREPORT-189")</f>
        <v>HWKREPORT-189</v>
      </c>
      <c r="C3233" s="1" t="s">
        <v>4558</v>
      </c>
      <c r="D3233" s="1" t="s">
        <v>23</v>
      </c>
      <c r="E3233" s="1" t="s">
        <v>35</v>
      </c>
      <c r="F3233" s="4">
        <v>43647.57487268518</v>
      </c>
      <c r="G3233" s="3" t="str">
        <f>HYPERLINK("https://hawk-eye.atlassian.net/browse/RTT-1075?atlOrigin=eyJpIjoiYzgwYTQ0ZjEyNzQzNGJhN2JmNjEyZTM0NmRhZWZhNjIiLCJwIjoic2hlZXRzLWppcmEifQ","RTT-1075")</f>
        <v>RTT-1075</v>
      </c>
      <c r="H3233" s="1" t="s">
        <v>1058</v>
      </c>
      <c r="I3233" s="1" t="s">
        <v>1126</v>
      </c>
      <c r="J3233" s="1" t="s">
        <v>26</v>
      </c>
      <c r="K3233" s="1" t="s">
        <v>1312</v>
      </c>
      <c r="L3233" s="1" t="s">
        <v>26</v>
      </c>
      <c r="M3233" s="1" t="s">
        <v>27</v>
      </c>
      <c r="N3233" s="1" t="s">
        <v>26</v>
      </c>
      <c r="O3233" s="1" t="s">
        <v>26</v>
      </c>
      <c r="P3233" s="4">
        <v>44600.87464120371</v>
      </c>
    </row>
    <row r="3234" hidden="1">
      <c r="A3234" s="1" t="s">
        <v>21</v>
      </c>
      <c r="B3234" s="3" t="str">
        <f>HYPERLINK("https://hawk-eye.atlassian.net/browse/HWKREPORT-190?atlOrigin=eyJpIjoiYzgwYTQ0ZjEyNzQzNGJhN2JmNjEyZTM0NmRhZWZhNjIiLCJwIjoic2hlZXRzLWppcmEifQ","HWKREPORT-190")</f>
        <v>HWKREPORT-190</v>
      </c>
      <c r="C3234" s="1" t="s">
        <v>4559</v>
      </c>
      <c r="D3234" s="1" t="s">
        <v>83</v>
      </c>
      <c r="E3234" s="1" t="s">
        <v>35</v>
      </c>
      <c r="F3234" s="4">
        <v>43647.67636574074</v>
      </c>
      <c r="G3234" s="3" t="str">
        <f>HYPERLINK("https://hawk-eye.atlassian.net/browse/?atlOrigin=eyJpIjoiYzgwYTQ0ZjEyNzQzNGJhN2JmNjEyZTM0NmRhZWZhNjIiLCJwIjoic2hlZXRzLWppcmEifQ","")</f>
        <v/>
      </c>
      <c r="H3234" s="1" t="s">
        <v>1058</v>
      </c>
      <c r="I3234" s="1" t="s">
        <v>1126</v>
      </c>
      <c r="J3234" s="1" t="s">
        <v>26</v>
      </c>
      <c r="K3234" s="1" t="s">
        <v>2111</v>
      </c>
      <c r="L3234" s="1" t="s">
        <v>26</v>
      </c>
      <c r="M3234" s="1" t="s">
        <v>27</v>
      </c>
      <c r="N3234" s="1" t="s">
        <v>26</v>
      </c>
      <c r="O3234" s="1" t="s">
        <v>26</v>
      </c>
      <c r="P3234" s="4">
        <v>43651.56219907408</v>
      </c>
    </row>
    <row r="3235" hidden="1">
      <c r="A3235" s="1" t="s">
        <v>1055</v>
      </c>
      <c r="B3235" s="3" t="str">
        <f>HYPERLINK("https://hawk-eye.atlassian.net/browse/HWKREPORT-191?atlOrigin=eyJpIjoiYzgwYTQ0ZjEyNzQzNGJhN2JmNjEyZTM0NmRhZWZhNjIiLCJwIjoic2hlZXRzLWppcmEifQ","HWKREPORT-191")</f>
        <v>HWKREPORT-191</v>
      </c>
      <c r="C3235" s="1" t="s">
        <v>4153</v>
      </c>
      <c r="D3235" s="1" t="s">
        <v>23</v>
      </c>
      <c r="E3235" s="1" t="s">
        <v>35</v>
      </c>
      <c r="F3235" s="4">
        <v>43648.512511574074</v>
      </c>
      <c r="G3235" s="3" t="str">
        <f>HYPERLINK("https://hawk-eye.atlassian.net/browse/RTT-1076?atlOrigin=eyJpIjoiYzgwYTQ0ZjEyNzQzNGJhN2JmNjEyZTM0NmRhZWZhNjIiLCJwIjoic2hlZXRzLWppcmEifQ","RTT-1076")</f>
        <v>RTT-1076</v>
      </c>
      <c r="H3235" s="1" t="s">
        <v>1058</v>
      </c>
      <c r="I3235" s="1" t="s">
        <v>1126</v>
      </c>
      <c r="J3235" s="1" t="s">
        <v>26</v>
      </c>
      <c r="K3235" s="1" t="s">
        <v>1362</v>
      </c>
      <c r="L3235" s="1" t="s">
        <v>26</v>
      </c>
      <c r="M3235" s="1" t="s">
        <v>27</v>
      </c>
      <c r="N3235" s="1" t="s">
        <v>26</v>
      </c>
      <c r="O3235" s="1" t="s">
        <v>26</v>
      </c>
      <c r="P3235" s="4">
        <v>44068.797430555554</v>
      </c>
    </row>
    <row r="3236" hidden="1">
      <c r="A3236" s="1" t="s">
        <v>21</v>
      </c>
      <c r="B3236" s="3" t="str">
        <f>HYPERLINK("https://hawk-eye.atlassian.net/browse/HWKREPORT-192?atlOrigin=eyJpIjoiYzgwYTQ0ZjEyNzQzNGJhN2JmNjEyZTM0NmRhZWZhNjIiLCJwIjoic2hlZXRzLWppcmEifQ","HWKREPORT-192")</f>
        <v>HWKREPORT-192</v>
      </c>
      <c r="C3236" s="1" t="s">
        <v>4560</v>
      </c>
      <c r="D3236" s="1" t="s">
        <v>23</v>
      </c>
      <c r="E3236" s="1" t="s">
        <v>35</v>
      </c>
      <c r="F3236" s="4">
        <v>43650.8434375</v>
      </c>
      <c r="G3236" s="3" t="str">
        <f t="shared" ref="G3236:G3237" si="223">HYPERLINK("https://hawk-eye.atlassian.net/browse/?atlOrigin=eyJpIjoiYzgwYTQ0ZjEyNzQzNGJhN2JmNjEyZTM0NmRhZWZhNjIiLCJwIjoic2hlZXRzLWppcmEifQ","")</f>
        <v/>
      </c>
      <c r="H3236" s="1" t="s">
        <v>1058</v>
      </c>
      <c r="I3236" s="1" t="s">
        <v>1126</v>
      </c>
      <c r="J3236" s="1" t="s">
        <v>26</v>
      </c>
      <c r="K3236" s="1" t="s">
        <v>1362</v>
      </c>
      <c r="L3236" s="1" t="s">
        <v>26</v>
      </c>
      <c r="M3236" s="1" t="s">
        <v>27</v>
      </c>
      <c r="N3236" s="1" t="s">
        <v>26</v>
      </c>
      <c r="O3236" s="1" t="s">
        <v>26</v>
      </c>
      <c r="P3236" s="4">
        <v>44957.71840277778</v>
      </c>
    </row>
    <row r="3237" hidden="1">
      <c r="A3237" s="1" t="s">
        <v>21</v>
      </c>
      <c r="B3237" s="3" t="str">
        <f>HYPERLINK("https://hawk-eye.atlassian.net/browse/HWKREPORT-193?atlOrigin=eyJpIjoiYzgwYTQ0ZjEyNzQzNGJhN2JmNjEyZTM0NmRhZWZhNjIiLCJwIjoic2hlZXRzLWppcmEifQ","HWKREPORT-193")</f>
        <v>HWKREPORT-193</v>
      </c>
      <c r="C3237" s="1" t="s">
        <v>4561</v>
      </c>
      <c r="D3237" s="1" t="s">
        <v>23</v>
      </c>
      <c r="E3237" s="1" t="s">
        <v>35</v>
      </c>
      <c r="F3237" s="4">
        <v>43654.42108796296</v>
      </c>
      <c r="G3237" s="3" t="str">
        <f t="shared" si="223"/>
        <v/>
      </c>
      <c r="H3237" s="1" t="s">
        <v>1058</v>
      </c>
      <c r="I3237" s="1" t="s">
        <v>1071</v>
      </c>
      <c r="J3237" s="1" t="s">
        <v>26</v>
      </c>
      <c r="K3237" s="1" t="s">
        <v>1134</v>
      </c>
      <c r="L3237" s="1" t="s">
        <v>26</v>
      </c>
      <c r="M3237" s="1" t="s">
        <v>27</v>
      </c>
      <c r="N3237" s="1" t="s">
        <v>26</v>
      </c>
      <c r="O3237" s="1" t="s">
        <v>26</v>
      </c>
      <c r="P3237" s="4">
        <v>43969.404282407406</v>
      </c>
    </row>
    <row r="3238" hidden="1">
      <c r="A3238" s="1" t="s">
        <v>1055</v>
      </c>
      <c r="B3238" s="3" t="str">
        <f>HYPERLINK("https://hawk-eye.atlassian.net/browse/HWKREPORT-194?atlOrigin=eyJpIjoiYzgwYTQ0ZjEyNzQzNGJhN2JmNjEyZTM0NmRhZWZhNjIiLCJwIjoic2hlZXRzLWppcmEifQ","HWKREPORT-194")</f>
        <v>HWKREPORT-194</v>
      </c>
      <c r="C3238" s="1" t="s">
        <v>4562</v>
      </c>
      <c r="D3238" s="1" t="s">
        <v>83</v>
      </c>
      <c r="E3238" s="1" t="s">
        <v>35</v>
      </c>
      <c r="F3238" s="4">
        <v>43654.42329861111</v>
      </c>
      <c r="G3238" s="3" t="str">
        <f>HYPERLINK("https://hawk-eye.atlassian.net/browse/RTT-1092?atlOrigin=eyJpIjoiYzgwYTQ0ZjEyNzQzNGJhN2JmNjEyZTM0NmRhZWZhNjIiLCJwIjoic2hlZXRzLWppcmEifQ","RTT-1092")</f>
        <v>RTT-1092</v>
      </c>
      <c r="H3238" s="1" t="s">
        <v>1058</v>
      </c>
      <c r="I3238" s="1" t="s">
        <v>1071</v>
      </c>
      <c r="J3238" s="1" t="s">
        <v>26</v>
      </c>
      <c r="K3238" s="1" t="s">
        <v>1312</v>
      </c>
      <c r="L3238" s="1" t="s">
        <v>26</v>
      </c>
      <c r="M3238" s="1" t="s">
        <v>27</v>
      </c>
      <c r="N3238" s="1" t="s">
        <v>26</v>
      </c>
      <c r="O3238" s="1" t="s">
        <v>26</v>
      </c>
      <c r="P3238" s="4">
        <v>43920.63028935185</v>
      </c>
    </row>
    <row r="3239" hidden="1">
      <c r="A3239" s="1" t="s">
        <v>1055</v>
      </c>
      <c r="B3239" s="3" t="str">
        <f>HYPERLINK("https://hawk-eye.atlassian.net/browse/HWKREPORT-195?atlOrigin=eyJpIjoiYzgwYTQ0ZjEyNzQzNGJhN2JmNjEyZTM0NmRhZWZhNjIiLCJwIjoic2hlZXRzLWppcmEifQ","HWKREPORT-195")</f>
        <v>HWKREPORT-195</v>
      </c>
      <c r="C3239" s="1" t="s">
        <v>4563</v>
      </c>
      <c r="D3239" s="1" t="s">
        <v>23</v>
      </c>
      <c r="E3239" s="1" t="s">
        <v>35</v>
      </c>
      <c r="F3239" s="4">
        <v>43655.50087962963</v>
      </c>
      <c r="G3239" s="3" t="str">
        <f>HYPERLINK("https://hawk-eye.atlassian.net/browse/RTT-1100?atlOrigin=eyJpIjoiYzgwYTQ0ZjEyNzQzNGJhN2JmNjEyZTM0NmRhZWZhNjIiLCJwIjoic2hlZXRzLWppcmEifQ","RTT-1100")</f>
        <v>RTT-1100</v>
      </c>
      <c r="H3239" s="1" t="s">
        <v>1058</v>
      </c>
      <c r="I3239" s="1" t="s">
        <v>1071</v>
      </c>
      <c r="J3239" s="1" t="s">
        <v>26</v>
      </c>
      <c r="K3239" s="1" t="s">
        <v>1362</v>
      </c>
      <c r="L3239" s="1" t="s">
        <v>26</v>
      </c>
      <c r="M3239" s="1" t="s">
        <v>27</v>
      </c>
      <c r="N3239" s="1" t="s">
        <v>26</v>
      </c>
      <c r="O3239" s="1" t="s">
        <v>26</v>
      </c>
      <c r="P3239" s="4">
        <v>44068.797534722224</v>
      </c>
    </row>
    <row r="3240" hidden="1">
      <c r="A3240" s="1" t="s">
        <v>21</v>
      </c>
      <c r="B3240" s="3" t="str">
        <f>HYPERLINK("https://hawk-eye.atlassian.net/browse/HWKREPORT-196?atlOrigin=eyJpIjoiYzgwYTQ0ZjEyNzQzNGJhN2JmNjEyZTM0NmRhZWZhNjIiLCJwIjoic2hlZXRzLWppcmEifQ","HWKREPORT-196")</f>
        <v>HWKREPORT-196</v>
      </c>
      <c r="C3240" s="1" t="s">
        <v>4564</v>
      </c>
      <c r="D3240" s="1" t="s">
        <v>23</v>
      </c>
      <c r="E3240" s="1" t="s">
        <v>35</v>
      </c>
      <c r="F3240" s="4">
        <v>43655.51278935185</v>
      </c>
      <c r="G3240" s="3" t="str">
        <f>HYPERLINK("https://hawk-eye.atlassian.net/browse/RTT-1099?atlOrigin=eyJpIjoiYzgwYTQ0ZjEyNzQzNGJhN2JmNjEyZTM0NmRhZWZhNjIiLCJwIjoic2hlZXRzLWppcmEifQ","RTT-1099")</f>
        <v>RTT-1099</v>
      </c>
      <c r="H3240" s="1" t="s">
        <v>1058</v>
      </c>
      <c r="I3240" s="1" t="s">
        <v>1071</v>
      </c>
      <c r="J3240" s="1" t="s">
        <v>26</v>
      </c>
      <c r="K3240" s="1" t="s">
        <v>1362</v>
      </c>
      <c r="L3240" s="1" t="s">
        <v>26</v>
      </c>
      <c r="M3240" s="1" t="s">
        <v>27</v>
      </c>
      <c r="N3240" s="1" t="s">
        <v>26</v>
      </c>
      <c r="O3240" s="1" t="s">
        <v>26</v>
      </c>
      <c r="P3240" s="4">
        <v>43840.693344907406</v>
      </c>
    </row>
    <row r="3241" hidden="1">
      <c r="A3241" s="1" t="s">
        <v>1055</v>
      </c>
      <c r="B3241" s="3" t="str">
        <f>HYPERLINK("https://hawk-eye.atlassian.net/browse/HWKREPORT-197?atlOrigin=eyJpIjoiYzgwYTQ0ZjEyNzQzNGJhN2JmNjEyZTM0NmRhZWZhNjIiLCJwIjoic2hlZXRzLWppcmEifQ","HWKREPORT-197")</f>
        <v>HWKREPORT-197</v>
      </c>
      <c r="C3241" s="1" t="s">
        <v>4565</v>
      </c>
      <c r="D3241" s="1" t="s">
        <v>23</v>
      </c>
      <c r="E3241" s="1" t="s">
        <v>35</v>
      </c>
      <c r="F3241" s="4">
        <v>43655.51590277778</v>
      </c>
      <c r="G3241" s="3" t="str">
        <f>HYPERLINK("https://hawk-eye.atlassian.net/browse/RTT-1091?atlOrigin=eyJpIjoiYzgwYTQ0ZjEyNzQzNGJhN2JmNjEyZTM0NmRhZWZhNjIiLCJwIjoic2hlZXRzLWppcmEifQ","RTT-1091")</f>
        <v>RTT-1091</v>
      </c>
      <c r="H3241" s="1" t="s">
        <v>1058</v>
      </c>
      <c r="I3241" s="1" t="s">
        <v>1071</v>
      </c>
      <c r="J3241" s="1" t="s">
        <v>26</v>
      </c>
      <c r="K3241" s="1" t="s">
        <v>4566</v>
      </c>
      <c r="L3241" s="1" t="s">
        <v>26</v>
      </c>
      <c r="M3241" s="1" t="s">
        <v>27</v>
      </c>
      <c r="N3241" s="1" t="s">
        <v>26</v>
      </c>
      <c r="O3241" s="1" t="s">
        <v>26</v>
      </c>
      <c r="P3241" s="4">
        <v>43684.513391203705</v>
      </c>
    </row>
    <row r="3242" hidden="1">
      <c r="A3242" s="1" t="s">
        <v>21</v>
      </c>
      <c r="B3242" s="3" t="str">
        <f>HYPERLINK("https://hawk-eye.atlassian.net/browse/HWKREPORT-198?atlOrigin=eyJpIjoiYzgwYTQ0ZjEyNzQzNGJhN2JmNjEyZTM0NmRhZWZhNjIiLCJwIjoic2hlZXRzLWppcmEifQ","HWKREPORT-198")</f>
        <v>HWKREPORT-198</v>
      </c>
      <c r="C3242" s="1" t="s">
        <v>4567</v>
      </c>
      <c r="D3242" s="1" t="s">
        <v>34</v>
      </c>
      <c r="E3242" s="1" t="s">
        <v>35</v>
      </c>
      <c r="F3242" s="4">
        <v>43655.66263888889</v>
      </c>
      <c r="G3242" s="3" t="str">
        <f>HYPERLINK("https://hawk-eye.atlassian.net/browse/RTT-1182?atlOrigin=eyJpIjoiYzgwYTQ0ZjEyNzQzNGJhN2JmNjEyZTM0NmRhZWZhNjIiLCJwIjoic2hlZXRzLWppcmEifQ","RTT-1182")</f>
        <v>RTT-1182</v>
      </c>
      <c r="H3242" s="1" t="s">
        <v>1058</v>
      </c>
      <c r="I3242" s="1" t="s">
        <v>1126</v>
      </c>
      <c r="J3242" s="1" t="s">
        <v>26</v>
      </c>
      <c r="K3242" s="1" t="s">
        <v>1312</v>
      </c>
      <c r="L3242" s="1" t="s">
        <v>26</v>
      </c>
      <c r="M3242" s="1" t="s">
        <v>27</v>
      </c>
      <c r="N3242" s="1" t="s">
        <v>26</v>
      </c>
      <c r="O3242" s="1" t="s">
        <v>26</v>
      </c>
      <c r="P3242" s="4">
        <v>44068.79724537037</v>
      </c>
    </row>
    <row r="3243" hidden="1">
      <c r="A3243" s="1" t="s">
        <v>21</v>
      </c>
      <c r="B3243" s="3" t="str">
        <f>HYPERLINK("https://hawk-eye.atlassian.net/browse/HWKREPORT-199?atlOrigin=eyJpIjoiYzgwYTQ0ZjEyNzQzNGJhN2JmNjEyZTM0NmRhZWZhNjIiLCJwIjoic2hlZXRzLWppcmEifQ","HWKREPORT-199")</f>
        <v>HWKREPORT-199</v>
      </c>
      <c r="C3243" s="1" t="s">
        <v>4568</v>
      </c>
      <c r="D3243" s="1" t="s">
        <v>23</v>
      </c>
      <c r="E3243" s="1" t="s">
        <v>1057</v>
      </c>
      <c r="F3243" s="4">
        <v>43656.51149305556</v>
      </c>
      <c r="G3243" s="3" t="str">
        <f t="shared" ref="G3243:G3245" si="224">HYPERLINK("https://hawk-eye.atlassian.net/browse/?atlOrigin=eyJpIjoiYzgwYTQ0ZjEyNzQzNGJhN2JmNjEyZTM0NmRhZWZhNjIiLCJwIjoic2hlZXRzLWppcmEifQ","")</f>
        <v/>
      </c>
      <c r="H3243" s="1" t="s">
        <v>1058</v>
      </c>
      <c r="I3243" s="1" t="s">
        <v>1085</v>
      </c>
      <c r="J3243" s="1" t="s">
        <v>26</v>
      </c>
      <c r="K3243" s="1" t="s">
        <v>4534</v>
      </c>
      <c r="L3243" s="1" t="s">
        <v>26</v>
      </c>
      <c r="M3243" s="1" t="s">
        <v>27</v>
      </c>
      <c r="N3243" s="1" t="s">
        <v>26</v>
      </c>
      <c r="O3243" s="1" t="s">
        <v>26</v>
      </c>
      <c r="P3243" s="4">
        <v>43656.51149305556</v>
      </c>
    </row>
    <row r="3244" hidden="1">
      <c r="A3244" s="1" t="s">
        <v>21</v>
      </c>
      <c r="B3244" s="3" t="str">
        <f>HYPERLINK("https://hawk-eye.atlassian.net/browse/HWKREPORT-200?atlOrigin=eyJpIjoiYzgwYTQ0ZjEyNzQzNGJhN2JmNjEyZTM0NmRhZWZhNjIiLCJwIjoic2hlZXRzLWppcmEifQ","HWKREPORT-200")</f>
        <v>HWKREPORT-200</v>
      </c>
      <c r="C3244" s="1" t="s">
        <v>4569</v>
      </c>
      <c r="D3244" s="1" t="s">
        <v>23</v>
      </c>
      <c r="E3244" s="1" t="s">
        <v>1057</v>
      </c>
      <c r="F3244" s="4">
        <v>43656.51658564815</v>
      </c>
      <c r="G3244" s="3" t="str">
        <f t="shared" si="224"/>
        <v/>
      </c>
      <c r="H3244" s="1" t="s">
        <v>1058</v>
      </c>
      <c r="I3244" s="1" t="s">
        <v>1085</v>
      </c>
      <c r="J3244" s="1" t="s">
        <v>26</v>
      </c>
      <c r="K3244" s="1" t="s">
        <v>4534</v>
      </c>
      <c r="L3244" s="1" t="s">
        <v>26</v>
      </c>
      <c r="M3244" s="1" t="s">
        <v>27</v>
      </c>
      <c r="N3244" s="1" t="s">
        <v>26</v>
      </c>
      <c r="O3244" s="1" t="s">
        <v>26</v>
      </c>
      <c r="P3244" s="4">
        <v>43656.51660879629</v>
      </c>
    </row>
    <row r="3245" hidden="1">
      <c r="A3245" s="1" t="s">
        <v>21</v>
      </c>
      <c r="B3245" s="3" t="str">
        <f>HYPERLINK("https://hawk-eye.atlassian.net/browse/HWKREPORT-201?atlOrigin=eyJpIjoiYzgwYTQ0ZjEyNzQzNGJhN2JmNjEyZTM0NmRhZWZhNjIiLCJwIjoic2hlZXRzLWppcmEifQ","HWKREPORT-201")</f>
        <v>HWKREPORT-201</v>
      </c>
      <c r="C3245" s="1" t="s">
        <v>4570</v>
      </c>
      <c r="D3245" s="1" t="s">
        <v>23</v>
      </c>
      <c r="E3245" s="1" t="s">
        <v>1057</v>
      </c>
      <c r="F3245" s="4">
        <v>43656.68288194444</v>
      </c>
      <c r="G3245" s="3" t="str">
        <f t="shared" si="224"/>
        <v/>
      </c>
      <c r="H3245" s="1" t="s">
        <v>1058</v>
      </c>
      <c r="I3245" s="1" t="s">
        <v>1085</v>
      </c>
      <c r="J3245" s="1" t="s">
        <v>26</v>
      </c>
      <c r="K3245" s="1" t="s">
        <v>4571</v>
      </c>
      <c r="L3245" s="1" t="s">
        <v>26</v>
      </c>
      <c r="M3245" s="1" t="s">
        <v>27</v>
      </c>
      <c r="N3245" s="1" t="s">
        <v>26</v>
      </c>
      <c r="O3245" s="1" t="s">
        <v>26</v>
      </c>
      <c r="P3245" s="4">
        <v>43656.68289351852</v>
      </c>
    </row>
    <row r="3246" hidden="1">
      <c r="A3246" s="1" t="s">
        <v>21</v>
      </c>
      <c r="B3246" s="3" t="str">
        <f>HYPERLINK("https://hawk-eye.atlassian.net/browse/HWKREPORT-202?atlOrigin=eyJpIjoiYzgwYTQ0ZjEyNzQzNGJhN2JmNjEyZTM0NmRhZWZhNjIiLCJwIjoic2hlZXRzLWppcmEifQ","HWKREPORT-202")</f>
        <v>HWKREPORT-202</v>
      </c>
      <c r="C3246" s="1" t="s">
        <v>4572</v>
      </c>
      <c r="D3246" s="1" t="s">
        <v>23</v>
      </c>
      <c r="E3246" s="1" t="s">
        <v>1057</v>
      </c>
      <c r="F3246" s="4">
        <v>43656.68943287037</v>
      </c>
      <c r="G3246" s="3" t="str">
        <f>HYPERLINK("https://hawk-eye.atlassian.net/browse/VIEWER-679?atlOrigin=eyJpIjoiYzgwYTQ0ZjEyNzQzNGJhN2JmNjEyZTM0NmRhZWZhNjIiLCJwIjoic2hlZXRzLWppcmEifQ","VIEWER-679")</f>
        <v>VIEWER-679</v>
      </c>
      <c r="H3246" s="1" t="s">
        <v>1058</v>
      </c>
      <c r="I3246" s="1" t="s">
        <v>1085</v>
      </c>
      <c r="J3246" s="1" t="s">
        <v>26</v>
      </c>
      <c r="K3246" s="1" t="s">
        <v>4534</v>
      </c>
      <c r="L3246" s="1" t="s">
        <v>26</v>
      </c>
      <c r="M3246" s="1" t="s">
        <v>27</v>
      </c>
      <c r="N3246" s="1" t="s">
        <v>26</v>
      </c>
      <c r="O3246" s="1" t="s">
        <v>26</v>
      </c>
      <c r="P3246" s="4">
        <v>43656.68944444445</v>
      </c>
    </row>
    <row r="3247" hidden="1">
      <c r="A3247" s="1" t="s">
        <v>21</v>
      </c>
      <c r="B3247" s="3" t="str">
        <f>HYPERLINK("https://hawk-eye.atlassian.net/browse/HWKREPORT-203?atlOrigin=eyJpIjoiYzgwYTQ0ZjEyNzQzNGJhN2JmNjEyZTM0NmRhZWZhNjIiLCJwIjoic2hlZXRzLWppcmEifQ","HWKREPORT-203")</f>
        <v>HWKREPORT-203</v>
      </c>
      <c r="C3247" s="1" t="s">
        <v>4573</v>
      </c>
      <c r="D3247" s="1" t="s">
        <v>23</v>
      </c>
      <c r="E3247" s="1" t="s">
        <v>1057</v>
      </c>
      <c r="F3247" s="4">
        <v>43656.69466435185</v>
      </c>
      <c r="G3247" s="3" t="str">
        <f>HYPERLINK("https://hawk-eye.atlassian.net/browse/VIEWER-678?atlOrigin=eyJpIjoiYzgwYTQ0ZjEyNzQzNGJhN2JmNjEyZTM0NmRhZWZhNjIiLCJwIjoic2hlZXRzLWppcmEifQ","VIEWER-678")</f>
        <v>VIEWER-678</v>
      </c>
      <c r="H3247" s="1" t="s">
        <v>1058</v>
      </c>
      <c r="I3247" s="1" t="s">
        <v>1085</v>
      </c>
      <c r="J3247" s="1" t="s">
        <v>26</v>
      </c>
      <c r="K3247" s="1" t="s">
        <v>4534</v>
      </c>
      <c r="L3247" s="1" t="s">
        <v>26</v>
      </c>
      <c r="M3247" s="1" t="s">
        <v>27</v>
      </c>
      <c r="N3247" s="1" t="s">
        <v>26</v>
      </c>
      <c r="O3247" s="1" t="s">
        <v>26</v>
      </c>
      <c r="P3247" s="4">
        <v>43656.69467592592</v>
      </c>
    </row>
    <row r="3248" hidden="1">
      <c r="A3248" s="1" t="s">
        <v>21</v>
      </c>
      <c r="B3248" s="3" t="str">
        <f>HYPERLINK("https://hawk-eye.atlassian.net/browse/HWKREPORT-204?atlOrigin=eyJpIjoiYzgwYTQ0ZjEyNzQzNGJhN2JmNjEyZTM0NmRhZWZhNjIiLCJwIjoic2hlZXRzLWppcmEifQ","HWKREPORT-204")</f>
        <v>HWKREPORT-204</v>
      </c>
      <c r="C3248" s="1" t="s">
        <v>4574</v>
      </c>
      <c r="D3248" s="1" t="s">
        <v>23</v>
      </c>
      <c r="E3248" s="1" t="s">
        <v>1057</v>
      </c>
      <c r="F3248" s="4">
        <v>43656.72216435185</v>
      </c>
      <c r="G3248" s="3" t="str">
        <f t="shared" ref="G3248:G3249" si="225">HYPERLINK("https://hawk-eye.atlassian.net/browse/?atlOrigin=eyJpIjoiYzgwYTQ0ZjEyNzQzNGJhN2JmNjEyZTM0NmRhZWZhNjIiLCJwIjoic2hlZXRzLWppcmEifQ","")</f>
        <v/>
      </c>
      <c r="H3248" s="1" t="s">
        <v>1058</v>
      </c>
      <c r="I3248" s="1" t="s">
        <v>1085</v>
      </c>
      <c r="J3248" s="1" t="s">
        <v>26</v>
      </c>
      <c r="K3248" s="1" t="s">
        <v>1116</v>
      </c>
      <c r="L3248" s="1" t="s">
        <v>26</v>
      </c>
      <c r="M3248" s="1" t="s">
        <v>27</v>
      </c>
      <c r="N3248" s="1" t="s">
        <v>26</v>
      </c>
      <c r="O3248" s="1" t="s">
        <v>26</v>
      </c>
      <c r="P3248" s="4">
        <v>43656.72216435185</v>
      </c>
    </row>
    <row r="3249" hidden="1">
      <c r="A3249" s="1" t="s">
        <v>21</v>
      </c>
      <c r="B3249" s="3" t="str">
        <f>HYPERLINK("https://hawk-eye.atlassian.net/browse/HWKREPORT-205?atlOrigin=eyJpIjoiYzgwYTQ0ZjEyNzQzNGJhN2JmNjEyZTM0NmRhZWZhNjIiLCJwIjoic2hlZXRzLWppcmEifQ","HWKREPORT-205")</f>
        <v>HWKREPORT-205</v>
      </c>
      <c r="C3249" s="1" t="s">
        <v>4575</v>
      </c>
      <c r="D3249" s="1" t="s">
        <v>23</v>
      </c>
      <c r="E3249" s="1" t="s">
        <v>35</v>
      </c>
      <c r="F3249" s="4">
        <v>43659.68450231481</v>
      </c>
      <c r="G3249" s="3" t="str">
        <f t="shared" si="225"/>
        <v/>
      </c>
      <c r="H3249" s="1" t="s">
        <v>1058</v>
      </c>
      <c r="I3249" s="1" t="s">
        <v>1071</v>
      </c>
      <c r="J3249" s="1" t="s">
        <v>26</v>
      </c>
      <c r="K3249" s="1" t="s">
        <v>1362</v>
      </c>
      <c r="L3249" s="1" t="s">
        <v>26</v>
      </c>
      <c r="M3249" s="1" t="s">
        <v>27</v>
      </c>
      <c r="N3249" s="1" t="s">
        <v>26</v>
      </c>
      <c r="O3249" s="1" t="s">
        <v>26</v>
      </c>
      <c r="P3249" s="4">
        <v>43840.69394675926</v>
      </c>
    </row>
    <row r="3250" hidden="1">
      <c r="A3250" s="1" t="s">
        <v>1055</v>
      </c>
      <c r="B3250" s="3" t="str">
        <f>HYPERLINK("https://hawk-eye.atlassian.net/browse/HWKREPORT-206?atlOrigin=eyJpIjoiYzgwYTQ0ZjEyNzQzNGJhN2JmNjEyZTM0NmRhZWZhNjIiLCJwIjoic2hlZXRzLWppcmEifQ","HWKREPORT-206")</f>
        <v>HWKREPORT-206</v>
      </c>
      <c r="C3250" s="1" t="s">
        <v>4576</v>
      </c>
      <c r="D3250" s="1" t="s">
        <v>23</v>
      </c>
      <c r="E3250" s="1" t="s">
        <v>35</v>
      </c>
      <c r="F3250" s="4">
        <v>43665.52234953704</v>
      </c>
      <c r="G3250" s="3" t="str">
        <f>HYPERLINK("https://hawk-eye.atlassian.net/browse/RTT-1165?atlOrigin=eyJpIjoiYzgwYTQ0ZjEyNzQzNGJhN2JmNjEyZTM0NmRhZWZhNjIiLCJwIjoic2hlZXRzLWppcmEifQ","RTT-1165")</f>
        <v>RTT-1165</v>
      </c>
      <c r="H3250" s="1" t="s">
        <v>1058</v>
      </c>
      <c r="I3250" s="1" t="s">
        <v>1071</v>
      </c>
      <c r="J3250" s="1" t="s">
        <v>26</v>
      </c>
      <c r="K3250" s="1" t="s">
        <v>26</v>
      </c>
      <c r="L3250" s="1" t="s">
        <v>26</v>
      </c>
      <c r="M3250" s="1" t="s">
        <v>27</v>
      </c>
      <c r="N3250" s="1" t="s">
        <v>26</v>
      </c>
      <c r="O3250" s="1" t="s">
        <v>26</v>
      </c>
      <c r="P3250" s="4">
        <v>43718.700057870374</v>
      </c>
    </row>
    <row r="3251" hidden="1">
      <c r="A3251" s="1" t="s">
        <v>21</v>
      </c>
      <c r="B3251" s="3" t="str">
        <f>HYPERLINK("https://hawk-eye.atlassian.net/browse/HWKREPORT-207?atlOrigin=eyJpIjoiYzgwYTQ0ZjEyNzQzNGJhN2JmNjEyZTM0NmRhZWZhNjIiLCJwIjoic2hlZXRzLWppcmEifQ","HWKREPORT-207")</f>
        <v>HWKREPORT-207</v>
      </c>
      <c r="C3251" s="1" t="s">
        <v>4577</v>
      </c>
      <c r="D3251" s="1" t="s">
        <v>23</v>
      </c>
      <c r="E3251" s="1" t="s">
        <v>35</v>
      </c>
      <c r="F3251" s="4">
        <v>43668.465416666666</v>
      </c>
      <c r="G3251" s="3" t="str">
        <f>HYPERLINK("https://hawk-eye.atlassian.net/browse/RTT-1134?atlOrigin=eyJpIjoiYzgwYTQ0ZjEyNzQzNGJhN2JmNjEyZTM0NmRhZWZhNjIiLCJwIjoic2hlZXRzLWppcmEifQ","RTT-1134")</f>
        <v>RTT-1134</v>
      </c>
      <c r="H3251" s="1" t="s">
        <v>1058</v>
      </c>
      <c r="I3251" s="1" t="s">
        <v>1071</v>
      </c>
      <c r="J3251" s="1" t="s">
        <v>26</v>
      </c>
      <c r="K3251" s="1" t="s">
        <v>1309</v>
      </c>
      <c r="L3251" s="1" t="s">
        <v>26</v>
      </c>
      <c r="M3251" s="1" t="s">
        <v>27</v>
      </c>
      <c r="N3251" s="1" t="s">
        <v>26</v>
      </c>
      <c r="O3251" s="1" t="s">
        <v>26</v>
      </c>
      <c r="P3251" s="4">
        <v>43684.5580787037</v>
      </c>
    </row>
    <row r="3252" hidden="1">
      <c r="A3252" s="1" t="s">
        <v>21</v>
      </c>
      <c r="B3252" s="3" t="str">
        <f>HYPERLINK("https://hawk-eye.atlassian.net/browse/HWKREPORT-208?atlOrigin=eyJpIjoiYzgwYTQ0ZjEyNzQzNGJhN2JmNjEyZTM0NmRhZWZhNjIiLCJwIjoic2hlZXRzLWppcmEifQ","HWKREPORT-208")</f>
        <v>HWKREPORT-208</v>
      </c>
      <c r="C3252" s="1" t="s">
        <v>4578</v>
      </c>
      <c r="D3252" s="1" t="s">
        <v>23</v>
      </c>
      <c r="E3252" s="1" t="s">
        <v>35</v>
      </c>
      <c r="F3252" s="4">
        <v>43668.46616898148</v>
      </c>
      <c r="G3252" s="3" t="str">
        <f>HYPERLINK("https://hawk-eye.atlassian.net/browse/RTT-1135?atlOrigin=eyJpIjoiYzgwYTQ0ZjEyNzQzNGJhN2JmNjEyZTM0NmRhZWZhNjIiLCJwIjoic2hlZXRzLWppcmEifQ","RTT-1135")</f>
        <v>RTT-1135</v>
      </c>
      <c r="H3252" s="1" t="s">
        <v>1058</v>
      </c>
      <c r="I3252" s="1" t="s">
        <v>1071</v>
      </c>
      <c r="J3252" s="1" t="s">
        <v>26</v>
      </c>
      <c r="K3252" s="1" t="s">
        <v>1309</v>
      </c>
      <c r="L3252" s="1" t="s">
        <v>26</v>
      </c>
      <c r="M3252" s="1" t="s">
        <v>27</v>
      </c>
      <c r="N3252" s="1" t="s">
        <v>26</v>
      </c>
      <c r="O3252" s="1" t="s">
        <v>26</v>
      </c>
      <c r="P3252" s="4">
        <v>43684.55820601852</v>
      </c>
    </row>
    <row r="3253" hidden="1">
      <c r="A3253" s="1" t="s">
        <v>21</v>
      </c>
      <c r="B3253" s="3" t="str">
        <f>HYPERLINK("https://hawk-eye.atlassian.net/browse/HWKREPORT-209?atlOrigin=eyJpIjoiYzgwYTQ0ZjEyNzQzNGJhN2JmNjEyZTM0NmRhZWZhNjIiLCJwIjoic2hlZXRzLWppcmEifQ","HWKREPORT-209")</f>
        <v>HWKREPORT-209</v>
      </c>
      <c r="C3253" s="1" t="s">
        <v>4579</v>
      </c>
      <c r="D3253" s="1" t="s">
        <v>23</v>
      </c>
      <c r="E3253" s="1" t="s">
        <v>35</v>
      </c>
      <c r="F3253" s="4">
        <v>43668.4669212963</v>
      </c>
      <c r="G3253" s="3" t="str">
        <f>HYPERLINK("https://hawk-eye.atlassian.net/browse/RTT-1136?atlOrigin=eyJpIjoiYzgwYTQ0ZjEyNzQzNGJhN2JmNjEyZTM0NmRhZWZhNjIiLCJwIjoic2hlZXRzLWppcmEifQ","RTT-1136")</f>
        <v>RTT-1136</v>
      </c>
      <c r="H3253" s="1" t="s">
        <v>1058</v>
      </c>
      <c r="I3253" s="1" t="s">
        <v>1071</v>
      </c>
      <c r="J3253" s="1" t="s">
        <v>26</v>
      </c>
      <c r="K3253" s="1" t="s">
        <v>1309</v>
      </c>
      <c r="L3253" s="1" t="s">
        <v>26</v>
      </c>
      <c r="M3253" s="1" t="s">
        <v>27</v>
      </c>
      <c r="N3253" s="1" t="s">
        <v>26</v>
      </c>
      <c r="O3253" s="1" t="s">
        <v>26</v>
      </c>
      <c r="P3253" s="4">
        <v>44068.797268518516</v>
      </c>
    </row>
    <row r="3254" hidden="1">
      <c r="A3254" s="1" t="s">
        <v>21</v>
      </c>
      <c r="B3254" s="3" t="str">
        <f>HYPERLINK("https://hawk-eye.atlassian.net/browse/HWKREPORT-210?atlOrigin=eyJpIjoiYzgwYTQ0ZjEyNzQzNGJhN2JmNjEyZTM0NmRhZWZhNjIiLCJwIjoic2hlZXRzLWppcmEifQ","HWKREPORT-210")</f>
        <v>HWKREPORT-210</v>
      </c>
      <c r="C3254" s="1" t="s">
        <v>4580</v>
      </c>
      <c r="D3254" s="1" t="s">
        <v>34</v>
      </c>
      <c r="E3254" s="1" t="s">
        <v>1057</v>
      </c>
      <c r="F3254" s="4">
        <v>43670.03126157408</v>
      </c>
      <c r="G3254" s="3" t="str">
        <f t="shared" ref="G3254:G3255" si="226">HYPERLINK("https://hawk-eye.atlassian.net/browse/?atlOrigin=eyJpIjoiYzgwYTQ0ZjEyNzQzNGJhN2JmNjEyZTM0NmRhZWZhNjIiLCJwIjoic2hlZXRzLWppcmEifQ","")</f>
        <v/>
      </c>
      <c r="H3254" s="1" t="s">
        <v>1058</v>
      </c>
      <c r="I3254" s="1" t="s">
        <v>1126</v>
      </c>
      <c r="J3254" s="1" t="s">
        <v>26</v>
      </c>
      <c r="K3254" s="1" t="s">
        <v>4581</v>
      </c>
      <c r="L3254" s="1" t="s">
        <v>26</v>
      </c>
      <c r="M3254" s="1" t="s">
        <v>27</v>
      </c>
      <c r="N3254" s="1" t="s">
        <v>26</v>
      </c>
      <c r="O3254" s="1" t="s">
        <v>26</v>
      </c>
      <c r="P3254" s="4">
        <v>43670.03126157408</v>
      </c>
    </row>
    <row r="3255" hidden="1">
      <c r="A3255" s="1" t="s">
        <v>21</v>
      </c>
      <c r="B3255" s="3" t="str">
        <f>HYPERLINK("https://hawk-eye.atlassian.net/browse/HWKREPORT-211?atlOrigin=eyJpIjoiYzgwYTQ0ZjEyNzQzNGJhN2JmNjEyZTM0NmRhZWZhNjIiLCJwIjoic2hlZXRzLWppcmEifQ","HWKREPORT-211")</f>
        <v>HWKREPORT-211</v>
      </c>
      <c r="C3255" s="1" t="s">
        <v>4582</v>
      </c>
      <c r="D3255" s="1" t="s">
        <v>34</v>
      </c>
      <c r="E3255" s="1" t="s">
        <v>35</v>
      </c>
      <c r="F3255" s="4">
        <v>43670.94565972222</v>
      </c>
      <c r="G3255" s="3" t="str">
        <f t="shared" si="226"/>
        <v/>
      </c>
      <c r="H3255" s="1" t="s">
        <v>1058</v>
      </c>
      <c r="I3255" s="1" t="s">
        <v>1071</v>
      </c>
      <c r="J3255" s="1" t="s">
        <v>26</v>
      </c>
      <c r="K3255" s="1" t="s">
        <v>1116</v>
      </c>
      <c r="L3255" s="1" t="s">
        <v>26</v>
      </c>
      <c r="M3255" s="1" t="s">
        <v>27</v>
      </c>
      <c r="N3255" s="1" t="s">
        <v>26</v>
      </c>
      <c r="O3255" s="1" t="s">
        <v>26</v>
      </c>
      <c r="P3255" s="4">
        <v>44069.541134259256</v>
      </c>
    </row>
    <row r="3256" hidden="1">
      <c r="A3256" s="1" t="s">
        <v>21</v>
      </c>
      <c r="B3256" s="3" t="str">
        <f>HYPERLINK("https://hawk-eye.atlassian.net/browse/HWKREPORT-212?atlOrigin=eyJpIjoiYzgwYTQ0ZjEyNzQzNGJhN2JmNjEyZTM0NmRhZWZhNjIiLCJwIjoic2hlZXRzLWppcmEifQ","HWKREPORT-212")</f>
        <v>HWKREPORT-212</v>
      </c>
      <c r="C3256" s="1" t="s">
        <v>4583</v>
      </c>
      <c r="D3256" s="1" t="s">
        <v>23</v>
      </c>
      <c r="E3256" s="1" t="s">
        <v>35</v>
      </c>
      <c r="F3256" s="4">
        <v>43675.597708333335</v>
      </c>
      <c r="G3256" s="3" t="str">
        <f>HYPERLINK("https://hawk-eye.atlassian.net/browse/RTT-1150?atlOrigin=eyJpIjoiYzgwYTQ0ZjEyNzQzNGJhN2JmNjEyZTM0NmRhZWZhNjIiLCJwIjoic2hlZXRzLWppcmEifQ","RTT-1150")</f>
        <v>RTT-1150</v>
      </c>
      <c r="H3256" s="1" t="s">
        <v>1058</v>
      </c>
      <c r="I3256" s="1" t="s">
        <v>1071</v>
      </c>
      <c r="J3256" s="1" t="s">
        <v>26</v>
      </c>
      <c r="K3256" s="1" t="s">
        <v>1312</v>
      </c>
      <c r="L3256" s="1" t="s">
        <v>26</v>
      </c>
      <c r="M3256" s="1" t="s">
        <v>27</v>
      </c>
      <c r="N3256" s="1" t="s">
        <v>26</v>
      </c>
      <c r="O3256" s="1" t="s">
        <v>26</v>
      </c>
      <c r="P3256" s="4">
        <v>44068.79736111111</v>
      </c>
    </row>
    <row r="3257" hidden="1">
      <c r="A3257" s="1" t="s">
        <v>1055</v>
      </c>
      <c r="B3257" s="3" t="str">
        <f>HYPERLINK("https://hawk-eye.atlassian.net/browse/HWKREPORT-213?atlOrigin=eyJpIjoiYzgwYTQ0ZjEyNzQzNGJhN2JmNjEyZTM0NmRhZWZhNjIiLCJwIjoic2hlZXRzLWppcmEifQ","HWKREPORT-213")</f>
        <v>HWKREPORT-213</v>
      </c>
      <c r="C3257" s="1" t="s">
        <v>4584</v>
      </c>
      <c r="D3257" s="1" t="s">
        <v>23</v>
      </c>
      <c r="E3257" s="1" t="s">
        <v>35</v>
      </c>
      <c r="F3257" s="4">
        <v>43686.39407407407</v>
      </c>
      <c r="G3257" s="3" t="str">
        <f>HYPERLINK("https://hawk-eye.atlassian.net/browse/RTT-1034?atlOrigin=eyJpIjoiYzgwYTQ0ZjEyNzQzNGJhN2JmNjEyZTM0NmRhZWZhNjIiLCJwIjoic2hlZXRzLWppcmEifQ","RTT-1034")</f>
        <v>RTT-1034</v>
      </c>
      <c r="H3257" s="1" t="s">
        <v>1058</v>
      </c>
      <c r="I3257" s="1" t="s">
        <v>1071</v>
      </c>
      <c r="J3257" s="1" t="s">
        <v>26</v>
      </c>
      <c r="K3257" s="1" t="s">
        <v>1545</v>
      </c>
      <c r="L3257" s="1" t="s">
        <v>26</v>
      </c>
      <c r="M3257" s="1" t="s">
        <v>27</v>
      </c>
      <c r="N3257" s="1" t="s">
        <v>26</v>
      </c>
      <c r="O3257" s="1" t="s">
        <v>26</v>
      </c>
      <c r="P3257" s="4">
        <v>43718.69929398148</v>
      </c>
    </row>
    <row r="3258" hidden="1">
      <c r="A3258" s="1" t="s">
        <v>1055</v>
      </c>
      <c r="B3258" s="3" t="str">
        <f>HYPERLINK("https://hawk-eye.atlassian.net/browse/HWKREPORT-214?atlOrigin=eyJpIjoiYzgwYTQ0ZjEyNzQzNGJhN2JmNjEyZTM0NmRhZWZhNjIiLCJwIjoic2hlZXRzLWppcmEifQ","HWKREPORT-214")</f>
        <v>HWKREPORT-214</v>
      </c>
      <c r="C3258" s="1" t="s">
        <v>4585</v>
      </c>
      <c r="D3258" s="1" t="s">
        <v>23</v>
      </c>
      <c r="E3258" s="1" t="s">
        <v>35</v>
      </c>
      <c r="F3258" s="4">
        <v>43686.397152777776</v>
      </c>
      <c r="G3258" s="3" t="str">
        <f>HYPERLINK("https://hawk-eye.atlassian.net/browse/RTT-1185?atlOrigin=eyJpIjoiYzgwYTQ0ZjEyNzQzNGJhN2JmNjEyZTM0NmRhZWZhNjIiLCJwIjoic2hlZXRzLWppcmEifQ","RTT-1185")</f>
        <v>RTT-1185</v>
      </c>
      <c r="H3258" s="1" t="s">
        <v>1058</v>
      </c>
      <c r="I3258" s="1" t="s">
        <v>1071</v>
      </c>
      <c r="J3258" s="1" t="s">
        <v>26</v>
      </c>
      <c r="K3258" s="1" t="s">
        <v>1312</v>
      </c>
      <c r="L3258" s="1" t="s">
        <v>26</v>
      </c>
      <c r="M3258" s="1" t="s">
        <v>27</v>
      </c>
      <c r="N3258" s="1" t="s">
        <v>26</v>
      </c>
      <c r="O3258" s="1" t="s">
        <v>26</v>
      </c>
      <c r="P3258" s="4">
        <v>44068.79740740741</v>
      </c>
    </row>
    <row r="3259" hidden="1">
      <c r="A3259" s="1" t="s">
        <v>21</v>
      </c>
      <c r="B3259" s="3" t="str">
        <f>HYPERLINK("https://hawk-eye.atlassian.net/browse/HWKREPORT-215?atlOrigin=eyJpIjoiYzgwYTQ0ZjEyNzQzNGJhN2JmNjEyZTM0NmRhZWZhNjIiLCJwIjoic2hlZXRzLWppcmEifQ","HWKREPORT-215")</f>
        <v>HWKREPORT-215</v>
      </c>
      <c r="C3259" s="1" t="s">
        <v>4586</v>
      </c>
      <c r="D3259" s="1" t="s">
        <v>40</v>
      </c>
      <c r="E3259" s="1" t="s">
        <v>35</v>
      </c>
      <c r="F3259" s="4">
        <v>43693.68273148148</v>
      </c>
      <c r="G3259" s="3" t="str">
        <f>HYPERLINK("https://hawk-eye.atlassian.net/browse/CVR-54?atlOrigin=eyJpIjoiYzgwYTQ0ZjEyNzQzNGJhN2JmNjEyZTM0NmRhZWZhNjIiLCJwIjoic2hlZXRzLWppcmEifQ","CVR-54")</f>
        <v>CVR-54</v>
      </c>
      <c r="H3259" s="1" t="s">
        <v>1058</v>
      </c>
      <c r="I3259" s="1" t="s">
        <v>1082</v>
      </c>
      <c r="J3259" s="1" t="s">
        <v>26</v>
      </c>
      <c r="K3259" s="1" t="s">
        <v>1744</v>
      </c>
      <c r="L3259" s="1" t="s">
        <v>26</v>
      </c>
      <c r="M3259" s="1" t="s">
        <v>27</v>
      </c>
      <c r="N3259" s="1" t="s">
        <v>26</v>
      </c>
      <c r="O3259" s="1" t="s">
        <v>26</v>
      </c>
      <c r="P3259" s="4">
        <v>43699.490381944444</v>
      </c>
    </row>
    <row r="3260" hidden="1">
      <c r="A3260" s="1" t="s">
        <v>21</v>
      </c>
      <c r="B3260" s="3" t="str">
        <f>HYPERLINK("https://hawk-eye.atlassian.net/browse/HWKREPORT-216?atlOrigin=eyJpIjoiYzgwYTQ0ZjEyNzQzNGJhN2JmNjEyZTM0NmRhZWZhNjIiLCJwIjoic2hlZXRzLWppcmEifQ","HWKREPORT-216")</f>
        <v>HWKREPORT-216</v>
      </c>
      <c r="C3260" s="1" t="s">
        <v>4587</v>
      </c>
      <c r="D3260" s="1" t="s">
        <v>23</v>
      </c>
      <c r="E3260" s="1" t="s">
        <v>35</v>
      </c>
      <c r="F3260" s="4">
        <v>43704.7259837963</v>
      </c>
      <c r="G3260" s="3" t="str">
        <f>HYPERLINK("https://hawk-eye.atlassian.net/browse/?atlOrigin=eyJpIjoiYzgwYTQ0ZjEyNzQzNGJhN2JmNjEyZTM0NmRhZWZhNjIiLCJwIjoic2hlZXRzLWppcmEifQ","")</f>
        <v/>
      </c>
      <c r="H3260" s="1" t="s">
        <v>1058</v>
      </c>
      <c r="I3260" s="1" t="s">
        <v>1071</v>
      </c>
      <c r="J3260" s="1" t="s">
        <v>26</v>
      </c>
      <c r="K3260" s="1" t="s">
        <v>1362</v>
      </c>
      <c r="L3260" s="1" t="s">
        <v>26</v>
      </c>
      <c r="M3260" s="1" t="s">
        <v>27</v>
      </c>
      <c r="N3260" s="1" t="s">
        <v>26</v>
      </c>
      <c r="O3260" s="1" t="s">
        <v>26</v>
      </c>
      <c r="P3260" s="4">
        <v>43840.69414351852</v>
      </c>
    </row>
    <row r="3261" hidden="1">
      <c r="A3261" s="1" t="s">
        <v>21</v>
      </c>
      <c r="B3261" s="3" t="str">
        <f>HYPERLINK("https://hawk-eye.atlassian.net/browse/HWKREPORT-217?atlOrigin=eyJpIjoiYzgwYTQ0ZjEyNzQzNGJhN2JmNjEyZTM0NmRhZWZhNjIiLCJwIjoic2hlZXRzLWppcmEifQ","HWKREPORT-217")</f>
        <v>HWKREPORT-217</v>
      </c>
      <c r="C3261" s="1" t="s">
        <v>4588</v>
      </c>
      <c r="D3261" s="1" t="s">
        <v>34</v>
      </c>
      <c r="E3261" s="1" t="s">
        <v>35</v>
      </c>
      <c r="F3261" s="4">
        <v>43709.73810185185</v>
      </c>
      <c r="G3261" s="3" t="str">
        <f>HYPERLINK("https://hawk-eye.atlassian.net/browse/RTTDB-36?atlOrigin=eyJpIjoiYzgwYTQ0ZjEyNzQzNGJhN2JmNjEyZTM0NmRhZWZhNjIiLCJwIjoic2hlZXRzLWppcmEifQ","RTTDB-36")</f>
        <v>RTTDB-36</v>
      </c>
      <c r="H3261" s="1" t="s">
        <v>1058</v>
      </c>
      <c r="I3261" s="1" t="s">
        <v>1126</v>
      </c>
      <c r="J3261" s="1" t="s">
        <v>26</v>
      </c>
      <c r="K3261" s="1" t="s">
        <v>1127</v>
      </c>
      <c r="L3261" s="1" t="s">
        <v>26</v>
      </c>
      <c r="M3261" s="1" t="s">
        <v>27</v>
      </c>
      <c r="N3261" s="1" t="s">
        <v>26</v>
      </c>
      <c r="O3261" s="1" t="s">
        <v>26</v>
      </c>
      <c r="P3261" s="4">
        <v>44166.7478587963</v>
      </c>
    </row>
    <row r="3262" hidden="1">
      <c r="A3262" s="1" t="s">
        <v>1055</v>
      </c>
      <c r="B3262" s="3" t="str">
        <f>HYPERLINK("https://hawk-eye.atlassian.net/browse/HWKREPORT-218?atlOrigin=eyJpIjoiYzgwYTQ0ZjEyNzQzNGJhN2JmNjEyZTM0NmRhZWZhNjIiLCJwIjoic2hlZXRzLWppcmEifQ","HWKREPORT-218")</f>
        <v>HWKREPORT-218</v>
      </c>
      <c r="C3262" s="1" t="s">
        <v>4589</v>
      </c>
      <c r="D3262" s="1" t="s">
        <v>23</v>
      </c>
      <c r="E3262" s="1" t="s">
        <v>35</v>
      </c>
      <c r="F3262" s="4">
        <v>43724.16190972222</v>
      </c>
      <c r="G3262" s="3" t="str">
        <f t="shared" ref="G3262:G3263" si="227">HYPERLINK("https://hawk-eye.atlassian.net/browse/?atlOrigin=eyJpIjoiYzgwYTQ0ZjEyNzQzNGJhN2JmNjEyZTM0NmRhZWZhNjIiLCJwIjoic2hlZXRzLWppcmEifQ","")</f>
        <v/>
      </c>
      <c r="H3262" s="1" t="s">
        <v>1058</v>
      </c>
      <c r="I3262" s="1" t="s">
        <v>1126</v>
      </c>
      <c r="J3262" s="1" t="s">
        <v>26</v>
      </c>
      <c r="K3262" s="1" t="s">
        <v>1573</v>
      </c>
      <c r="L3262" s="1" t="s">
        <v>26</v>
      </c>
      <c r="M3262" s="1" t="s">
        <v>27</v>
      </c>
      <c r="N3262" s="1" t="s">
        <v>26</v>
      </c>
      <c r="O3262" s="1" t="s">
        <v>26</v>
      </c>
      <c r="P3262" s="4">
        <v>43806.614120370374</v>
      </c>
    </row>
    <row r="3263" hidden="1">
      <c r="A3263" s="1" t="s">
        <v>1055</v>
      </c>
      <c r="B3263" s="3" t="str">
        <f>HYPERLINK("https://hawk-eye.atlassian.net/browse/HWKREPORT-219?atlOrigin=eyJpIjoiYzgwYTQ0ZjEyNzQzNGJhN2JmNjEyZTM0NmRhZWZhNjIiLCJwIjoic2hlZXRzLWppcmEifQ","HWKREPORT-219")</f>
        <v>HWKREPORT-219</v>
      </c>
      <c r="C3263" s="1" t="s">
        <v>4590</v>
      </c>
      <c r="D3263" s="1" t="s">
        <v>23</v>
      </c>
      <c r="E3263" s="1" t="s">
        <v>35</v>
      </c>
      <c r="F3263" s="4">
        <v>43724.19483796296</v>
      </c>
      <c r="G3263" s="3" t="str">
        <f t="shared" si="227"/>
        <v/>
      </c>
      <c r="H3263" s="1" t="s">
        <v>1058</v>
      </c>
      <c r="I3263" s="1" t="s">
        <v>1126</v>
      </c>
      <c r="J3263" s="1" t="s">
        <v>26</v>
      </c>
      <c r="K3263" s="1" t="s">
        <v>4591</v>
      </c>
      <c r="L3263" s="1" t="s">
        <v>26</v>
      </c>
      <c r="M3263" s="1" t="s">
        <v>27</v>
      </c>
      <c r="N3263" s="1" t="s">
        <v>26</v>
      </c>
      <c r="O3263" s="1" t="s">
        <v>26</v>
      </c>
      <c r="P3263" s="4">
        <v>43804.70805555556</v>
      </c>
    </row>
    <row r="3264" hidden="1">
      <c r="A3264" s="1" t="s">
        <v>21</v>
      </c>
      <c r="B3264" s="3" t="str">
        <f>HYPERLINK("https://hawk-eye.atlassian.net/browse/HWKREPORT-220?atlOrigin=eyJpIjoiYzgwYTQ0ZjEyNzQzNGJhN2JmNjEyZTM0NmRhZWZhNjIiLCJwIjoic2hlZXRzLWppcmEifQ","HWKREPORT-220")</f>
        <v>HWKREPORT-220</v>
      </c>
      <c r="C3264" s="1" t="s">
        <v>4592</v>
      </c>
      <c r="D3264" s="1" t="s">
        <v>40</v>
      </c>
      <c r="E3264" s="1" t="s">
        <v>35</v>
      </c>
      <c r="F3264" s="4">
        <v>43725.62021990741</v>
      </c>
      <c r="G3264" s="3" t="str">
        <f>HYPERLINK("https://hawk-eye.atlassian.net/browse/RTT-1284?atlOrigin=eyJpIjoiYzgwYTQ0ZjEyNzQzNGJhN2JmNjEyZTM0NmRhZWZhNjIiLCJwIjoic2hlZXRzLWppcmEifQ","RTT-1284")</f>
        <v>RTT-1284</v>
      </c>
      <c r="H3264" s="1" t="s">
        <v>1058</v>
      </c>
      <c r="I3264" s="1" t="s">
        <v>1126</v>
      </c>
      <c r="J3264" s="1" t="s">
        <v>26</v>
      </c>
      <c r="K3264" s="1" t="s">
        <v>1545</v>
      </c>
      <c r="L3264" s="1" t="s">
        <v>26</v>
      </c>
      <c r="M3264" s="1" t="s">
        <v>27</v>
      </c>
      <c r="N3264" s="1" t="s">
        <v>26</v>
      </c>
      <c r="O3264" s="1" t="s">
        <v>26</v>
      </c>
      <c r="P3264" s="4">
        <v>44068.79740740741</v>
      </c>
    </row>
    <row r="3265" hidden="1">
      <c r="A3265" s="1" t="s">
        <v>21</v>
      </c>
      <c r="B3265" s="3" t="str">
        <f>HYPERLINK("https://hawk-eye.atlassian.net/browse/HWKREPORT-221?atlOrigin=eyJpIjoiYzgwYTQ0ZjEyNzQzNGJhN2JmNjEyZTM0NmRhZWZhNjIiLCJwIjoic2hlZXRzLWppcmEifQ","HWKREPORT-221")</f>
        <v>HWKREPORT-221</v>
      </c>
      <c r="C3265" s="1" t="s">
        <v>4593</v>
      </c>
      <c r="D3265" s="1" t="s">
        <v>23</v>
      </c>
      <c r="E3265" s="1" t="s">
        <v>35</v>
      </c>
      <c r="F3265" s="4">
        <v>43731.84259259259</v>
      </c>
      <c r="G3265" s="3" t="str">
        <f>HYPERLINK("https://hawk-eye.atlassian.net/browse/RTT-1293?atlOrigin=eyJpIjoiYzgwYTQ0ZjEyNzQzNGJhN2JmNjEyZTM0NmRhZWZhNjIiLCJwIjoic2hlZXRzLWppcmEifQ","RTT-1293")</f>
        <v>RTT-1293</v>
      </c>
      <c r="H3265" s="1" t="s">
        <v>1058</v>
      </c>
      <c r="I3265" s="1" t="s">
        <v>1071</v>
      </c>
      <c r="J3265" s="1" t="s">
        <v>26</v>
      </c>
      <c r="K3265" s="1" t="s">
        <v>1309</v>
      </c>
      <c r="L3265" s="1" t="s">
        <v>26</v>
      </c>
      <c r="M3265" s="1" t="s">
        <v>27</v>
      </c>
      <c r="N3265" s="1" t="s">
        <v>26</v>
      </c>
      <c r="O3265" s="1" t="s">
        <v>26</v>
      </c>
      <c r="P3265" s="4">
        <v>44068.797488425924</v>
      </c>
    </row>
    <row r="3266" hidden="1">
      <c r="A3266" s="1" t="s">
        <v>21</v>
      </c>
      <c r="B3266" s="3" t="str">
        <f>HYPERLINK("https://hawk-eye.atlassian.net/browse/HWKREPORT-222?atlOrigin=eyJpIjoiYzgwYTQ0ZjEyNzQzNGJhN2JmNjEyZTM0NmRhZWZhNjIiLCJwIjoic2hlZXRzLWppcmEifQ","HWKREPORT-222")</f>
        <v>HWKREPORT-222</v>
      </c>
      <c r="C3266" s="1" t="s">
        <v>4594</v>
      </c>
      <c r="D3266" s="1" t="s">
        <v>23</v>
      </c>
      <c r="E3266" s="1" t="s">
        <v>35</v>
      </c>
      <c r="F3266" s="4">
        <v>43732.85487268519</v>
      </c>
      <c r="G3266" s="3" t="str">
        <f>HYPERLINK("https://hawk-eye.atlassian.net/browse/RTT-1296?atlOrigin=eyJpIjoiYzgwYTQ0ZjEyNzQzNGJhN2JmNjEyZTM0NmRhZWZhNjIiLCJwIjoic2hlZXRzLWppcmEifQ","RTT-1296")</f>
        <v>RTT-1296</v>
      </c>
      <c r="H3266" s="1" t="s">
        <v>1058</v>
      </c>
      <c r="I3266" s="1" t="s">
        <v>1071</v>
      </c>
      <c r="J3266" s="1" t="s">
        <v>26</v>
      </c>
      <c r="K3266" s="1" t="s">
        <v>1309</v>
      </c>
      <c r="L3266" s="1" t="s">
        <v>26</v>
      </c>
      <c r="M3266" s="1" t="s">
        <v>27</v>
      </c>
      <c r="N3266" s="1" t="s">
        <v>26</v>
      </c>
      <c r="O3266" s="1" t="s">
        <v>26</v>
      </c>
      <c r="P3266" s="4">
        <v>44068.797372685185</v>
      </c>
    </row>
    <row r="3267" hidden="1">
      <c r="A3267" s="1" t="s">
        <v>21</v>
      </c>
      <c r="B3267" s="3" t="str">
        <f>HYPERLINK("https://hawk-eye.atlassian.net/browse/HWKREPORT-223?atlOrigin=eyJpIjoiYzgwYTQ0ZjEyNzQzNGJhN2JmNjEyZTM0NmRhZWZhNjIiLCJwIjoic2hlZXRzLWppcmEifQ","HWKREPORT-223")</f>
        <v>HWKREPORT-223</v>
      </c>
      <c r="C3267" s="1" t="s">
        <v>4595</v>
      </c>
      <c r="D3267" s="1" t="s">
        <v>23</v>
      </c>
      <c r="E3267" s="1" t="s">
        <v>35</v>
      </c>
      <c r="F3267" s="4">
        <v>43733.78548611111</v>
      </c>
      <c r="G3267" s="3" t="str">
        <f>HYPERLINK("https://hawk-eye.atlassian.net/browse/MLT-719?atlOrigin=eyJpIjoiYzgwYTQ0ZjEyNzQzNGJhN2JmNjEyZTM0NmRhZWZhNjIiLCJwIjoic2hlZXRzLWppcmEifQ","MLT-719")</f>
        <v>MLT-719</v>
      </c>
      <c r="H3267" s="1" t="s">
        <v>1058</v>
      </c>
      <c r="I3267" s="1" t="s">
        <v>1126</v>
      </c>
      <c r="J3267" s="1" t="s">
        <v>26</v>
      </c>
      <c r="K3267" s="1" t="s">
        <v>1312</v>
      </c>
      <c r="L3267" s="1" t="s">
        <v>26</v>
      </c>
      <c r="M3267" s="1" t="s">
        <v>27</v>
      </c>
      <c r="N3267" s="1" t="s">
        <v>26</v>
      </c>
      <c r="O3267" s="1" t="s">
        <v>26</v>
      </c>
      <c r="P3267" s="4">
        <v>44600.87482638889</v>
      </c>
    </row>
    <row r="3268" hidden="1">
      <c r="A3268" s="1" t="s">
        <v>21</v>
      </c>
      <c r="B3268" s="3" t="str">
        <f>HYPERLINK("https://hawk-eye.atlassian.net/browse/HWKREPORT-224?atlOrigin=eyJpIjoiYzgwYTQ0ZjEyNzQzNGJhN2JmNjEyZTM0NmRhZWZhNjIiLCJwIjoic2hlZXRzLWppcmEifQ","HWKREPORT-224")</f>
        <v>HWKREPORT-224</v>
      </c>
      <c r="C3268" s="1" t="s">
        <v>4596</v>
      </c>
      <c r="D3268" s="1" t="s">
        <v>23</v>
      </c>
      <c r="E3268" s="1" t="s">
        <v>35</v>
      </c>
      <c r="F3268" s="4">
        <v>43735.60204861111</v>
      </c>
      <c r="G3268" s="3" t="str">
        <f>HYPERLINK("https://hawk-eye.atlassian.net/browse/RTT-1314?atlOrigin=eyJpIjoiYzgwYTQ0ZjEyNzQzNGJhN2JmNjEyZTM0NmRhZWZhNjIiLCJwIjoic2hlZXRzLWppcmEifQ","RTT-1314")</f>
        <v>RTT-1314</v>
      </c>
      <c r="H3268" s="1" t="s">
        <v>1058</v>
      </c>
      <c r="I3268" s="1" t="s">
        <v>1071</v>
      </c>
      <c r="J3268" s="1" t="s">
        <v>26</v>
      </c>
      <c r="K3268" s="1" t="s">
        <v>1362</v>
      </c>
      <c r="L3268" s="1" t="s">
        <v>26</v>
      </c>
      <c r="M3268" s="1" t="s">
        <v>27</v>
      </c>
      <c r="N3268" s="1" t="s">
        <v>26</v>
      </c>
      <c r="O3268" s="1" t="s">
        <v>26</v>
      </c>
      <c r="P3268" s="4">
        <v>44068.79752314815</v>
      </c>
    </row>
    <row r="3269" hidden="1">
      <c r="A3269" s="1" t="s">
        <v>21</v>
      </c>
      <c r="B3269" s="3" t="str">
        <f>HYPERLINK("https://hawk-eye.atlassian.net/browse/HWKREPORT-225?atlOrigin=eyJpIjoiYzgwYTQ0ZjEyNzQzNGJhN2JmNjEyZTM0NmRhZWZhNjIiLCJwIjoic2hlZXRzLWppcmEifQ","HWKREPORT-225")</f>
        <v>HWKREPORT-225</v>
      </c>
      <c r="C3269" s="1" t="s">
        <v>4597</v>
      </c>
      <c r="D3269" s="1" t="s">
        <v>23</v>
      </c>
      <c r="E3269" s="1" t="s">
        <v>35</v>
      </c>
      <c r="F3269" s="4">
        <v>43735.72295138889</v>
      </c>
      <c r="G3269" s="3" t="str">
        <f>HYPERLINK("https://hawk-eye.atlassian.net/browse/RTT-1320?atlOrigin=eyJpIjoiYzgwYTQ0ZjEyNzQzNGJhN2JmNjEyZTM0NmRhZWZhNjIiLCJwIjoic2hlZXRzLWppcmEifQ","RTT-1320")</f>
        <v>RTT-1320</v>
      </c>
      <c r="H3269" s="1" t="s">
        <v>1058</v>
      </c>
      <c r="I3269" s="1" t="s">
        <v>1071</v>
      </c>
      <c r="J3269" s="1" t="s">
        <v>26</v>
      </c>
      <c r="K3269" s="1" t="s">
        <v>1362</v>
      </c>
      <c r="L3269" s="1" t="s">
        <v>26</v>
      </c>
      <c r="M3269" s="1" t="s">
        <v>27</v>
      </c>
      <c r="N3269" s="1" t="s">
        <v>26</v>
      </c>
      <c r="O3269" s="1" t="s">
        <v>26</v>
      </c>
      <c r="P3269" s="4">
        <v>44068.7975</v>
      </c>
    </row>
    <row r="3270" hidden="1">
      <c r="A3270" s="1" t="s">
        <v>21</v>
      </c>
      <c r="B3270" s="3" t="str">
        <f>HYPERLINK("https://hawk-eye.atlassian.net/browse/HWKREPORT-226?atlOrigin=eyJpIjoiYzgwYTQ0ZjEyNzQzNGJhN2JmNjEyZTM0NmRhZWZhNjIiLCJwIjoic2hlZXRzLWppcmEifQ","HWKREPORT-226")</f>
        <v>HWKREPORT-226</v>
      </c>
      <c r="C3270" s="1" t="s">
        <v>4598</v>
      </c>
      <c r="D3270" s="1" t="s">
        <v>40</v>
      </c>
      <c r="E3270" s="1" t="s">
        <v>35</v>
      </c>
      <c r="F3270" s="4">
        <v>43736.72114583333</v>
      </c>
      <c r="G3270" s="3" t="str">
        <f>HYPERLINK("https://hawk-eye.atlassian.net/browse/?atlOrigin=eyJpIjoiYzgwYTQ0ZjEyNzQzNGJhN2JmNjEyZTM0NmRhZWZhNjIiLCJwIjoic2hlZXRzLWppcmEifQ","")</f>
        <v/>
      </c>
      <c r="H3270" s="1" t="s">
        <v>1058</v>
      </c>
      <c r="I3270" s="1" t="s">
        <v>1071</v>
      </c>
      <c r="J3270" s="1" t="s">
        <v>26</v>
      </c>
      <c r="K3270" s="1" t="s">
        <v>1134</v>
      </c>
      <c r="L3270" s="1" t="s">
        <v>26</v>
      </c>
      <c r="M3270" s="1" t="s">
        <v>27</v>
      </c>
      <c r="N3270" s="1" t="s">
        <v>26</v>
      </c>
      <c r="O3270" s="1" t="s">
        <v>26</v>
      </c>
      <c r="P3270" s="4">
        <v>43746.45613425926</v>
      </c>
    </row>
    <row r="3271" hidden="1">
      <c r="A3271" s="1" t="s">
        <v>21</v>
      </c>
      <c r="B3271" s="3" t="str">
        <f>HYPERLINK("https://hawk-eye.atlassian.net/browse/HWKREPORT-227?atlOrigin=eyJpIjoiYzgwYTQ0ZjEyNzQzNGJhN2JmNjEyZTM0NmRhZWZhNjIiLCJwIjoic2hlZXRzLWppcmEifQ","HWKREPORT-227")</f>
        <v>HWKREPORT-227</v>
      </c>
      <c r="C3271" s="1" t="s">
        <v>4599</v>
      </c>
      <c r="D3271" s="1" t="s">
        <v>34</v>
      </c>
      <c r="E3271" s="1" t="s">
        <v>35</v>
      </c>
      <c r="F3271" s="4">
        <v>43736.8328125</v>
      </c>
      <c r="G3271" s="3" t="str">
        <f>HYPERLINK("https://hawk-eye.atlassian.net/browse/RTT-1319?atlOrigin=eyJpIjoiYzgwYTQ0ZjEyNzQzNGJhN2JmNjEyZTM0NmRhZWZhNjIiLCJwIjoic2hlZXRzLWppcmEifQ","RTT-1319")</f>
        <v>RTT-1319</v>
      </c>
      <c r="H3271" s="1" t="s">
        <v>1058</v>
      </c>
      <c r="I3271" s="1" t="s">
        <v>1071</v>
      </c>
      <c r="J3271" s="1" t="s">
        <v>26</v>
      </c>
      <c r="K3271" s="1" t="s">
        <v>1545</v>
      </c>
      <c r="L3271" s="1" t="s">
        <v>26</v>
      </c>
      <c r="M3271" s="1" t="s">
        <v>27</v>
      </c>
      <c r="N3271" s="1" t="s">
        <v>26</v>
      </c>
      <c r="O3271" s="1" t="s">
        <v>26</v>
      </c>
      <c r="P3271" s="4">
        <v>44068.79751157408</v>
      </c>
    </row>
    <row r="3272" hidden="1">
      <c r="A3272" s="1" t="s">
        <v>1055</v>
      </c>
      <c r="B3272" s="3" t="str">
        <f>HYPERLINK("https://hawk-eye.atlassian.net/browse/HWKREPORT-228?atlOrigin=eyJpIjoiYzgwYTQ0ZjEyNzQzNGJhN2JmNjEyZTM0NmRhZWZhNjIiLCJwIjoic2hlZXRzLWppcmEifQ","HWKREPORT-228")</f>
        <v>HWKREPORT-228</v>
      </c>
      <c r="C3272" s="1" t="s">
        <v>4600</v>
      </c>
      <c r="D3272" s="1" t="s">
        <v>23</v>
      </c>
      <c r="E3272" s="1" t="s">
        <v>35</v>
      </c>
      <c r="F3272" s="4">
        <v>43736.834756944445</v>
      </c>
      <c r="G3272" s="3" t="str">
        <f>HYPERLINK("https://hawk-eye.atlassian.net/browse/RTT-1318?atlOrigin=eyJpIjoiYzgwYTQ0ZjEyNzQzNGJhN2JmNjEyZTM0NmRhZWZhNjIiLCJwIjoic2hlZXRzLWppcmEifQ","RTT-1318")</f>
        <v>RTT-1318</v>
      </c>
      <c r="H3272" s="1" t="s">
        <v>1058</v>
      </c>
      <c r="I3272" s="1" t="s">
        <v>1071</v>
      </c>
      <c r="J3272" s="1" t="s">
        <v>26</v>
      </c>
      <c r="K3272" s="1" t="s">
        <v>1362</v>
      </c>
      <c r="L3272" s="1" t="s">
        <v>26</v>
      </c>
      <c r="M3272" s="1" t="s">
        <v>27</v>
      </c>
      <c r="N3272" s="1" t="s">
        <v>26</v>
      </c>
      <c r="O3272" s="1" t="s">
        <v>26</v>
      </c>
      <c r="P3272" s="4">
        <v>44068.79751157408</v>
      </c>
    </row>
    <row r="3273" hidden="1">
      <c r="A3273" s="1" t="s">
        <v>1055</v>
      </c>
      <c r="B3273" s="3" t="str">
        <f>HYPERLINK("https://hawk-eye.atlassian.net/browse/HWKREPORT-229?atlOrigin=eyJpIjoiYzgwYTQ0ZjEyNzQzNGJhN2JmNjEyZTM0NmRhZWZhNjIiLCJwIjoic2hlZXRzLWppcmEifQ","HWKREPORT-229")</f>
        <v>HWKREPORT-229</v>
      </c>
      <c r="C3273" s="1" t="s">
        <v>4601</v>
      </c>
      <c r="D3273" s="1" t="s">
        <v>23</v>
      </c>
      <c r="E3273" s="1" t="s">
        <v>1057</v>
      </c>
      <c r="F3273" s="4">
        <v>43738.74182870371</v>
      </c>
      <c r="G3273" s="3" t="str">
        <f>HYPERLINK("https://hawk-eye.atlassian.net/browse/?atlOrigin=eyJpIjoiYzgwYTQ0ZjEyNzQzNGJhN2JmNjEyZTM0NmRhZWZhNjIiLCJwIjoic2hlZXRzLWppcmEifQ","")</f>
        <v/>
      </c>
      <c r="H3273" s="1" t="s">
        <v>1058</v>
      </c>
      <c r="I3273" s="1" t="s">
        <v>1082</v>
      </c>
      <c r="J3273" s="1" t="s">
        <v>26</v>
      </c>
      <c r="K3273" s="1" t="s">
        <v>1700</v>
      </c>
      <c r="L3273" s="1" t="s">
        <v>26</v>
      </c>
      <c r="M3273" s="1" t="s">
        <v>27</v>
      </c>
      <c r="N3273" s="1" t="s">
        <v>26</v>
      </c>
      <c r="O3273" s="1" t="s">
        <v>26</v>
      </c>
      <c r="P3273" s="4">
        <v>43738.74184027778</v>
      </c>
    </row>
    <row r="3274" hidden="1">
      <c r="A3274" s="1" t="s">
        <v>21</v>
      </c>
      <c r="B3274" s="3" t="str">
        <f>HYPERLINK("https://hawk-eye.atlassian.net/browse/HWKREPORT-230?atlOrigin=eyJpIjoiYzgwYTQ0ZjEyNzQzNGJhN2JmNjEyZTM0NmRhZWZhNjIiLCJwIjoic2hlZXRzLWppcmEifQ","HWKREPORT-230")</f>
        <v>HWKREPORT-230</v>
      </c>
      <c r="C3274" s="1" t="s">
        <v>4602</v>
      </c>
      <c r="D3274" s="1" t="s">
        <v>34</v>
      </c>
      <c r="E3274" s="1" t="s">
        <v>35</v>
      </c>
      <c r="F3274" s="4">
        <v>43738.863229166665</v>
      </c>
      <c r="G3274" s="3" t="str">
        <f>HYPERLINK("https://hawk-eye.atlassian.net/browse/RTT-1325?atlOrigin=eyJpIjoiYzgwYTQ0ZjEyNzQzNGJhN2JmNjEyZTM0NmRhZWZhNjIiLCJwIjoic2hlZXRzLWppcmEifQ","RTT-1325")</f>
        <v>RTT-1325</v>
      </c>
      <c r="H3274" s="1" t="s">
        <v>1058</v>
      </c>
      <c r="I3274" s="1" t="s">
        <v>1071</v>
      </c>
      <c r="J3274" s="1" t="s">
        <v>26</v>
      </c>
      <c r="K3274" s="1" t="s">
        <v>1362</v>
      </c>
      <c r="L3274" s="1" t="s">
        <v>26</v>
      </c>
      <c r="M3274" s="1" t="s">
        <v>27</v>
      </c>
      <c r="N3274" s="1" t="s">
        <v>26</v>
      </c>
      <c r="O3274" s="1" t="s">
        <v>26</v>
      </c>
      <c r="P3274" s="4">
        <v>44068.797581018516</v>
      </c>
    </row>
    <row r="3275" hidden="1">
      <c r="A3275" s="1" t="s">
        <v>1055</v>
      </c>
      <c r="B3275" s="3" t="str">
        <f>HYPERLINK("https://hawk-eye.atlassian.net/browse/HWKREPORT-231?atlOrigin=eyJpIjoiYzgwYTQ0ZjEyNzQzNGJhN2JmNjEyZTM0NmRhZWZhNjIiLCJwIjoic2hlZXRzLWppcmEifQ","HWKREPORT-231")</f>
        <v>HWKREPORT-231</v>
      </c>
      <c r="C3275" s="1" t="s">
        <v>4603</v>
      </c>
      <c r="D3275" s="1" t="s">
        <v>23</v>
      </c>
      <c r="E3275" s="1" t="s">
        <v>35</v>
      </c>
      <c r="F3275" s="4">
        <v>43741.738969907405</v>
      </c>
      <c r="G3275" s="3" t="str">
        <f t="shared" ref="G3275:G3276" si="228">HYPERLINK("https://hawk-eye.atlassian.net/browse/?atlOrigin=eyJpIjoiYzgwYTQ0ZjEyNzQzNGJhN2JmNjEyZTM0NmRhZWZhNjIiLCJwIjoic2hlZXRzLWppcmEifQ","")</f>
        <v/>
      </c>
      <c r="H3275" s="1" t="s">
        <v>1058</v>
      </c>
      <c r="I3275" s="1" t="s">
        <v>1082</v>
      </c>
      <c r="J3275" s="1" t="s">
        <v>26</v>
      </c>
      <c r="K3275" s="1" t="s">
        <v>1744</v>
      </c>
      <c r="L3275" s="1" t="s">
        <v>26</v>
      </c>
      <c r="M3275" s="1" t="s">
        <v>27</v>
      </c>
      <c r="N3275" s="1" t="s">
        <v>26</v>
      </c>
      <c r="O3275" s="1" t="s">
        <v>26</v>
      </c>
      <c r="P3275" s="4">
        <v>43804.88380787037</v>
      </c>
    </row>
    <row r="3276" hidden="1">
      <c r="A3276" s="1" t="s">
        <v>21</v>
      </c>
      <c r="B3276" s="3" t="str">
        <f>HYPERLINK("https://hawk-eye.atlassian.net/browse/HWKREPORT-232?atlOrigin=eyJpIjoiYzgwYTQ0ZjEyNzQzNGJhN2JmNjEyZTM0NmRhZWZhNjIiLCJwIjoic2hlZXRzLWppcmEifQ","HWKREPORT-232")</f>
        <v>HWKREPORT-232</v>
      </c>
      <c r="C3276" s="1" t="s">
        <v>4604</v>
      </c>
      <c r="D3276" s="1" t="s">
        <v>48</v>
      </c>
      <c r="E3276" s="1" t="s">
        <v>35</v>
      </c>
      <c r="F3276" s="4">
        <v>43744.375393518516</v>
      </c>
      <c r="G3276" s="3" t="str">
        <f t="shared" si="228"/>
        <v/>
      </c>
      <c r="H3276" s="1" t="s">
        <v>1058</v>
      </c>
      <c r="I3276" s="1" t="s">
        <v>1126</v>
      </c>
      <c r="J3276" s="1" t="s">
        <v>26</v>
      </c>
      <c r="K3276" s="1" t="s">
        <v>1247</v>
      </c>
      <c r="L3276" s="1" t="s">
        <v>26</v>
      </c>
      <c r="M3276" s="1" t="s">
        <v>27</v>
      </c>
      <c r="N3276" s="1" t="s">
        <v>26</v>
      </c>
      <c r="O3276" s="1" t="s">
        <v>26</v>
      </c>
      <c r="P3276" s="4">
        <v>44256.731041666666</v>
      </c>
    </row>
    <row r="3277" hidden="1">
      <c r="A3277" s="1" t="s">
        <v>1055</v>
      </c>
      <c r="B3277" s="3" t="str">
        <f>HYPERLINK("https://hawk-eye.atlassian.net/browse/HWKREPORT-233?atlOrigin=eyJpIjoiYzgwYTQ0ZjEyNzQzNGJhN2JmNjEyZTM0NmRhZWZhNjIiLCJwIjoic2hlZXRzLWppcmEifQ","HWKREPORT-233")</f>
        <v>HWKREPORT-233</v>
      </c>
      <c r="C3277" s="1" t="s">
        <v>4605</v>
      </c>
      <c r="D3277" s="1" t="s">
        <v>23</v>
      </c>
      <c r="E3277" s="1" t="s">
        <v>35</v>
      </c>
      <c r="F3277" s="4">
        <v>43749.06418981482</v>
      </c>
      <c r="G3277" s="3" t="str">
        <f>HYPERLINK("https://hawk-eye.atlassian.net/browse/RTT-1371?atlOrigin=eyJpIjoiYzgwYTQ0ZjEyNzQzNGJhN2JmNjEyZTM0NmRhZWZhNjIiLCJwIjoic2hlZXRzLWppcmEifQ","RTT-1371")</f>
        <v>RTT-1371</v>
      </c>
      <c r="H3277" s="1" t="s">
        <v>1058</v>
      </c>
      <c r="I3277" s="1" t="s">
        <v>1071</v>
      </c>
      <c r="J3277" s="1" t="s">
        <v>26</v>
      </c>
      <c r="K3277" s="1" t="s">
        <v>1362</v>
      </c>
      <c r="L3277" s="1" t="s">
        <v>26</v>
      </c>
      <c r="M3277" s="1" t="s">
        <v>27</v>
      </c>
      <c r="N3277" s="1" t="s">
        <v>26</v>
      </c>
      <c r="O3277" s="1" t="s">
        <v>26</v>
      </c>
      <c r="P3277" s="4">
        <v>44068.797372685185</v>
      </c>
    </row>
    <row r="3278" hidden="1">
      <c r="A3278" s="1" t="s">
        <v>21</v>
      </c>
      <c r="B3278" s="3" t="str">
        <f>HYPERLINK("https://hawk-eye.atlassian.net/browse/HWKREPORT-234?atlOrigin=eyJpIjoiYzgwYTQ0ZjEyNzQzNGJhN2JmNjEyZTM0NmRhZWZhNjIiLCJwIjoic2hlZXRzLWppcmEifQ","HWKREPORT-234")</f>
        <v>HWKREPORT-234</v>
      </c>
      <c r="C3278" s="1" t="s">
        <v>4606</v>
      </c>
      <c r="D3278" s="1" t="s">
        <v>23</v>
      </c>
      <c r="E3278" s="1" t="s">
        <v>35</v>
      </c>
      <c r="F3278" s="4">
        <v>43766.7675</v>
      </c>
      <c r="G3278" s="3" t="str">
        <f>HYPERLINK("https://hawk-eye.atlassian.net/browse/RTT-1391?atlOrigin=eyJpIjoiYzgwYTQ0ZjEyNzQzNGJhN2JmNjEyZTM0NmRhZWZhNjIiLCJwIjoic2hlZXRzLWppcmEifQ","RTT-1391")</f>
        <v>RTT-1391</v>
      </c>
      <c r="H3278" s="1" t="s">
        <v>1058</v>
      </c>
      <c r="I3278" s="1" t="s">
        <v>1071</v>
      </c>
      <c r="J3278" s="1" t="s">
        <v>26</v>
      </c>
      <c r="K3278" s="1" t="s">
        <v>1312</v>
      </c>
      <c r="L3278" s="1" t="s">
        <v>26</v>
      </c>
      <c r="M3278" s="1" t="s">
        <v>27</v>
      </c>
      <c r="N3278" s="1" t="s">
        <v>26</v>
      </c>
      <c r="O3278" s="1" t="s">
        <v>26</v>
      </c>
      <c r="P3278" s="4">
        <v>44068.79756944445</v>
      </c>
    </row>
    <row r="3279" hidden="1">
      <c r="A3279" s="1" t="s">
        <v>21</v>
      </c>
      <c r="B3279" s="3" t="str">
        <f>HYPERLINK("https://hawk-eye.atlassian.net/browse/HWKREPORT-235?atlOrigin=eyJpIjoiYzgwYTQ0ZjEyNzQzNGJhN2JmNjEyZTM0NmRhZWZhNjIiLCJwIjoic2hlZXRzLWppcmEifQ","HWKREPORT-235")</f>
        <v>HWKREPORT-235</v>
      </c>
      <c r="C3279" s="1" t="s">
        <v>4607</v>
      </c>
      <c r="D3279" s="1" t="s">
        <v>23</v>
      </c>
      <c r="E3279" s="1" t="s">
        <v>35</v>
      </c>
      <c r="F3279" s="4">
        <v>43768.57231481482</v>
      </c>
      <c r="G3279" s="3" t="str">
        <f>HYPERLINK("https://hawk-eye.atlassian.net/browse/?atlOrigin=eyJpIjoiYzgwYTQ0ZjEyNzQzNGJhN2JmNjEyZTM0NmRhZWZhNjIiLCJwIjoic2hlZXRzLWppcmEifQ","")</f>
        <v/>
      </c>
      <c r="H3279" s="1" t="s">
        <v>1058</v>
      </c>
      <c r="I3279" s="1" t="s">
        <v>1071</v>
      </c>
      <c r="J3279" s="1" t="s">
        <v>26</v>
      </c>
      <c r="K3279" s="1" t="s">
        <v>1312</v>
      </c>
      <c r="L3279" s="1" t="s">
        <v>26</v>
      </c>
      <c r="M3279" s="1" t="s">
        <v>27</v>
      </c>
      <c r="N3279" s="1" t="s">
        <v>26</v>
      </c>
      <c r="O3279" s="1" t="s">
        <v>26</v>
      </c>
      <c r="P3279" s="4">
        <v>43840.695335648146</v>
      </c>
    </row>
    <row r="3280" hidden="1">
      <c r="A3280" s="1" t="s">
        <v>21</v>
      </c>
      <c r="B3280" s="3" t="str">
        <f>HYPERLINK("https://hawk-eye.atlassian.net/browse/HWKREPORT-236?atlOrigin=eyJpIjoiYzgwYTQ0ZjEyNzQzNGJhN2JmNjEyZTM0NmRhZWZhNjIiLCJwIjoic2hlZXRzLWppcmEifQ","HWKREPORT-236")</f>
        <v>HWKREPORT-236</v>
      </c>
      <c r="C3280" s="1" t="s">
        <v>4608</v>
      </c>
      <c r="D3280" s="1" t="s">
        <v>23</v>
      </c>
      <c r="E3280" s="1" t="s">
        <v>35</v>
      </c>
      <c r="F3280" s="4">
        <v>43768.69016203703</v>
      </c>
      <c r="G3280" s="3" t="str">
        <f>HYPERLINK("https://hawk-eye.atlassian.net/browse/RTT-2002?atlOrigin=eyJpIjoiYzgwYTQ0ZjEyNzQzNGJhN2JmNjEyZTM0NmRhZWZhNjIiLCJwIjoic2hlZXRzLWppcmEifQ","RTT-2002")</f>
        <v>RTT-2002</v>
      </c>
      <c r="H3280" s="1" t="s">
        <v>1058</v>
      </c>
      <c r="I3280" s="1" t="s">
        <v>1071</v>
      </c>
      <c r="J3280" s="1" t="s">
        <v>26</v>
      </c>
      <c r="K3280" s="1" t="s">
        <v>1312</v>
      </c>
      <c r="L3280" s="1" t="s">
        <v>26</v>
      </c>
      <c r="M3280" s="1" t="s">
        <v>27</v>
      </c>
      <c r="N3280" s="1" t="s">
        <v>26</v>
      </c>
      <c r="O3280" s="1" t="s">
        <v>26</v>
      </c>
      <c r="P3280" s="4">
        <v>44172.46571759259</v>
      </c>
    </row>
    <row r="3281" hidden="1">
      <c r="A3281" s="1" t="s">
        <v>1055</v>
      </c>
      <c r="B3281" s="3" t="str">
        <f>HYPERLINK("https://hawk-eye.atlassian.net/browse/HWKREPORT-237?atlOrigin=eyJpIjoiYzgwYTQ0ZjEyNzQzNGJhN2JmNjEyZTM0NmRhZWZhNjIiLCJwIjoic2hlZXRzLWppcmEifQ","HWKREPORT-237")</f>
        <v>HWKREPORT-237</v>
      </c>
      <c r="C3281" s="1" t="s">
        <v>4609</v>
      </c>
      <c r="D3281" s="1" t="s">
        <v>23</v>
      </c>
      <c r="E3281" s="1" t="s">
        <v>35</v>
      </c>
      <c r="F3281" s="4">
        <v>43773.84460648148</v>
      </c>
      <c r="G3281" s="3" t="str">
        <f>HYPERLINK("https://hawk-eye.atlassian.net/browse/CONFIG-316?atlOrigin=eyJpIjoiYzgwYTQ0ZjEyNzQzNGJhN2JmNjEyZTM0NmRhZWZhNjIiLCJwIjoic2hlZXRzLWppcmEifQ","CONFIG-316")</f>
        <v>CONFIG-316</v>
      </c>
      <c r="H3281" s="1" t="s">
        <v>1058</v>
      </c>
      <c r="I3281" s="1" t="s">
        <v>1071</v>
      </c>
      <c r="J3281" s="1" t="s">
        <v>26</v>
      </c>
      <c r="K3281" s="1" t="s">
        <v>1134</v>
      </c>
      <c r="L3281" s="1" t="s">
        <v>26</v>
      </c>
      <c r="M3281" s="1" t="s">
        <v>27</v>
      </c>
      <c r="N3281" s="1" t="s">
        <v>26</v>
      </c>
      <c r="O3281" s="1" t="s">
        <v>26</v>
      </c>
      <c r="P3281" s="4">
        <v>44068.79744212963</v>
      </c>
    </row>
    <row r="3282" hidden="1">
      <c r="A3282" s="1" t="s">
        <v>21</v>
      </c>
      <c r="B3282" s="3" t="str">
        <f>HYPERLINK("https://hawk-eye.atlassian.net/browse/HWKREPORT-238?atlOrigin=eyJpIjoiYzgwYTQ0ZjEyNzQzNGJhN2JmNjEyZTM0NmRhZWZhNjIiLCJwIjoic2hlZXRzLWppcmEifQ","HWKREPORT-238")</f>
        <v>HWKREPORT-238</v>
      </c>
      <c r="C3282" s="1" t="s">
        <v>4610</v>
      </c>
      <c r="D3282" s="1" t="s">
        <v>23</v>
      </c>
      <c r="E3282" s="1" t="s">
        <v>35</v>
      </c>
      <c r="F3282" s="4">
        <v>43775.74549768519</v>
      </c>
      <c r="G3282" s="3" t="str">
        <f>HYPERLINK("https://hawk-eye.atlassian.net/browse/RTT-1415?atlOrigin=eyJpIjoiYzgwYTQ0ZjEyNzQzNGJhN2JmNjEyZTM0NmRhZWZhNjIiLCJwIjoic2hlZXRzLWppcmEifQ","RTT-1415")</f>
        <v>RTT-1415</v>
      </c>
      <c r="H3282" s="1" t="s">
        <v>1058</v>
      </c>
      <c r="I3282" s="1" t="s">
        <v>1071</v>
      </c>
      <c r="J3282" s="1" t="s">
        <v>26</v>
      </c>
      <c r="K3282" s="1" t="s">
        <v>1309</v>
      </c>
      <c r="L3282" s="1" t="s">
        <v>26</v>
      </c>
      <c r="M3282" s="1" t="s">
        <v>27</v>
      </c>
      <c r="N3282" s="1" t="s">
        <v>26</v>
      </c>
      <c r="O3282" s="1" t="s">
        <v>26</v>
      </c>
      <c r="P3282" s="4">
        <v>44068.79733796296</v>
      </c>
    </row>
    <row r="3283" hidden="1">
      <c r="A3283" s="1" t="s">
        <v>1055</v>
      </c>
      <c r="B3283" s="3" t="str">
        <f>HYPERLINK("https://hawk-eye.atlassian.net/browse/HWKREPORT-239?atlOrigin=eyJpIjoiYzgwYTQ0ZjEyNzQzNGJhN2JmNjEyZTM0NmRhZWZhNjIiLCJwIjoic2hlZXRzLWppcmEifQ","HWKREPORT-239")</f>
        <v>HWKREPORT-239</v>
      </c>
      <c r="C3283" s="1" t="s">
        <v>4611</v>
      </c>
      <c r="D3283" s="1" t="s">
        <v>23</v>
      </c>
      <c r="E3283" s="1" t="s">
        <v>35</v>
      </c>
      <c r="F3283" s="4">
        <v>43775.74769675926</v>
      </c>
      <c r="G3283" s="3" t="str">
        <f>HYPERLINK("https://hawk-eye.atlassian.net/browse/RTT-1414?atlOrigin=eyJpIjoiYzgwYTQ0ZjEyNzQzNGJhN2JmNjEyZTM0NmRhZWZhNjIiLCJwIjoic2hlZXRzLWppcmEifQ","RTT-1414")</f>
        <v>RTT-1414</v>
      </c>
      <c r="H3283" s="1" t="s">
        <v>1058</v>
      </c>
      <c r="I3283" s="1" t="s">
        <v>1071</v>
      </c>
      <c r="J3283" s="1" t="s">
        <v>26</v>
      </c>
      <c r="K3283" s="1" t="s">
        <v>1309</v>
      </c>
      <c r="L3283" s="1" t="s">
        <v>26</v>
      </c>
      <c r="M3283" s="1" t="s">
        <v>27</v>
      </c>
      <c r="N3283" s="1" t="s">
        <v>26</v>
      </c>
      <c r="O3283" s="1" t="s">
        <v>26</v>
      </c>
      <c r="P3283" s="4">
        <v>44068.79733796296</v>
      </c>
    </row>
    <row r="3284" hidden="1">
      <c r="A3284" s="1" t="s">
        <v>21</v>
      </c>
      <c r="B3284" s="3" t="str">
        <f>HYPERLINK("https://hawk-eye.atlassian.net/browse/HWKREPORT-240?atlOrigin=eyJpIjoiYzgwYTQ0ZjEyNzQzNGJhN2JmNjEyZTM0NmRhZWZhNjIiLCJwIjoic2hlZXRzLWppcmEifQ","HWKREPORT-240")</f>
        <v>HWKREPORT-240</v>
      </c>
      <c r="C3284" s="1" t="s">
        <v>4612</v>
      </c>
      <c r="D3284" s="1" t="s">
        <v>34</v>
      </c>
      <c r="E3284" s="1" t="s">
        <v>35</v>
      </c>
      <c r="F3284" s="4">
        <v>43791.63758101852</v>
      </c>
      <c r="G3284" s="3" t="str">
        <f>HYPERLINK("https://hawk-eye.atlassian.net/browse/TVR-57?atlOrigin=eyJpIjoiYzgwYTQ0ZjEyNzQzNGJhN2JmNjEyZTM0NmRhZWZhNjIiLCJwIjoic2hlZXRzLWppcmEifQ","TVR-57")</f>
        <v>TVR-57</v>
      </c>
      <c r="H3284" s="1" t="s">
        <v>1058</v>
      </c>
      <c r="I3284" s="1" t="s">
        <v>1126</v>
      </c>
      <c r="J3284" s="1" t="s">
        <v>26</v>
      </c>
      <c r="K3284" s="1" t="s">
        <v>4613</v>
      </c>
      <c r="L3284" s="1" t="s">
        <v>26</v>
      </c>
      <c r="M3284" s="1" t="s">
        <v>27</v>
      </c>
      <c r="N3284" s="1" t="s">
        <v>26</v>
      </c>
      <c r="O3284" s="1" t="s">
        <v>26</v>
      </c>
      <c r="P3284" s="4">
        <v>44068.79725694445</v>
      </c>
    </row>
    <row r="3285" hidden="1">
      <c r="A3285" s="1" t="s">
        <v>21</v>
      </c>
      <c r="B3285" s="3" t="str">
        <f>HYPERLINK("https://hawk-eye.atlassian.net/browse/HWKREPORT-241?atlOrigin=eyJpIjoiYzgwYTQ0ZjEyNzQzNGJhN2JmNjEyZTM0NmRhZWZhNjIiLCJwIjoic2hlZXRzLWppcmEifQ","HWKREPORT-241")</f>
        <v>HWKREPORT-241</v>
      </c>
      <c r="C3285" s="1" t="s">
        <v>4614</v>
      </c>
      <c r="D3285" s="1" t="s">
        <v>83</v>
      </c>
      <c r="E3285" s="1" t="s">
        <v>35</v>
      </c>
      <c r="F3285" s="4">
        <v>43794.63815972222</v>
      </c>
      <c r="G3285" s="3" t="str">
        <f>HYPERLINK("https://hawk-eye.atlassian.net/browse/RTT-1993?atlOrigin=eyJpIjoiYzgwYTQ0ZjEyNzQzNGJhN2JmNjEyZTM0NmRhZWZhNjIiLCJwIjoic2hlZXRzLWppcmEifQ","RTT-1993")</f>
        <v>RTT-1993</v>
      </c>
      <c r="H3285" s="1" t="s">
        <v>1058</v>
      </c>
      <c r="I3285" s="1" t="s">
        <v>1502</v>
      </c>
      <c r="J3285" s="1" t="s">
        <v>26</v>
      </c>
      <c r="K3285" s="1" t="s">
        <v>1312</v>
      </c>
      <c r="L3285" s="1" t="s">
        <v>26</v>
      </c>
      <c r="M3285" s="1" t="s">
        <v>27</v>
      </c>
      <c r="N3285" s="1" t="s">
        <v>26</v>
      </c>
      <c r="O3285" s="1" t="s">
        <v>26</v>
      </c>
      <c r="P3285" s="4">
        <v>44068.79729166667</v>
      </c>
    </row>
    <row r="3286" hidden="1">
      <c r="A3286" s="1" t="s">
        <v>21</v>
      </c>
      <c r="B3286" s="3" t="str">
        <f>HYPERLINK("https://hawk-eye.atlassian.net/browse/HWKREPORT-242?atlOrigin=eyJpIjoiYzgwYTQ0ZjEyNzQzNGJhN2JmNjEyZTM0NmRhZWZhNjIiLCJwIjoic2hlZXRzLWppcmEifQ","HWKREPORT-242")</f>
        <v>HWKREPORT-242</v>
      </c>
      <c r="C3286" s="1" t="s">
        <v>4615</v>
      </c>
      <c r="D3286" s="1" t="s">
        <v>23</v>
      </c>
      <c r="E3286" s="1" t="s">
        <v>35</v>
      </c>
      <c r="F3286" s="4">
        <v>43796.47707175926</v>
      </c>
      <c r="G3286" s="3" t="str">
        <f>HYPERLINK("https://hawk-eye.atlassian.net/browse/TDS-1099?atlOrigin=eyJpIjoiYzgwYTQ0ZjEyNzQzNGJhN2JmNjEyZTM0NmRhZWZhNjIiLCJwIjoic2hlZXRzLWppcmEifQ","TDS-1099")</f>
        <v>TDS-1099</v>
      </c>
      <c r="H3286" s="1" t="s">
        <v>1058</v>
      </c>
      <c r="I3286" s="1" t="s">
        <v>1126</v>
      </c>
      <c r="J3286" s="1" t="s">
        <v>26</v>
      </c>
      <c r="K3286" s="1" t="s">
        <v>4424</v>
      </c>
      <c r="L3286" s="1" t="s">
        <v>26</v>
      </c>
      <c r="M3286" s="1" t="s">
        <v>27</v>
      </c>
      <c r="N3286" s="1" t="s">
        <v>26</v>
      </c>
      <c r="O3286" s="1" t="s">
        <v>26</v>
      </c>
      <c r="P3286" s="4">
        <v>44068.797418981485</v>
      </c>
    </row>
    <row r="3287" hidden="1">
      <c r="A3287" s="1" t="s">
        <v>1055</v>
      </c>
      <c r="B3287" s="3" t="str">
        <f>HYPERLINK("https://hawk-eye.atlassian.net/browse/HWKREPORT-243?atlOrigin=eyJpIjoiYzgwYTQ0ZjEyNzQzNGJhN2JmNjEyZTM0NmRhZWZhNjIiLCJwIjoic2hlZXRzLWppcmEifQ","HWKREPORT-243")</f>
        <v>HWKREPORT-243</v>
      </c>
      <c r="C3287" s="1" t="s">
        <v>4616</v>
      </c>
      <c r="D3287" s="1" t="s">
        <v>23</v>
      </c>
      <c r="E3287" s="1" t="s">
        <v>35</v>
      </c>
      <c r="F3287" s="4">
        <v>43796.50341435185</v>
      </c>
      <c r="G3287" s="3" t="str">
        <f>HYPERLINK("https://hawk-eye.atlassian.net/browse/TSAR-13?atlOrigin=eyJpIjoiYzgwYTQ0ZjEyNzQzNGJhN2JmNjEyZTM0NmRhZWZhNjIiLCJwIjoic2hlZXRzLWppcmEifQ","TSAR-13")</f>
        <v>TSAR-13</v>
      </c>
      <c r="H3287" s="1" t="s">
        <v>1058</v>
      </c>
      <c r="I3287" s="1" t="s">
        <v>1126</v>
      </c>
      <c r="J3287" s="1" t="s">
        <v>26</v>
      </c>
      <c r="K3287" s="1" t="s">
        <v>4502</v>
      </c>
      <c r="L3287" s="1" t="s">
        <v>26</v>
      </c>
      <c r="M3287" s="1" t="s">
        <v>27</v>
      </c>
      <c r="N3287" s="1" t="s">
        <v>26</v>
      </c>
      <c r="O3287" s="1" t="s">
        <v>26</v>
      </c>
      <c r="P3287" s="4">
        <v>44068.797418981485</v>
      </c>
    </row>
    <row r="3288" hidden="1">
      <c r="A3288" s="1" t="s">
        <v>21</v>
      </c>
      <c r="B3288" s="3" t="str">
        <f>HYPERLINK("https://hawk-eye.atlassian.net/browse/HWKREPORT-244?atlOrigin=eyJpIjoiYzgwYTQ0ZjEyNzQzNGJhN2JmNjEyZTM0NmRhZWZhNjIiLCJwIjoic2hlZXRzLWppcmEifQ","HWKREPORT-244")</f>
        <v>HWKREPORT-244</v>
      </c>
      <c r="C3288" s="1" t="s">
        <v>4617</v>
      </c>
      <c r="D3288" s="1" t="s">
        <v>23</v>
      </c>
      <c r="E3288" s="1" t="s">
        <v>35</v>
      </c>
      <c r="F3288" s="4">
        <v>43796.74037037037</v>
      </c>
      <c r="G3288" s="3" t="str">
        <f>HYPERLINK("https://hawk-eye.atlassian.net/browse/RTT-1469?atlOrigin=eyJpIjoiYzgwYTQ0ZjEyNzQzNGJhN2JmNjEyZTM0NmRhZWZhNjIiLCJwIjoic2hlZXRzLWppcmEifQ","RTT-1469")</f>
        <v>RTT-1469</v>
      </c>
      <c r="H3288" s="1" t="s">
        <v>1058</v>
      </c>
      <c r="I3288" s="1" t="s">
        <v>1071</v>
      </c>
      <c r="J3288" s="1" t="s">
        <v>26</v>
      </c>
      <c r="K3288" s="1" t="s">
        <v>1134</v>
      </c>
      <c r="L3288" s="1" t="s">
        <v>26</v>
      </c>
      <c r="M3288" s="1" t="s">
        <v>27</v>
      </c>
      <c r="N3288" s="1" t="s">
        <v>26</v>
      </c>
      <c r="O3288" s="1" t="s">
        <v>26</v>
      </c>
      <c r="P3288" s="4">
        <v>44068.79739583333</v>
      </c>
    </row>
    <row r="3289" hidden="1">
      <c r="A3289" s="1" t="s">
        <v>1055</v>
      </c>
      <c r="B3289" s="3" t="str">
        <f>HYPERLINK("https://hawk-eye.atlassian.net/browse/HWKREPORT-245?atlOrigin=eyJpIjoiYzgwYTQ0ZjEyNzQzNGJhN2JmNjEyZTM0NmRhZWZhNjIiLCJwIjoic2hlZXRzLWppcmEifQ","HWKREPORT-245")</f>
        <v>HWKREPORT-245</v>
      </c>
      <c r="C3289" s="1" t="s">
        <v>4618</v>
      </c>
      <c r="D3289" s="1" t="s">
        <v>23</v>
      </c>
      <c r="E3289" s="1" t="s">
        <v>35</v>
      </c>
      <c r="F3289" s="4">
        <v>43801.63752314815</v>
      </c>
      <c r="G3289" s="3" t="str">
        <f>HYPERLINK("https://hawk-eye.atlassian.net/browse/RTT-1508?atlOrigin=eyJpIjoiYzgwYTQ0ZjEyNzQzNGJhN2JmNjEyZTM0NmRhZWZhNjIiLCJwIjoic2hlZXRzLWppcmEifQ","RTT-1508")</f>
        <v>RTT-1508</v>
      </c>
      <c r="H3289" s="1" t="s">
        <v>1058</v>
      </c>
      <c r="I3289" s="1" t="s">
        <v>1502</v>
      </c>
      <c r="J3289" s="1" t="s">
        <v>26</v>
      </c>
      <c r="K3289" s="1" t="s">
        <v>1309</v>
      </c>
      <c r="L3289" s="1" t="s">
        <v>26</v>
      </c>
      <c r="M3289" s="1" t="s">
        <v>27</v>
      </c>
      <c r="N3289" s="1" t="s">
        <v>26</v>
      </c>
      <c r="O3289" s="1" t="s">
        <v>26</v>
      </c>
      <c r="P3289" s="4">
        <v>44068.79754629629</v>
      </c>
    </row>
    <row r="3290" hidden="1">
      <c r="A3290" s="1" t="s">
        <v>21</v>
      </c>
      <c r="B3290" s="3" t="str">
        <f>HYPERLINK("https://hawk-eye.atlassian.net/browse/HWKREPORT-246?atlOrigin=eyJpIjoiYzgwYTQ0ZjEyNzQzNGJhN2JmNjEyZTM0NmRhZWZhNjIiLCJwIjoic2hlZXRzLWppcmEifQ","HWKREPORT-246")</f>
        <v>HWKREPORT-246</v>
      </c>
      <c r="C3290" s="1" t="s">
        <v>4619</v>
      </c>
      <c r="D3290" s="1" t="s">
        <v>23</v>
      </c>
      <c r="E3290" s="1" t="s">
        <v>35</v>
      </c>
      <c r="F3290" s="4">
        <v>43801.65865740741</v>
      </c>
      <c r="G3290" s="3" t="str">
        <f>HYPERLINK("https://hawk-eye.atlassian.net/browse/RTT-1451?atlOrigin=eyJpIjoiYzgwYTQ0ZjEyNzQzNGJhN2JmNjEyZTM0NmRhZWZhNjIiLCJwIjoic2hlZXRzLWppcmEifQ","RTT-1451")</f>
        <v>RTT-1451</v>
      </c>
      <c r="H3290" s="1" t="s">
        <v>1058</v>
      </c>
      <c r="I3290" s="1" t="s">
        <v>1502</v>
      </c>
      <c r="J3290" s="1" t="s">
        <v>26</v>
      </c>
      <c r="K3290" s="1" t="s">
        <v>1309</v>
      </c>
      <c r="L3290" s="1" t="s">
        <v>26</v>
      </c>
      <c r="M3290" s="1" t="s">
        <v>27</v>
      </c>
      <c r="N3290" s="1" t="s">
        <v>26</v>
      </c>
      <c r="O3290" s="1" t="s">
        <v>26</v>
      </c>
      <c r="P3290" s="4">
        <v>44068.79755787037</v>
      </c>
    </row>
    <row r="3291" hidden="1">
      <c r="A3291" s="1" t="s">
        <v>1055</v>
      </c>
      <c r="B3291" s="3" t="str">
        <f>HYPERLINK("https://hawk-eye.atlassian.net/browse/HWKREPORT-247?atlOrigin=eyJpIjoiYzgwYTQ0ZjEyNzQzNGJhN2JmNjEyZTM0NmRhZWZhNjIiLCJwIjoic2hlZXRzLWppcmEifQ","HWKREPORT-247")</f>
        <v>HWKREPORT-247</v>
      </c>
      <c r="C3291" s="1" t="s">
        <v>4620</v>
      </c>
      <c r="D3291" s="1" t="s">
        <v>23</v>
      </c>
      <c r="E3291" s="1" t="s">
        <v>35</v>
      </c>
      <c r="F3291" s="4">
        <v>43802.69119212963</v>
      </c>
      <c r="G3291" s="3" t="str">
        <f>HYPERLINK("https://hawk-eye.atlassian.net/browse/RTT-1463?atlOrigin=eyJpIjoiYzgwYTQ0ZjEyNzQzNGJhN2JmNjEyZTM0NmRhZWZhNjIiLCJwIjoic2hlZXRzLWppcmEifQ","RTT-1463")</f>
        <v>RTT-1463</v>
      </c>
      <c r="H3291" s="1" t="s">
        <v>1058</v>
      </c>
      <c r="I3291" s="1" t="s">
        <v>1071</v>
      </c>
      <c r="J3291" s="1" t="s">
        <v>26</v>
      </c>
      <c r="K3291" s="1" t="s">
        <v>1312</v>
      </c>
      <c r="L3291" s="1" t="s">
        <v>26</v>
      </c>
      <c r="M3291" s="1" t="s">
        <v>27</v>
      </c>
      <c r="N3291" s="1" t="s">
        <v>26</v>
      </c>
      <c r="O3291" s="1" t="s">
        <v>26</v>
      </c>
      <c r="P3291" s="4">
        <v>44068.7974537037</v>
      </c>
    </row>
    <row r="3292" hidden="1">
      <c r="A3292" s="1" t="s">
        <v>1055</v>
      </c>
      <c r="B3292" s="3" t="str">
        <f>HYPERLINK("https://hawk-eye.atlassian.net/browse/HWKREPORT-248?atlOrigin=eyJpIjoiYzgwYTQ0ZjEyNzQzNGJhN2JmNjEyZTM0NmRhZWZhNjIiLCJwIjoic2hlZXRzLWppcmEifQ","HWKREPORT-248")</f>
        <v>HWKREPORT-248</v>
      </c>
      <c r="C3292" s="1" t="s">
        <v>4621</v>
      </c>
      <c r="D3292" s="1" t="s">
        <v>23</v>
      </c>
      <c r="E3292" s="1" t="s">
        <v>35</v>
      </c>
      <c r="F3292" s="4">
        <v>43802.69936342593</v>
      </c>
      <c r="G3292" s="3" t="str">
        <f>HYPERLINK("https://hawk-eye.atlassian.net/browse/RTT-1465?atlOrigin=eyJpIjoiYzgwYTQ0ZjEyNzQzNGJhN2JmNjEyZTM0NmRhZWZhNjIiLCJwIjoic2hlZXRzLWppcmEifQ","RTT-1465")</f>
        <v>RTT-1465</v>
      </c>
      <c r="H3292" s="1" t="s">
        <v>1058</v>
      </c>
      <c r="I3292" s="1" t="s">
        <v>1071</v>
      </c>
      <c r="J3292" s="1" t="s">
        <v>26</v>
      </c>
      <c r="K3292" s="1" t="s">
        <v>1312</v>
      </c>
      <c r="L3292" s="1" t="s">
        <v>26</v>
      </c>
      <c r="M3292" s="1" t="s">
        <v>27</v>
      </c>
      <c r="N3292" s="1" t="s">
        <v>26</v>
      </c>
      <c r="O3292" s="1" t="s">
        <v>26</v>
      </c>
      <c r="P3292" s="4">
        <v>44068.797430555554</v>
      </c>
    </row>
    <row r="3293" hidden="1">
      <c r="A3293" s="1" t="s">
        <v>1055</v>
      </c>
      <c r="B3293" s="3" t="str">
        <f>HYPERLINK("https://hawk-eye.atlassian.net/browse/HWKREPORT-249?atlOrigin=eyJpIjoiYzgwYTQ0ZjEyNzQzNGJhN2JmNjEyZTM0NmRhZWZhNjIiLCJwIjoic2hlZXRzLWppcmEifQ","HWKREPORT-249")</f>
        <v>HWKREPORT-249</v>
      </c>
      <c r="C3293" s="1" t="s">
        <v>4622</v>
      </c>
      <c r="D3293" s="1" t="s">
        <v>23</v>
      </c>
      <c r="E3293" s="1" t="s">
        <v>35</v>
      </c>
      <c r="F3293" s="4">
        <v>43802.70638888889</v>
      </c>
      <c r="G3293" s="3" t="str">
        <f>HYPERLINK("https://hawk-eye.atlassian.net/browse/RTT-1464?atlOrigin=eyJpIjoiYzgwYTQ0ZjEyNzQzNGJhN2JmNjEyZTM0NmRhZWZhNjIiLCJwIjoic2hlZXRzLWppcmEifQ","RTT-1464")</f>
        <v>RTT-1464</v>
      </c>
      <c r="H3293" s="1" t="s">
        <v>1058</v>
      </c>
      <c r="I3293" s="1" t="s">
        <v>1071</v>
      </c>
      <c r="J3293" s="1" t="s">
        <v>26</v>
      </c>
      <c r="K3293" s="1" t="s">
        <v>1309</v>
      </c>
      <c r="L3293" s="1" t="s">
        <v>26</v>
      </c>
      <c r="M3293" s="1" t="s">
        <v>27</v>
      </c>
      <c r="N3293" s="1" t="s">
        <v>26</v>
      </c>
      <c r="O3293" s="1" t="s">
        <v>26</v>
      </c>
      <c r="P3293" s="4">
        <v>44068.797430555554</v>
      </c>
    </row>
    <row r="3294" hidden="1">
      <c r="A3294" s="1" t="s">
        <v>1055</v>
      </c>
      <c r="B3294" s="3" t="str">
        <f>HYPERLINK("https://hawk-eye.atlassian.net/browse/HWKREPORT-250?atlOrigin=eyJpIjoiYzgwYTQ0ZjEyNzQzNGJhN2JmNjEyZTM0NmRhZWZhNjIiLCJwIjoic2hlZXRzLWppcmEifQ","HWKREPORT-250")</f>
        <v>HWKREPORT-250</v>
      </c>
      <c r="C3294" s="1" t="s">
        <v>4623</v>
      </c>
      <c r="D3294" s="1" t="s">
        <v>23</v>
      </c>
      <c r="E3294" s="1" t="s">
        <v>35</v>
      </c>
      <c r="F3294" s="4">
        <v>43802.88893518518</v>
      </c>
      <c r="G3294" s="3" t="str">
        <f>HYPERLINK("https://hawk-eye.atlassian.net/browse/RTT-2001?atlOrigin=eyJpIjoiYzgwYTQ0ZjEyNzQzNGJhN2JmNjEyZTM0NmRhZWZhNjIiLCJwIjoic2hlZXRzLWppcmEifQ","RTT-2001")</f>
        <v>RTT-2001</v>
      </c>
      <c r="H3294" s="1" t="s">
        <v>1058</v>
      </c>
      <c r="I3294" s="1" t="s">
        <v>1071</v>
      </c>
      <c r="J3294" s="1" t="s">
        <v>26</v>
      </c>
      <c r="K3294" s="1" t="s">
        <v>1362</v>
      </c>
      <c r="L3294" s="1" t="s">
        <v>26</v>
      </c>
      <c r="M3294" s="1" t="s">
        <v>27</v>
      </c>
      <c r="N3294" s="1" t="s">
        <v>26</v>
      </c>
      <c r="O3294" s="1" t="s">
        <v>26</v>
      </c>
      <c r="P3294" s="4">
        <v>44046.51398148148</v>
      </c>
    </row>
    <row r="3295" hidden="1">
      <c r="A3295" s="1" t="s">
        <v>1055</v>
      </c>
      <c r="B3295" s="3" t="str">
        <f>HYPERLINK("https://hawk-eye.atlassian.net/browse/HWKREPORT-251?atlOrigin=eyJpIjoiYzgwYTQ0ZjEyNzQzNGJhN2JmNjEyZTM0NmRhZWZhNjIiLCJwIjoic2hlZXRzLWppcmEifQ","HWKREPORT-251")</f>
        <v>HWKREPORT-251</v>
      </c>
      <c r="C3295" s="1" t="s">
        <v>4624</v>
      </c>
      <c r="D3295" s="1" t="s">
        <v>23</v>
      </c>
      <c r="E3295" s="1" t="s">
        <v>35</v>
      </c>
      <c r="F3295" s="4">
        <v>43809.63018518518</v>
      </c>
      <c r="G3295" s="3" t="str">
        <f>HYPERLINK("https://hawk-eye.atlassian.net/browse/RTT-1483?atlOrigin=eyJpIjoiYzgwYTQ0ZjEyNzQzNGJhN2JmNjEyZTM0NmRhZWZhNjIiLCJwIjoic2hlZXRzLWppcmEifQ","RTT-1483")</f>
        <v>RTT-1483</v>
      </c>
      <c r="H3295" s="1" t="s">
        <v>1058</v>
      </c>
      <c r="I3295" s="1" t="s">
        <v>1071</v>
      </c>
      <c r="J3295" s="1" t="s">
        <v>26</v>
      </c>
      <c r="K3295" s="1" t="s">
        <v>26</v>
      </c>
      <c r="L3295" s="1" t="s">
        <v>26</v>
      </c>
      <c r="M3295" s="1" t="s">
        <v>27</v>
      </c>
      <c r="N3295" s="1" t="s">
        <v>26</v>
      </c>
      <c r="O3295" s="1" t="s">
        <v>26</v>
      </c>
      <c r="P3295" s="4">
        <v>44172.465532407405</v>
      </c>
    </row>
    <row r="3296" hidden="1">
      <c r="A3296" s="1" t="s">
        <v>1055</v>
      </c>
      <c r="B3296" s="3" t="str">
        <f>HYPERLINK("https://hawk-eye.atlassian.net/browse/HWKREPORT-252?atlOrigin=eyJpIjoiYzgwYTQ0ZjEyNzQzNGJhN2JmNjEyZTM0NmRhZWZhNjIiLCJwIjoic2hlZXRzLWppcmEifQ","HWKREPORT-252")</f>
        <v>HWKREPORT-252</v>
      </c>
      <c r="C3296" s="1" t="s">
        <v>4625</v>
      </c>
      <c r="D3296" s="1" t="s">
        <v>23</v>
      </c>
      <c r="E3296" s="1" t="s">
        <v>35</v>
      </c>
      <c r="F3296" s="4">
        <v>43810.73971064815</v>
      </c>
      <c r="G3296" s="3" t="str">
        <f>HYPERLINK("https://hawk-eye.atlassian.net/browse/RTT-1482?atlOrigin=eyJpIjoiYzgwYTQ0ZjEyNzQzNGJhN2JmNjEyZTM0NmRhZWZhNjIiLCJwIjoic2hlZXRzLWppcmEifQ","RTT-1482")</f>
        <v>RTT-1482</v>
      </c>
      <c r="H3296" s="1" t="s">
        <v>1058</v>
      </c>
      <c r="I3296" s="1" t="s">
        <v>1071</v>
      </c>
      <c r="J3296" s="1" t="s">
        <v>26</v>
      </c>
      <c r="K3296" s="1" t="s">
        <v>1312</v>
      </c>
      <c r="L3296" s="1" t="s">
        <v>26</v>
      </c>
      <c r="M3296" s="1" t="s">
        <v>27</v>
      </c>
      <c r="N3296" s="1" t="s">
        <v>26</v>
      </c>
      <c r="O3296" s="1" t="s">
        <v>26</v>
      </c>
      <c r="P3296" s="4">
        <v>44068.797418981485</v>
      </c>
    </row>
    <row r="3297" hidden="1">
      <c r="A3297" s="1" t="s">
        <v>1055</v>
      </c>
      <c r="B3297" s="3" t="str">
        <f>HYPERLINK("https://hawk-eye.atlassian.net/browse/HWKREPORT-253?atlOrigin=eyJpIjoiYzgwYTQ0ZjEyNzQzNGJhN2JmNjEyZTM0NmRhZWZhNjIiLCJwIjoic2hlZXRzLWppcmEifQ","HWKREPORT-253")</f>
        <v>HWKREPORT-253</v>
      </c>
      <c r="C3297" s="1" t="s">
        <v>4626</v>
      </c>
      <c r="D3297" s="1" t="s">
        <v>23</v>
      </c>
      <c r="E3297" s="1" t="s">
        <v>35</v>
      </c>
      <c r="F3297" s="4">
        <v>43810.742685185185</v>
      </c>
      <c r="G3297" s="3" t="str">
        <f>HYPERLINK("https://hawk-eye.atlassian.net/browse/RTT-1507?atlOrigin=eyJpIjoiYzgwYTQ0ZjEyNzQzNGJhN2JmNjEyZTM0NmRhZWZhNjIiLCJwIjoic2hlZXRzLWppcmEifQ","RTT-1507")</f>
        <v>RTT-1507</v>
      </c>
      <c r="H3297" s="1" t="s">
        <v>1058</v>
      </c>
      <c r="I3297" s="1" t="s">
        <v>1071</v>
      </c>
      <c r="J3297" s="1" t="s">
        <v>26</v>
      </c>
      <c r="K3297" s="1" t="s">
        <v>1309</v>
      </c>
      <c r="L3297" s="1" t="s">
        <v>26</v>
      </c>
      <c r="M3297" s="1" t="s">
        <v>27</v>
      </c>
      <c r="N3297" s="1" t="s">
        <v>26</v>
      </c>
      <c r="O3297" s="1" t="s">
        <v>26</v>
      </c>
      <c r="P3297" s="4">
        <v>44068.797418981485</v>
      </c>
    </row>
    <row r="3298" hidden="1">
      <c r="A3298" s="1" t="s">
        <v>1055</v>
      </c>
      <c r="B3298" s="3" t="str">
        <f>HYPERLINK("https://hawk-eye.atlassian.net/browse/HWKREPORT-254?atlOrigin=eyJpIjoiYzgwYTQ0ZjEyNzQzNGJhN2JmNjEyZTM0NmRhZWZhNjIiLCJwIjoic2hlZXRzLWppcmEifQ","HWKREPORT-254")</f>
        <v>HWKREPORT-254</v>
      </c>
      <c r="C3298" s="1" t="s">
        <v>4627</v>
      </c>
      <c r="D3298" s="1" t="s">
        <v>23</v>
      </c>
      <c r="E3298" s="1" t="s">
        <v>35</v>
      </c>
      <c r="F3298" s="4">
        <v>43816.71894675926</v>
      </c>
      <c r="G3298" s="3" t="str">
        <f>HYPERLINK("https://hawk-eye.atlassian.net/issues/?atlOrigin=eyJpIjoiYzgwYTQ0ZjEyNzQzNGJhN2JmNjEyZTM0NmRhZWZhNjIiLCJwIjoic2hlZXRzLWppcmEifQ&amp;jql=key+in+%28TDS-1105%2CTDS-1106%29","TDS-1105;TDS-1106")</f>
        <v>TDS-1105;TDS-1106</v>
      </c>
      <c r="H3298" s="1" t="s">
        <v>1058</v>
      </c>
      <c r="I3298" s="1" t="s">
        <v>1126</v>
      </c>
      <c r="J3298" s="1" t="s">
        <v>26</v>
      </c>
      <c r="K3298" s="1" t="s">
        <v>4424</v>
      </c>
      <c r="L3298" s="1" t="s">
        <v>26</v>
      </c>
      <c r="M3298" s="1" t="s">
        <v>27</v>
      </c>
      <c r="N3298" s="1" t="s">
        <v>26</v>
      </c>
      <c r="O3298" s="1" t="s">
        <v>26</v>
      </c>
      <c r="P3298" s="4">
        <v>43831.81759259259</v>
      </c>
    </row>
    <row r="3299" hidden="1">
      <c r="A3299" s="1" t="s">
        <v>21</v>
      </c>
      <c r="B3299" s="3" t="str">
        <f>HYPERLINK("https://hawk-eye.atlassian.net/browse/HWKREPORT-255?atlOrigin=eyJpIjoiYzgwYTQ0ZjEyNzQzNGJhN2JmNjEyZTM0NmRhZWZhNjIiLCJwIjoic2hlZXRzLWppcmEifQ","HWKREPORT-255")</f>
        <v>HWKREPORT-255</v>
      </c>
      <c r="C3299" s="1" t="s">
        <v>4628</v>
      </c>
      <c r="D3299" s="1" t="s">
        <v>23</v>
      </c>
      <c r="E3299" s="1" t="s">
        <v>35</v>
      </c>
      <c r="F3299" s="4">
        <v>43831.63197916667</v>
      </c>
      <c r="G3299" s="3" t="str">
        <f>HYPERLINK("https://hawk-eye.atlassian.net/browse/VARDICT-101?atlOrigin=eyJpIjoiYzgwYTQ0ZjEyNzQzNGJhN2JmNjEyZTM0NmRhZWZhNjIiLCJwIjoic2hlZXRzLWppcmEifQ","VARDICT-101")</f>
        <v>VARDICT-101</v>
      </c>
      <c r="H3299" s="1" t="s">
        <v>1058</v>
      </c>
      <c r="I3299" s="1" t="s">
        <v>1085</v>
      </c>
      <c r="J3299" s="1" t="s">
        <v>26</v>
      </c>
      <c r="K3299" s="1" t="s">
        <v>1290</v>
      </c>
      <c r="L3299" s="1" t="s">
        <v>26</v>
      </c>
      <c r="M3299" s="1" t="s">
        <v>27</v>
      </c>
      <c r="N3299" s="1" t="s">
        <v>26</v>
      </c>
      <c r="O3299" s="1" t="s">
        <v>26</v>
      </c>
      <c r="P3299" s="4">
        <v>44068.79736111111</v>
      </c>
    </row>
    <row r="3300" hidden="1">
      <c r="A3300" s="1" t="s">
        <v>21</v>
      </c>
      <c r="B3300" s="3" t="str">
        <f>HYPERLINK("https://hawk-eye.atlassian.net/browse/HWKREPORT-256?atlOrigin=eyJpIjoiYzgwYTQ0ZjEyNzQzNGJhN2JmNjEyZTM0NmRhZWZhNjIiLCJwIjoic2hlZXRzLWppcmEifQ","HWKREPORT-256")</f>
        <v>HWKREPORT-256</v>
      </c>
      <c r="C3300" s="1" t="s">
        <v>4629</v>
      </c>
      <c r="D3300" s="1" t="s">
        <v>23</v>
      </c>
      <c r="E3300" s="1" t="s">
        <v>35</v>
      </c>
      <c r="F3300" s="4">
        <v>43837.71902777778</v>
      </c>
      <c r="G3300" s="3" t="str">
        <f t="shared" ref="G3300:G3301" si="229">HYPERLINK("https://hawk-eye.atlassian.net/browse/?atlOrigin=eyJpIjoiYzgwYTQ0ZjEyNzQzNGJhN2JmNjEyZTM0NmRhZWZhNjIiLCJwIjoic2hlZXRzLWppcmEifQ","")</f>
        <v/>
      </c>
      <c r="H3300" s="1" t="s">
        <v>1058</v>
      </c>
      <c r="I3300" s="1" t="s">
        <v>1082</v>
      </c>
      <c r="J3300" s="1" t="s">
        <v>26</v>
      </c>
      <c r="K3300" s="1" t="s">
        <v>2166</v>
      </c>
      <c r="L3300" s="1" t="s">
        <v>26</v>
      </c>
      <c r="M3300" s="1" t="s">
        <v>27</v>
      </c>
      <c r="N3300" s="1" t="s">
        <v>26</v>
      </c>
      <c r="O3300" s="1" t="s">
        <v>26</v>
      </c>
      <c r="P3300" s="4">
        <v>45155.67643518518</v>
      </c>
    </row>
    <row r="3301" hidden="1">
      <c r="A3301" s="1" t="s">
        <v>1055</v>
      </c>
      <c r="B3301" s="3" t="str">
        <f>HYPERLINK("https://hawk-eye.atlassian.net/browse/HWKREPORT-257?atlOrigin=eyJpIjoiYzgwYTQ0ZjEyNzQzNGJhN2JmNjEyZTM0NmRhZWZhNjIiLCJwIjoic2hlZXRzLWppcmEifQ","HWKREPORT-257")</f>
        <v>HWKREPORT-257</v>
      </c>
      <c r="C3301" s="1" t="s">
        <v>4630</v>
      </c>
      <c r="D3301" s="1" t="s">
        <v>23</v>
      </c>
      <c r="E3301" s="1" t="s">
        <v>1057</v>
      </c>
      <c r="F3301" s="4">
        <v>43841.73049768519</v>
      </c>
      <c r="G3301" s="3" t="str">
        <f t="shared" si="229"/>
        <v/>
      </c>
      <c r="H3301" s="1" t="s">
        <v>1058</v>
      </c>
      <c r="I3301" s="1" t="s">
        <v>1085</v>
      </c>
      <c r="J3301" s="1" t="s">
        <v>26</v>
      </c>
      <c r="K3301" s="1" t="s">
        <v>1290</v>
      </c>
      <c r="L3301" s="1" t="s">
        <v>26</v>
      </c>
      <c r="M3301" s="1" t="s">
        <v>27</v>
      </c>
      <c r="N3301" s="1" t="s">
        <v>26</v>
      </c>
      <c r="O3301" s="1" t="s">
        <v>26</v>
      </c>
      <c r="P3301" s="4">
        <v>43841.73050925926</v>
      </c>
    </row>
    <row r="3302" hidden="1">
      <c r="A3302" s="1" t="s">
        <v>21</v>
      </c>
      <c r="B3302" s="3" t="str">
        <f>HYPERLINK("https://hawk-eye.atlassian.net/browse/HWKREPORT-40?atlOrigin=eyJpIjoiYzgwYTQ0ZjEyNzQzNGJhN2JmNjEyZTM0NmRhZWZhNjIiLCJwIjoic2hlZXRzLWppcmEifQ","HWKREPORT-40")</f>
        <v>HWKREPORT-40</v>
      </c>
      <c r="C3302" s="1" t="s">
        <v>4631</v>
      </c>
      <c r="D3302" s="1" t="s">
        <v>23</v>
      </c>
      <c r="E3302" s="1" t="s">
        <v>35</v>
      </c>
      <c r="F3302" s="4">
        <v>43411.642604166664</v>
      </c>
      <c r="G3302" s="3" t="str">
        <f>HYPERLINK("https://hawk-eye.atlassian.net/browse/SMARTDATA-510?atlOrigin=eyJpIjoiYzgwYTQ0ZjEyNzQzNGJhN2JmNjEyZTM0NmRhZWZhNjIiLCJwIjoic2hlZXRzLWppcmEifQ","SMARTDATA-510")</f>
        <v>SMARTDATA-510</v>
      </c>
      <c r="H3302" s="1" t="s">
        <v>1058</v>
      </c>
      <c r="I3302" s="1" t="s">
        <v>1085</v>
      </c>
      <c r="J3302" s="1" t="s">
        <v>26</v>
      </c>
      <c r="K3302" s="1" t="s">
        <v>4632</v>
      </c>
      <c r="L3302" s="1" t="s">
        <v>26</v>
      </c>
      <c r="M3302" s="1" t="s">
        <v>27</v>
      </c>
      <c r="N3302" s="1" t="s">
        <v>26</v>
      </c>
      <c r="O3302" s="1" t="s">
        <v>26</v>
      </c>
      <c r="P3302" s="4">
        <v>43423.701527777775</v>
      </c>
    </row>
    <row r="3303" hidden="1">
      <c r="A3303" s="1" t="s">
        <v>21</v>
      </c>
      <c r="B3303" s="3" t="str">
        <f>HYPERLINK("https://hawk-eye.atlassian.net/browse/HWKREPORT-41?atlOrigin=eyJpIjoiYzgwYTQ0ZjEyNzQzNGJhN2JmNjEyZTM0NmRhZWZhNjIiLCJwIjoic2hlZXRzLWppcmEifQ","HWKREPORT-41")</f>
        <v>HWKREPORT-41</v>
      </c>
      <c r="C3303" s="1" t="s">
        <v>4633</v>
      </c>
      <c r="D3303" s="1" t="s">
        <v>23</v>
      </c>
      <c r="E3303" s="1" t="s">
        <v>35</v>
      </c>
      <c r="F3303" s="4">
        <v>43411.644837962966</v>
      </c>
      <c r="G3303" s="3" t="str">
        <f>HYPERLINK("https://hawk-eye.atlassian.net/browse/SMARTDATA-514?atlOrigin=eyJpIjoiYzgwYTQ0ZjEyNzQzNGJhN2JmNjEyZTM0NmRhZWZhNjIiLCJwIjoic2hlZXRzLWppcmEifQ","SMARTDATA-514")</f>
        <v>SMARTDATA-514</v>
      </c>
      <c r="H3303" s="1" t="s">
        <v>1058</v>
      </c>
      <c r="I3303" s="1" t="s">
        <v>1085</v>
      </c>
      <c r="J3303" s="1" t="s">
        <v>26</v>
      </c>
      <c r="K3303" s="1" t="s">
        <v>4632</v>
      </c>
      <c r="L3303" s="1" t="s">
        <v>26</v>
      </c>
      <c r="M3303" s="1" t="s">
        <v>27</v>
      </c>
      <c r="N3303" s="1" t="s">
        <v>26</v>
      </c>
      <c r="O3303" s="1" t="s">
        <v>26</v>
      </c>
      <c r="P3303" s="4">
        <v>43439.423483796294</v>
      </c>
    </row>
    <row r="3304" hidden="1">
      <c r="A3304" s="1" t="s">
        <v>21</v>
      </c>
      <c r="B3304" s="3" t="str">
        <f>HYPERLINK("https://hawk-eye.atlassian.net/browse/HWKREPORT-42?atlOrigin=eyJpIjoiYzgwYTQ0ZjEyNzQzNGJhN2JmNjEyZTM0NmRhZWZhNjIiLCJwIjoic2hlZXRzLWppcmEifQ","HWKREPORT-42")</f>
        <v>HWKREPORT-42</v>
      </c>
      <c r="C3304" s="1" t="s">
        <v>4634</v>
      </c>
      <c r="D3304" s="1" t="s">
        <v>23</v>
      </c>
      <c r="E3304" s="1" t="s">
        <v>35</v>
      </c>
      <c r="F3304" s="4">
        <v>43411.66136574074</v>
      </c>
      <c r="G3304" s="3" t="str">
        <f>HYPERLINK("https://hawk-eye.atlassian.net/browse/SMARTDATA-515?atlOrigin=eyJpIjoiYzgwYTQ0ZjEyNzQzNGJhN2JmNjEyZTM0NmRhZWZhNjIiLCJwIjoic2hlZXRzLWppcmEifQ","SMARTDATA-515")</f>
        <v>SMARTDATA-515</v>
      </c>
      <c r="H3304" s="1" t="s">
        <v>1058</v>
      </c>
      <c r="I3304" s="1" t="s">
        <v>1085</v>
      </c>
      <c r="J3304" s="1" t="s">
        <v>26</v>
      </c>
      <c r="K3304" s="1" t="s">
        <v>4632</v>
      </c>
      <c r="L3304" s="1" t="s">
        <v>26</v>
      </c>
      <c r="M3304" s="1" t="s">
        <v>27</v>
      </c>
      <c r="N3304" s="1" t="s">
        <v>26</v>
      </c>
      <c r="O3304" s="1" t="s">
        <v>26</v>
      </c>
      <c r="P3304" s="4">
        <v>43453.758356481485</v>
      </c>
    </row>
    <row r="3305" hidden="1">
      <c r="A3305" s="1" t="s">
        <v>1055</v>
      </c>
      <c r="B3305" s="3" t="str">
        <f>HYPERLINK("https://hawk-eye.atlassian.net/browse/HWKREPORT-43?atlOrigin=eyJpIjoiYzgwYTQ0ZjEyNzQzNGJhN2JmNjEyZTM0NmRhZWZhNjIiLCJwIjoic2hlZXRzLWppcmEifQ","HWKREPORT-43")</f>
        <v>HWKREPORT-43</v>
      </c>
      <c r="C3305" s="1" t="s">
        <v>4635</v>
      </c>
      <c r="D3305" s="1" t="s">
        <v>23</v>
      </c>
      <c r="E3305" s="1" t="s">
        <v>35</v>
      </c>
      <c r="F3305" s="4">
        <v>43416.56995370371</v>
      </c>
      <c r="G3305" s="3" t="str">
        <f>HYPERLINK("https://hawk-eye.atlassian.net/browse/CAMCTRL-28?atlOrigin=eyJpIjoiYzgwYTQ0ZjEyNzQzNGJhN2JmNjEyZTM0NmRhZWZhNjIiLCJwIjoic2hlZXRzLWppcmEifQ","CAMCTRL-28")</f>
        <v>CAMCTRL-28</v>
      </c>
      <c r="H3305" s="1" t="s">
        <v>1058</v>
      </c>
      <c r="I3305" s="1" t="s">
        <v>1126</v>
      </c>
      <c r="J3305" s="1" t="s">
        <v>26</v>
      </c>
      <c r="K3305" s="1" t="s">
        <v>1241</v>
      </c>
      <c r="L3305" s="1" t="s">
        <v>26</v>
      </c>
      <c r="M3305" s="1" t="s">
        <v>27</v>
      </c>
      <c r="N3305" s="1" t="s">
        <v>26</v>
      </c>
      <c r="O3305" s="1" t="s">
        <v>26</v>
      </c>
      <c r="P3305" s="4">
        <v>44627.58456018518</v>
      </c>
    </row>
    <row r="3306" hidden="1">
      <c r="A3306" s="1" t="s">
        <v>1055</v>
      </c>
      <c r="B3306" s="3" t="str">
        <f>HYPERLINK("https://hawk-eye.atlassian.net/browse/HWKREPORT-44?atlOrigin=eyJpIjoiYzgwYTQ0ZjEyNzQzNGJhN2JmNjEyZTM0NmRhZWZhNjIiLCJwIjoic2hlZXRzLWppcmEifQ","HWKREPORT-44")</f>
        <v>HWKREPORT-44</v>
      </c>
      <c r="C3306" s="1" t="s">
        <v>4636</v>
      </c>
      <c r="D3306" s="1" t="s">
        <v>23</v>
      </c>
      <c r="E3306" s="1" t="s">
        <v>1057</v>
      </c>
      <c r="F3306" s="4">
        <v>43417.57612268518</v>
      </c>
      <c r="G3306" s="3" t="str">
        <f>HYPERLINK("https://hawk-eye.atlassian.net/browse/?atlOrigin=eyJpIjoiYzgwYTQ0ZjEyNzQzNGJhN2JmNjEyZTM0NmRhZWZhNjIiLCJwIjoic2hlZXRzLWppcmEifQ","")</f>
        <v/>
      </c>
      <c r="H3306" s="1" t="s">
        <v>1058</v>
      </c>
      <c r="I3306" s="1" t="s">
        <v>1514</v>
      </c>
      <c r="J3306" s="1" t="s">
        <v>26</v>
      </c>
      <c r="K3306" s="1" t="s">
        <v>4637</v>
      </c>
      <c r="L3306" s="1" t="s">
        <v>26</v>
      </c>
      <c r="M3306" s="1" t="s">
        <v>27</v>
      </c>
      <c r="N3306" s="1" t="s">
        <v>26</v>
      </c>
      <c r="O3306" s="1" t="s">
        <v>26</v>
      </c>
      <c r="P3306" s="4">
        <v>43417.57612268518</v>
      </c>
    </row>
    <row r="3307" hidden="1">
      <c r="A3307" s="1" t="s">
        <v>1055</v>
      </c>
      <c r="B3307" s="3" t="str">
        <f>HYPERLINK("https://hawk-eye.atlassian.net/browse/HWKREPORT-45?atlOrigin=eyJpIjoiYzgwYTQ0ZjEyNzQzNGJhN2JmNjEyZTM0NmRhZWZhNjIiLCJwIjoic2hlZXRzLWppcmEifQ","HWKREPORT-45")</f>
        <v>HWKREPORT-45</v>
      </c>
      <c r="C3307" s="1" t="s">
        <v>4638</v>
      </c>
      <c r="D3307" s="1" t="s">
        <v>23</v>
      </c>
      <c r="E3307" s="1" t="s">
        <v>1057</v>
      </c>
      <c r="F3307" s="4">
        <v>43417.580717592595</v>
      </c>
      <c r="G3307" s="3" t="str">
        <f>HYPERLINK("https://hawk-eye.atlassian.net/browse/SMARTDATA-513?atlOrigin=eyJpIjoiYzgwYTQ0ZjEyNzQzNGJhN2JmNjEyZTM0NmRhZWZhNjIiLCJwIjoic2hlZXRzLWppcmEifQ","SMARTDATA-513")</f>
        <v>SMARTDATA-513</v>
      </c>
      <c r="H3307" s="1" t="s">
        <v>1058</v>
      </c>
      <c r="I3307" s="1" t="s">
        <v>4639</v>
      </c>
      <c r="J3307" s="1" t="s">
        <v>26</v>
      </c>
      <c r="K3307" s="1" t="s">
        <v>4632</v>
      </c>
      <c r="L3307" s="1" t="s">
        <v>26</v>
      </c>
      <c r="M3307" s="1" t="s">
        <v>27</v>
      </c>
      <c r="N3307" s="1" t="s">
        <v>26</v>
      </c>
      <c r="O3307" s="1" t="s">
        <v>26</v>
      </c>
      <c r="P3307" s="4">
        <v>43417.580717592595</v>
      </c>
    </row>
    <row r="3308" hidden="1">
      <c r="A3308" s="1" t="s">
        <v>21</v>
      </c>
      <c r="B3308" s="3" t="str">
        <f>HYPERLINK("https://hawk-eye.atlassian.net/browse/HWKREPORT-46?atlOrigin=eyJpIjoiYzgwYTQ0ZjEyNzQzNGJhN2JmNjEyZTM0NmRhZWZhNjIiLCJwIjoic2hlZXRzLWppcmEifQ","HWKREPORT-46")</f>
        <v>HWKREPORT-46</v>
      </c>
      <c r="C3308" s="1" t="s">
        <v>4640</v>
      </c>
      <c r="D3308" s="1" t="s">
        <v>23</v>
      </c>
      <c r="E3308" s="1" t="s">
        <v>35</v>
      </c>
      <c r="F3308" s="4">
        <v>43419.70762731481</v>
      </c>
      <c r="G3308" s="3" t="str">
        <f>HYPERLINK("https://hawk-eye.atlassian.net/browse/CAMCTRL-24?atlOrigin=eyJpIjoiYzgwYTQ0ZjEyNzQzNGJhN2JmNjEyZTM0NmRhZWZhNjIiLCJwIjoic2hlZXRzLWppcmEifQ","CAMCTRL-24")</f>
        <v>CAMCTRL-24</v>
      </c>
      <c r="H3308" s="1" t="s">
        <v>1058</v>
      </c>
      <c r="I3308" s="1" t="s">
        <v>1126</v>
      </c>
      <c r="J3308" s="1" t="s">
        <v>26</v>
      </c>
      <c r="K3308" s="1" t="s">
        <v>1241</v>
      </c>
      <c r="L3308" s="1" t="s">
        <v>26</v>
      </c>
      <c r="M3308" s="1" t="s">
        <v>27</v>
      </c>
      <c r="N3308" s="1" t="s">
        <v>26</v>
      </c>
      <c r="O3308" s="1" t="s">
        <v>26</v>
      </c>
      <c r="P3308" s="4">
        <v>43515.838842592595</v>
      </c>
    </row>
    <row r="3309" hidden="1">
      <c r="A3309" s="1" t="s">
        <v>21</v>
      </c>
      <c r="B3309" s="3" t="str">
        <f>HYPERLINK("https://hawk-eye.atlassian.net/browse/HWKREPORT-47?atlOrigin=eyJpIjoiYzgwYTQ0ZjEyNzQzNGJhN2JmNjEyZTM0NmRhZWZhNjIiLCJwIjoic2hlZXRzLWppcmEifQ","HWKREPORT-47")</f>
        <v>HWKREPORT-47</v>
      </c>
      <c r="C3309" s="1" t="s">
        <v>4641</v>
      </c>
      <c r="D3309" s="1" t="s">
        <v>23</v>
      </c>
      <c r="E3309" s="1" t="s">
        <v>35</v>
      </c>
      <c r="F3309" s="4">
        <v>43419.708645833336</v>
      </c>
      <c r="G3309" s="3" t="str">
        <f>HYPERLINK("https://hawk-eye.atlassian.net/browse/CAMCTRL-23?atlOrigin=eyJpIjoiYzgwYTQ0ZjEyNzQzNGJhN2JmNjEyZTM0NmRhZWZhNjIiLCJwIjoic2hlZXRzLWppcmEifQ","CAMCTRL-23")</f>
        <v>CAMCTRL-23</v>
      </c>
      <c r="H3309" s="1" t="s">
        <v>1058</v>
      </c>
      <c r="I3309" s="1" t="s">
        <v>1126</v>
      </c>
      <c r="J3309" s="1" t="s">
        <v>26</v>
      </c>
      <c r="K3309" s="1" t="s">
        <v>1241</v>
      </c>
      <c r="L3309" s="1" t="s">
        <v>26</v>
      </c>
      <c r="M3309" s="1" t="s">
        <v>27</v>
      </c>
      <c r="N3309" s="1" t="s">
        <v>26</v>
      </c>
      <c r="O3309" s="1" t="s">
        <v>26</v>
      </c>
      <c r="P3309" s="4">
        <v>43515.83859953703</v>
      </c>
    </row>
    <row r="3310" hidden="1">
      <c r="A3310" s="1" t="s">
        <v>21</v>
      </c>
      <c r="B3310" s="3" t="str">
        <f>HYPERLINK("https://hawk-eye.atlassian.net/browse/HWKREPORT-48?atlOrigin=eyJpIjoiYzgwYTQ0ZjEyNzQzNGJhN2JmNjEyZTM0NmRhZWZhNjIiLCJwIjoic2hlZXRzLWppcmEifQ","HWKREPORT-48")</f>
        <v>HWKREPORT-48</v>
      </c>
      <c r="C3310" s="1" t="s">
        <v>4642</v>
      </c>
      <c r="D3310" s="1" t="s">
        <v>23</v>
      </c>
      <c r="E3310" s="1" t="s">
        <v>35</v>
      </c>
      <c r="F3310" s="4">
        <v>43419.71008101852</v>
      </c>
      <c r="G3310" s="3" t="str">
        <f>HYPERLINK("https://hawk-eye.atlassian.net/browse/CAMCTRL-22?atlOrigin=eyJpIjoiYzgwYTQ0ZjEyNzQzNGJhN2JmNjEyZTM0NmRhZWZhNjIiLCJwIjoic2hlZXRzLWppcmEifQ","CAMCTRL-22")</f>
        <v>CAMCTRL-22</v>
      </c>
      <c r="H3310" s="1" t="s">
        <v>1058</v>
      </c>
      <c r="I3310" s="1" t="s">
        <v>1126</v>
      </c>
      <c r="J3310" s="1" t="s">
        <v>26</v>
      </c>
      <c r="K3310" s="1" t="s">
        <v>1241</v>
      </c>
      <c r="L3310" s="1" t="s">
        <v>26</v>
      </c>
      <c r="M3310" s="1" t="s">
        <v>27</v>
      </c>
      <c r="N3310" s="1" t="s">
        <v>26</v>
      </c>
      <c r="O3310" s="1" t="s">
        <v>26</v>
      </c>
      <c r="P3310" s="4">
        <v>44627.58449074074</v>
      </c>
    </row>
    <row r="3311" hidden="1">
      <c r="A3311" s="1" t="s">
        <v>21</v>
      </c>
      <c r="B3311" s="3" t="str">
        <f>HYPERLINK("https://hawk-eye.atlassian.net/browse/HWKREPORT-49?atlOrigin=eyJpIjoiYzgwYTQ0ZjEyNzQzNGJhN2JmNjEyZTM0NmRhZWZhNjIiLCJwIjoic2hlZXRzLWppcmEifQ","HWKREPORT-49")</f>
        <v>HWKREPORT-49</v>
      </c>
      <c r="C3311" s="1" t="s">
        <v>4643</v>
      </c>
      <c r="D3311" s="1" t="s">
        <v>23</v>
      </c>
      <c r="E3311" s="1" t="s">
        <v>35</v>
      </c>
      <c r="F3311" s="4">
        <v>43419.711435185185</v>
      </c>
      <c r="G3311" s="3" t="str">
        <f>HYPERLINK("https://hawk-eye.atlassian.net/browse/CAMCTRL-21?atlOrigin=eyJpIjoiYzgwYTQ0ZjEyNzQzNGJhN2JmNjEyZTM0NmRhZWZhNjIiLCJwIjoic2hlZXRzLWppcmEifQ","CAMCTRL-21")</f>
        <v>CAMCTRL-21</v>
      </c>
      <c r="H3311" s="1" t="s">
        <v>1058</v>
      </c>
      <c r="I3311" s="1" t="s">
        <v>1126</v>
      </c>
      <c r="J3311" s="1" t="s">
        <v>26</v>
      </c>
      <c r="K3311" s="1" t="s">
        <v>1241</v>
      </c>
      <c r="L3311" s="1" t="s">
        <v>26</v>
      </c>
      <c r="M3311" s="1" t="s">
        <v>27</v>
      </c>
      <c r="N3311" s="1" t="s">
        <v>26</v>
      </c>
      <c r="O3311" s="1" t="s">
        <v>26</v>
      </c>
      <c r="P3311" s="4">
        <v>43515.83679398148</v>
      </c>
    </row>
    <row r="3312" hidden="1">
      <c r="A3312" s="1" t="s">
        <v>21</v>
      </c>
      <c r="B3312" s="3" t="str">
        <f>HYPERLINK("https://hawk-eye.atlassian.net/browse/HWKREPORT-50?atlOrigin=eyJpIjoiYzgwYTQ0ZjEyNzQzNGJhN2JmNjEyZTM0NmRhZWZhNjIiLCJwIjoic2hlZXRzLWppcmEifQ","HWKREPORT-50")</f>
        <v>HWKREPORT-50</v>
      </c>
      <c r="C3312" s="1" t="s">
        <v>4644</v>
      </c>
      <c r="D3312" s="1" t="s">
        <v>23</v>
      </c>
      <c r="E3312" s="1" t="s">
        <v>35</v>
      </c>
      <c r="F3312" s="4">
        <v>43419.712534722225</v>
      </c>
      <c r="G3312" s="3" t="str">
        <f>HYPERLINK("https://hawk-eye.atlassian.net/issues/?atlOrigin=eyJpIjoiYzgwYTQ0ZjEyNzQzNGJhN2JmNjEyZTM0NmRhZWZhNjIiLCJwIjoic2hlZXRzLWppcmEifQ&amp;jql=key+in+%28CAMCTRL-20%2CCAMCTRL-20%29","CAMCTRL-20;CAMCTRL-20")</f>
        <v>CAMCTRL-20;CAMCTRL-20</v>
      </c>
      <c r="H3312" s="1" t="s">
        <v>1058</v>
      </c>
      <c r="I3312" s="1" t="s">
        <v>1126</v>
      </c>
      <c r="J3312" s="1" t="s">
        <v>26</v>
      </c>
      <c r="K3312" s="1" t="s">
        <v>1241</v>
      </c>
      <c r="L3312" s="1" t="s">
        <v>26</v>
      </c>
      <c r="M3312" s="1" t="s">
        <v>27</v>
      </c>
      <c r="N3312" s="1" t="s">
        <v>26</v>
      </c>
      <c r="O3312" s="1" t="s">
        <v>26</v>
      </c>
      <c r="P3312" s="4">
        <v>44054.527291666665</v>
      </c>
    </row>
    <row r="3313" hidden="1">
      <c r="A3313" s="1" t="s">
        <v>21</v>
      </c>
      <c r="B3313" s="3" t="str">
        <f>HYPERLINK("https://hawk-eye.atlassian.net/browse/HWKREPORT-51?atlOrigin=eyJpIjoiYzgwYTQ0ZjEyNzQzNGJhN2JmNjEyZTM0NmRhZWZhNjIiLCJwIjoic2hlZXRzLWppcmEifQ","HWKREPORT-51")</f>
        <v>HWKREPORT-51</v>
      </c>
      <c r="C3313" s="1" t="s">
        <v>4645</v>
      </c>
      <c r="D3313" s="1" t="s">
        <v>23</v>
      </c>
      <c r="E3313" s="1" t="s">
        <v>35</v>
      </c>
      <c r="F3313" s="4">
        <v>43419.7133912037</v>
      </c>
      <c r="G3313" s="3" t="str">
        <f>HYPERLINK("https://hawk-eye.atlassian.net/browse/CAMCTRL-19?atlOrigin=eyJpIjoiYzgwYTQ0ZjEyNzQzNGJhN2JmNjEyZTM0NmRhZWZhNjIiLCJwIjoic2hlZXRzLWppcmEifQ","CAMCTRL-19")</f>
        <v>CAMCTRL-19</v>
      </c>
      <c r="H3313" s="1" t="s">
        <v>1058</v>
      </c>
      <c r="I3313" s="1" t="s">
        <v>1126</v>
      </c>
      <c r="J3313" s="1" t="s">
        <v>26</v>
      </c>
      <c r="K3313" s="1" t="s">
        <v>1241</v>
      </c>
      <c r="L3313" s="1" t="s">
        <v>26</v>
      </c>
      <c r="M3313" s="1" t="s">
        <v>27</v>
      </c>
      <c r="N3313" s="1" t="s">
        <v>26</v>
      </c>
      <c r="O3313" s="1" t="s">
        <v>26</v>
      </c>
      <c r="P3313" s="4">
        <v>44627.5844212963</v>
      </c>
    </row>
    <row r="3314" hidden="1">
      <c r="A3314" s="1" t="s">
        <v>21</v>
      </c>
      <c r="B3314" s="3" t="str">
        <f>HYPERLINK("https://hawk-eye.atlassian.net/browse/HWKREPORT-52?atlOrigin=eyJpIjoiYzgwYTQ0ZjEyNzQzNGJhN2JmNjEyZTM0NmRhZWZhNjIiLCJwIjoic2hlZXRzLWppcmEifQ","HWKREPORT-52")</f>
        <v>HWKREPORT-52</v>
      </c>
      <c r="C3314" s="1" t="s">
        <v>4646</v>
      </c>
      <c r="D3314" s="1" t="s">
        <v>23</v>
      </c>
      <c r="E3314" s="1" t="s">
        <v>35</v>
      </c>
      <c r="F3314" s="4">
        <v>43419.71496527778</v>
      </c>
      <c r="G3314" s="3" t="str">
        <f>HYPERLINK("https://hawk-eye.atlassian.net/browse/CAMCTRL-18?atlOrigin=eyJpIjoiYzgwYTQ0ZjEyNzQzNGJhN2JmNjEyZTM0NmRhZWZhNjIiLCJwIjoic2hlZXRzLWppcmEifQ","CAMCTRL-18")</f>
        <v>CAMCTRL-18</v>
      </c>
      <c r="H3314" s="1" t="s">
        <v>1058</v>
      </c>
      <c r="I3314" s="1" t="s">
        <v>1126</v>
      </c>
      <c r="J3314" s="1" t="s">
        <v>26</v>
      </c>
      <c r="K3314" s="1" t="s">
        <v>1241</v>
      </c>
      <c r="L3314" s="1" t="s">
        <v>26</v>
      </c>
      <c r="M3314" s="1" t="s">
        <v>27</v>
      </c>
      <c r="N3314" s="1" t="s">
        <v>26</v>
      </c>
      <c r="O3314" s="1" t="s">
        <v>26</v>
      </c>
      <c r="P3314" s="4">
        <v>44631.521527777775</v>
      </c>
    </row>
    <row r="3315" hidden="1">
      <c r="A3315" s="1" t="s">
        <v>21</v>
      </c>
      <c r="B3315" s="3" t="str">
        <f>HYPERLINK("https://hawk-eye.atlassian.net/browse/HWKREPORT-53?atlOrigin=eyJpIjoiYzgwYTQ0ZjEyNzQzNGJhN2JmNjEyZTM0NmRhZWZhNjIiLCJwIjoic2hlZXRzLWppcmEifQ","HWKREPORT-53")</f>
        <v>HWKREPORT-53</v>
      </c>
      <c r="C3315" s="1" t="s">
        <v>4647</v>
      </c>
      <c r="D3315" s="1" t="s">
        <v>23</v>
      </c>
      <c r="E3315" s="1" t="s">
        <v>35</v>
      </c>
      <c r="F3315" s="4">
        <v>43419.71571759259</v>
      </c>
      <c r="G3315" s="3" t="str">
        <f>HYPERLINK("https://hawk-eye.atlassian.net/browse/CAMCTRL-17?atlOrigin=eyJpIjoiYzgwYTQ0ZjEyNzQzNGJhN2JmNjEyZTM0NmRhZWZhNjIiLCJwIjoic2hlZXRzLWppcmEifQ","CAMCTRL-17")</f>
        <v>CAMCTRL-17</v>
      </c>
      <c r="H3315" s="1" t="s">
        <v>1058</v>
      </c>
      <c r="I3315" s="1" t="s">
        <v>1126</v>
      </c>
      <c r="J3315" s="1" t="s">
        <v>26</v>
      </c>
      <c r="K3315" s="1" t="s">
        <v>1241</v>
      </c>
      <c r="L3315" s="1" t="s">
        <v>26</v>
      </c>
      <c r="M3315" s="1" t="s">
        <v>27</v>
      </c>
      <c r="N3315" s="1" t="s">
        <v>26</v>
      </c>
      <c r="O3315" s="1" t="s">
        <v>26</v>
      </c>
      <c r="P3315" s="4">
        <v>44627.58435185185</v>
      </c>
    </row>
    <row r="3316" hidden="1">
      <c r="A3316" s="1" t="s">
        <v>21</v>
      </c>
      <c r="B3316" s="3" t="str">
        <f>HYPERLINK("https://hawk-eye.atlassian.net/browse/HWKREPORT-54?atlOrigin=eyJpIjoiYzgwYTQ0ZjEyNzQzNGJhN2JmNjEyZTM0NmRhZWZhNjIiLCJwIjoic2hlZXRzLWppcmEifQ","HWKREPORT-54")</f>
        <v>HWKREPORT-54</v>
      </c>
      <c r="C3316" s="1" t="s">
        <v>4648</v>
      </c>
      <c r="D3316" s="1" t="s">
        <v>23</v>
      </c>
      <c r="E3316" s="1" t="s">
        <v>35</v>
      </c>
      <c r="F3316" s="4">
        <v>43419.71662037037</v>
      </c>
      <c r="G3316" s="3" t="str">
        <f>HYPERLINK("https://hawk-eye.atlassian.net/browse/CAMCTRL-14?atlOrigin=eyJpIjoiYzgwYTQ0ZjEyNzQzNGJhN2JmNjEyZTM0NmRhZWZhNjIiLCJwIjoic2hlZXRzLWppcmEifQ","CAMCTRL-14")</f>
        <v>CAMCTRL-14</v>
      </c>
      <c r="H3316" s="1" t="s">
        <v>1058</v>
      </c>
      <c r="I3316" s="1" t="s">
        <v>1126</v>
      </c>
      <c r="J3316" s="1" t="s">
        <v>26</v>
      </c>
      <c r="K3316" s="1" t="s">
        <v>1241</v>
      </c>
      <c r="L3316" s="1" t="s">
        <v>26</v>
      </c>
      <c r="M3316" s="1" t="s">
        <v>27</v>
      </c>
      <c r="N3316" s="1" t="s">
        <v>26</v>
      </c>
      <c r="O3316" s="1" t="s">
        <v>26</v>
      </c>
      <c r="P3316" s="4">
        <v>43515.83704861111</v>
      </c>
    </row>
    <row r="3317" hidden="1">
      <c r="A3317" s="1" t="s">
        <v>1055</v>
      </c>
      <c r="B3317" s="3" t="str">
        <f>HYPERLINK("https://hawk-eye.atlassian.net/browse/HWKREPORT-55?atlOrigin=eyJpIjoiYzgwYTQ0ZjEyNzQzNGJhN2JmNjEyZTM0NmRhZWZhNjIiLCJwIjoic2hlZXRzLWppcmEifQ","HWKREPORT-55")</f>
        <v>HWKREPORT-55</v>
      </c>
      <c r="C3317" s="1" t="s">
        <v>4649</v>
      </c>
      <c r="D3317" s="1" t="s">
        <v>23</v>
      </c>
      <c r="E3317" s="1" t="s">
        <v>35</v>
      </c>
      <c r="F3317" s="4">
        <v>43419.71840277778</v>
      </c>
      <c r="G3317" s="3" t="str">
        <f>HYPERLINK("https://hawk-eye.atlassian.net/browse/CAMCTRL-29?atlOrigin=eyJpIjoiYzgwYTQ0ZjEyNzQzNGJhN2JmNjEyZTM0NmRhZWZhNjIiLCJwIjoic2hlZXRzLWppcmEifQ","CAMCTRL-29")</f>
        <v>CAMCTRL-29</v>
      </c>
      <c r="H3317" s="1" t="s">
        <v>1058</v>
      </c>
      <c r="I3317" s="1" t="s">
        <v>4650</v>
      </c>
      <c r="J3317" s="1" t="s">
        <v>26</v>
      </c>
      <c r="K3317" s="1" t="s">
        <v>1241</v>
      </c>
      <c r="L3317" s="1" t="s">
        <v>26</v>
      </c>
      <c r="M3317" s="1" t="s">
        <v>27</v>
      </c>
      <c r="N3317" s="1" t="s">
        <v>26</v>
      </c>
      <c r="O3317" s="1" t="s">
        <v>26</v>
      </c>
      <c r="P3317" s="4">
        <v>44627.58425925926</v>
      </c>
    </row>
    <row r="3318" hidden="1">
      <c r="A3318" s="1" t="s">
        <v>1055</v>
      </c>
      <c r="B3318" s="3" t="str">
        <f>HYPERLINK("https://hawk-eye.atlassian.net/browse/HWKREPORT-56?atlOrigin=eyJpIjoiYzgwYTQ0ZjEyNzQzNGJhN2JmNjEyZTM0NmRhZWZhNjIiLCJwIjoic2hlZXRzLWppcmEifQ","HWKREPORT-56")</f>
        <v>HWKREPORT-56</v>
      </c>
      <c r="C3318" s="1" t="s">
        <v>4651</v>
      </c>
      <c r="D3318" s="1" t="s">
        <v>23</v>
      </c>
      <c r="E3318" s="1" t="s">
        <v>35</v>
      </c>
      <c r="F3318" s="4">
        <v>43419.719409722224</v>
      </c>
      <c r="G3318" s="3" t="str">
        <f>HYPERLINK("https://hawk-eye.atlassian.net/browse/CAMCTRL-27?atlOrigin=eyJpIjoiYzgwYTQ0ZjEyNzQzNGJhN2JmNjEyZTM0NmRhZWZhNjIiLCJwIjoic2hlZXRzLWppcmEifQ","CAMCTRL-27")</f>
        <v>CAMCTRL-27</v>
      </c>
      <c r="H3318" s="1" t="s">
        <v>1058</v>
      </c>
      <c r="I3318" s="1" t="s">
        <v>1126</v>
      </c>
      <c r="J3318" s="1" t="s">
        <v>26</v>
      </c>
      <c r="K3318" s="1" t="s">
        <v>1241</v>
      </c>
      <c r="L3318" s="1" t="s">
        <v>26</v>
      </c>
      <c r="M3318" s="1" t="s">
        <v>27</v>
      </c>
      <c r="N3318" s="1" t="s">
        <v>26</v>
      </c>
      <c r="O3318" s="1" t="s">
        <v>26</v>
      </c>
      <c r="P3318" s="4">
        <v>44627.58416666667</v>
      </c>
    </row>
    <row r="3319" hidden="1">
      <c r="A3319" s="1" t="s">
        <v>1055</v>
      </c>
      <c r="B3319" s="3" t="str">
        <f>HYPERLINK("https://hawk-eye.atlassian.net/browse/HWKREPORT-57?atlOrigin=eyJpIjoiYzgwYTQ0ZjEyNzQzNGJhN2JmNjEyZTM0NmRhZWZhNjIiLCJwIjoic2hlZXRzLWppcmEifQ","HWKREPORT-57")</f>
        <v>HWKREPORT-57</v>
      </c>
      <c r="C3319" s="1" t="s">
        <v>4652</v>
      </c>
      <c r="D3319" s="1" t="s">
        <v>23</v>
      </c>
      <c r="E3319" s="1" t="s">
        <v>35</v>
      </c>
      <c r="F3319" s="4">
        <v>43419.72006944445</v>
      </c>
      <c r="G3319" s="3" t="str">
        <f>HYPERLINK("https://hawk-eye.atlassian.net/browse/?atlOrigin=eyJpIjoiYzgwYTQ0ZjEyNzQzNGJhN2JmNjEyZTM0NmRhZWZhNjIiLCJwIjoic2hlZXRzLWppcmEifQ","")</f>
        <v/>
      </c>
      <c r="H3319" s="1" t="s">
        <v>1058</v>
      </c>
      <c r="I3319" s="1" t="s">
        <v>1126</v>
      </c>
      <c r="J3319" s="1" t="s">
        <v>26</v>
      </c>
      <c r="K3319" s="1" t="s">
        <v>4653</v>
      </c>
      <c r="L3319" s="1" t="s">
        <v>26</v>
      </c>
      <c r="M3319" s="1" t="s">
        <v>27</v>
      </c>
      <c r="N3319" s="1" t="s">
        <v>26</v>
      </c>
      <c r="O3319" s="1" t="s">
        <v>26</v>
      </c>
      <c r="P3319" s="4">
        <v>43806.63521990741</v>
      </c>
    </row>
    <row r="3320" hidden="1">
      <c r="A3320" s="1" t="s">
        <v>21</v>
      </c>
      <c r="B3320" s="3" t="str">
        <f>HYPERLINK("https://hawk-eye.atlassian.net/browse/HWKREPORT-58?atlOrigin=eyJpIjoiYzgwYTQ0ZjEyNzQzNGJhN2JmNjEyZTM0NmRhZWZhNjIiLCJwIjoic2hlZXRzLWppcmEifQ","HWKREPORT-58")</f>
        <v>HWKREPORT-58</v>
      </c>
      <c r="C3320" s="1" t="s">
        <v>4654</v>
      </c>
      <c r="D3320" s="1" t="s">
        <v>23</v>
      </c>
      <c r="E3320" s="1" t="s">
        <v>35</v>
      </c>
      <c r="F3320" s="4">
        <v>43419.8224537037</v>
      </c>
      <c r="G3320" s="3" t="str">
        <f>HYPERLINK("https://hawk-eye.atlassian.net/browse/CAMCTRL-13?atlOrigin=eyJpIjoiYzgwYTQ0ZjEyNzQzNGJhN2JmNjEyZTM0NmRhZWZhNjIiLCJwIjoic2hlZXRzLWppcmEifQ","CAMCTRL-13")</f>
        <v>CAMCTRL-13</v>
      </c>
      <c r="H3320" s="1" t="s">
        <v>1058</v>
      </c>
      <c r="I3320" s="1" t="s">
        <v>1126</v>
      </c>
      <c r="J3320" s="1" t="s">
        <v>26</v>
      </c>
      <c r="K3320" s="1" t="s">
        <v>4655</v>
      </c>
      <c r="L3320" s="1" t="s">
        <v>26</v>
      </c>
      <c r="M3320" s="1" t="s">
        <v>27</v>
      </c>
      <c r="N3320" s="1" t="s">
        <v>26</v>
      </c>
      <c r="O3320" s="1" t="s">
        <v>26</v>
      </c>
      <c r="P3320" s="4">
        <v>44068.79744212963</v>
      </c>
    </row>
    <row r="3321" hidden="1">
      <c r="A3321" s="1" t="s">
        <v>1055</v>
      </c>
      <c r="B3321" s="3" t="str">
        <f>HYPERLINK("https://hawk-eye.atlassian.net/browse/HWKREPORT-59?atlOrigin=eyJpIjoiYzgwYTQ0ZjEyNzQzNGJhN2JmNjEyZTM0NmRhZWZhNjIiLCJwIjoic2hlZXRzLWppcmEifQ","HWKREPORT-59")</f>
        <v>HWKREPORT-59</v>
      </c>
      <c r="C3321" s="1" t="s">
        <v>4656</v>
      </c>
      <c r="D3321" s="1" t="s">
        <v>23</v>
      </c>
      <c r="E3321" s="1" t="s">
        <v>35</v>
      </c>
      <c r="F3321" s="4">
        <v>43423.622395833336</v>
      </c>
      <c r="G3321" s="3" t="str">
        <f>HYPERLINK("https://hawk-eye.atlassian.net/browse/?atlOrigin=eyJpIjoiYzgwYTQ0ZjEyNzQzNGJhN2JmNjEyZTM0NmRhZWZhNjIiLCJwIjoic2hlZXRzLWppcmEifQ","")</f>
        <v/>
      </c>
      <c r="H3321" s="1" t="s">
        <v>1058</v>
      </c>
      <c r="I3321" s="1" t="s">
        <v>1126</v>
      </c>
      <c r="J3321" s="1" t="s">
        <v>26</v>
      </c>
      <c r="K3321" s="1" t="s">
        <v>1127</v>
      </c>
      <c r="L3321" s="1" t="s">
        <v>26</v>
      </c>
      <c r="M3321" s="1" t="s">
        <v>27</v>
      </c>
      <c r="N3321" s="1" t="s">
        <v>26</v>
      </c>
      <c r="O3321" s="1" t="s">
        <v>26</v>
      </c>
      <c r="P3321" s="4">
        <v>43806.63337962963</v>
      </c>
    </row>
    <row r="3322" hidden="1">
      <c r="A3322" s="1" t="s">
        <v>21</v>
      </c>
      <c r="B3322" s="3" t="str">
        <f>HYPERLINK("https://hawk-eye.atlassian.net/browse/HWKREPORT-60?atlOrigin=eyJpIjoiYzgwYTQ0ZjEyNzQzNGJhN2JmNjEyZTM0NmRhZWZhNjIiLCJwIjoic2hlZXRzLWppcmEifQ","HWKREPORT-60")</f>
        <v>HWKREPORT-60</v>
      </c>
      <c r="C3322" s="1" t="s">
        <v>4657</v>
      </c>
      <c r="D3322" s="1" t="s">
        <v>34</v>
      </c>
      <c r="E3322" s="1" t="s">
        <v>35</v>
      </c>
      <c r="F3322" s="4">
        <v>43424.37763888889</v>
      </c>
      <c r="G3322" s="3" t="str">
        <f>HYPERLINK("https://hawk-eye.atlassian.net/browse/CDS-100?atlOrigin=eyJpIjoiYzgwYTQ0ZjEyNzQzNGJhN2JmNjEyZTM0NmRhZWZhNjIiLCJwIjoic2hlZXRzLWppcmEifQ","CDS-100")</f>
        <v>CDS-100</v>
      </c>
      <c r="H3322" s="1" t="s">
        <v>1058</v>
      </c>
      <c r="I3322" s="1" t="s">
        <v>1082</v>
      </c>
      <c r="J3322" s="1" t="s">
        <v>26</v>
      </c>
      <c r="K3322" s="1" t="s">
        <v>1700</v>
      </c>
      <c r="L3322" s="1" t="s">
        <v>26</v>
      </c>
      <c r="M3322" s="1" t="s">
        <v>27</v>
      </c>
      <c r="N3322" s="1" t="s">
        <v>26</v>
      </c>
      <c r="O3322" s="1" t="s">
        <v>26</v>
      </c>
      <c r="P3322" s="4">
        <v>43432.758043981485</v>
      </c>
    </row>
    <row r="3323" hidden="1">
      <c r="A3323" s="1" t="s">
        <v>1055</v>
      </c>
      <c r="B3323" s="3" t="str">
        <f>HYPERLINK("https://hawk-eye.atlassian.net/browse/HWKREPORT-61?atlOrigin=eyJpIjoiYzgwYTQ0ZjEyNzQzNGJhN2JmNjEyZTM0NmRhZWZhNjIiLCJwIjoic2hlZXRzLWppcmEifQ","HWKREPORT-61")</f>
        <v>HWKREPORT-61</v>
      </c>
      <c r="C3323" s="1" t="s">
        <v>4658</v>
      </c>
      <c r="D3323" s="1" t="s">
        <v>23</v>
      </c>
      <c r="E3323" s="1" t="s">
        <v>1057</v>
      </c>
      <c r="F3323" s="4">
        <v>43425.59300925926</v>
      </c>
      <c r="G3323" s="3" t="str">
        <f>HYPERLINK("https://hawk-eye.atlassian.net/browse/?atlOrigin=eyJpIjoiYzgwYTQ0ZjEyNzQzNGJhN2JmNjEyZTM0NmRhZWZhNjIiLCJwIjoic2hlZXRzLWppcmEifQ","")</f>
        <v/>
      </c>
      <c r="H3323" s="1" t="s">
        <v>1058</v>
      </c>
      <c r="I3323" s="1" t="s">
        <v>1676</v>
      </c>
      <c r="J3323" s="1" t="s">
        <v>26</v>
      </c>
      <c r="K3323" s="1" t="s">
        <v>4659</v>
      </c>
      <c r="L3323" s="1" t="s">
        <v>26</v>
      </c>
      <c r="M3323" s="1" t="s">
        <v>27</v>
      </c>
      <c r="N3323" s="1" t="s">
        <v>26</v>
      </c>
      <c r="O3323" s="1" t="s">
        <v>26</v>
      </c>
      <c r="P3323" s="4">
        <v>43425.59300925926</v>
      </c>
    </row>
    <row r="3324" hidden="1">
      <c r="A3324" s="1" t="s">
        <v>1055</v>
      </c>
      <c r="B3324" s="3" t="str">
        <f>HYPERLINK("https://hawk-eye.atlassian.net/browse/HWKREPORT-62?atlOrigin=eyJpIjoiYzgwYTQ0ZjEyNzQzNGJhN2JmNjEyZTM0NmRhZWZhNjIiLCJwIjoic2hlZXRzLWppcmEifQ","HWKREPORT-62")</f>
        <v>HWKREPORT-62</v>
      </c>
      <c r="C3324" s="1" t="s">
        <v>4660</v>
      </c>
      <c r="D3324" s="1" t="s">
        <v>23</v>
      </c>
      <c r="E3324" s="1" t="s">
        <v>1057</v>
      </c>
      <c r="F3324" s="4">
        <v>43425.60403935185</v>
      </c>
      <c r="G3324" s="3" t="str">
        <f>HYPERLINK("https://hawk-eye.atlassian.net/browse/SMARTGFX-400?atlOrigin=eyJpIjoiYzgwYTQ0ZjEyNzQzNGJhN2JmNjEyZTM0NmRhZWZhNjIiLCJwIjoic2hlZXRzLWppcmEifQ","SMARTGFX-400")</f>
        <v>SMARTGFX-400</v>
      </c>
      <c r="H3324" s="1" t="s">
        <v>1058</v>
      </c>
      <c r="I3324" s="1" t="s">
        <v>1676</v>
      </c>
      <c r="J3324" s="1" t="s">
        <v>26</v>
      </c>
      <c r="K3324" s="1" t="s">
        <v>4659</v>
      </c>
      <c r="L3324" s="1" t="s">
        <v>26</v>
      </c>
      <c r="M3324" s="1" t="s">
        <v>27</v>
      </c>
      <c r="N3324" s="1" t="s">
        <v>26</v>
      </c>
      <c r="O3324" s="1" t="s">
        <v>26</v>
      </c>
      <c r="P3324" s="4">
        <v>43425.60403935185</v>
      </c>
    </row>
    <row r="3325" hidden="1">
      <c r="A3325" s="1" t="s">
        <v>21</v>
      </c>
      <c r="B3325" s="3" t="str">
        <f>HYPERLINK("https://hawk-eye.atlassian.net/browse/HWKREPORT-63?atlOrigin=eyJpIjoiYzgwYTQ0ZjEyNzQzNGJhN2JmNjEyZTM0NmRhZWZhNjIiLCJwIjoic2hlZXRzLWppcmEifQ","HWKREPORT-63")</f>
        <v>HWKREPORT-63</v>
      </c>
      <c r="C3325" s="1" t="s">
        <v>4661</v>
      </c>
      <c r="D3325" s="1" t="s">
        <v>34</v>
      </c>
      <c r="E3325" s="1" t="s">
        <v>35</v>
      </c>
      <c r="F3325" s="4">
        <v>43441.478472222225</v>
      </c>
      <c r="G3325" s="3" t="str">
        <f>HYPERLINK("https://hawk-eye.atlassian.net/browse/TVR-36?atlOrigin=eyJpIjoiYzgwYTQ0ZjEyNzQzNGJhN2JmNjEyZTM0NmRhZWZhNjIiLCJwIjoic2hlZXRzLWppcmEifQ","TVR-36")</f>
        <v>TVR-36</v>
      </c>
      <c r="H3325" s="1" t="s">
        <v>1058</v>
      </c>
      <c r="I3325" s="1" t="s">
        <v>1126</v>
      </c>
      <c r="J3325" s="1" t="s">
        <v>26</v>
      </c>
      <c r="K3325" s="1" t="s">
        <v>1573</v>
      </c>
      <c r="L3325" s="1" t="s">
        <v>26</v>
      </c>
      <c r="M3325" s="1" t="s">
        <v>27</v>
      </c>
      <c r="N3325" s="1" t="s">
        <v>26</v>
      </c>
      <c r="O3325" s="1" t="s">
        <v>26</v>
      </c>
      <c r="P3325" s="4">
        <v>43474.40769675926</v>
      </c>
    </row>
    <row r="3326" hidden="1">
      <c r="A3326" s="1" t="s">
        <v>1055</v>
      </c>
      <c r="B3326" s="3" t="str">
        <f>HYPERLINK("https://hawk-eye.atlassian.net/browse/HWKREPORT-64?atlOrigin=eyJpIjoiYzgwYTQ0ZjEyNzQzNGJhN2JmNjEyZTM0NmRhZWZhNjIiLCJwIjoic2hlZXRzLWppcmEifQ","HWKREPORT-64")</f>
        <v>HWKREPORT-64</v>
      </c>
      <c r="C3326" s="1" t="s">
        <v>4662</v>
      </c>
      <c r="D3326" s="1" t="s">
        <v>23</v>
      </c>
      <c r="E3326" s="1" t="s">
        <v>1057</v>
      </c>
      <c r="F3326" s="4">
        <v>43441.57925925926</v>
      </c>
      <c r="G3326" s="3" t="str">
        <f>HYPERLINK("https://hawk-eye.atlassian.net/browse/?atlOrigin=eyJpIjoiYzgwYTQ0ZjEyNzQzNGJhN2JmNjEyZTM0NmRhZWZhNjIiLCJwIjoic2hlZXRzLWppcmEifQ","")</f>
        <v/>
      </c>
      <c r="H3326" s="1" t="s">
        <v>1058</v>
      </c>
      <c r="I3326" s="1" t="s">
        <v>1082</v>
      </c>
      <c r="J3326" s="1" t="s">
        <v>26</v>
      </c>
      <c r="K3326" s="1" t="s">
        <v>1700</v>
      </c>
      <c r="L3326" s="1" t="s">
        <v>26</v>
      </c>
      <c r="M3326" s="1" t="s">
        <v>27</v>
      </c>
      <c r="N3326" s="1" t="s">
        <v>26</v>
      </c>
      <c r="O3326" s="1" t="s">
        <v>26</v>
      </c>
      <c r="P3326" s="4">
        <v>43441.57925925926</v>
      </c>
    </row>
    <row r="3327" hidden="1">
      <c r="A3327" s="1" t="s">
        <v>21</v>
      </c>
      <c r="B3327" s="3" t="str">
        <f>HYPERLINK("https://hawk-eye.atlassian.net/browse/HWKREPORT-65?atlOrigin=eyJpIjoiYzgwYTQ0ZjEyNzQzNGJhN2JmNjEyZTM0NmRhZWZhNjIiLCJwIjoic2hlZXRzLWppcmEifQ","HWKREPORT-65")</f>
        <v>HWKREPORT-65</v>
      </c>
      <c r="C3327" s="1" t="s">
        <v>4663</v>
      </c>
      <c r="D3327" s="1" t="s">
        <v>23</v>
      </c>
      <c r="E3327" s="1" t="s">
        <v>35</v>
      </c>
      <c r="F3327" s="4">
        <v>43443.28765046296</v>
      </c>
      <c r="G3327" s="3" t="str">
        <f>HYPERLINK("https://hawk-eye.atlassian.net/browse/CVR-35?atlOrigin=eyJpIjoiYzgwYTQ0ZjEyNzQzNGJhN2JmNjEyZTM0NmRhZWZhNjIiLCJwIjoic2hlZXRzLWppcmEifQ","CVR-35")</f>
        <v>CVR-35</v>
      </c>
      <c r="H3327" s="1" t="s">
        <v>1058</v>
      </c>
      <c r="I3327" s="1" t="s">
        <v>1082</v>
      </c>
      <c r="J3327" s="1" t="s">
        <v>26</v>
      </c>
      <c r="K3327" s="1" t="s">
        <v>1744</v>
      </c>
      <c r="L3327" s="1" t="s">
        <v>26</v>
      </c>
      <c r="M3327" s="1" t="s">
        <v>27</v>
      </c>
      <c r="N3327" s="1" t="s">
        <v>26</v>
      </c>
      <c r="O3327" s="1" t="s">
        <v>26</v>
      </c>
      <c r="P3327" s="4">
        <v>43487.46579861111</v>
      </c>
    </row>
    <row r="3328" hidden="1">
      <c r="A3328" s="1" t="s">
        <v>1055</v>
      </c>
      <c r="B3328" s="3" t="str">
        <f>HYPERLINK("https://hawk-eye.atlassian.net/browse/HWKREPORT-66?atlOrigin=eyJpIjoiYzgwYTQ0ZjEyNzQzNGJhN2JmNjEyZTM0NmRhZWZhNjIiLCJwIjoic2hlZXRzLWppcmEifQ","HWKREPORT-66")</f>
        <v>HWKREPORT-66</v>
      </c>
      <c r="C3328" s="1" t="s">
        <v>4664</v>
      </c>
      <c r="D3328" s="1" t="s">
        <v>23</v>
      </c>
      <c r="E3328" s="1" t="s">
        <v>1057</v>
      </c>
      <c r="F3328" s="4">
        <v>43447.48805555556</v>
      </c>
      <c r="G3328" s="3" t="str">
        <f>HYPERLINK("https://hawk-eye.atlassian.net/browse/GVR-17?atlOrigin=eyJpIjoiYzgwYTQ0ZjEyNzQzNGJhN2JmNjEyZTM0NmRhZWZhNjIiLCJwIjoic2hlZXRzLWppcmEifQ","GVR-17")</f>
        <v>GVR-17</v>
      </c>
      <c r="H3328" s="1" t="s">
        <v>1058</v>
      </c>
      <c r="I3328" s="1" t="s">
        <v>1676</v>
      </c>
      <c r="J3328" s="1" t="s">
        <v>26</v>
      </c>
      <c r="K3328" s="1" t="s">
        <v>4659</v>
      </c>
      <c r="L3328" s="1" t="s">
        <v>26</v>
      </c>
      <c r="M3328" s="1" t="s">
        <v>27</v>
      </c>
      <c r="N3328" s="1" t="s">
        <v>26</v>
      </c>
      <c r="O3328" s="1" t="s">
        <v>26</v>
      </c>
      <c r="P3328" s="4">
        <v>43447.48805555556</v>
      </c>
    </row>
    <row r="3329" hidden="1">
      <c r="A3329" s="1" t="s">
        <v>21</v>
      </c>
      <c r="B3329" s="3" t="str">
        <f>HYPERLINK("https://hawk-eye.atlassian.net/browse/HWKREPORT-67?atlOrigin=eyJpIjoiYzgwYTQ0ZjEyNzQzNGJhN2JmNjEyZTM0NmRhZWZhNjIiLCJwIjoic2hlZXRzLWppcmEifQ","HWKREPORT-67")</f>
        <v>HWKREPORT-67</v>
      </c>
      <c r="C3329" s="1" t="s">
        <v>4665</v>
      </c>
      <c r="D3329" s="1" t="s">
        <v>23</v>
      </c>
      <c r="E3329" s="1" t="s">
        <v>35</v>
      </c>
      <c r="F3329" s="4">
        <v>43447.67967592592</v>
      </c>
      <c r="G3329" s="3" t="str">
        <f>HYPERLINK("https://hawk-eye.atlassian.net/browse/GVR-16?atlOrigin=eyJpIjoiYzgwYTQ0ZjEyNzQzNGJhN2JmNjEyZTM0NmRhZWZhNjIiLCJwIjoic2hlZXRzLWppcmEifQ","GVR-16")</f>
        <v>GVR-16</v>
      </c>
      <c r="H3329" s="1" t="s">
        <v>1058</v>
      </c>
      <c r="I3329" s="1" t="s">
        <v>1676</v>
      </c>
      <c r="J3329" s="1" t="s">
        <v>26</v>
      </c>
      <c r="K3329" s="1" t="s">
        <v>4659</v>
      </c>
      <c r="L3329" s="1" t="s">
        <v>26</v>
      </c>
      <c r="M3329" s="1" t="s">
        <v>27</v>
      </c>
      <c r="N3329" s="1" t="s">
        <v>26</v>
      </c>
      <c r="O3329" s="1" t="s">
        <v>26</v>
      </c>
      <c r="P3329" s="4">
        <v>43593.711122685185</v>
      </c>
    </row>
    <row r="3330" hidden="1">
      <c r="A3330" s="1" t="s">
        <v>21</v>
      </c>
      <c r="B3330" s="3" t="str">
        <f>HYPERLINK("https://hawk-eye.atlassian.net/browse/HWKREPORT-68?atlOrigin=eyJpIjoiYzgwYTQ0ZjEyNzQzNGJhN2JmNjEyZTM0NmRhZWZhNjIiLCJwIjoic2hlZXRzLWppcmEifQ","HWKREPORT-68")</f>
        <v>HWKREPORT-68</v>
      </c>
      <c r="C3330" s="1" t="s">
        <v>4666</v>
      </c>
      <c r="D3330" s="1" t="s">
        <v>34</v>
      </c>
      <c r="E3330" s="1" t="s">
        <v>35</v>
      </c>
      <c r="F3330" s="4">
        <v>43451.46399305556</v>
      </c>
      <c r="G3330" s="3" t="str">
        <f>HYPERLINK("https://hawk-eye.atlassian.net/browse/?atlOrigin=eyJpIjoiYzgwYTQ0ZjEyNzQzNGJhN2JmNjEyZTM0NmRhZWZhNjIiLCJwIjoic2hlZXRzLWppcmEifQ","")</f>
        <v/>
      </c>
      <c r="H3330" s="1" t="s">
        <v>1058</v>
      </c>
      <c r="I3330" s="1" t="s">
        <v>1126</v>
      </c>
      <c r="J3330" s="1" t="s">
        <v>26</v>
      </c>
      <c r="K3330" s="1" t="s">
        <v>1573</v>
      </c>
      <c r="L3330" s="1" t="s">
        <v>26</v>
      </c>
      <c r="M3330" s="1" t="s">
        <v>27</v>
      </c>
      <c r="N3330" s="1" t="s">
        <v>26</v>
      </c>
      <c r="O3330" s="1" t="s">
        <v>26</v>
      </c>
      <c r="P3330" s="4">
        <v>44994.465902777774</v>
      </c>
    </row>
    <row r="3331" hidden="1">
      <c r="A3331" s="1" t="s">
        <v>21</v>
      </c>
      <c r="B3331" s="3" t="str">
        <f>HYPERLINK("https://hawk-eye.atlassian.net/browse/HWKREPORT-69?atlOrigin=eyJpIjoiYzgwYTQ0ZjEyNzQzNGJhN2JmNjEyZTM0NmRhZWZhNjIiLCJwIjoic2hlZXRzLWppcmEifQ","HWKREPORT-69")</f>
        <v>HWKREPORT-69</v>
      </c>
      <c r="C3331" s="1" t="s">
        <v>4667</v>
      </c>
      <c r="D3331" s="1" t="s">
        <v>83</v>
      </c>
      <c r="E3331" s="1" t="s">
        <v>35</v>
      </c>
      <c r="F3331" s="4">
        <v>43451.47557870371</v>
      </c>
      <c r="G3331" s="3" t="str">
        <f>HYPERLINK("https://hawk-eye.atlassian.net/browse/GVR-4?atlOrigin=eyJpIjoiYzgwYTQ0ZjEyNzQzNGJhN2JmNjEyZTM0NmRhZWZhNjIiLCJwIjoic2hlZXRzLWppcmEifQ","GVR-4")</f>
        <v>GVR-4</v>
      </c>
      <c r="H3331" s="1" t="s">
        <v>1058</v>
      </c>
      <c r="I3331" s="1" t="s">
        <v>1676</v>
      </c>
      <c r="J3331" s="1" t="s">
        <v>26</v>
      </c>
      <c r="K3331" s="1" t="s">
        <v>4659</v>
      </c>
      <c r="L3331" s="1" t="s">
        <v>26</v>
      </c>
      <c r="M3331" s="1" t="s">
        <v>27</v>
      </c>
      <c r="N3331" s="1" t="s">
        <v>26</v>
      </c>
      <c r="O3331" s="1" t="s">
        <v>26</v>
      </c>
      <c r="P3331" s="4">
        <v>43593.71612268518</v>
      </c>
    </row>
    <row r="3332" hidden="1">
      <c r="A3332" s="1" t="s">
        <v>1055</v>
      </c>
      <c r="B3332" s="3" t="str">
        <f>HYPERLINK("https://hawk-eye.atlassian.net/browse/HWKREPORT-70?atlOrigin=eyJpIjoiYzgwYTQ0ZjEyNzQzNGJhN2JmNjEyZTM0NmRhZWZhNjIiLCJwIjoic2hlZXRzLWppcmEifQ","HWKREPORT-70")</f>
        <v>HWKREPORT-70</v>
      </c>
      <c r="C3332" s="1" t="s">
        <v>4668</v>
      </c>
      <c r="D3332" s="1" t="s">
        <v>23</v>
      </c>
      <c r="E3332" s="1" t="s">
        <v>35</v>
      </c>
      <c r="F3332" s="4">
        <v>43451.47686342592</v>
      </c>
      <c r="G3332" s="3" t="str">
        <f>HYPERLINK("https://hawk-eye.atlassian.net/browse/GVR-18?atlOrigin=eyJpIjoiYzgwYTQ0ZjEyNzQzNGJhN2JmNjEyZTM0NmRhZWZhNjIiLCJwIjoic2hlZXRzLWppcmEifQ","GVR-18")</f>
        <v>GVR-18</v>
      </c>
      <c r="H3332" s="1" t="s">
        <v>1058</v>
      </c>
      <c r="I3332" s="1" t="s">
        <v>1676</v>
      </c>
      <c r="J3332" s="1" t="s">
        <v>26</v>
      </c>
      <c r="K3332" s="1" t="s">
        <v>4659</v>
      </c>
      <c r="L3332" s="1" t="s">
        <v>26</v>
      </c>
      <c r="M3332" s="1" t="s">
        <v>27</v>
      </c>
      <c r="N3332" s="1" t="s">
        <v>26</v>
      </c>
      <c r="O3332" s="1" t="s">
        <v>26</v>
      </c>
      <c r="P3332" s="4">
        <v>43593.71989583333</v>
      </c>
    </row>
    <row r="3333" hidden="1">
      <c r="A3333" s="1" t="s">
        <v>21</v>
      </c>
      <c r="B3333" s="3" t="str">
        <f>HYPERLINK("https://hawk-eye.atlassian.net/browse/HWKREPORT-71?atlOrigin=eyJpIjoiYzgwYTQ0ZjEyNzQzNGJhN2JmNjEyZTM0NmRhZWZhNjIiLCJwIjoic2hlZXRzLWppcmEifQ","HWKREPORT-71")</f>
        <v>HWKREPORT-71</v>
      </c>
      <c r="C3333" s="1" t="s">
        <v>4669</v>
      </c>
      <c r="D3333" s="1" t="s">
        <v>23</v>
      </c>
      <c r="E3333" s="1" t="s">
        <v>35</v>
      </c>
      <c r="F3333" s="4">
        <v>43459.92302083333</v>
      </c>
      <c r="G3333" s="3" t="str">
        <f>HYPERLINK("https://hawk-eye.atlassian.net/browse/CDS-109?atlOrigin=eyJpIjoiYzgwYTQ0ZjEyNzQzNGJhN2JmNjEyZTM0NmRhZWZhNjIiLCJwIjoic2hlZXRzLWppcmEifQ","CDS-109")</f>
        <v>CDS-109</v>
      </c>
      <c r="H3333" s="1" t="s">
        <v>1058</v>
      </c>
      <c r="I3333" s="1" t="s">
        <v>1082</v>
      </c>
      <c r="J3333" s="1" t="s">
        <v>26</v>
      </c>
      <c r="K3333" s="1" t="s">
        <v>1700</v>
      </c>
      <c r="L3333" s="1" t="s">
        <v>26</v>
      </c>
      <c r="M3333" s="1" t="s">
        <v>27</v>
      </c>
      <c r="N3333" s="1" t="s">
        <v>26</v>
      </c>
      <c r="O3333" s="1" t="s">
        <v>26</v>
      </c>
      <c r="P3333" s="4">
        <v>43516.50435185185</v>
      </c>
    </row>
    <row r="3334" hidden="1">
      <c r="A3334" s="1" t="s">
        <v>1055</v>
      </c>
      <c r="B3334" s="3" t="str">
        <f>HYPERLINK("https://hawk-eye.atlassian.net/browse/HWKREPORT-72?atlOrigin=eyJpIjoiYzgwYTQ0ZjEyNzQzNGJhN2JmNjEyZTM0NmRhZWZhNjIiLCJwIjoic2hlZXRzLWppcmEifQ","HWKREPORT-72")</f>
        <v>HWKREPORT-72</v>
      </c>
      <c r="C3334" s="1" t="s">
        <v>4670</v>
      </c>
      <c r="D3334" s="1" t="s">
        <v>23</v>
      </c>
      <c r="E3334" s="1" t="s">
        <v>35</v>
      </c>
      <c r="F3334" s="4">
        <v>43459.931493055556</v>
      </c>
      <c r="G3334" s="3" t="str">
        <f>HYPERLINK("https://hawk-eye.atlassian.net/browse/CDS-108?atlOrigin=eyJpIjoiYzgwYTQ0ZjEyNzQzNGJhN2JmNjEyZTM0NmRhZWZhNjIiLCJwIjoic2hlZXRzLWppcmEifQ","CDS-108")</f>
        <v>CDS-108</v>
      </c>
      <c r="H3334" s="1" t="s">
        <v>1058</v>
      </c>
      <c r="I3334" s="1" t="s">
        <v>1082</v>
      </c>
      <c r="J3334" s="1" t="s">
        <v>26</v>
      </c>
      <c r="K3334" s="1" t="s">
        <v>1700</v>
      </c>
      <c r="L3334" s="1" t="s">
        <v>26</v>
      </c>
      <c r="M3334" s="1" t="s">
        <v>27</v>
      </c>
      <c r="N3334" s="1" t="s">
        <v>26</v>
      </c>
      <c r="O3334" s="1" t="s">
        <v>26</v>
      </c>
      <c r="P3334" s="4">
        <v>43507.71827546296</v>
      </c>
    </row>
    <row r="3335" hidden="1">
      <c r="A3335" s="1" t="s">
        <v>21</v>
      </c>
      <c r="B3335" s="3" t="str">
        <f>HYPERLINK("https://hawk-eye.atlassian.net/browse/HWKREPORT-73?atlOrigin=eyJpIjoiYzgwYTQ0ZjEyNzQzNGJhN2JmNjEyZTM0NmRhZWZhNjIiLCJwIjoic2hlZXRzLWppcmEifQ","HWKREPORT-73")</f>
        <v>HWKREPORT-73</v>
      </c>
      <c r="C3335" s="1" t="s">
        <v>4671</v>
      </c>
      <c r="D3335" s="1" t="s">
        <v>34</v>
      </c>
      <c r="E3335" s="1" t="s">
        <v>35</v>
      </c>
      <c r="F3335" s="4">
        <v>43466.27143518518</v>
      </c>
      <c r="G3335" s="3" t="str">
        <f>HYPERLINK("https://hawk-eye.atlassian.net/browse/CVR-34?atlOrigin=eyJpIjoiYzgwYTQ0ZjEyNzQzNGJhN2JmNjEyZTM0NmRhZWZhNjIiLCJwIjoic2hlZXRzLWppcmEifQ","CVR-34")</f>
        <v>CVR-34</v>
      </c>
      <c r="H3335" s="1" t="s">
        <v>1058</v>
      </c>
      <c r="I3335" s="1" t="s">
        <v>1082</v>
      </c>
      <c r="J3335" s="1" t="s">
        <v>26</v>
      </c>
      <c r="K3335" s="1" t="s">
        <v>1744</v>
      </c>
      <c r="L3335" s="1" t="s">
        <v>26</v>
      </c>
      <c r="M3335" s="1" t="s">
        <v>27</v>
      </c>
      <c r="N3335" s="1" t="s">
        <v>26</v>
      </c>
      <c r="O3335" s="1" t="s">
        <v>26</v>
      </c>
      <c r="P3335" s="4">
        <v>43475.421423611115</v>
      </c>
    </row>
    <row r="3336" hidden="1">
      <c r="A3336" s="1" t="s">
        <v>21</v>
      </c>
      <c r="B3336" s="3" t="str">
        <f>HYPERLINK("https://hawk-eye.atlassian.net/browse/HWKREPORT-74?atlOrigin=eyJpIjoiYzgwYTQ0ZjEyNzQzNGJhN2JmNjEyZTM0NmRhZWZhNjIiLCJwIjoic2hlZXRzLWppcmEifQ","HWKREPORT-74")</f>
        <v>HWKREPORT-74</v>
      </c>
      <c r="C3336" s="1" t="s">
        <v>4672</v>
      </c>
      <c r="D3336" s="1" t="s">
        <v>40</v>
      </c>
      <c r="E3336" s="1" t="s">
        <v>35</v>
      </c>
      <c r="F3336" s="4">
        <v>43467.29913194444</v>
      </c>
      <c r="G3336" s="3" t="str">
        <f>HYPERLINK("https://hawk-eye.atlassian.net/browse/TVR-37?atlOrigin=eyJpIjoiYzgwYTQ0ZjEyNzQzNGJhN2JmNjEyZTM0NmRhZWZhNjIiLCJwIjoic2hlZXRzLWppcmEifQ","TVR-37")</f>
        <v>TVR-37</v>
      </c>
      <c r="H3336" s="1" t="s">
        <v>1058</v>
      </c>
      <c r="I3336" s="1" t="s">
        <v>1126</v>
      </c>
      <c r="J3336" s="1" t="s">
        <v>26</v>
      </c>
      <c r="K3336" s="1" t="s">
        <v>1573</v>
      </c>
      <c r="L3336" s="1" t="s">
        <v>26</v>
      </c>
      <c r="M3336" s="1" t="s">
        <v>27</v>
      </c>
      <c r="N3336" s="1" t="s">
        <v>26</v>
      </c>
      <c r="O3336" s="1" t="s">
        <v>26</v>
      </c>
      <c r="P3336" s="4">
        <v>43475.42203703704</v>
      </c>
    </row>
    <row r="3337" hidden="1">
      <c r="A3337" s="1" t="s">
        <v>21</v>
      </c>
      <c r="B3337" s="3" t="str">
        <f>HYPERLINK("https://hawk-eye.atlassian.net/browse/HWKREPORT-75?atlOrigin=eyJpIjoiYzgwYTQ0ZjEyNzQzNGJhN2JmNjEyZTM0NmRhZWZhNjIiLCJwIjoic2hlZXRzLWppcmEifQ","HWKREPORT-75")</f>
        <v>HWKREPORT-75</v>
      </c>
      <c r="C3337" s="1" t="s">
        <v>4673</v>
      </c>
      <c r="D3337" s="1" t="s">
        <v>34</v>
      </c>
      <c r="E3337" s="1" t="s">
        <v>35</v>
      </c>
      <c r="F3337" s="4">
        <v>43472.5146875</v>
      </c>
      <c r="G3337" s="3" t="str">
        <f>HYPERLINK("https://hawk-eye.atlassian.net/browse/CVR-39?atlOrigin=eyJpIjoiYzgwYTQ0ZjEyNzQzNGJhN2JmNjEyZTM0NmRhZWZhNjIiLCJwIjoic2hlZXRzLWppcmEifQ","CVR-39")</f>
        <v>CVR-39</v>
      </c>
      <c r="H3337" s="1" t="s">
        <v>1058</v>
      </c>
      <c r="I3337" s="1" t="s">
        <v>1082</v>
      </c>
      <c r="J3337" s="1" t="s">
        <v>26</v>
      </c>
      <c r="K3337" s="1" t="s">
        <v>1744</v>
      </c>
      <c r="L3337" s="1" t="s">
        <v>26</v>
      </c>
      <c r="M3337" s="1" t="s">
        <v>27</v>
      </c>
      <c r="N3337" s="1" t="s">
        <v>26</v>
      </c>
      <c r="O3337" s="1" t="s">
        <v>26</v>
      </c>
      <c r="P3337" s="4">
        <v>45022.47875</v>
      </c>
    </row>
    <row r="3338" hidden="1">
      <c r="A3338" s="1" t="s">
        <v>21</v>
      </c>
      <c r="B3338" s="3" t="str">
        <f>HYPERLINK("https://hawk-eye.atlassian.net/browse/HWKREPORT-76?atlOrigin=eyJpIjoiYzgwYTQ0ZjEyNzQzNGJhN2JmNjEyZTM0NmRhZWZhNjIiLCJwIjoic2hlZXRzLWppcmEifQ","HWKREPORT-76")</f>
        <v>HWKREPORT-76</v>
      </c>
      <c r="C3338" s="1" t="s">
        <v>4674</v>
      </c>
      <c r="D3338" s="1" t="s">
        <v>34</v>
      </c>
      <c r="E3338" s="1" t="s">
        <v>35</v>
      </c>
      <c r="F3338" s="4">
        <v>43475.633263888885</v>
      </c>
      <c r="G3338" s="3" t="str">
        <f>HYPERLINK("https://hawk-eye.atlassian.net/browse/CVR-37?atlOrigin=eyJpIjoiYzgwYTQ0ZjEyNzQzNGJhN2JmNjEyZTM0NmRhZWZhNjIiLCJwIjoic2hlZXRzLWppcmEifQ","CVR-37")</f>
        <v>CVR-37</v>
      </c>
      <c r="H3338" s="1" t="s">
        <v>1058</v>
      </c>
      <c r="I3338" s="1" t="s">
        <v>1082</v>
      </c>
      <c r="J3338" s="1" t="s">
        <v>26</v>
      </c>
      <c r="K3338" s="1" t="s">
        <v>1744</v>
      </c>
      <c r="L3338" s="1" t="s">
        <v>26</v>
      </c>
      <c r="M3338" s="1" t="s">
        <v>27</v>
      </c>
      <c r="N3338" s="1" t="s">
        <v>26</v>
      </c>
      <c r="O3338" s="1" t="s">
        <v>26</v>
      </c>
      <c r="P3338" s="4">
        <v>43578.955</v>
      </c>
    </row>
    <row r="3339" hidden="1">
      <c r="A3339" s="1" t="s">
        <v>21</v>
      </c>
      <c r="B3339" s="3" t="str">
        <f>HYPERLINK("https://hawk-eye.atlassian.net/browse/HWKREPORT-77?atlOrigin=eyJpIjoiYzgwYTQ0ZjEyNzQzNGJhN2JmNjEyZTM0NmRhZWZhNjIiLCJwIjoic2hlZXRzLWppcmEifQ","HWKREPORT-77")</f>
        <v>HWKREPORT-77</v>
      </c>
      <c r="C3339" s="1" t="s">
        <v>4675</v>
      </c>
      <c r="D3339" s="1" t="s">
        <v>40</v>
      </c>
      <c r="E3339" s="1" t="s">
        <v>35</v>
      </c>
      <c r="F3339" s="4">
        <v>43476.35622685185</v>
      </c>
      <c r="G3339" s="3" t="str">
        <f>HYPERLINK("https://hawk-eye.atlassian.net/browse/TVR-42?atlOrigin=eyJpIjoiYzgwYTQ0ZjEyNzQzNGJhN2JmNjEyZTM0NmRhZWZhNjIiLCJwIjoic2hlZXRzLWppcmEifQ","TVR-42")</f>
        <v>TVR-42</v>
      </c>
      <c r="H3339" s="1" t="s">
        <v>1058</v>
      </c>
      <c r="I3339" s="1" t="s">
        <v>1126</v>
      </c>
      <c r="J3339" s="1" t="s">
        <v>26</v>
      </c>
      <c r="K3339" s="1" t="s">
        <v>1573</v>
      </c>
      <c r="L3339" s="1" t="s">
        <v>26</v>
      </c>
      <c r="M3339" s="1" t="s">
        <v>27</v>
      </c>
      <c r="N3339" s="1" t="s">
        <v>26</v>
      </c>
      <c r="O3339" s="1" t="s">
        <v>26</v>
      </c>
      <c r="P3339" s="4">
        <v>43486.41722222222</v>
      </c>
    </row>
    <row r="3340" hidden="1">
      <c r="A3340" s="1" t="s">
        <v>21</v>
      </c>
      <c r="B3340" s="3" t="str">
        <f>HYPERLINK("https://hawk-eye.atlassian.net/browse/HWKREPORT-78?atlOrigin=eyJpIjoiYzgwYTQ0ZjEyNzQzNGJhN2JmNjEyZTM0NmRhZWZhNjIiLCJwIjoic2hlZXRzLWppcmEifQ","HWKREPORT-78")</f>
        <v>HWKREPORT-78</v>
      </c>
      <c r="C3340" s="1" t="s">
        <v>4676</v>
      </c>
      <c r="D3340" s="1" t="s">
        <v>23</v>
      </c>
      <c r="E3340" s="1" t="s">
        <v>35</v>
      </c>
      <c r="F3340" s="4">
        <v>43484.07543981481</v>
      </c>
      <c r="G3340" s="3" t="str">
        <f>HYPERLINK("https://hawk-eye.atlassian.net/browse/?atlOrigin=eyJpIjoiYzgwYTQ0ZjEyNzQzNGJhN2JmNjEyZTM0NmRhZWZhNjIiLCJwIjoic2hlZXRzLWppcmEifQ","")</f>
        <v/>
      </c>
      <c r="H3340" s="1" t="s">
        <v>1058</v>
      </c>
      <c r="I3340" s="1" t="s">
        <v>1082</v>
      </c>
      <c r="J3340" s="1" t="s">
        <v>26</v>
      </c>
      <c r="K3340" s="1" t="s">
        <v>1744</v>
      </c>
      <c r="L3340" s="1" t="s">
        <v>26</v>
      </c>
      <c r="M3340" s="1" t="s">
        <v>27</v>
      </c>
      <c r="N3340" s="1" t="s">
        <v>26</v>
      </c>
      <c r="O3340" s="1" t="s">
        <v>26</v>
      </c>
      <c r="P3340" s="4">
        <v>45099.66025462963</v>
      </c>
    </row>
    <row r="3341" hidden="1">
      <c r="A3341" s="1" t="s">
        <v>21</v>
      </c>
      <c r="B3341" s="3" t="str">
        <f>HYPERLINK("https://hawk-eye.atlassian.net/browse/HWKREPORT-79?atlOrigin=eyJpIjoiYzgwYTQ0ZjEyNzQzNGJhN2JmNjEyZTM0NmRhZWZhNjIiLCJwIjoic2hlZXRzLWppcmEifQ","HWKREPORT-79")</f>
        <v>HWKREPORT-79</v>
      </c>
      <c r="C3341" s="1" t="s">
        <v>4677</v>
      </c>
      <c r="D3341" s="1" t="s">
        <v>34</v>
      </c>
      <c r="E3341" s="1" t="s">
        <v>35</v>
      </c>
      <c r="F3341" s="4">
        <v>43487.55372685185</v>
      </c>
      <c r="G3341" s="3" t="str">
        <f>HYPERLINK("https://hawk-eye.atlassian.net/browse/BMVR-11?atlOrigin=eyJpIjoiYzgwYTQ0ZjEyNzQzNGJhN2JmNjEyZTM0NmRhZWZhNjIiLCJwIjoic2hlZXRzLWppcmEifQ","BMVR-11")</f>
        <v>BMVR-11</v>
      </c>
      <c r="H3341" s="1" t="s">
        <v>1058</v>
      </c>
      <c r="I3341" s="1" t="s">
        <v>1377</v>
      </c>
      <c r="J3341" s="1" t="s">
        <v>26</v>
      </c>
      <c r="K3341" s="1" t="s">
        <v>4510</v>
      </c>
      <c r="L3341" s="1" t="s">
        <v>26</v>
      </c>
      <c r="M3341" s="1" t="s">
        <v>27</v>
      </c>
      <c r="N3341" s="1" t="s">
        <v>26</v>
      </c>
      <c r="O3341" s="1" t="s">
        <v>26</v>
      </c>
      <c r="P3341" s="4">
        <v>44804.512453703705</v>
      </c>
    </row>
    <row r="3342" hidden="1">
      <c r="A3342" s="1" t="s">
        <v>1055</v>
      </c>
      <c r="B3342" s="3" t="str">
        <f>HYPERLINK("https://hawk-eye.atlassian.net/browse/HWKREPORT-83?atlOrigin=eyJpIjoiYzgwYTQ0ZjEyNzQzNGJhN2JmNjEyZTM0NmRhZWZhNjIiLCJwIjoic2hlZXRzLWppcmEifQ","HWKREPORT-83")</f>
        <v>HWKREPORT-83</v>
      </c>
      <c r="C3342" s="1" t="s">
        <v>4678</v>
      </c>
      <c r="D3342" s="1" t="s">
        <v>23</v>
      </c>
      <c r="E3342" s="1" t="s">
        <v>1057</v>
      </c>
      <c r="F3342" s="4">
        <v>43488.47122685185</v>
      </c>
      <c r="G3342" s="3" t="str">
        <f t="shared" ref="G3342:G3344" si="230">HYPERLINK("https://hawk-eye.atlassian.net/browse/?atlOrigin=eyJpIjoiYzgwYTQ0ZjEyNzQzNGJhN2JmNjEyZTM0NmRhZWZhNjIiLCJwIjoic2hlZXRzLWppcmEifQ","")</f>
        <v/>
      </c>
      <c r="H3342" s="1" t="s">
        <v>1058</v>
      </c>
      <c r="I3342" s="1" t="s">
        <v>1082</v>
      </c>
      <c r="J3342" s="1" t="s">
        <v>26</v>
      </c>
      <c r="K3342" s="1" t="s">
        <v>2423</v>
      </c>
      <c r="L3342" s="1" t="s">
        <v>26</v>
      </c>
      <c r="M3342" s="1" t="s">
        <v>27</v>
      </c>
      <c r="N3342" s="1" t="s">
        <v>26</v>
      </c>
      <c r="O3342" s="1" t="s">
        <v>26</v>
      </c>
      <c r="P3342" s="4">
        <v>43488.47122685185</v>
      </c>
    </row>
    <row r="3343" hidden="1">
      <c r="A3343" s="1" t="s">
        <v>1055</v>
      </c>
      <c r="B3343" s="3" t="str">
        <f>HYPERLINK("https://hawk-eye.atlassian.net/browse/HWKREPORT-84?atlOrigin=eyJpIjoiYzgwYTQ0ZjEyNzQzNGJhN2JmNjEyZTM0NmRhZWZhNjIiLCJwIjoic2hlZXRzLWppcmEifQ","HWKREPORT-84")</f>
        <v>HWKREPORT-84</v>
      </c>
      <c r="C3343" s="1" t="s">
        <v>4679</v>
      </c>
      <c r="D3343" s="1" t="s">
        <v>23</v>
      </c>
      <c r="E3343" s="1" t="s">
        <v>35</v>
      </c>
      <c r="F3343" s="4">
        <v>43488.47943287037</v>
      </c>
      <c r="G3343" s="3" t="str">
        <f t="shared" si="230"/>
        <v/>
      </c>
      <c r="H3343" s="1" t="s">
        <v>1058</v>
      </c>
      <c r="I3343" s="1" t="s">
        <v>1082</v>
      </c>
      <c r="J3343" s="1" t="s">
        <v>26</v>
      </c>
      <c r="K3343" s="1" t="s">
        <v>1744</v>
      </c>
      <c r="L3343" s="1" t="s">
        <v>26</v>
      </c>
      <c r="M3343" s="1" t="s">
        <v>27</v>
      </c>
      <c r="N3343" s="1" t="s">
        <v>26</v>
      </c>
      <c r="O3343" s="1" t="s">
        <v>26</v>
      </c>
      <c r="P3343" s="4">
        <v>45029.71376157407</v>
      </c>
    </row>
    <row r="3344" hidden="1">
      <c r="A3344" s="1" t="s">
        <v>1055</v>
      </c>
      <c r="B3344" s="3" t="str">
        <f>HYPERLINK("https://hawk-eye.atlassian.net/browse/HWKREPORT-85?atlOrigin=eyJpIjoiYzgwYTQ0ZjEyNzQzNGJhN2JmNjEyZTM0NmRhZWZhNjIiLCJwIjoic2hlZXRzLWppcmEifQ","HWKREPORT-85")</f>
        <v>HWKREPORT-85</v>
      </c>
      <c r="C3344" s="1" t="s">
        <v>4680</v>
      </c>
      <c r="D3344" s="1" t="s">
        <v>23</v>
      </c>
      <c r="E3344" s="1" t="s">
        <v>35</v>
      </c>
      <c r="F3344" s="4">
        <v>43488.52407407408</v>
      </c>
      <c r="G3344" s="3" t="str">
        <f t="shared" si="230"/>
        <v/>
      </c>
      <c r="H3344" s="1" t="s">
        <v>1058</v>
      </c>
      <c r="I3344" s="1" t="s">
        <v>1082</v>
      </c>
      <c r="J3344" s="1" t="s">
        <v>26</v>
      </c>
      <c r="K3344" s="1" t="s">
        <v>2423</v>
      </c>
      <c r="L3344" s="1" t="s">
        <v>26</v>
      </c>
      <c r="M3344" s="1" t="s">
        <v>27</v>
      </c>
      <c r="N3344" s="1" t="s">
        <v>26</v>
      </c>
      <c r="O3344" s="1" t="s">
        <v>26</v>
      </c>
      <c r="P3344" s="4">
        <v>45029.71105324074</v>
      </c>
    </row>
    <row r="3345" hidden="1">
      <c r="A3345" s="1" t="s">
        <v>1055</v>
      </c>
      <c r="B3345" s="3" t="str">
        <f>HYPERLINK("https://hawk-eye.atlassian.net/browse/HWKREPORT-86?atlOrigin=eyJpIjoiYzgwYTQ0ZjEyNzQzNGJhN2JmNjEyZTM0NmRhZWZhNjIiLCJwIjoic2hlZXRzLWppcmEifQ","HWKREPORT-86")</f>
        <v>HWKREPORT-86</v>
      </c>
      <c r="C3345" s="1" t="s">
        <v>4681</v>
      </c>
      <c r="D3345" s="1" t="s">
        <v>23</v>
      </c>
      <c r="E3345" s="1" t="s">
        <v>35</v>
      </c>
      <c r="F3345" s="4">
        <v>43488.553622685184</v>
      </c>
      <c r="G3345" s="3" t="str">
        <f>HYPERLINK("https://hawk-eye.atlassian.net/browse/CDS-110?atlOrigin=eyJpIjoiYzgwYTQ0ZjEyNzQzNGJhN2JmNjEyZTM0NmRhZWZhNjIiLCJwIjoic2hlZXRzLWppcmEifQ","CDS-110")</f>
        <v>CDS-110</v>
      </c>
      <c r="H3345" s="1" t="s">
        <v>1058</v>
      </c>
      <c r="I3345" s="1" t="s">
        <v>1082</v>
      </c>
      <c r="J3345" s="1" t="s">
        <v>26</v>
      </c>
      <c r="K3345" s="1" t="s">
        <v>1700</v>
      </c>
      <c r="L3345" s="1" t="s">
        <v>26</v>
      </c>
      <c r="M3345" s="1" t="s">
        <v>27</v>
      </c>
      <c r="N3345" s="1" t="s">
        <v>26</v>
      </c>
      <c r="O3345" s="1" t="s">
        <v>26</v>
      </c>
      <c r="P3345" s="4">
        <v>43806.631064814814</v>
      </c>
    </row>
    <row r="3346" hidden="1">
      <c r="A3346" s="1" t="s">
        <v>1055</v>
      </c>
      <c r="B3346" s="3" t="str">
        <f>HYPERLINK("https://hawk-eye.atlassian.net/browse/HWKREPORT-87?atlOrigin=eyJpIjoiYzgwYTQ0ZjEyNzQzNGJhN2JmNjEyZTM0NmRhZWZhNjIiLCJwIjoic2hlZXRzLWppcmEifQ","HWKREPORT-87")</f>
        <v>HWKREPORT-87</v>
      </c>
      <c r="C3346" s="1" t="s">
        <v>4682</v>
      </c>
      <c r="D3346" s="1" t="s">
        <v>23</v>
      </c>
      <c r="E3346" s="1" t="s">
        <v>35</v>
      </c>
      <c r="F3346" s="4">
        <v>43488.60167824074</v>
      </c>
      <c r="G3346" s="3" t="str">
        <f>HYPERLINK("https://hawk-eye.atlassian.net/browse/GT-81?atlOrigin=eyJpIjoiYzgwYTQ0ZjEyNzQzNGJhN2JmNjEyZTM0NmRhZWZhNjIiLCJwIjoic2hlZXRzLWppcmEifQ","GT-81")</f>
        <v>GT-81</v>
      </c>
      <c r="H3346" s="1" t="s">
        <v>1058</v>
      </c>
      <c r="I3346" s="1" t="s">
        <v>1676</v>
      </c>
      <c r="J3346" s="1" t="s">
        <v>26</v>
      </c>
      <c r="K3346" s="1" t="s">
        <v>4659</v>
      </c>
      <c r="L3346" s="1" t="s">
        <v>26</v>
      </c>
      <c r="M3346" s="1" t="s">
        <v>27</v>
      </c>
      <c r="N3346" s="1" t="s">
        <v>26</v>
      </c>
      <c r="O3346" s="1" t="s">
        <v>26</v>
      </c>
      <c r="P3346" s="4">
        <v>43734.812893518516</v>
      </c>
    </row>
    <row r="3347" hidden="1">
      <c r="A3347" s="1" t="s">
        <v>21</v>
      </c>
      <c r="B3347" s="3" t="str">
        <f>HYPERLINK("https://hawk-eye.atlassian.net/browse/HWKREPORT-102?atlOrigin=eyJpIjoiYzgwYTQ0ZjEyNzQzNGJhN2JmNjEyZTM0NmRhZWZhNjIiLCJwIjoic2hlZXRzLWppcmEifQ","HWKREPORT-102")</f>
        <v>HWKREPORT-102</v>
      </c>
      <c r="C3347" s="1" t="s">
        <v>4683</v>
      </c>
      <c r="D3347" s="1" t="s">
        <v>34</v>
      </c>
      <c r="E3347" s="1" t="s">
        <v>1057</v>
      </c>
      <c r="F3347" s="4">
        <v>43490.950636574074</v>
      </c>
      <c r="G3347" s="3" t="str">
        <f>HYPERLINK("https://hawk-eye.atlassian.net/browse/GT-1177?atlOrigin=eyJpIjoiYzgwYTQ0ZjEyNzQzNGJhN2JmNjEyZTM0NmRhZWZhNjIiLCJwIjoic2hlZXRzLWppcmEifQ","GT-1177")</f>
        <v>GT-1177</v>
      </c>
      <c r="H3347" s="1" t="s">
        <v>1058</v>
      </c>
      <c r="I3347" s="1" t="s">
        <v>1082</v>
      </c>
      <c r="J3347" s="1" t="s">
        <v>26</v>
      </c>
      <c r="K3347" s="1" t="s">
        <v>1744</v>
      </c>
      <c r="L3347" s="1" t="s">
        <v>26</v>
      </c>
      <c r="M3347" s="1" t="s">
        <v>27</v>
      </c>
      <c r="N3347" s="1" t="s">
        <v>26</v>
      </c>
      <c r="O3347" s="1" t="s">
        <v>26</v>
      </c>
      <c r="P3347" s="4">
        <v>43490.950636574074</v>
      </c>
    </row>
    <row r="3348" hidden="1">
      <c r="A3348" s="1" t="s">
        <v>21</v>
      </c>
      <c r="B3348" s="3" t="str">
        <f>HYPERLINK("https://hawk-eye.atlassian.net/browse/HWKREPORT-103?atlOrigin=eyJpIjoiYzgwYTQ0ZjEyNzQzNGJhN2JmNjEyZTM0NmRhZWZhNjIiLCJwIjoic2hlZXRzLWppcmEifQ","HWKREPORT-103")</f>
        <v>HWKREPORT-103</v>
      </c>
      <c r="C3348" s="1" t="s">
        <v>4684</v>
      </c>
      <c r="D3348" s="1" t="s">
        <v>23</v>
      </c>
      <c r="E3348" s="1" t="s">
        <v>35</v>
      </c>
      <c r="F3348" s="4">
        <v>43493.57806712963</v>
      </c>
      <c r="G3348" s="3" t="str">
        <f>HYPERLINK("https://hawk-eye.atlassian.net/browse/HWKREPORT-104?atlOrigin=eyJpIjoiYzgwYTQ0ZjEyNzQzNGJhN2JmNjEyZTM0NmRhZWZhNjIiLCJwIjoic2hlZXRzLWppcmEifQ","HWKREPORT-104")</f>
        <v>HWKREPORT-104</v>
      </c>
      <c r="H3348" s="1" t="s">
        <v>1058</v>
      </c>
      <c r="I3348" s="1" t="s">
        <v>1676</v>
      </c>
      <c r="J3348" s="1" t="s">
        <v>26</v>
      </c>
      <c r="K3348" s="1" t="s">
        <v>4659</v>
      </c>
      <c r="L3348" s="1" t="s">
        <v>26</v>
      </c>
      <c r="M3348" s="1" t="s">
        <v>27</v>
      </c>
      <c r="N3348" s="1" t="s">
        <v>26</v>
      </c>
      <c r="O3348" s="1" t="s">
        <v>26</v>
      </c>
      <c r="P3348" s="4">
        <v>43806.6294212963</v>
      </c>
    </row>
    <row r="3349" hidden="1">
      <c r="A3349" s="1" t="s">
        <v>21</v>
      </c>
      <c r="B3349" s="3" t="str">
        <f>HYPERLINK("https://hawk-eye.atlassian.net/browse/HWKREPORT-104?atlOrigin=eyJpIjoiYzgwYTQ0ZjEyNzQzNGJhN2JmNjEyZTM0NmRhZWZhNjIiLCJwIjoic2hlZXRzLWppcmEifQ","HWKREPORT-104")</f>
        <v>HWKREPORT-104</v>
      </c>
      <c r="C3349" s="1" t="s">
        <v>4685</v>
      </c>
      <c r="D3349" s="1" t="s">
        <v>23</v>
      </c>
      <c r="E3349" s="1" t="s">
        <v>35</v>
      </c>
      <c r="F3349" s="4">
        <v>43493.737905092596</v>
      </c>
      <c r="G3349" s="3" t="str">
        <f>HYPERLINK("https://hawk-eye.atlassian.net/issues/?atlOrigin=eyJpIjoiYzgwYTQ0ZjEyNzQzNGJhN2JmNjEyZTM0NmRhZWZhNjIiLCJwIjoic2hlZXRzLWppcmEifQ&amp;jql=key+in+%28HWKREPORT-103%2CGVR-19%29","HWKREPORT-103;GVR-19")</f>
        <v>HWKREPORT-103;GVR-19</v>
      </c>
      <c r="H3349" s="1" t="s">
        <v>1058</v>
      </c>
      <c r="I3349" s="1" t="s">
        <v>1676</v>
      </c>
      <c r="J3349" s="1" t="s">
        <v>26</v>
      </c>
      <c r="K3349" s="1" t="s">
        <v>4659</v>
      </c>
      <c r="L3349" s="1" t="s">
        <v>26</v>
      </c>
      <c r="M3349" s="1" t="s">
        <v>27</v>
      </c>
      <c r="N3349" s="1" t="s">
        <v>26</v>
      </c>
      <c r="O3349" s="1" t="s">
        <v>26</v>
      </c>
      <c r="P3349" s="4">
        <v>43806.63030092593</v>
      </c>
    </row>
    <row r="3350" hidden="1">
      <c r="A3350" s="1" t="s">
        <v>1055</v>
      </c>
      <c r="B3350" s="3" t="str">
        <f>HYPERLINK("https://hawk-eye.atlassian.net/browse/HWKREPORT-105?atlOrigin=eyJpIjoiYzgwYTQ0ZjEyNzQzNGJhN2JmNjEyZTM0NmRhZWZhNjIiLCJwIjoic2hlZXRzLWppcmEifQ","HWKREPORT-105")</f>
        <v>HWKREPORT-105</v>
      </c>
      <c r="C3350" s="1" t="s">
        <v>4686</v>
      </c>
      <c r="D3350" s="1" t="s">
        <v>23</v>
      </c>
      <c r="E3350" s="1" t="s">
        <v>35</v>
      </c>
      <c r="F3350" s="4">
        <v>43494.5730787037</v>
      </c>
      <c r="G3350" s="3" t="str">
        <f>HYPERLINK("https://hawk-eye.atlassian.net/browse/?atlOrigin=eyJpIjoiYzgwYTQ0ZjEyNzQzNGJhN2JmNjEyZTM0NmRhZWZhNjIiLCJwIjoic2hlZXRzLWppcmEifQ","")</f>
        <v/>
      </c>
      <c r="H3350" s="1" t="s">
        <v>1058</v>
      </c>
      <c r="I3350" s="1" t="s">
        <v>1082</v>
      </c>
      <c r="J3350" s="1" t="s">
        <v>26</v>
      </c>
      <c r="K3350" s="1" t="s">
        <v>1486</v>
      </c>
      <c r="L3350" s="1" t="s">
        <v>26</v>
      </c>
      <c r="M3350" s="1" t="s">
        <v>27</v>
      </c>
      <c r="N3350" s="1" t="s">
        <v>26</v>
      </c>
      <c r="O3350" s="1" t="s">
        <v>26</v>
      </c>
      <c r="P3350" s="4">
        <v>43806.641875</v>
      </c>
    </row>
    <row r="3351" hidden="1">
      <c r="A3351" s="1" t="s">
        <v>1055</v>
      </c>
      <c r="B3351" s="3" t="str">
        <f>HYPERLINK("https://hawk-eye.atlassian.net/browse/HWKREPORT-106?atlOrigin=eyJpIjoiYzgwYTQ0ZjEyNzQzNGJhN2JmNjEyZTM0NmRhZWZhNjIiLCJwIjoic2hlZXRzLWppcmEifQ","HWKREPORT-106")</f>
        <v>HWKREPORT-106</v>
      </c>
      <c r="C3351" s="1" t="s">
        <v>4687</v>
      </c>
      <c r="D3351" s="1" t="s">
        <v>23</v>
      </c>
      <c r="E3351" s="1" t="s">
        <v>35</v>
      </c>
      <c r="F3351" s="4">
        <v>43504.530439814815</v>
      </c>
      <c r="G3351" s="3" t="str">
        <f>HYPERLINK("https://hawk-eye.atlassian.net/browse/RTT-2003?atlOrigin=eyJpIjoiYzgwYTQ0ZjEyNzQzNGJhN2JmNjEyZTM0NmRhZWZhNjIiLCJwIjoic2hlZXRzLWppcmEifQ","RTT-2003")</f>
        <v>RTT-2003</v>
      </c>
      <c r="H3351" s="1" t="s">
        <v>1058</v>
      </c>
      <c r="I3351" s="1" t="s">
        <v>1126</v>
      </c>
      <c r="J3351" s="1" t="s">
        <v>26</v>
      </c>
      <c r="K3351" s="1" t="s">
        <v>1312</v>
      </c>
      <c r="L3351" s="1" t="s">
        <v>26</v>
      </c>
      <c r="M3351" s="1" t="s">
        <v>27</v>
      </c>
      <c r="N3351" s="1" t="s">
        <v>26</v>
      </c>
      <c r="O3351" s="1" t="s">
        <v>26</v>
      </c>
      <c r="P3351" s="4">
        <v>44600.874768518515</v>
      </c>
    </row>
    <row r="3352" hidden="1">
      <c r="A3352" s="1" t="s">
        <v>1055</v>
      </c>
      <c r="B3352" s="3" t="str">
        <f>HYPERLINK("https://hawk-eye.atlassian.net/browse/HWKREPORT-107?atlOrigin=eyJpIjoiYzgwYTQ0ZjEyNzQzNGJhN2JmNjEyZTM0NmRhZWZhNjIiLCJwIjoic2hlZXRzLWppcmEifQ","HWKREPORT-107")</f>
        <v>HWKREPORT-107</v>
      </c>
      <c r="C3352" s="1" t="s">
        <v>4688</v>
      </c>
      <c r="D3352" s="1" t="s">
        <v>23</v>
      </c>
      <c r="E3352" s="1" t="s">
        <v>35</v>
      </c>
      <c r="F3352" s="4">
        <v>43504.538506944446</v>
      </c>
      <c r="G3352" s="3" t="str">
        <f>HYPERLINK("https://hawk-eye.atlassian.net/browse/RTT-657?atlOrigin=eyJpIjoiYzgwYTQ0ZjEyNzQzNGJhN2JmNjEyZTM0NmRhZWZhNjIiLCJwIjoic2hlZXRzLWppcmEifQ","RTT-657")</f>
        <v>RTT-657</v>
      </c>
      <c r="H3352" s="1" t="s">
        <v>1058</v>
      </c>
      <c r="I3352" s="1" t="s">
        <v>1126</v>
      </c>
      <c r="J3352" s="1" t="s">
        <v>26</v>
      </c>
      <c r="K3352" s="1" t="s">
        <v>2111</v>
      </c>
      <c r="L3352" s="1" t="s">
        <v>26</v>
      </c>
      <c r="M3352" s="1" t="s">
        <v>27</v>
      </c>
      <c r="N3352" s="1" t="s">
        <v>26</v>
      </c>
      <c r="O3352" s="1" t="s">
        <v>26</v>
      </c>
      <c r="P3352" s="4">
        <v>44068.797476851854</v>
      </c>
    </row>
    <row r="3353" hidden="1">
      <c r="A3353" s="1" t="s">
        <v>1055</v>
      </c>
      <c r="B3353" s="3" t="str">
        <f>HYPERLINK("https://hawk-eye.atlassian.net/browse/HWKREPORT-108?atlOrigin=eyJpIjoiYzgwYTQ0ZjEyNzQzNGJhN2JmNjEyZTM0NmRhZWZhNjIiLCJwIjoic2hlZXRzLWppcmEifQ","HWKREPORT-108")</f>
        <v>HWKREPORT-108</v>
      </c>
      <c r="C3353" s="1" t="s">
        <v>4689</v>
      </c>
      <c r="D3353" s="1" t="s">
        <v>23</v>
      </c>
      <c r="E3353" s="1" t="s">
        <v>35</v>
      </c>
      <c r="F3353" s="4">
        <v>43505.472291666665</v>
      </c>
      <c r="G3353" s="3" t="str">
        <f>HYPERLINK("https://hawk-eye.atlassian.net/browse/?atlOrigin=eyJpIjoiYzgwYTQ0ZjEyNzQzNGJhN2JmNjEyZTM0NmRhZWZhNjIiLCJwIjoic2hlZXRzLWppcmEifQ","")</f>
        <v/>
      </c>
      <c r="H3353" s="1" t="s">
        <v>1058</v>
      </c>
      <c r="I3353" s="1" t="s">
        <v>1126</v>
      </c>
      <c r="J3353" s="1" t="s">
        <v>26</v>
      </c>
      <c r="K3353" s="1" t="s">
        <v>1573</v>
      </c>
      <c r="L3353" s="1" t="s">
        <v>26</v>
      </c>
      <c r="M3353" s="1" t="s">
        <v>27</v>
      </c>
      <c r="N3353" s="1" t="s">
        <v>26</v>
      </c>
      <c r="O3353" s="1" t="s">
        <v>26</v>
      </c>
      <c r="P3353" s="4">
        <v>43806.62666666666</v>
      </c>
    </row>
    <row r="3354" hidden="1">
      <c r="A3354" s="1" t="s">
        <v>1055</v>
      </c>
      <c r="B3354" s="3" t="str">
        <f>HYPERLINK("https://hawk-eye.atlassian.net/browse/HWKREPORT-109?atlOrigin=eyJpIjoiYzgwYTQ0ZjEyNzQzNGJhN2JmNjEyZTM0NmRhZWZhNjIiLCJwIjoic2hlZXRzLWppcmEifQ","HWKREPORT-109")</f>
        <v>HWKREPORT-109</v>
      </c>
      <c r="C3354" s="1" t="s">
        <v>4690</v>
      </c>
      <c r="D3354" s="1" t="s">
        <v>23</v>
      </c>
      <c r="E3354" s="1" t="s">
        <v>35</v>
      </c>
      <c r="F3354" s="4">
        <v>43507.73421296296</v>
      </c>
      <c r="G3354" s="3" t="str">
        <f>HYPERLINK("https://hawk-eye.atlassian.net/browse/CVR-42?atlOrigin=eyJpIjoiYzgwYTQ0ZjEyNzQzNGJhN2JmNjEyZTM0NmRhZWZhNjIiLCJwIjoic2hlZXRzLWppcmEifQ","CVR-42")</f>
        <v>CVR-42</v>
      </c>
      <c r="H3354" s="1" t="s">
        <v>1058</v>
      </c>
      <c r="I3354" s="1" t="s">
        <v>1082</v>
      </c>
      <c r="J3354" s="1" t="s">
        <v>26</v>
      </c>
      <c r="K3354" s="1" t="s">
        <v>1744</v>
      </c>
      <c r="L3354" s="1" t="s">
        <v>26</v>
      </c>
      <c r="M3354" s="1" t="s">
        <v>27</v>
      </c>
      <c r="N3354" s="1" t="s">
        <v>26</v>
      </c>
      <c r="O3354" s="1" t="s">
        <v>26</v>
      </c>
      <c r="P3354" s="4">
        <v>43549.39575231481</v>
      </c>
    </row>
    <row r="3355" hidden="1">
      <c r="A3355" s="1" t="s">
        <v>21</v>
      </c>
      <c r="B3355" s="3" t="str">
        <f>HYPERLINK("https://hawk-eye.atlassian.net/browse/HWKREPORT-110?atlOrigin=eyJpIjoiYzgwYTQ0ZjEyNzQzNGJhN2JmNjEyZTM0NmRhZWZhNjIiLCJwIjoic2hlZXRzLWppcmEifQ","HWKREPORT-110")</f>
        <v>HWKREPORT-110</v>
      </c>
      <c r="C3355" s="1" t="s">
        <v>4691</v>
      </c>
      <c r="D3355" s="1" t="s">
        <v>34</v>
      </c>
      <c r="E3355" s="1" t="s">
        <v>35</v>
      </c>
      <c r="F3355" s="4">
        <v>43509.741875</v>
      </c>
      <c r="G3355" s="3" t="str">
        <f>HYPERLINK("https://hawk-eye.atlassian.net/issues/?atlOrigin=eyJpIjoiYzgwYTQ0ZjEyNzQzNGJhN2JmNjEyZTM0NmRhZWZhNjIiLCJwIjoic2hlZXRzLWppcmEifQ&amp;jql=key+in+%28RTT-623%2CRTT-654%29","RTT-623;RTT-654")</f>
        <v>RTT-623;RTT-654</v>
      </c>
      <c r="H3355" s="1" t="s">
        <v>1058</v>
      </c>
      <c r="I3355" s="1" t="s">
        <v>1126</v>
      </c>
      <c r="J3355" s="1" t="s">
        <v>26</v>
      </c>
      <c r="K3355" s="1" t="s">
        <v>1312</v>
      </c>
      <c r="L3355" s="1" t="s">
        <v>26</v>
      </c>
      <c r="M3355" s="1" t="s">
        <v>27</v>
      </c>
      <c r="N3355" s="1" t="s">
        <v>26</v>
      </c>
      <c r="O3355" s="1" t="s">
        <v>26</v>
      </c>
      <c r="P3355" s="4">
        <v>43521.400046296294</v>
      </c>
    </row>
    <row r="3356" hidden="1">
      <c r="A3356" s="1" t="s">
        <v>21</v>
      </c>
      <c r="B3356" s="3" t="str">
        <f>HYPERLINK("https://hawk-eye.atlassian.net/browse/HWKREPORT-111?atlOrigin=eyJpIjoiYzgwYTQ0ZjEyNzQzNGJhN2JmNjEyZTM0NmRhZWZhNjIiLCJwIjoic2hlZXRzLWppcmEifQ","HWKREPORT-111")</f>
        <v>HWKREPORT-111</v>
      </c>
      <c r="C3356" s="1" t="s">
        <v>4692</v>
      </c>
      <c r="D3356" s="1" t="s">
        <v>83</v>
      </c>
      <c r="E3356" s="1" t="s">
        <v>35</v>
      </c>
      <c r="F3356" s="4">
        <v>43510.59332175926</v>
      </c>
      <c r="G3356" s="3" t="str">
        <f>HYPERLINK("https://hawk-eye.atlassian.net/browse/RTT-2004?atlOrigin=eyJpIjoiYzgwYTQ0ZjEyNzQzNGJhN2JmNjEyZTM0NmRhZWZhNjIiLCJwIjoic2hlZXRzLWppcmEifQ","RTT-2004")</f>
        <v>RTT-2004</v>
      </c>
      <c r="H3356" s="1" t="s">
        <v>1058</v>
      </c>
      <c r="I3356" s="1" t="s">
        <v>1676</v>
      </c>
      <c r="J3356" s="1" t="s">
        <v>26</v>
      </c>
      <c r="K3356" s="1" t="s">
        <v>4693</v>
      </c>
      <c r="L3356" s="1" t="s">
        <v>26</v>
      </c>
      <c r="M3356" s="1" t="s">
        <v>27</v>
      </c>
      <c r="N3356" s="1" t="s">
        <v>26</v>
      </c>
      <c r="O3356" s="1" t="s">
        <v>26</v>
      </c>
      <c r="P3356" s="4">
        <v>44166.74548611111</v>
      </c>
    </row>
    <row r="3357" hidden="1">
      <c r="A3357" s="1" t="s">
        <v>21</v>
      </c>
      <c r="B3357" s="3" t="str">
        <f>HYPERLINK("https://hawk-eye.atlassian.net/browse/HWKREPORT-113?atlOrigin=eyJpIjoiYzgwYTQ0ZjEyNzQzNGJhN2JmNjEyZTM0NmRhZWZhNjIiLCJwIjoic2hlZXRzLWppcmEifQ","HWKREPORT-113")</f>
        <v>HWKREPORT-113</v>
      </c>
      <c r="C3357" s="1" t="s">
        <v>4694</v>
      </c>
      <c r="D3357" s="1" t="s">
        <v>23</v>
      </c>
      <c r="E3357" s="1" t="s">
        <v>35</v>
      </c>
      <c r="F3357" s="4">
        <v>43520.73944444444</v>
      </c>
      <c r="G3357" s="3" t="str">
        <f t="shared" ref="G3357:G3359" si="231">HYPERLINK("https://hawk-eye.atlassian.net/browse/?atlOrigin=eyJpIjoiYzgwYTQ0ZjEyNzQzNGJhN2JmNjEyZTM0NmRhZWZhNjIiLCJwIjoic2hlZXRzLWppcmEifQ","")</f>
        <v/>
      </c>
      <c r="H3357" s="1" t="s">
        <v>1058</v>
      </c>
      <c r="I3357" s="1" t="s">
        <v>1126</v>
      </c>
      <c r="J3357" s="1" t="s">
        <v>26</v>
      </c>
      <c r="K3357" s="1" t="s">
        <v>1312</v>
      </c>
      <c r="L3357" s="1" t="s">
        <v>26</v>
      </c>
      <c r="M3357" s="1" t="s">
        <v>27</v>
      </c>
      <c r="N3357" s="1" t="s">
        <v>26</v>
      </c>
      <c r="O3357" s="1" t="s">
        <v>26</v>
      </c>
      <c r="P3357" s="4">
        <v>43921.549155092594</v>
      </c>
    </row>
    <row r="3358" hidden="1">
      <c r="A3358" s="1" t="s">
        <v>21</v>
      </c>
      <c r="B3358" s="3" t="str">
        <f>HYPERLINK("https://hawk-eye.atlassian.net/browse/HWKREPORT-114?atlOrigin=eyJpIjoiYzgwYTQ0ZjEyNzQzNGJhN2JmNjEyZTM0NmRhZWZhNjIiLCJwIjoic2hlZXRzLWppcmEifQ","HWKREPORT-114")</f>
        <v>HWKREPORT-114</v>
      </c>
      <c r="C3358" s="1" t="s">
        <v>4695</v>
      </c>
      <c r="D3358" s="1" t="s">
        <v>23</v>
      </c>
      <c r="E3358" s="1" t="s">
        <v>35</v>
      </c>
      <c r="F3358" s="4">
        <v>43521.64225694445</v>
      </c>
      <c r="G3358" s="3" t="str">
        <f t="shared" si="231"/>
        <v/>
      </c>
      <c r="H3358" s="1" t="s">
        <v>1058</v>
      </c>
      <c r="I3358" s="1" t="s">
        <v>1126</v>
      </c>
      <c r="J3358" s="1" t="s">
        <v>26</v>
      </c>
      <c r="K3358" s="1" t="s">
        <v>1312</v>
      </c>
      <c r="L3358" s="1" t="s">
        <v>26</v>
      </c>
      <c r="M3358" s="1" t="s">
        <v>27</v>
      </c>
      <c r="N3358" s="1" t="s">
        <v>26</v>
      </c>
      <c r="O3358" s="1" t="s">
        <v>26</v>
      </c>
      <c r="P3358" s="4">
        <v>43521.6459375</v>
      </c>
    </row>
    <row r="3359" hidden="1">
      <c r="A3359" s="1" t="s">
        <v>1055</v>
      </c>
      <c r="B3359" s="3" t="str">
        <f>HYPERLINK("https://hawk-eye.atlassian.net/browse/HWKREPORT-115?atlOrigin=eyJpIjoiYzgwYTQ0ZjEyNzQzNGJhN2JmNjEyZTM0NmRhZWZhNjIiLCJwIjoic2hlZXRzLWppcmEifQ","HWKREPORT-115")</f>
        <v>HWKREPORT-115</v>
      </c>
      <c r="C3359" s="1" t="s">
        <v>4696</v>
      </c>
      <c r="D3359" s="1" t="s">
        <v>23</v>
      </c>
      <c r="E3359" s="1" t="s">
        <v>35</v>
      </c>
      <c r="F3359" s="4">
        <v>43522.651342592595</v>
      </c>
      <c r="G3359" s="3" t="str">
        <f t="shared" si="231"/>
        <v/>
      </c>
      <c r="H3359" s="1" t="s">
        <v>1058</v>
      </c>
      <c r="I3359" s="1" t="s">
        <v>1126</v>
      </c>
      <c r="J3359" s="1" t="s">
        <v>26</v>
      </c>
      <c r="K3359" s="1" t="s">
        <v>1573</v>
      </c>
      <c r="L3359" s="1" t="s">
        <v>26</v>
      </c>
      <c r="M3359" s="1" t="s">
        <v>27</v>
      </c>
      <c r="N3359" s="1" t="s">
        <v>26</v>
      </c>
      <c r="O3359" s="1" t="s">
        <v>26</v>
      </c>
      <c r="P3359" s="4">
        <v>43806.627592592595</v>
      </c>
    </row>
    <row r="3360" hidden="1">
      <c r="A3360" s="1" t="s">
        <v>1055</v>
      </c>
      <c r="B3360" s="3" t="str">
        <f>HYPERLINK("https://hawk-eye.atlassian.net/browse/HWKREPORT-116?atlOrigin=eyJpIjoiYzgwYTQ0ZjEyNzQzNGJhN2JmNjEyZTM0NmRhZWZhNjIiLCJwIjoic2hlZXRzLWppcmEifQ","HWKREPORT-116")</f>
        <v>HWKREPORT-116</v>
      </c>
      <c r="C3360" s="1" t="s">
        <v>4697</v>
      </c>
      <c r="D3360" s="1" t="s">
        <v>23</v>
      </c>
      <c r="E3360" s="1" t="s">
        <v>35</v>
      </c>
      <c r="F3360" s="4">
        <v>43524.289502314816</v>
      </c>
      <c r="G3360" s="3" t="str">
        <f>HYPERLINK("https://hawk-eye.atlassian.net/browse/CVR-41?atlOrigin=eyJpIjoiYzgwYTQ0ZjEyNzQzNGJhN2JmNjEyZTM0NmRhZWZhNjIiLCJwIjoic2hlZXRzLWppcmEifQ","CVR-41")</f>
        <v>CVR-41</v>
      </c>
      <c r="H3360" s="1" t="s">
        <v>1058</v>
      </c>
      <c r="I3360" s="1" t="s">
        <v>1082</v>
      </c>
      <c r="J3360" s="1" t="s">
        <v>26</v>
      </c>
      <c r="K3360" s="1" t="s">
        <v>1744</v>
      </c>
      <c r="L3360" s="1" t="s">
        <v>26</v>
      </c>
      <c r="M3360" s="1" t="s">
        <v>27</v>
      </c>
      <c r="N3360" s="1" t="s">
        <v>26</v>
      </c>
      <c r="O3360" s="1" t="s">
        <v>26</v>
      </c>
      <c r="P3360" s="4">
        <v>43549.39560185185</v>
      </c>
    </row>
    <row r="3361" hidden="1">
      <c r="A3361" s="1" t="s">
        <v>1055</v>
      </c>
      <c r="B3361" s="3" t="str">
        <f>HYPERLINK("https://hawk-eye.atlassian.net/browse/HWKREPORT-117?atlOrigin=eyJpIjoiYzgwYTQ0ZjEyNzQzNGJhN2JmNjEyZTM0NmRhZWZhNjIiLCJwIjoic2hlZXRzLWppcmEifQ","HWKREPORT-117")</f>
        <v>HWKREPORT-117</v>
      </c>
      <c r="C3361" s="1" t="s">
        <v>4698</v>
      </c>
      <c r="D3361" s="1" t="s">
        <v>23</v>
      </c>
      <c r="E3361" s="1" t="s">
        <v>35</v>
      </c>
      <c r="F3361" s="4">
        <v>43530.65641203704</v>
      </c>
      <c r="G3361" s="3" t="str">
        <f>HYPERLINK("https://hawk-eye.atlassian.net/browse/?atlOrigin=eyJpIjoiYzgwYTQ0ZjEyNzQzNGJhN2JmNjEyZTM0NmRhZWZhNjIiLCJwIjoic2hlZXRzLWppcmEifQ","")</f>
        <v/>
      </c>
      <c r="H3361" s="1" t="s">
        <v>1058</v>
      </c>
      <c r="I3361" s="1" t="s">
        <v>1502</v>
      </c>
      <c r="J3361" s="1" t="s">
        <v>26</v>
      </c>
      <c r="K3361" s="1" t="s">
        <v>4699</v>
      </c>
      <c r="L3361" s="1" t="s">
        <v>26</v>
      </c>
      <c r="M3361" s="1" t="s">
        <v>27</v>
      </c>
      <c r="N3361" s="1" t="s">
        <v>26</v>
      </c>
      <c r="O3361" s="1" t="s">
        <v>26</v>
      </c>
      <c r="P3361" s="4">
        <v>43806.6228587963</v>
      </c>
    </row>
    <row r="3362" hidden="1">
      <c r="A3362" s="1" t="s">
        <v>21</v>
      </c>
      <c r="B3362" s="3" t="str">
        <f>HYPERLINK("https://hawk-eye.atlassian.net/browse/HWKREPORT-118?atlOrigin=eyJpIjoiYzgwYTQ0ZjEyNzQzNGJhN2JmNjEyZTM0NmRhZWZhNjIiLCJwIjoic2hlZXRzLWppcmEifQ","HWKREPORT-118")</f>
        <v>HWKREPORT-118</v>
      </c>
      <c r="C3362" s="1" t="s">
        <v>4700</v>
      </c>
      <c r="D3362" s="1" t="s">
        <v>34</v>
      </c>
      <c r="E3362" s="1" t="s">
        <v>35</v>
      </c>
      <c r="F3362" s="4">
        <v>43532.00650462963</v>
      </c>
      <c r="G3362" s="3" t="str">
        <f>HYPERLINK("https://hawk-eye.atlassian.net/browse/RTT-685?atlOrigin=eyJpIjoiYzgwYTQ0ZjEyNzQzNGJhN2JmNjEyZTM0NmRhZWZhNjIiLCJwIjoic2hlZXRzLWppcmEifQ","RTT-685")</f>
        <v>RTT-685</v>
      </c>
      <c r="H3362" s="1" t="s">
        <v>1058</v>
      </c>
      <c r="I3362" s="1" t="s">
        <v>1126</v>
      </c>
      <c r="J3362" s="1" t="s">
        <v>26</v>
      </c>
      <c r="K3362" s="1" t="s">
        <v>1312</v>
      </c>
      <c r="L3362" s="1" t="s">
        <v>26</v>
      </c>
      <c r="M3362" s="1" t="s">
        <v>27</v>
      </c>
      <c r="N3362" s="1" t="s">
        <v>26</v>
      </c>
      <c r="O3362" s="1" t="s">
        <v>26</v>
      </c>
      <c r="P3362" s="4">
        <v>43551.63563657407</v>
      </c>
    </row>
    <row r="3363" hidden="1">
      <c r="A3363" s="1" t="s">
        <v>21</v>
      </c>
      <c r="B3363" s="3" t="str">
        <f>HYPERLINK("https://hawk-eye.atlassian.net/browse/HWKREPORT-119?atlOrigin=eyJpIjoiYzgwYTQ0ZjEyNzQzNGJhN2JmNjEyZTM0NmRhZWZhNjIiLCJwIjoic2hlZXRzLWppcmEifQ","HWKREPORT-119")</f>
        <v>HWKREPORT-119</v>
      </c>
      <c r="C3363" s="1" t="s">
        <v>4701</v>
      </c>
      <c r="D3363" s="1" t="s">
        <v>23</v>
      </c>
      <c r="E3363" s="1" t="s">
        <v>35</v>
      </c>
      <c r="F3363" s="4">
        <v>43532.1521875</v>
      </c>
      <c r="G3363" s="3" t="str">
        <f>HYPERLINK("https://hawk-eye.atlassian.net/browse/TVR-47?atlOrigin=eyJpIjoiYzgwYTQ0ZjEyNzQzNGJhN2JmNjEyZTM0NmRhZWZhNjIiLCJwIjoic2hlZXRzLWppcmEifQ","TVR-47")</f>
        <v>TVR-47</v>
      </c>
      <c r="H3363" s="1" t="s">
        <v>1058</v>
      </c>
      <c r="I3363" s="1" t="s">
        <v>1126</v>
      </c>
      <c r="J3363" s="1" t="s">
        <v>26</v>
      </c>
      <c r="K3363" s="1" t="s">
        <v>4613</v>
      </c>
      <c r="L3363" s="1" t="s">
        <v>26</v>
      </c>
      <c r="M3363" s="1" t="s">
        <v>27</v>
      </c>
      <c r="N3363" s="1" t="s">
        <v>26</v>
      </c>
      <c r="O3363" s="1" t="s">
        <v>26</v>
      </c>
      <c r="P3363" s="4">
        <v>44994.46653935185</v>
      </c>
    </row>
    <row r="3364" hidden="1">
      <c r="A3364" s="1" t="s">
        <v>21</v>
      </c>
      <c r="B3364" s="3" t="str">
        <f>HYPERLINK("https://hawk-eye.atlassian.net/browse/HWKREPORT-120?atlOrigin=eyJpIjoiYzgwYTQ0ZjEyNzQzNGJhN2JmNjEyZTM0NmRhZWZhNjIiLCJwIjoic2hlZXRzLWppcmEifQ","HWKREPORT-120")</f>
        <v>HWKREPORT-120</v>
      </c>
      <c r="C3364" s="1" t="s">
        <v>4702</v>
      </c>
      <c r="D3364" s="1" t="s">
        <v>34</v>
      </c>
      <c r="E3364" s="1" t="s">
        <v>35</v>
      </c>
      <c r="F3364" s="4">
        <v>43535.74689814815</v>
      </c>
      <c r="G3364" s="3" t="str">
        <f>HYPERLINK("https://hawk-eye.atlassian.net/browse/RTT-689?atlOrigin=eyJpIjoiYzgwYTQ0ZjEyNzQzNGJhN2JmNjEyZTM0NmRhZWZhNjIiLCJwIjoic2hlZXRzLWppcmEifQ","RTT-689")</f>
        <v>RTT-689</v>
      </c>
      <c r="H3364" s="1" t="s">
        <v>1058</v>
      </c>
      <c r="I3364" s="1" t="s">
        <v>1377</v>
      </c>
      <c r="J3364" s="1" t="s">
        <v>26</v>
      </c>
      <c r="K3364" s="1" t="s">
        <v>1312</v>
      </c>
      <c r="L3364" s="1" t="s">
        <v>26</v>
      </c>
      <c r="M3364" s="1" t="s">
        <v>27</v>
      </c>
      <c r="N3364" s="1" t="s">
        <v>26</v>
      </c>
      <c r="O3364" s="1" t="s">
        <v>26</v>
      </c>
      <c r="P3364" s="4">
        <v>43551.401296296295</v>
      </c>
    </row>
    <row r="3365" hidden="1">
      <c r="A3365" s="1" t="s">
        <v>21</v>
      </c>
      <c r="B3365" s="3" t="str">
        <f>HYPERLINK("https://hawk-eye.atlassian.net/browse/HWKREPORT-121?atlOrigin=eyJpIjoiYzgwYTQ0ZjEyNzQzNGJhN2JmNjEyZTM0NmRhZWZhNjIiLCJwIjoic2hlZXRzLWppcmEifQ","HWKREPORT-121")</f>
        <v>HWKREPORT-121</v>
      </c>
      <c r="C3365" s="1" t="s">
        <v>4703</v>
      </c>
      <c r="D3365" s="1" t="s">
        <v>23</v>
      </c>
      <c r="E3365" s="1" t="s">
        <v>35</v>
      </c>
      <c r="F3365" s="4">
        <v>43537.694375</v>
      </c>
      <c r="G3365" s="3" t="str">
        <f>HYPERLINK("https://hawk-eye.atlassian.net/browse/?atlOrigin=eyJpIjoiYzgwYTQ0ZjEyNzQzNGJhN2JmNjEyZTM0NmRhZWZhNjIiLCJwIjoic2hlZXRzLWppcmEifQ","")</f>
        <v/>
      </c>
      <c r="H3365" s="1" t="s">
        <v>1058</v>
      </c>
      <c r="I3365" s="1" t="s">
        <v>1082</v>
      </c>
      <c r="J3365" s="1" t="s">
        <v>26</v>
      </c>
      <c r="K3365" s="1" t="s">
        <v>4704</v>
      </c>
      <c r="L3365" s="1" t="s">
        <v>26</v>
      </c>
      <c r="M3365" s="1" t="s">
        <v>27</v>
      </c>
      <c r="N3365" s="1" t="s">
        <v>26</v>
      </c>
      <c r="O3365" s="1" t="s">
        <v>26</v>
      </c>
      <c r="P3365" s="4">
        <v>43581.56008101852</v>
      </c>
    </row>
    <row r="3366" hidden="1">
      <c r="A3366" s="1" t="s">
        <v>21</v>
      </c>
      <c r="B3366" s="3" t="str">
        <f>HYPERLINK("https://hawk-eye.atlassian.net/browse/HWKREPORT-122?atlOrigin=eyJpIjoiYzgwYTQ0ZjEyNzQzNGJhN2JmNjEyZTM0NmRhZWZhNjIiLCJwIjoic2hlZXRzLWppcmEifQ","HWKREPORT-122")</f>
        <v>HWKREPORT-122</v>
      </c>
      <c r="C3366" s="6" t="s">
        <v>4705</v>
      </c>
      <c r="D3366" s="1" t="s">
        <v>23</v>
      </c>
      <c r="E3366" s="1" t="s">
        <v>35</v>
      </c>
      <c r="F3366" s="4">
        <v>43538.883125</v>
      </c>
      <c r="G3366" s="3" t="str">
        <f>HYPERLINK("https://hawk-eye.atlassian.net/browse/CDS-111?atlOrigin=eyJpIjoiYzgwYTQ0ZjEyNzQzNGJhN2JmNjEyZTM0NmRhZWZhNjIiLCJwIjoic2hlZXRzLWppcmEifQ","CDS-111")</f>
        <v>CDS-111</v>
      </c>
      <c r="H3366" s="1" t="s">
        <v>1058</v>
      </c>
      <c r="I3366" s="1" t="s">
        <v>1082</v>
      </c>
      <c r="J3366" s="1" t="s">
        <v>26</v>
      </c>
      <c r="K3366" s="1" t="s">
        <v>1700</v>
      </c>
      <c r="L3366" s="1" t="s">
        <v>26</v>
      </c>
      <c r="M3366" s="1" t="s">
        <v>27</v>
      </c>
      <c r="N3366" s="1" t="s">
        <v>26</v>
      </c>
      <c r="O3366" s="1" t="s">
        <v>26</v>
      </c>
      <c r="P3366" s="4">
        <v>43588.33016203704</v>
      </c>
    </row>
    <row r="3367" hidden="1">
      <c r="A3367" s="1" t="s">
        <v>1055</v>
      </c>
      <c r="B3367" s="3" t="str">
        <f>HYPERLINK("https://hawk-eye.atlassian.net/browse/HWKREPORT-123?atlOrigin=eyJpIjoiYzgwYTQ0ZjEyNzQzNGJhN2JmNjEyZTM0NmRhZWZhNjIiLCJwIjoic2hlZXRzLWppcmEifQ","HWKREPORT-123")</f>
        <v>HWKREPORT-123</v>
      </c>
      <c r="C3367" s="1" t="s">
        <v>4706</v>
      </c>
      <c r="D3367" s="1" t="s">
        <v>23</v>
      </c>
      <c r="E3367" s="1" t="s">
        <v>35</v>
      </c>
      <c r="F3367" s="4">
        <v>43542.61931712963</v>
      </c>
      <c r="G3367" s="3" t="str">
        <f>HYPERLINK("https://hawk-eye.atlassian.net/browse/RTT-703?atlOrigin=eyJpIjoiYzgwYTQ0ZjEyNzQzNGJhN2JmNjEyZTM0NmRhZWZhNjIiLCJwIjoic2hlZXRzLWppcmEifQ","RTT-703")</f>
        <v>RTT-703</v>
      </c>
      <c r="H3367" s="1" t="s">
        <v>1058</v>
      </c>
      <c r="I3367" s="1" t="s">
        <v>1502</v>
      </c>
      <c r="J3367" s="1" t="s">
        <v>26</v>
      </c>
      <c r="K3367" s="1" t="s">
        <v>1312</v>
      </c>
      <c r="L3367" s="1" t="s">
        <v>26</v>
      </c>
      <c r="M3367" s="1" t="s">
        <v>27</v>
      </c>
      <c r="N3367" s="1" t="s">
        <v>26</v>
      </c>
      <c r="O3367" s="1" t="s">
        <v>26</v>
      </c>
      <c r="P3367" s="4">
        <v>43892.77984953704</v>
      </c>
    </row>
    <row r="3368" hidden="1">
      <c r="A3368" s="1" t="s">
        <v>21</v>
      </c>
      <c r="B3368" s="3" t="str">
        <f>HYPERLINK("https://hawk-eye.atlassian.net/browse/HWKREPORT-124?atlOrigin=eyJpIjoiYzgwYTQ0ZjEyNzQzNGJhN2JmNjEyZTM0NmRhZWZhNjIiLCJwIjoic2hlZXRzLWppcmEifQ","HWKREPORT-124")</f>
        <v>HWKREPORT-124</v>
      </c>
      <c r="C3368" s="1" t="s">
        <v>4707</v>
      </c>
      <c r="D3368" s="1" t="s">
        <v>83</v>
      </c>
      <c r="E3368" s="1" t="s">
        <v>35</v>
      </c>
      <c r="F3368" s="4">
        <v>43542.82195601852</v>
      </c>
      <c r="G3368" s="3" t="str">
        <f t="shared" ref="G3368:G3370" si="232">HYPERLINK("https://hawk-eye.atlassian.net/browse/?atlOrigin=eyJpIjoiYzgwYTQ0ZjEyNzQzNGJhN2JmNjEyZTM0NmRhZWZhNjIiLCJwIjoic2hlZXRzLWppcmEifQ","")</f>
        <v/>
      </c>
      <c r="H3368" s="1" t="s">
        <v>1058</v>
      </c>
      <c r="I3368" s="1" t="s">
        <v>1126</v>
      </c>
      <c r="J3368" s="1" t="s">
        <v>26</v>
      </c>
      <c r="K3368" s="1" t="s">
        <v>1362</v>
      </c>
      <c r="L3368" s="1" t="s">
        <v>26</v>
      </c>
      <c r="M3368" s="1" t="s">
        <v>27</v>
      </c>
      <c r="N3368" s="1" t="s">
        <v>26</v>
      </c>
      <c r="O3368" s="1" t="s">
        <v>26</v>
      </c>
      <c r="P3368" s="4">
        <v>44964.65980324074</v>
      </c>
    </row>
    <row r="3369" hidden="1">
      <c r="A3369" s="1" t="s">
        <v>1055</v>
      </c>
      <c r="B3369" s="3" t="str">
        <f>HYPERLINK("https://hawk-eye.atlassian.net/browse/HWKREPORT-125?atlOrigin=eyJpIjoiYzgwYTQ0ZjEyNzQzNGJhN2JmNjEyZTM0NmRhZWZhNjIiLCJwIjoic2hlZXRzLWppcmEifQ","HWKREPORT-125")</f>
        <v>HWKREPORT-125</v>
      </c>
      <c r="C3369" s="1" t="s">
        <v>4708</v>
      </c>
      <c r="D3369" s="1" t="s">
        <v>23</v>
      </c>
      <c r="E3369" s="1" t="s">
        <v>35</v>
      </c>
      <c r="F3369" s="4">
        <v>43545.719988425924</v>
      </c>
      <c r="G3369" s="3" t="str">
        <f t="shared" si="232"/>
        <v/>
      </c>
      <c r="H3369" s="1" t="s">
        <v>1058</v>
      </c>
      <c r="I3369" s="1" t="s">
        <v>1502</v>
      </c>
      <c r="J3369" s="1" t="s">
        <v>26</v>
      </c>
      <c r="K3369" s="1" t="s">
        <v>26</v>
      </c>
      <c r="L3369" s="1" t="s">
        <v>26</v>
      </c>
      <c r="M3369" s="1" t="s">
        <v>27</v>
      </c>
      <c r="N3369" s="1" t="s">
        <v>26</v>
      </c>
      <c r="O3369" s="1" t="s">
        <v>26</v>
      </c>
      <c r="P3369" s="4">
        <v>43579.44483796296</v>
      </c>
    </row>
    <row r="3370" hidden="1">
      <c r="A3370" s="1" t="s">
        <v>1055</v>
      </c>
      <c r="B3370" s="3" t="str">
        <f>HYPERLINK("https://hawk-eye.atlassian.net/browse/HWKREPORT-126?atlOrigin=eyJpIjoiYzgwYTQ0ZjEyNzQzNGJhN2JmNjEyZTM0NmRhZWZhNjIiLCJwIjoic2hlZXRzLWppcmEifQ","HWKREPORT-126")</f>
        <v>HWKREPORT-126</v>
      </c>
      <c r="C3370" s="1" t="s">
        <v>4709</v>
      </c>
      <c r="D3370" s="1" t="s">
        <v>23</v>
      </c>
      <c r="E3370" s="1" t="s">
        <v>35</v>
      </c>
      <c r="F3370" s="4">
        <v>43545.996157407404</v>
      </c>
      <c r="G3370" s="3" t="str">
        <f t="shared" si="232"/>
        <v/>
      </c>
      <c r="H3370" s="1" t="s">
        <v>1058</v>
      </c>
      <c r="I3370" s="1" t="s">
        <v>1126</v>
      </c>
      <c r="J3370" s="1" t="s">
        <v>26</v>
      </c>
      <c r="K3370" s="1" t="s">
        <v>4710</v>
      </c>
      <c r="L3370" s="1" t="s">
        <v>26</v>
      </c>
      <c r="M3370" s="1" t="s">
        <v>27</v>
      </c>
      <c r="N3370" s="1" t="s">
        <v>26</v>
      </c>
      <c r="O3370" s="1" t="s">
        <v>26</v>
      </c>
      <c r="P3370" s="4">
        <v>43806.6478125</v>
      </c>
    </row>
    <row r="3371" hidden="1">
      <c r="A3371" s="1" t="s">
        <v>21</v>
      </c>
      <c r="B3371" s="3" t="str">
        <f>HYPERLINK("https://hawk-eye.atlassian.net/browse/HWKREPORT-127?atlOrigin=eyJpIjoiYzgwYTQ0ZjEyNzQzNGJhN2JmNjEyZTM0NmRhZWZhNjIiLCJwIjoic2hlZXRzLWppcmEifQ","HWKREPORT-127")</f>
        <v>HWKREPORT-127</v>
      </c>
      <c r="C3371" s="1" t="s">
        <v>4711</v>
      </c>
      <c r="D3371" s="1" t="s">
        <v>23</v>
      </c>
      <c r="E3371" s="1" t="s">
        <v>35</v>
      </c>
      <c r="F3371" s="4">
        <v>43546.115</v>
      </c>
      <c r="G3371" s="3" t="str">
        <f>HYPERLINK("https://hawk-eye.atlassian.net/browse/TDS-952?atlOrigin=eyJpIjoiYzgwYTQ0ZjEyNzQzNGJhN2JmNjEyZTM0NmRhZWZhNjIiLCJwIjoic2hlZXRzLWppcmEifQ","TDS-952")</f>
        <v>TDS-952</v>
      </c>
      <c r="H3371" s="1" t="s">
        <v>1058</v>
      </c>
      <c r="I3371" s="1" t="s">
        <v>1126</v>
      </c>
      <c r="J3371" s="1" t="s">
        <v>26</v>
      </c>
      <c r="K3371" s="1" t="s">
        <v>4424</v>
      </c>
      <c r="L3371" s="1" t="s">
        <v>26</v>
      </c>
      <c r="M3371" s="1" t="s">
        <v>27</v>
      </c>
      <c r="N3371" s="1" t="s">
        <v>26</v>
      </c>
      <c r="O3371" s="1" t="s">
        <v>26</v>
      </c>
      <c r="P3371" s="4">
        <v>43551.36638888889</v>
      </c>
    </row>
    <row r="3372" hidden="1">
      <c r="A3372" s="1" t="s">
        <v>21</v>
      </c>
      <c r="B3372" s="3" t="str">
        <f>HYPERLINK("https://hawk-eye.atlassian.net/browse/HWKREPORT-128?atlOrigin=eyJpIjoiYzgwYTQ0ZjEyNzQzNGJhN2JmNjEyZTM0NmRhZWZhNjIiLCJwIjoic2hlZXRzLWppcmEifQ","HWKREPORT-128")</f>
        <v>HWKREPORT-128</v>
      </c>
      <c r="C3372" s="1" t="s">
        <v>4712</v>
      </c>
      <c r="D3372" s="1" t="s">
        <v>83</v>
      </c>
      <c r="E3372" s="1" t="s">
        <v>35</v>
      </c>
      <c r="F3372" s="4">
        <v>43550.775868055556</v>
      </c>
      <c r="G3372" s="3" t="str">
        <f>HYPERLINK("https://hawk-eye.atlassian.net/browse/TDS-953?atlOrigin=eyJpIjoiYzgwYTQ0ZjEyNzQzNGJhN2JmNjEyZTM0NmRhZWZhNjIiLCJwIjoic2hlZXRzLWppcmEifQ","TDS-953")</f>
        <v>TDS-953</v>
      </c>
      <c r="H3372" s="1" t="s">
        <v>1058</v>
      </c>
      <c r="I3372" s="1" t="s">
        <v>1126</v>
      </c>
      <c r="J3372" s="1" t="s">
        <v>26</v>
      </c>
      <c r="K3372" s="1" t="s">
        <v>4424</v>
      </c>
      <c r="L3372" s="1" t="s">
        <v>26</v>
      </c>
      <c r="M3372" s="1" t="s">
        <v>27</v>
      </c>
      <c r="N3372" s="1" t="s">
        <v>26</v>
      </c>
      <c r="O3372" s="1" t="s">
        <v>26</v>
      </c>
      <c r="P3372" s="4">
        <v>43572.32950231482</v>
      </c>
    </row>
    <row r="3373" hidden="1">
      <c r="A3373" s="1" t="s">
        <v>21</v>
      </c>
      <c r="B3373" s="3" t="str">
        <f>HYPERLINK("https://hawk-eye.atlassian.net/browse/HWKREPORT-129?atlOrigin=eyJpIjoiYzgwYTQ0ZjEyNzQzNGJhN2JmNjEyZTM0NmRhZWZhNjIiLCJwIjoic2hlZXRzLWppcmEifQ","HWKREPORT-129")</f>
        <v>HWKREPORT-129</v>
      </c>
      <c r="C3373" s="1" t="s">
        <v>4713</v>
      </c>
      <c r="D3373" s="1" t="s">
        <v>34</v>
      </c>
      <c r="E3373" s="1" t="s">
        <v>35</v>
      </c>
      <c r="F3373" s="4">
        <v>43552.438425925924</v>
      </c>
      <c r="G3373" s="3" t="str">
        <f>HYPERLINK("https://hawk-eye.atlassian.net/browse/RTT-748?atlOrigin=eyJpIjoiYzgwYTQ0ZjEyNzQzNGJhN2JmNjEyZTM0NmRhZWZhNjIiLCJwIjoic2hlZXRzLWppcmEifQ","RTT-748")</f>
        <v>RTT-748</v>
      </c>
      <c r="H3373" s="1" t="s">
        <v>1058</v>
      </c>
      <c r="I3373" s="1" t="s">
        <v>1126</v>
      </c>
      <c r="J3373" s="1" t="s">
        <v>26</v>
      </c>
      <c r="K3373" s="1" t="s">
        <v>1362</v>
      </c>
      <c r="L3373" s="1" t="s">
        <v>26</v>
      </c>
      <c r="M3373" s="1" t="s">
        <v>27</v>
      </c>
      <c r="N3373" s="1" t="s">
        <v>26</v>
      </c>
      <c r="O3373" s="1" t="s">
        <v>26</v>
      </c>
      <c r="P3373" s="4">
        <v>43557.46761574074</v>
      </c>
    </row>
    <row r="3374" hidden="1">
      <c r="A3374" s="1" t="s">
        <v>21</v>
      </c>
      <c r="B3374" s="3" t="str">
        <f>HYPERLINK("https://hawk-eye.atlassian.net/browse/HWKREPORT-130?atlOrigin=eyJpIjoiYzgwYTQ0ZjEyNzQzNGJhN2JmNjEyZTM0NmRhZWZhNjIiLCJwIjoic2hlZXRzLWppcmEifQ","HWKREPORT-130")</f>
        <v>HWKREPORT-130</v>
      </c>
      <c r="C3374" s="1" t="s">
        <v>4714</v>
      </c>
      <c r="D3374" s="1" t="s">
        <v>23</v>
      </c>
      <c r="E3374" s="1" t="s">
        <v>35</v>
      </c>
      <c r="F3374" s="4">
        <v>43563.555625</v>
      </c>
      <c r="G3374" s="3" t="str">
        <f>HYPERLINK("https://hawk-eye.atlassian.net/browse/LOG-2?atlOrigin=eyJpIjoiYzgwYTQ0ZjEyNzQzNGJhN2JmNjEyZTM0NmRhZWZhNjIiLCJwIjoic2hlZXRzLWppcmEifQ","LOG-2")</f>
        <v>LOG-2</v>
      </c>
      <c r="H3374" s="1" t="s">
        <v>1058</v>
      </c>
      <c r="I3374" s="1" t="s">
        <v>1082</v>
      </c>
      <c r="J3374" s="1" t="s">
        <v>26</v>
      </c>
      <c r="K3374" s="1" t="s">
        <v>2423</v>
      </c>
      <c r="L3374" s="1" t="s">
        <v>26</v>
      </c>
      <c r="M3374" s="1" t="s">
        <v>27</v>
      </c>
      <c r="N3374" s="1" t="s">
        <v>26</v>
      </c>
      <c r="O3374" s="1" t="s">
        <v>26</v>
      </c>
      <c r="P3374" s="4">
        <v>43594.417962962965</v>
      </c>
    </row>
    <row r="3375" hidden="1">
      <c r="A3375" s="1" t="s">
        <v>21</v>
      </c>
      <c r="B3375" s="3" t="str">
        <f>HYPERLINK("https://hawk-eye.atlassian.net/browse/HWKREPORT-131?atlOrigin=eyJpIjoiYzgwYTQ0ZjEyNzQzNGJhN2JmNjEyZTM0NmRhZWZhNjIiLCJwIjoic2hlZXRzLWppcmEifQ","HWKREPORT-131")</f>
        <v>HWKREPORT-131</v>
      </c>
      <c r="C3375" s="1" t="s">
        <v>4715</v>
      </c>
      <c r="D3375" s="1" t="s">
        <v>34</v>
      </c>
      <c r="E3375" s="1" t="s">
        <v>35</v>
      </c>
      <c r="F3375" s="4">
        <v>43564.739120370374</v>
      </c>
      <c r="G3375" s="3" t="str">
        <f>HYPERLINK("https://hawk-eye.atlassian.net/browse/TVR-46?atlOrigin=eyJpIjoiYzgwYTQ0ZjEyNzQzNGJhN2JmNjEyZTM0NmRhZWZhNjIiLCJwIjoic2hlZXRzLWppcmEifQ","TVR-46")</f>
        <v>TVR-46</v>
      </c>
      <c r="H3375" s="1" t="s">
        <v>1058</v>
      </c>
      <c r="I3375" s="1" t="s">
        <v>1126</v>
      </c>
      <c r="J3375" s="1" t="s">
        <v>26</v>
      </c>
      <c r="K3375" s="1" t="s">
        <v>1573</v>
      </c>
      <c r="L3375" s="1" t="s">
        <v>26</v>
      </c>
      <c r="M3375" s="1" t="s">
        <v>27</v>
      </c>
      <c r="N3375" s="1" t="s">
        <v>26</v>
      </c>
      <c r="O3375" s="1" t="s">
        <v>26</v>
      </c>
      <c r="P3375" s="4">
        <v>43594.68377314815</v>
      </c>
    </row>
    <row r="3376" hidden="1">
      <c r="A3376" s="1" t="s">
        <v>1055</v>
      </c>
      <c r="B3376" s="3" t="str">
        <f>HYPERLINK("https://hawk-eye.atlassian.net/browse/HWKREPORT-132?atlOrigin=eyJpIjoiYzgwYTQ0ZjEyNzQzNGJhN2JmNjEyZTM0NmRhZWZhNjIiLCJwIjoic2hlZXRzLWppcmEifQ","HWKREPORT-132")</f>
        <v>HWKREPORT-132</v>
      </c>
      <c r="C3376" s="1" t="s">
        <v>4716</v>
      </c>
      <c r="D3376" s="1" t="s">
        <v>23</v>
      </c>
      <c r="E3376" s="1" t="s">
        <v>35</v>
      </c>
      <c r="F3376" s="4">
        <v>43566.99212962963</v>
      </c>
      <c r="G3376" s="3" t="str">
        <f>HYPERLINK("https://hawk-eye.atlassian.net/browse/?atlOrigin=eyJpIjoiYzgwYTQ0ZjEyNzQzNGJhN2JmNjEyZTM0NmRhZWZhNjIiLCJwIjoic2hlZXRzLWppcmEifQ","")</f>
        <v/>
      </c>
      <c r="H3376" s="1" t="s">
        <v>1058</v>
      </c>
      <c r="I3376" s="1" t="s">
        <v>1104</v>
      </c>
      <c r="J3376" s="1" t="s">
        <v>26</v>
      </c>
      <c r="K3376" s="1" t="s">
        <v>1251</v>
      </c>
      <c r="L3376" s="1" t="s">
        <v>26</v>
      </c>
      <c r="M3376" s="1" t="s">
        <v>27</v>
      </c>
      <c r="N3376" s="1" t="s">
        <v>26</v>
      </c>
      <c r="O3376" s="1" t="s">
        <v>26</v>
      </c>
      <c r="P3376" s="4">
        <v>43605.57313657407</v>
      </c>
    </row>
    <row r="3377" hidden="1">
      <c r="A3377" s="1" t="s">
        <v>1055</v>
      </c>
      <c r="B3377" s="3" t="str">
        <f>HYPERLINK("https://hawk-eye.atlassian.net/browse/HWKREPORT-133?atlOrigin=eyJpIjoiYzgwYTQ0ZjEyNzQzNGJhN2JmNjEyZTM0NmRhZWZhNjIiLCJwIjoic2hlZXRzLWppcmEifQ","HWKREPORT-133")</f>
        <v>HWKREPORT-133</v>
      </c>
      <c r="C3377" s="1" t="s">
        <v>4717</v>
      </c>
      <c r="D3377" s="1" t="s">
        <v>23</v>
      </c>
      <c r="E3377" s="1" t="s">
        <v>35</v>
      </c>
      <c r="F3377" s="4">
        <v>43567.39943287037</v>
      </c>
      <c r="G3377" s="3" t="str">
        <f>HYPERLINK("https://hawk-eye.atlassian.net/browse/BCC-229?atlOrigin=eyJpIjoiYzgwYTQ0ZjEyNzQzNGJhN2JmNjEyZTM0NmRhZWZhNjIiLCJwIjoic2hlZXRzLWppcmEifQ","BCC-229")</f>
        <v>BCC-229</v>
      </c>
      <c r="H3377" s="1" t="s">
        <v>1058</v>
      </c>
      <c r="I3377" s="1" t="s">
        <v>1126</v>
      </c>
      <c r="J3377" s="1" t="s">
        <v>26</v>
      </c>
      <c r="K3377" s="1" t="s">
        <v>1251</v>
      </c>
      <c r="L3377" s="1" t="s">
        <v>26</v>
      </c>
      <c r="M3377" s="1" t="s">
        <v>27</v>
      </c>
      <c r="N3377" s="1" t="s">
        <v>26</v>
      </c>
      <c r="O3377" s="1" t="s">
        <v>26</v>
      </c>
      <c r="P3377" s="4">
        <v>43581.5496412037</v>
      </c>
    </row>
    <row r="3378" hidden="1">
      <c r="A3378" s="1" t="s">
        <v>1055</v>
      </c>
      <c r="B3378" s="3" t="str">
        <f>HYPERLINK("https://hawk-eye.atlassian.net/browse/HWKREPORT-134?atlOrigin=eyJpIjoiYzgwYTQ0ZjEyNzQzNGJhN2JmNjEyZTM0NmRhZWZhNjIiLCJwIjoic2hlZXRzLWppcmEifQ","HWKREPORT-134")</f>
        <v>HWKREPORT-134</v>
      </c>
      <c r="C3378" s="1" t="s">
        <v>4718</v>
      </c>
      <c r="D3378" s="1" t="s">
        <v>23</v>
      </c>
      <c r="E3378" s="1" t="s">
        <v>35</v>
      </c>
      <c r="F3378" s="4">
        <v>43567.40332175926</v>
      </c>
      <c r="G3378" s="3" t="str">
        <f>HYPERLINK("https://hawk-eye.atlassian.net/browse/BCC-230?atlOrigin=eyJpIjoiYzgwYTQ0ZjEyNzQzNGJhN2JmNjEyZTM0NmRhZWZhNjIiLCJwIjoic2hlZXRzLWppcmEifQ","BCC-230")</f>
        <v>BCC-230</v>
      </c>
      <c r="H3378" s="1" t="s">
        <v>1058</v>
      </c>
      <c r="I3378" s="1" t="s">
        <v>1126</v>
      </c>
      <c r="J3378" s="1" t="s">
        <v>26</v>
      </c>
      <c r="K3378" s="1" t="s">
        <v>1251</v>
      </c>
      <c r="L3378" s="1" t="s">
        <v>26</v>
      </c>
      <c r="M3378" s="1" t="s">
        <v>27</v>
      </c>
      <c r="N3378" s="1" t="s">
        <v>26</v>
      </c>
      <c r="O3378" s="1" t="s">
        <v>26</v>
      </c>
      <c r="P3378" s="4">
        <v>43581.54954861111</v>
      </c>
    </row>
    <row r="3379" hidden="1">
      <c r="A3379" s="1" t="s">
        <v>21</v>
      </c>
      <c r="B3379" s="3" t="str">
        <f>HYPERLINK("https://hawk-eye.atlassian.net/browse/HWKREPORT-135?atlOrigin=eyJpIjoiYzgwYTQ0ZjEyNzQzNGJhN2JmNjEyZTM0NmRhZWZhNjIiLCJwIjoic2hlZXRzLWppcmEifQ","HWKREPORT-135")</f>
        <v>HWKREPORT-135</v>
      </c>
      <c r="C3379" s="1" t="s">
        <v>4719</v>
      </c>
      <c r="D3379" s="1" t="s">
        <v>83</v>
      </c>
      <c r="E3379" s="1" t="s">
        <v>35</v>
      </c>
      <c r="F3379" s="4">
        <v>43567.50556712963</v>
      </c>
      <c r="G3379" s="3" t="str">
        <f>HYPERLINK("https://hawk-eye.atlassian.net/browse/RTT-791?atlOrigin=eyJpIjoiYzgwYTQ0ZjEyNzQzNGJhN2JmNjEyZTM0NmRhZWZhNjIiLCJwIjoic2hlZXRzLWppcmEifQ","RTT-791")</f>
        <v>RTT-791</v>
      </c>
      <c r="H3379" s="1" t="s">
        <v>1058</v>
      </c>
      <c r="I3379" s="1" t="s">
        <v>1126</v>
      </c>
      <c r="J3379" s="1" t="s">
        <v>26</v>
      </c>
      <c r="K3379" s="1" t="s">
        <v>1309</v>
      </c>
      <c r="L3379" s="1" t="s">
        <v>26</v>
      </c>
      <c r="M3379" s="1" t="s">
        <v>27</v>
      </c>
      <c r="N3379" s="1" t="s">
        <v>26</v>
      </c>
      <c r="O3379" s="1" t="s">
        <v>26</v>
      </c>
      <c r="P3379" s="4">
        <v>44068.79740740741</v>
      </c>
    </row>
    <row r="3380" hidden="1">
      <c r="A3380" s="1" t="s">
        <v>21</v>
      </c>
      <c r="B3380" s="3" t="str">
        <f>HYPERLINK("https://hawk-eye.atlassian.net/browse/HWKREPORT-136?atlOrigin=eyJpIjoiYzgwYTQ0ZjEyNzQzNGJhN2JmNjEyZTM0NmRhZWZhNjIiLCJwIjoic2hlZXRzLWppcmEifQ","HWKREPORT-136")</f>
        <v>HWKREPORT-136</v>
      </c>
      <c r="C3380" s="1" t="s">
        <v>4720</v>
      </c>
      <c r="D3380" s="1" t="s">
        <v>23</v>
      </c>
      <c r="E3380" s="1" t="s">
        <v>35</v>
      </c>
      <c r="F3380" s="4">
        <v>43567.714421296296</v>
      </c>
      <c r="G3380" s="3" t="str">
        <f>HYPERLINK("https://hawk-eye.atlassian.net/browse/RTT-796?atlOrigin=eyJpIjoiYzgwYTQ0ZjEyNzQzNGJhN2JmNjEyZTM0NmRhZWZhNjIiLCJwIjoic2hlZXRzLWppcmEifQ","RTT-796")</f>
        <v>RTT-796</v>
      </c>
      <c r="H3380" s="1" t="s">
        <v>1058</v>
      </c>
      <c r="I3380" s="1" t="s">
        <v>1126</v>
      </c>
      <c r="J3380" s="1" t="s">
        <v>26</v>
      </c>
      <c r="K3380" s="1" t="s">
        <v>1309</v>
      </c>
      <c r="L3380" s="1" t="s">
        <v>26</v>
      </c>
      <c r="M3380" s="1" t="s">
        <v>27</v>
      </c>
      <c r="N3380" s="1" t="s">
        <v>26</v>
      </c>
      <c r="O3380" s="1" t="s">
        <v>26</v>
      </c>
      <c r="P3380" s="4">
        <v>44068.79740740741</v>
      </c>
    </row>
    <row r="3381" hidden="1">
      <c r="A3381" s="1" t="s">
        <v>21</v>
      </c>
      <c r="B3381" s="3" t="str">
        <f>HYPERLINK("https://hawk-eye.atlassian.net/browse/HWKREPORT-137?atlOrigin=eyJpIjoiYzgwYTQ0ZjEyNzQzNGJhN2JmNjEyZTM0NmRhZWZhNjIiLCJwIjoic2hlZXRzLWppcmEifQ","HWKREPORT-137")</f>
        <v>HWKREPORT-137</v>
      </c>
      <c r="C3381" s="1" t="s">
        <v>4721</v>
      </c>
      <c r="D3381" s="1" t="s">
        <v>34</v>
      </c>
      <c r="E3381" s="1" t="s">
        <v>35</v>
      </c>
      <c r="F3381" s="4">
        <v>43567.72</v>
      </c>
      <c r="G3381" s="3" t="str">
        <f>HYPERLINK("https://hawk-eye.atlassian.net/browse/RTT-795?atlOrigin=eyJpIjoiYzgwYTQ0ZjEyNzQzNGJhN2JmNjEyZTM0NmRhZWZhNjIiLCJwIjoic2hlZXRzLWppcmEifQ","RTT-795")</f>
        <v>RTT-795</v>
      </c>
      <c r="H3381" s="1" t="s">
        <v>1058</v>
      </c>
      <c r="I3381" s="1" t="s">
        <v>1126</v>
      </c>
      <c r="J3381" s="1" t="s">
        <v>26</v>
      </c>
      <c r="K3381" s="1" t="s">
        <v>1362</v>
      </c>
      <c r="L3381" s="1" t="s">
        <v>26</v>
      </c>
      <c r="M3381" s="1" t="s">
        <v>27</v>
      </c>
      <c r="N3381" s="1" t="s">
        <v>26</v>
      </c>
      <c r="O3381" s="1" t="s">
        <v>26</v>
      </c>
      <c r="P3381" s="4">
        <v>44068.79739583333</v>
      </c>
    </row>
    <row r="3382" hidden="1">
      <c r="A3382" s="1" t="s">
        <v>21</v>
      </c>
      <c r="B3382" s="3" t="str">
        <f>HYPERLINK("https://hawk-eye.atlassian.net/browse/HWKREPORT-138?atlOrigin=eyJpIjoiYzgwYTQ0ZjEyNzQzNGJhN2JmNjEyZTM0NmRhZWZhNjIiLCJwIjoic2hlZXRzLWppcmEifQ","HWKREPORT-138")</f>
        <v>HWKREPORT-138</v>
      </c>
      <c r="C3382" s="1" t="s">
        <v>4722</v>
      </c>
      <c r="D3382" s="1" t="s">
        <v>34</v>
      </c>
      <c r="E3382" s="1" t="s">
        <v>35</v>
      </c>
      <c r="F3382" s="4">
        <v>43569.65149305556</v>
      </c>
      <c r="G3382" s="3" t="str">
        <f>HYPERLINK("https://hawk-eye.atlassian.net/browse/CVR-49?atlOrigin=eyJpIjoiYzgwYTQ0ZjEyNzQzNGJhN2JmNjEyZTM0NmRhZWZhNjIiLCJwIjoic2hlZXRzLWppcmEifQ","CVR-49")</f>
        <v>CVR-49</v>
      </c>
      <c r="H3382" s="1" t="s">
        <v>1058</v>
      </c>
      <c r="I3382" s="1" t="s">
        <v>1082</v>
      </c>
      <c r="J3382" s="1" t="s">
        <v>26</v>
      </c>
      <c r="K3382" s="1" t="s">
        <v>1744</v>
      </c>
      <c r="L3382" s="1" t="s">
        <v>26</v>
      </c>
      <c r="M3382" s="1" t="s">
        <v>27</v>
      </c>
      <c r="N3382" s="1" t="s">
        <v>26</v>
      </c>
      <c r="O3382" s="1" t="s">
        <v>26</v>
      </c>
      <c r="P3382" s="4">
        <v>43613.5997337963</v>
      </c>
    </row>
    <row r="3383" hidden="1">
      <c r="A3383" s="1" t="s">
        <v>21</v>
      </c>
      <c r="B3383" s="3" t="str">
        <f>HYPERLINK("https://hawk-eye.atlassian.net/browse/HWKREPORT-139?atlOrigin=eyJpIjoiYzgwYTQ0ZjEyNzQzNGJhN2JmNjEyZTM0NmRhZWZhNjIiLCJwIjoic2hlZXRzLWppcmEifQ","HWKREPORT-139")</f>
        <v>HWKREPORT-139</v>
      </c>
      <c r="C3383" s="1" t="s">
        <v>4723</v>
      </c>
      <c r="D3383" s="1" t="s">
        <v>23</v>
      </c>
      <c r="E3383" s="1" t="s">
        <v>35</v>
      </c>
      <c r="F3383" s="4">
        <v>43579.47439814815</v>
      </c>
      <c r="G3383" s="3" t="str">
        <f>HYPERLINK("https://hawk-eye.atlassian.net/browse/RTT-816?atlOrigin=eyJpIjoiYzgwYTQ0ZjEyNzQzNGJhN2JmNjEyZTM0NmRhZWZhNjIiLCJwIjoic2hlZXRzLWppcmEifQ","RTT-816")</f>
        <v>RTT-816</v>
      </c>
      <c r="H3383" s="1" t="s">
        <v>1058</v>
      </c>
      <c r="I3383" s="1" t="s">
        <v>1126</v>
      </c>
      <c r="J3383" s="1" t="s">
        <v>26</v>
      </c>
      <c r="K3383" s="1" t="s">
        <v>1312</v>
      </c>
      <c r="L3383" s="1" t="s">
        <v>26</v>
      </c>
      <c r="M3383" s="1" t="s">
        <v>27</v>
      </c>
      <c r="N3383" s="1" t="s">
        <v>26</v>
      </c>
      <c r="O3383" s="1" t="s">
        <v>26</v>
      </c>
      <c r="P3383" s="4">
        <v>44068.79739583333</v>
      </c>
    </row>
    <row r="3384" hidden="1">
      <c r="A3384" s="1" t="s">
        <v>21</v>
      </c>
      <c r="B3384" s="3" t="str">
        <f>HYPERLINK("https://hawk-eye.atlassian.net/browse/HWKREPORT-140?atlOrigin=eyJpIjoiYzgwYTQ0ZjEyNzQzNGJhN2JmNjEyZTM0NmRhZWZhNjIiLCJwIjoic2hlZXRzLWppcmEifQ","HWKREPORT-140")</f>
        <v>HWKREPORT-140</v>
      </c>
      <c r="C3384" s="1" t="s">
        <v>4724</v>
      </c>
      <c r="D3384" s="1" t="s">
        <v>23</v>
      </c>
      <c r="E3384" s="1" t="s">
        <v>35</v>
      </c>
      <c r="F3384" s="4">
        <v>43581.61486111111</v>
      </c>
      <c r="G3384" s="3" t="str">
        <f>HYPERLINK("https://hawk-eye.atlassian.net/browse/CHAT-30?atlOrigin=eyJpIjoiYzgwYTQ0ZjEyNzQzNGJhN2JmNjEyZTM0NmRhZWZhNjIiLCJwIjoic2hlZXRzLWppcmEifQ","CHAT-30")</f>
        <v>CHAT-30</v>
      </c>
      <c r="H3384" s="1" t="s">
        <v>1058</v>
      </c>
      <c r="I3384" s="1" t="s">
        <v>1126</v>
      </c>
      <c r="J3384" s="1" t="s">
        <v>26</v>
      </c>
      <c r="K3384" s="1" t="s">
        <v>1427</v>
      </c>
      <c r="L3384" s="1" t="s">
        <v>26</v>
      </c>
      <c r="M3384" s="1" t="s">
        <v>27</v>
      </c>
      <c r="N3384" s="1" t="s">
        <v>26</v>
      </c>
      <c r="O3384" s="1" t="s">
        <v>26</v>
      </c>
      <c r="P3384" s="4">
        <v>43656.77857638889</v>
      </c>
    </row>
    <row r="3385" hidden="1">
      <c r="A3385" s="1" t="s">
        <v>21</v>
      </c>
      <c r="B3385" s="3" t="str">
        <f>HYPERLINK("https://hawk-eye.atlassian.net/browse/HWKREPORT-141?atlOrigin=eyJpIjoiYzgwYTQ0ZjEyNzQzNGJhN2JmNjEyZTM0NmRhZWZhNjIiLCJwIjoic2hlZXRzLWppcmEifQ","HWKREPORT-141")</f>
        <v>HWKREPORT-141</v>
      </c>
      <c r="C3385" s="1" t="s">
        <v>4725</v>
      </c>
      <c r="D3385" s="1" t="s">
        <v>40</v>
      </c>
      <c r="E3385" s="1" t="s">
        <v>35</v>
      </c>
      <c r="F3385" s="4">
        <v>43584.73979166667</v>
      </c>
      <c r="G3385" s="3" t="str">
        <f>HYPERLINK("https://hawk-eye.atlassian.net/browse/RTT-840?atlOrigin=eyJpIjoiYzgwYTQ0ZjEyNzQzNGJhN2JmNjEyZTM0NmRhZWZhNjIiLCJwIjoic2hlZXRzLWppcmEifQ","RTT-840")</f>
        <v>RTT-840</v>
      </c>
      <c r="H3385" s="1" t="s">
        <v>1058</v>
      </c>
      <c r="I3385" s="1" t="s">
        <v>1126</v>
      </c>
      <c r="J3385" s="1" t="s">
        <v>26</v>
      </c>
      <c r="K3385" s="1" t="s">
        <v>1312</v>
      </c>
      <c r="L3385" s="1" t="s">
        <v>26</v>
      </c>
      <c r="M3385" s="1" t="s">
        <v>27</v>
      </c>
      <c r="N3385" s="1" t="s">
        <v>26</v>
      </c>
      <c r="O3385" s="1" t="s">
        <v>26</v>
      </c>
      <c r="P3385" s="4">
        <v>44068.79746527778</v>
      </c>
    </row>
    <row r="3386" hidden="1">
      <c r="A3386" s="1" t="s">
        <v>21</v>
      </c>
      <c r="B3386" s="3" t="str">
        <f>HYPERLINK("https://hawk-eye.atlassian.net/browse/HWKREPORT-142?atlOrigin=eyJpIjoiYzgwYTQ0ZjEyNzQzNGJhN2JmNjEyZTM0NmRhZWZhNjIiLCJwIjoic2hlZXRzLWppcmEifQ","HWKREPORT-142")</f>
        <v>HWKREPORT-142</v>
      </c>
      <c r="C3386" s="1" t="s">
        <v>4726</v>
      </c>
      <c r="D3386" s="1" t="s">
        <v>34</v>
      </c>
      <c r="E3386" s="1" t="s">
        <v>35</v>
      </c>
      <c r="F3386" s="4">
        <v>43587.58726851852</v>
      </c>
      <c r="G3386" s="3" t="str">
        <f>HYPERLINK("https://hawk-eye.atlassian.net/browse/RTT-858?atlOrigin=eyJpIjoiYzgwYTQ0ZjEyNzQzNGJhN2JmNjEyZTM0NmRhZWZhNjIiLCJwIjoic2hlZXRzLWppcmEifQ","RTT-858")</f>
        <v>RTT-858</v>
      </c>
      <c r="H3386" s="1" t="s">
        <v>1058</v>
      </c>
      <c r="I3386" s="1" t="s">
        <v>1502</v>
      </c>
      <c r="J3386" s="1" t="s">
        <v>26</v>
      </c>
      <c r="K3386" s="1" t="s">
        <v>1362</v>
      </c>
      <c r="L3386" s="1" t="s">
        <v>26</v>
      </c>
      <c r="M3386" s="1" t="s">
        <v>27</v>
      </c>
      <c r="N3386" s="1" t="s">
        <v>26</v>
      </c>
      <c r="O3386" s="1" t="s">
        <v>26</v>
      </c>
      <c r="P3386" s="4">
        <v>44068.79740740741</v>
      </c>
    </row>
    <row r="3387" hidden="1">
      <c r="A3387" s="1" t="s">
        <v>1055</v>
      </c>
      <c r="B3387" s="3" t="str">
        <f>HYPERLINK("https://hawk-eye.atlassian.net/browse/HWKREPORT-143?atlOrigin=eyJpIjoiYzgwYTQ0ZjEyNzQzNGJhN2JmNjEyZTM0NmRhZWZhNjIiLCJwIjoic2hlZXRzLWppcmEifQ","HWKREPORT-143")</f>
        <v>HWKREPORT-143</v>
      </c>
      <c r="C3387" s="1" t="s">
        <v>4727</v>
      </c>
      <c r="D3387" s="1" t="s">
        <v>23</v>
      </c>
      <c r="E3387" s="1" t="s">
        <v>35</v>
      </c>
      <c r="F3387" s="4">
        <v>43588.4346875</v>
      </c>
      <c r="G3387" s="3" t="str">
        <f>HYPERLINK("https://hawk-eye.atlassian.net/browse/CDS-114?atlOrigin=eyJpIjoiYzgwYTQ0ZjEyNzQzNGJhN2JmNjEyZTM0NmRhZWZhNjIiLCJwIjoic2hlZXRzLWppcmEifQ","CDS-114")</f>
        <v>CDS-114</v>
      </c>
      <c r="H3387" s="1" t="s">
        <v>1058</v>
      </c>
      <c r="I3387" s="1" t="s">
        <v>1104</v>
      </c>
      <c r="J3387" s="1" t="s">
        <v>26</v>
      </c>
      <c r="K3387" s="1" t="s">
        <v>4728</v>
      </c>
      <c r="L3387" s="1" t="s">
        <v>26</v>
      </c>
      <c r="M3387" s="1" t="s">
        <v>27</v>
      </c>
      <c r="N3387" s="1" t="s">
        <v>26</v>
      </c>
      <c r="O3387" s="1" t="s">
        <v>26</v>
      </c>
      <c r="P3387" s="4">
        <v>43804.63010416667</v>
      </c>
    </row>
    <row r="3388" hidden="1">
      <c r="A3388" s="1" t="s">
        <v>1055</v>
      </c>
      <c r="B3388" s="3" t="str">
        <f>HYPERLINK("https://hawk-eye.atlassian.net/browse/HWKREPORT-144?atlOrigin=eyJpIjoiYzgwYTQ0ZjEyNzQzNGJhN2JmNjEyZTM0NmRhZWZhNjIiLCJwIjoic2hlZXRzLWppcmEifQ","HWKREPORT-144")</f>
        <v>HWKREPORT-144</v>
      </c>
      <c r="C3388" s="1" t="s">
        <v>4729</v>
      </c>
      <c r="D3388" s="1" t="s">
        <v>23</v>
      </c>
      <c r="E3388" s="1" t="s">
        <v>35</v>
      </c>
      <c r="F3388" s="4">
        <v>43588.73568287037</v>
      </c>
      <c r="G3388" s="3" t="str">
        <f>HYPERLINK("https://hawk-eye.atlassian.net/browse/TVR-48?atlOrigin=eyJpIjoiYzgwYTQ0ZjEyNzQzNGJhN2JmNjEyZTM0NmRhZWZhNjIiLCJwIjoic2hlZXRzLWppcmEifQ","TVR-48")</f>
        <v>TVR-48</v>
      </c>
      <c r="H3388" s="1" t="s">
        <v>1058</v>
      </c>
      <c r="I3388" s="1" t="s">
        <v>1126</v>
      </c>
      <c r="J3388" s="1" t="s">
        <v>26</v>
      </c>
      <c r="K3388" s="1" t="s">
        <v>1573</v>
      </c>
      <c r="L3388" s="1" t="s">
        <v>26</v>
      </c>
      <c r="M3388" s="1" t="s">
        <v>27</v>
      </c>
      <c r="N3388" s="1" t="s">
        <v>26</v>
      </c>
      <c r="O3388" s="1" t="s">
        <v>26</v>
      </c>
      <c r="P3388" s="4">
        <v>43609.38731481481</v>
      </c>
    </row>
    <row r="3389" hidden="1">
      <c r="A3389" s="1" t="s">
        <v>21</v>
      </c>
      <c r="B3389" s="3" t="str">
        <f>HYPERLINK("https://hawk-eye.atlassian.net/browse/HWKREPORT-145?atlOrigin=eyJpIjoiYzgwYTQ0ZjEyNzQzNGJhN2JmNjEyZTM0NmRhZWZhNjIiLCJwIjoic2hlZXRzLWppcmEifQ","HWKREPORT-145")</f>
        <v>HWKREPORT-145</v>
      </c>
      <c r="C3389" s="1" t="s">
        <v>4730</v>
      </c>
      <c r="D3389" s="1" t="s">
        <v>23</v>
      </c>
      <c r="E3389" s="1" t="s">
        <v>35</v>
      </c>
      <c r="F3389" s="4">
        <v>43592.76372685185</v>
      </c>
      <c r="G3389" s="3" t="str">
        <f>HYPERLINK("https://hawk-eye.atlassian.net/browse/TVR-50?atlOrigin=eyJpIjoiYzgwYTQ0ZjEyNzQzNGJhN2JmNjEyZTM0NmRhZWZhNjIiLCJwIjoic2hlZXRzLWppcmEifQ","TVR-50")</f>
        <v>TVR-50</v>
      </c>
      <c r="H3389" s="1" t="s">
        <v>1058</v>
      </c>
      <c r="I3389" s="1" t="s">
        <v>1126</v>
      </c>
      <c r="J3389" s="1" t="s">
        <v>26</v>
      </c>
      <c r="K3389" s="1" t="s">
        <v>1573</v>
      </c>
      <c r="L3389" s="1" t="s">
        <v>26</v>
      </c>
      <c r="M3389" s="1" t="s">
        <v>27</v>
      </c>
      <c r="N3389" s="1" t="s">
        <v>26</v>
      </c>
      <c r="O3389" s="1" t="s">
        <v>26</v>
      </c>
      <c r="P3389" s="4">
        <v>43602.42203703704</v>
      </c>
    </row>
    <row r="3390" hidden="1">
      <c r="A3390" s="1" t="s">
        <v>21</v>
      </c>
      <c r="B3390" s="3" t="str">
        <f>HYPERLINK("https://hawk-eye.atlassian.net/browse/HWKREPORT-146?atlOrigin=eyJpIjoiYzgwYTQ0ZjEyNzQzNGJhN2JmNjEyZTM0NmRhZWZhNjIiLCJwIjoic2hlZXRzLWppcmEifQ","HWKREPORT-146")</f>
        <v>HWKREPORT-146</v>
      </c>
      <c r="C3390" s="1" t="s">
        <v>4731</v>
      </c>
      <c r="D3390" s="1" t="s">
        <v>83</v>
      </c>
      <c r="E3390" s="1" t="s">
        <v>35</v>
      </c>
      <c r="F3390" s="4">
        <v>43595.51997685185</v>
      </c>
      <c r="G3390" s="3" t="str">
        <f>HYPERLINK("https://hawk-eye.atlassian.net/browse/TDS-979?atlOrigin=eyJpIjoiYzgwYTQ0ZjEyNzQzNGJhN2JmNjEyZTM0NmRhZWZhNjIiLCJwIjoic2hlZXRzLWppcmEifQ","TDS-979")</f>
        <v>TDS-979</v>
      </c>
      <c r="H3390" s="1" t="s">
        <v>1058</v>
      </c>
      <c r="I3390" s="1" t="s">
        <v>1126</v>
      </c>
      <c r="J3390" s="1" t="s">
        <v>26</v>
      </c>
      <c r="K3390" s="1" t="s">
        <v>4424</v>
      </c>
      <c r="L3390" s="1" t="s">
        <v>26</v>
      </c>
      <c r="M3390" s="1" t="s">
        <v>27</v>
      </c>
      <c r="N3390" s="1" t="s">
        <v>26</v>
      </c>
      <c r="O3390" s="1" t="s">
        <v>26</v>
      </c>
      <c r="P3390" s="4">
        <v>43606.52172453704</v>
      </c>
    </row>
    <row r="3391" hidden="1">
      <c r="A3391" s="1" t="s">
        <v>1055</v>
      </c>
      <c r="B3391" s="3" t="str">
        <f>HYPERLINK("https://hawk-eye.atlassian.net/browse/HWKREPORT-147?atlOrigin=eyJpIjoiYzgwYTQ0ZjEyNzQzNGJhN2JmNjEyZTM0NmRhZWZhNjIiLCJwIjoic2hlZXRzLWppcmEifQ","HWKREPORT-147")</f>
        <v>HWKREPORT-147</v>
      </c>
      <c r="C3391" s="1" t="s">
        <v>4732</v>
      </c>
      <c r="D3391" s="1" t="s">
        <v>23</v>
      </c>
      <c r="E3391" s="1" t="s">
        <v>35</v>
      </c>
      <c r="F3391" s="4">
        <v>43599.55664351852</v>
      </c>
      <c r="G3391" s="3" t="str">
        <f>HYPERLINK("https://hawk-eye.atlassian.net/browse/RTT-898?atlOrigin=eyJpIjoiYzgwYTQ0ZjEyNzQzNGJhN2JmNjEyZTM0NmRhZWZhNjIiLCJwIjoic2hlZXRzLWppcmEifQ","RTT-898")</f>
        <v>RTT-898</v>
      </c>
      <c r="H3391" s="1" t="s">
        <v>1058</v>
      </c>
      <c r="I3391" s="1" t="s">
        <v>1502</v>
      </c>
      <c r="J3391" s="1" t="s">
        <v>26</v>
      </c>
      <c r="K3391" s="1" t="s">
        <v>1312</v>
      </c>
      <c r="L3391" s="1" t="s">
        <v>26</v>
      </c>
      <c r="M3391" s="1" t="s">
        <v>27</v>
      </c>
      <c r="N3391" s="1" t="s">
        <v>26</v>
      </c>
      <c r="O3391" s="1" t="s">
        <v>26</v>
      </c>
      <c r="P3391" s="4">
        <v>44068.79730324074</v>
      </c>
    </row>
    <row r="3392" hidden="1">
      <c r="A3392" s="1" t="s">
        <v>21</v>
      </c>
      <c r="B3392" s="3" t="str">
        <f>HYPERLINK("https://hawk-eye.atlassian.net/browse/HWKREPORT-148?atlOrigin=eyJpIjoiYzgwYTQ0ZjEyNzQzNGJhN2JmNjEyZTM0NmRhZWZhNjIiLCJwIjoic2hlZXRzLWppcmEifQ","HWKREPORT-148")</f>
        <v>HWKREPORT-148</v>
      </c>
      <c r="C3392" s="1" t="s">
        <v>4733</v>
      </c>
      <c r="D3392" s="1" t="s">
        <v>34</v>
      </c>
      <c r="E3392" s="1" t="s">
        <v>35</v>
      </c>
      <c r="F3392" s="4">
        <v>43601.389236111114</v>
      </c>
      <c r="G3392" s="3" t="str">
        <f>HYPERLINK("https://hawk-eye.atlassian.net/browse/RTT-907?atlOrigin=eyJpIjoiYzgwYTQ0ZjEyNzQzNGJhN2JmNjEyZTM0NmRhZWZhNjIiLCJwIjoic2hlZXRzLWppcmEifQ","RTT-907")</f>
        <v>RTT-907</v>
      </c>
      <c r="H3392" s="1" t="s">
        <v>1058</v>
      </c>
      <c r="I3392" s="1" t="s">
        <v>1126</v>
      </c>
      <c r="J3392" s="1" t="s">
        <v>26</v>
      </c>
      <c r="K3392" s="1" t="s">
        <v>1362</v>
      </c>
      <c r="L3392" s="1" t="s">
        <v>26</v>
      </c>
      <c r="M3392" s="1" t="s">
        <v>27</v>
      </c>
      <c r="N3392" s="1" t="s">
        <v>26</v>
      </c>
      <c r="O3392" s="1" t="s">
        <v>26</v>
      </c>
      <c r="P3392" s="4">
        <v>44068.797430555554</v>
      </c>
    </row>
    <row r="3393" hidden="1">
      <c r="A3393" s="1" t="s">
        <v>21</v>
      </c>
      <c r="B3393" s="3" t="str">
        <f>HYPERLINK("https://hawk-eye.atlassian.net/browse/HWKREPORT-149?atlOrigin=eyJpIjoiYzgwYTQ0ZjEyNzQzNGJhN2JmNjEyZTM0NmRhZWZhNjIiLCJwIjoic2hlZXRzLWppcmEifQ","HWKREPORT-149")</f>
        <v>HWKREPORT-149</v>
      </c>
      <c r="C3393" s="1" t="s">
        <v>4734</v>
      </c>
      <c r="D3393" s="1" t="s">
        <v>23</v>
      </c>
      <c r="E3393" s="1" t="s">
        <v>35</v>
      </c>
      <c r="F3393" s="4">
        <v>43607.497615740744</v>
      </c>
      <c r="G3393" s="3" t="str">
        <f>HYPERLINK("https://hawk-eye.atlassian.net/browse/RTT-927?atlOrigin=eyJpIjoiYzgwYTQ0ZjEyNzQzNGJhN2JmNjEyZTM0NmRhZWZhNjIiLCJwIjoic2hlZXRzLWppcmEifQ","RTT-927")</f>
        <v>RTT-927</v>
      </c>
      <c r="H3393" s="1" t="s">
        <v>1058</v>
      </c>
      <c r="I3393" s="1" t="s">
        <v>1126</v>
      </c>
      <c r="J3393" s="1" t="s">
        <v>26</v>
      </c>
      <c r="K3393" s="1" t="s">
        <v>1312</v>
      </c>
      <c r="L3393" s="1" t="s">
        <v>26</v>
      </c>
      <c r="M3393" s="1" t="s">
        <v>27</v>
      </c>
      <c r="N3393" s="1" t="s">
        <v>26</v>
      </c>
      <c r="O3393" s="1" t="s">
        <v>26</v>
      </c>
      <c r="P3393" s="4">
        <v>44068.79756944445</v>
      </c>
    </row>
    <row r="3394" hidden="1">
      <c r="A3394" s="1" t="s">
        <v>1055</v>
      </c>
      <c r="B3394" s="3" t="str">
        <f>HYPERLINK("https://hawk-eye.atlassian.net/browse/HWKREPORT-150?atlOrigin=eyJpIjoiYzgwYTQ0ZjEyNzQzNGJhN2JmNjEyZTM0NmRhZWZhNjIiLCJwIjoic2hlZXRzLWppcmEifQ","HWKREPORT-150")</f>
        <v>HWKREPORT-150</v>
      </c>
      <c r="C3394" s="1" t="s">
        <v>4735</v>
      </c>
      <c r="D3394" s="1" t="s">
        <v>23</v>
      </c>
      <c r="E3394" s="1" t="s">
        <v>35</v>
      </c>
      <c r="F3394" s="4">
        <v>43607.601331018515</v>
      </c>
      <c r="G3394" s="3" t="str">
        <f>HYPERLINK("https://hawk-eye.atlassian.net/browse/RTT-932?atlOrigin=eyJpIjoiYzgwYTQ0ZjEyNzQzNGJhN2JmNjEyZTM0NmRhZWZhNjIiLCJwIjoic2hlZXRzLWppcmEifQ","RTT-932")</f>
        <v>RTT-932</v>
      </c>
      <c r="H3394" s="1" t="s">
        <v>1058</v>
      </c>
      <c r="I3394" s="1" t="s">
        <v>1071</v>
      </c>
      <c r="J3394" s="1" t="s">
        <v>26</v>
      </c>
      <c r="K3394" s="1" t="s">
        <v>1309</v>
      </c>
      <c r="L3394" s="1" t="s">
        <v>26</v>
      </c>
      <c r="M3394" s="1" t="s">
        <v>27</v>
      </c>
      <c r="N3394" s="1" t="s">
        <v>26</v>
      </c>
      <c r="O3394" s="1" t="s">
        <v>26</v>
      </c>
      <c r="P3394" s="4">
        <v>44068.79755787037</v>
      </c>
    </row>
    <row r="3395" hidden="1">
      <c r="A3395" s="1" t="s">
        <v>1055</v>
      </c>
      <c r="B3395" s="3" t="str">
        <f>HYPERLINK("https://hawk-eye.atlassian.net/browse/HWKREPORT-151?atlOrigin=eyJpIjoiYzgwYTQ0ZjEyNzQzNGJhN2JmNjEyZTM0NmRhZWZhNjIiLCJwIjoic2hlZXRzLWppcmEifQ","HWKREPORT-151")</f>
        <v>HWKREPORT-151</v>
      </c>
      <c r="C3395" s="1" t="s">
        <v>4736</v>
      </c>
      <c r="D3395" s="1" t="s">
        <v>23</v>
      </c>
      <c r="E3395" s="1" t="s">
        <v>35</v>
      </c>
      <c r="F3395" s="4">
        <v>43607.61502314815</v>
      </c>
      <c r="G3395" s="3" t="str">
        <f>HYPERLINK("https://hawk-eye.atlassian.net/browse/RTT-933?atlOrigin=eyJpIjoiYzgwYTQ0ZjEyNzQzNGJhN2JmNjEyZTM0NmRhZWZhNjIiLCJwIjoic2hlZXRzLWppcmEifQ","RTT-933")</f>
        <v>RTT-933</v>
      </c>
      <c r="H3395" s="1" t="s">
        <v>1058</v>
      </c>
      <c r="I3395" s="1" t="s">
        <v>1071</v>
      </c>
      <c r="J3395" s="1" t="s">
        <v>26</v>
      </c>
      <c r="K3395" s="1" t="s">
        <v>1309</v>
      </c>
      <c r="L3395" s="1" t="s">
        <v>26</v>
      </c>
      <c r="M3395" s="1" t="s">
        <v>27</v>
      </c>
      <c r="N3395" s="1" t="s">
        <v>26</v>
      </c>
      <c r="O3395" s="1" t="s">
        <v>26</v>
      </c>
      <c r="P3395" s="4">
        <v>44068.79756944445</v>
      </c>
    </row>
    <row r="3396" hidden="1">
      <c r="A3396" s="1" t="s">
        <v>1055</v>
      </c>
      <c r="B3396" s="3" t="str">
        <f>HYPERLINK("https://hawk-eye.atlassian.net/browse/HWKREPORT-152?atlOrigin=eyJpIjoiYzgwYTQ0ZjEyNzQzNGJhN2JmNjEyZTM0NmRhZWZhNjIiLCJwIjoic2hlZXRzLWppcmEifQ","HWKREPORT-152")</f>
        <v>HWKREPORT-152</v>
      </c>
      <c r="C3396" s="1" t="s">
        <v>4737</v>
      </c>
      <c r="D3396" s="1" t="s">
        <v>23</v>
      </c>
      <c r="E3396" s="1" t="s">
        <v>35</v>
      </c>
      <c r="F3396" s="4">
        <v>43607.62069444444</v>
      </c>
      <c r="G3396" s="3" t="str">
        <f>HYPERLINK("https://hawk-eye.atlassian.net/browse/RTT-930?atlOrigin=eyJpIjoiYzgwYTQ0ZjEyNzQzNGJhN2JmNjEyZTM0NmRhZWZhNjIiLCJwIjoic2hlZXRzLWppcmEifQ","RTT-930")</f>
        <v>RTT-930</v>
      </c>
      <c r="H3396" s="1" t="s">
        <v>1058</v>
      </c>
      <c r="I3396" s="1" t="s">
        <v>1071</v>
      </c>
      <c r="J3396" s="1" t="s">
        <v>26</v>
      </c>
      <c r="K3396" s="1" t="s">
        <v>1309</v>
      </c>
      <c r="L3396" s="1" t="s">
        <v>26</v>
      </c>
      <c r="M3396" s="1" t="s">
        <v>27</v>
      </c>
      <c r="N3396" s="1" t="s">
        <v>26</v>
      </c>
      <c r="O3396" s="1" t="s">
        <v>26</v>
      </c>
      <c r="P3396" s="4">
        <v>44068.79755787037</v>
      </c>
    </row>
    <row r="3397" hidden="1">
      <c r="A3397" s="1" t="s">
        <v>1055</v>
      </c>
      <c r="B3397" s="3" t="str">
        <f>HYPERLINK("https://hawk-eye.atlassian.net/browse/HWKREPORT-153?atlOrigin=eyJpIjoiYzgwYTQ0ZjEyNzQzNGJhN2JmNjEyZTM0NmRhZWZhNjIiLCJwIjoic2hlZXRzLWppcmEifQ","HWKREPORT-153")</f>
        <v>HWKREPORT-153</v>
      </c>
      <c r="C3397" s="1" t="s">
        <v>4738</v>
      </c>
      <c r="D3397" s="1" t="s">
        <v>23</v>
      </c>
      <c r="E3397" s="1" t="s">
        <v>35</v>
      </c>
      <c r="F3397" s="4">
        <v>43613.687997685185</v>
      </c>
      <c r="G3397" s="3" t="str">
        <f>HYPERLINK("https://hawk-eye.atlassian.net/browse/RTT-948?atlOrigin=eyJpIjoiYzgwYTQ0ZjEyNzQzNGJhN2JmNjEyZTM0NmRhZWZhNjIiLCJwIjoic2hlZXRzLWppcmEifQ","RTT-948")</f>
        <v>RTT-948</v>
      </c>
      <c r="H3397" s="1" t="s">
        <v>1058</v>
      </c>
      <c r="I3397" s="1" t="s">
        <v>1071</v>
      </c>
      <c r="J3397" s="1" t="s">
        <v>26</v>
      </c>
      <c r="K3397" s="1" t="s">
        <v>1545</v>
      </c>
      <c r="L3397" s="1" t="s">
        <v>26</v>
      </c>
      <c r="M3397" s="1" t="s">
        <v>27</v>
      </c>
      <c r="N3397" s="1" t="s">
        <v>26</v>
      </c>
      <c r="O3397" s="1" t="s">
        <v>26</v>
      </c>
      <c r="P3397" s="4">
        <v>44068.797534722224</v>
      </c>
    </row>
    <row r="3398" hidden="1">
      <c r="A3398" s="1" t="s">
        <v>1055</v>
      </c>
      <c r="B3398" s="3" t="str">
        <f>HYPERLINK("https://hawk-eye.atlassian.net/browse/HWKREPORT-154?atlOrigin=eyJpIjoiYzgwYTQ0ZjEyNzQzNGJhN2JmNjEyZTM0NmRhZWZhNjIiLCJwIjoic2hlZXRzLWppcmEifQ","HWKREPORT-154")</f>
        <v>HWKREPORT-154</v>
      </c>
      <c r="C3398" s="1" t="s">
        <v>4739</v>
      </c>
      <c r="D3398" s="1" t="s">
        <v>23</v>
      </c>
      <c r="E3398" s="1" t="s">
        <v>35</v>
      </c>
      <c r="F3398" s="4">
        <v>43613.69405092593</v>
      </c>
      <c r="G3398" s="3" t="str">
        <f>HYPERLINK("https://hawk-eye.atlassian.net/browse/RTT-952?atlOrigin=eyJpIjoiYzgwYTQ0ZjEyNzQzNGJhN2JmNjEyZTM0NmRhZWZhNjIiLCJwIjoic2hlZXRzLWppcmEifQ","RTT-952")</f>
        <v>RTT-952</v>
      </c>
      <c r="H3398" s="1" t="s">
        <v>1058</v>
      </c>
      <c r="I3398" s="1" t="s">
        <v>1071</v>
      </c>
      <c r="J3398" s="1" t="s">
        <v>26</v>
      </c>
      <c r="K3398" s="1" t="s">
        <v>1545</v>
      </c>
      <c r="L3398" s="1" t="s">
        <v>26</v>
      </c>
      <c r="M3398" s="1" t="s">
        <v>27</v>
      </c>
      <c r="N3398" s="1" t="s">
        <v>26</v>
      </c>
      <c r="O3398" s="1" t="s">
        <v>26</v>
      </c>
      <c r="P3398" s="4">
        <v>43920.644270833334</v>
      </c>
    </row>
    <row r="3399" hidden="1">
      <c r="A3399" s="1" t="s">
        <v>1055</v>
      </c>
      <c r="B3399" s="3" t="str">
        <f>HYPERLINK("https://hawk-eye.atlassian.net/browse/HWKREPORT-155?atlOrigin=eyJpIjoiYzgwYTQ0ZjEyNzQzNGJhN2JmNjEyZTM0NmRhZWZhNjIiLCJwIjoic2hlZXRzLWppcmEifQ","HWKREPORT-155")</f>
        <v>HWKREPORT-155</v>
      </c>
      <c r="C3399" s="1" t="s">
        <v>4740</v>
      </c>
      <c r="D3399" s="1" t="s">
        <v>23</v>
      </c>
      <c r="E3399" s="1" t="s">
        <v>35</v>
      </c>
      <c r="F3399" s="4">
        <v>43613.6950462963</v>
      </c>
      <c r="G3399" s="3" t="str">
        <f>HYPERLINK("https://hawk-eye.atlassian.net/browse/RTT-951?atlOrigin=eyJpIjoiYzgwYTQ0ZjEyNzQzNGJhN2JmNjEyZTM0NmRhZWZhNjIiLCJwIjoic2hlZXRzLWppcmEifQ","RTT-951")</f>
        <v>RTT-951</v>
      </c>
      <c r="H3399" s="1" t="s">
        <v>1058</v>
      </c>
      <c r="I3399" s="1" t="s">
        <v>1071</v>
      </c>
      <c r="J3399" s="1" t="s">
        <v>26</v>
      </c>
      <c r="K3399" s="1" t="s">
        <v>1545</v>
      </c>
      <c r="L3399" s="1" t="s">
        <v>26</v>
      </c>
      <c r="M3399" s="1" t="s">
        <v>27</v>
      </c>
      <c r="N3399" s="1" t="s">
        <v>26</v>
      </c>
      <c r="O3399" s="1" t="s">
        <v>26</v>
      </c>
      <c r="P3399" s="4">
        <v>44068.797534722224</v>
      </c>
    </row>
    <row r="3400" hidden="1">
      <c r="A3400" s="1" t="s">
        <v>1055</v>
      </c>
      <c r="B3400" s="3" t="str">
        <f>HYPERLINK("https://hawk-eye.atlassian.net/browse/HWKREPORT-156?atlOrigin=eyJpIjoiYzgwYTQ0ZjEyNzQzNGJhN2JmNjEyZTM0NmRhZWZhNjIiLCJwIjoic2hlZXRzLWppcmEifQ","HWKREPORT-156")</f>
        <v>HWKREPORT-156</v>
      </c>
      <c r="C3400" s="1" t="s">
        <v>4741</v>
      </c>
      <c r="D3400" s="1" t="s">
        <v>23</v>
      </c>
      <c r="E3400" s="1" t="s">
        <v>35</v>
      </c>
      <c r="F3400" s="4">
        <v>43613.69829861111</v>
      </c>
      <c r="G3400" s="3" t="str">
        <f t="shared" ref="G3400:G3404" si="233">HYPERLINK("https://hawk-eye.atlassian.net/browse/?atlOrigin=eyJpIjoiYzgwYTQ0ZjEyNzQzNGJhN2JmNjEyZTM0NmRhZWZhNjIiLCJwIjoic2hlZXRzLWppcmEifQ","")</f>
        <v/>
      </c>
      <c r="H3400" s="1" t="s">
        <v>1058</v>
      </c>
      <c r="I3400" s="1" t="s">
        <v>1071</v>
      </c>
      <c r="J3400" s="1" t="s">
        <v>26</v>
      </c>
      <c r="K3400" s="1" t="s">
        <v>26</v>
      </c>
      <c r="L3400" s="1" t="s">
        <v>26</v>
      </c>
      <c r="M3400" s="1" t="s">
        <v>27</v>
      </c>
      <c r="N3400" s="1" t="s">
        <v>26</v>
      </c>
      <c r="O3400" s="1" t="s">
        <v>26</v>
      </c>
      <c r="P3400" s="4">
        <v>43672.638402777775</v>
      </c>
    </row>
    <row r="3401" hidden="1">
      <c r="A3401" s="1" t="s">
        <v>1055</v>
      </c>
      <c r="B3401" s="3" t="str">
        <f>HYPERLINK("https://hawk-eye.atlassian.net/browse/HWKREPORT-157?atlOrigin=eyJpIjoiYzgwYTQ0ZjEyNzQzNGJhN2JmNjEyZTM0NmRhZWZhNjIiLCJwIjoic2hlZXRzLWppcmEifQ","HWKREPORT-157")</f>
        <v>HWKREPORT-157</v>
      </c>
      <c r="C3401" s="1" t="s">
        <v>4742</v>
      </c>
      <c r="D3401" s="1" t="s">
        <v>23</v>
      </c>
      <c r="E3401" s="1" t="s">
        <v>35</v>
      </c>
      <c r="F3401" s="4">
        <v>43613.69908564815</v>
      </c>
      <c r="G3401" s="3" t="str">
        <f t="shared" si="233"/>
        <v/>
      </c>
      <c r="H3401" s="1" t="s">
        <v>1058</v>
      </c>
      <c r="I3401" s="1" t="s">
        <v>1071</v>
      </c>
      <c r="J3401" s="1" t="s">
        <v>26</v>
      </c>
      <c r="K3401" s="1" t="s">
        <v>26</v>
      </c>
      <c r="L3401" s="1" t="s">
        <v>26</v>
      </c>
      <c r="M3401" s="1" t="s">
        <v>27</v>
      </c>
      <c r="N3401" s="1" t="s">
        <v>26</v>
      </c>
      <c r="O3401" s="1" t="s">
        <v>26</v>
      </c>
      <c r="P3401" s="4">
        <v>43672.63862268518</v>
      </c>
    </row>
    <row r="3402" hidden="1">
      <c r="A3402" s="1" t="s">
        <v>4743</v>
      </c>
      <c r="B3402" s="3" t="str">
        <f>HYPERLINK("https://hawk-eye.atlassian.net/browse/HWKREPORT-1?atlOrigin=eyJpIjoiYzgwYTQ0ZjEyNzQzNGJhN2JmNjEyZTM0NmRhZWZhNjIiLCJwIjoic2hlZXRzLWppcmEifQ","HWKREPORT-1")</f>
        <v>HWKREPORT-1</v>
      </c>
      <c r="C3402" s="1" t="s">
        <v>4744</v>
      </c>
      <c r="D3402" s="1" t="s">
        <v>40</v>
      </c>
      <c r="E3402" s="1" t="s">
        <v>4745</v>
      </c>
      <c r="F3402" s="4">
        <v>43351.516238425924</v>
      </c>
      <c r="G3402" s="3" t="str">
        <f t="shared" si="233"/>
        <v/>
      </c>
      <c r="H3402" s="1" t="s">
        <v>1058</v>
      </c>
      <c r="I3402" s="1" t="s">
        <v>26</v>
      </c>
      <c r="J3402" s="1" t="s">
        <v>26</v>
      </c>
      <c r="K3402" s="1" t="s">
        <v>26</v>
      </c>
      <c r="L3402" s="1" t="s">
        <v>26</v>
      </c>
      <c r="M3402" s="1" t="s">
        <v>27</v>
      </c>
      <c r="N3402" s="1" t="s">
        <v>26</v>
      </c>
      <c r="O3402" s="1" t="s">
        <v>26</v>
      </c>
      <c r="P3402" s="4">
        <v>43376.38710648148</v>
      </c>
    </row>
    <row r="3403" hidden="1">
      <c r="A3403" s="1" t="s">
        <v>4743</v>
      </c>
      <c r="B3403" s="3" t="str">
        <f>HYPERLINK("https://hawk-eye.atlassian.net/browse/HWKREPORT-2?atlOrigin=eyJpIjoiYzgwYTQ0ZjEyNzQzNGJhN2JmNjEyZTM0NmRhZWZhNjIiLCJwIjoic2hlZXRzLWppcmEifQ","HWKREPORT-2")</f>
        <v>HWKREPORT-2</v>
      </c>
      <c r="C3403" s="1" t="s">
        <v>4746</v>
      </c>
      <c r="D3403" s="1" t="s">
        <v>40</v>
      </c>
      <c r="E3403" s="1" t="s">
        <v>4745</v>
      </c>
      <c r="F3403" s="4">
        <v>43351.516238425924</v>
      </c>
      <c r="G3403" s="3" t="str">
        <f t="shared" si="233"/>
        <v/>
      </c>
      <c r="H3403" s="1" t="s">
        <v>1058</v>
      </c>
      <c r="I3403" s="1" t="s">
        <v>26</v>
      </c>
      <c r="J3403" s="1" t="s">
        <v>26</v>
      </c>
      <c r="K3403" s="1" t="s">
        <v>26</v>
      </c>
      <c r="L3403" s="1" t="s">
        <v>26</v>
      </c>
      <c r="M3403" s="1" t="s">
        <v>27</v>
      </c>
      <c r="N3403" s="1" t="s">
        <v>26</v>
      </c>
      <c r="O3403" s="1" t="s">
        <v>26</v>
      </c>
      <c r="P3403" s="4">
        <v>43376.38752314815</v>
      </c>
    </row>
    <row r="3404" hidden="1">
      <c r="A3404" s="1" t="s">
        <v>21</v>
      </c>
      <c r="B3404" s="3" t="str">
        <f>HYPERLINK("https://hawk-eye.atlassian.net/browse/HWKREPORT-3?atlOrigin=eyJpIjoiYzgwYTQ0ZjEyNzQzNGJhN2JmNjEyZTM0NmRhZWZhNjIiLCJwIjoic2hlZXRzLWppcmEifQ","HWKREPORT-3")</f>
        <v>HWKREPORT-3</v>
      </c>
      <c r="C3404" s="1" t="s">
        <v>4747</v>
      </c>
      <c r="D3404" s="1" t="s">
        <v>34</v>
      </c>
      <c r="E3404" s="1" t="s">
        <v>35</v>
      </c>
      <c r="F3404" s="4">
        <v>43351.60690972222</v>
      </c>
      <c r="G3404" s="3" t="str">
        <f t="shared" si="233"/>
        <v/>
      </c>
      <c r="H3404" s="1" t="s">
        <v>1058</v>
      </c>
      <c r="I3404" s="1" t="s">
        <v>1676</v>
      </c>
      <c r="J3404" s="1" t="s">
        <v>26</v>
      </c>
      <c r="K3404" s="1" t="s">
        <v>4693</v>
      </c>
      <c r="L3404" s="1" t="s">
        <v>26</v>
      </c>
      <c r="M3404" s="1" t="s">
        <v>27</v>
      </c>
      <c r="N3404" s="1" t="s">
        <v>26</v>
      </c>
      <c r="O3404" s="1" t="s">
        <v>26</v>
      </c>
      <c r="P3404" s="4">
        <v>43376.38621527778</v>
      </c>
    </row>
    <row r="3405" hidden="1">
      <c r="A3405" s="1" t="s">
        <v>21</v>
      </c>
      <c r="B3405" s="3" t="str">
        <f>HYPERLINK("https://hawk-eye.atlassian.net/browse/HWKREPORT-6?atlOrigin=eyJpIjoiYzgwYTQ0ZjEyNzQzNGJhN2JmNjEyZTM0NmRhZWZhNjIiLCJwIjoic2hlZXRzLWppcmEifQ","HWKREPORT-6")</f>
        <v>HWKREPORT-6</v>
      </c>
      <c r="C3405" s="1" t="s">
        <v>4748</v>
      </c>
      <c r="D3405" s="1" t="s">
        <v>34</v>
      </c>
      <c r="E3405" s="1" t="s">
        <v>35</v>
      </c>
      <c r="F3405" s="4">
        <v>43351.68133101852</v>
      </c>
      <c r="G3405" s="3" t="str">
        <f>HYPERLINK("https://hawk-eye.atlassian.net/browse/TDS-564?atlOrigin=eyJpIjoiYzgwYTQ0ZjEyNzQzNGJhN2JmNjEyZTM0NmRhZWZhNjIiLCJwIjoic2hlZXRzLWppcmEifQ","TDS-564")</f>
        <v>TDS-564</v>
      </c>
      <c r="H3405" s="1" t="s">
        <v>1058</v>
      </c>
      <c r="I3405" s="1" t="s">
        <v>1126</v>
      </c>
      <c r="J3405" s="1" t="s">
        <v>26</v>
      </c>
      <c r="K3405" s="1" t="s">
        <v>3672</v>
      </c>
      <c r="L3405" s="1" t="s">
        <v>26</v>
      </c>
      <c r="M3405" s="1" t="s">
        <v>27</v>
      </c>
      <c r="N3405" s="1" t="s">
        <v>26</v>
      </c>
      <c r="O3405" s="1" t="s">
        <v>26</v>
      </c>
      <c r="P3405" s="4">
        <v>43367.72440972222</v>
      </c>
    </row>
    <row r="3406" hidden="1">
      <c r="A3406" s="1" t="s">
        <v>1055</v>
      </c>
      <c r="B3406" s="3" t="str">
        <f>HYPERLINK("https://hawk-eye.atlassian.net/browse/HWKREPORT-5?atlOrigin=eyJpIjoiYzgwYTQ0ZjEyNzQzNGJhN2JmNjEyZTM0NmRhZWZhNjIiLCJwIjoic2hlZXRzLWppcmEifQ","HWKREPORT-5")</f>
        <v>HWKREPORT-5</v>
      </c>
      <c r="C3406" s="1" t="s">
        <v>4749</v>
      </c>
      <c r="D3406" s="1" t="s">
        <v>23</v>
      </c>
      <c r="E3406" s="1" t="s">
        <v>35</v>
      </c>
      <c r="F3406" s="4">
        <v>43351.75240740741</v>
      </c>
      <c r="G3406" s="3" t="str">
        <f>HYPERLINK("https://hawk-eye.atlassian.net/browse/TVR-22?atlOrigin=eyJpIjoiYzgwYTQ0ZjEyNzQzNGJhN2JmNjEyZTM0NmRhZWZhNjIiLCJwIjoic2hlZXRzLWppcmEifQ","TVR-22")</f>
        <v>TVR-22</v>
      </c>
      <c r="H3406" s="1" t="s">
        <v>1058</v>
      </c>
      <c r="I3406" s="1" t="s">
        <v>26</v>
      </c>
      <c r="J3406" s="1" t="s">
        <v>26</v>
      </c>
      <c r="K3406" s="1" t="s">
        <v>1573</v>
      </c>
      <c r="L3406" s="1" t="s">
        <v>26</v>
      </c>
      <c r="M3406" s="1" t="s">
        <v>27</v>
      </c>
      <c r="N3406" s="1" t="s">
        <v>26</v>
      </c>
      <c r="O3406" s="1" t="s">
        <v>26</v>
      </c>
      <c r="P3406" s="4">
        <v>43389.761655092596</v>
      </c>
    </row>
    <row r="3407" hidden="1">
      <c r="A3407" s="1" t="s">
        <v>21</v>
      </c>
      <c r="B3407" s="3" t="str">
        <f>HYPERLINK("https://hawk-eye.atlassian.net/browse/HWKREPORT-7?atlOrigin=eyJpIjoiYzgwYTQ0ZjEyNzQzNGJhN2JmNjEyZTM0NmRhZWZhNjIiLCJwIjoic2hlZXRzLWppcmEifQ","HWKREPORT-7")</f>
        <v>HWKREPORT-7</v>
      </c>
      <c r="C3407" s="1" t="s">
        <v>4750</v>
      </c>
      <c r="D3407" s="1" t="s">
        <v>34</v>
      </c>
      <c r="E3407" s="1" t="s">
        <v>35</v>
      </c>
      <c r="F3407" s="4">
        <v>43376.37326388889</v>
      </c>
      <c r="G3407" s="3" t="str">
        <f>HYPERLINK("https://hawk-eye.atlassian.net/browse/CVR-21?atlOrigin=eyJpIjoiYzgwYTQ0ZjEyNzQzNGJhN2JmNjEyZTM0NmRhZWZhNjIiLCJwIjoic2hlZXRzLWppcmEifQ","CVR-21")</f>
        <v>CVR-21</v>
      </c>
      <c r="H3407" s="1" t="s">
        <v>1058</v>
      </c>
      <c r="I3407" s="1" t="s">
        <v>1082</v>
      </c>
      <c r="J3407" s="1" t="s">
        <v>26</v>
      </c>
      <c r="K3407" s="1" t="s">
        <v>1744</v>
      </c>
      <c r="L3407" s="1" t="s">
        <v>26</v>
      </c>
      <c r="M3407" s="1" t="s">
        <v>27</v>
      </c>
      <c r="N3407" s="1" t="s">
        <v>26</v>
      </c>
      <c r="O3407" s="1" t="s">
        <v>26</v>
      </c>
      <c r="P3407" s="4">
        <v>43385.70344907408</v>
      </c>
    </row>
    <row r="3408" hidden="1">
      <c r="A3408" s="1" t="s">
        <v>21</v>
      </c>
      <c r="B3408" s="3" t="str">
        <f>HYPERLINK("https://hawk-eye.atlassian.net/browse/HWKREPORT-8?atlOrigin=eyJpIjoiYzgwYTQ0ZjEyNzQzNGJhN2JmNjEyZTM0NmRhZWZhNjIiLCJwIjoic2hlZXRzLWppcmEifQ","HWKREPORT-8")</f>
        <v>HWKREPORT-8</v>
      </c>
      <c r="C3408" s="1" t="s">
        <v>4751</v>
      </c>
      <c r="D3408" s="1" t="s">
        <v>23</v>
      </c>
      <c r="E3408" s="1" t="s">
        <v>35</v>
      </c>
      <c r="F3408" s="4">
        <v>43376.384560185186</v>
      </c>
      <c r="G3408" s="3" t="str">
        <f>HYPERLINK("https://hawk-eye.atlassian.net/browse/?atlOrigin=eyJpIjoiYzgwYTQ0ZjEyNzQzNGJhN2JmNjEyZTM0NmRhZWZhNjIiLCJwIjoic2hlZXRzLWppcmEifQ","")</f>
        <v/>
      </c>
      <c r="H3408" s="1" t="s">
        <v>1058</v>
      </c>
      <c r="I3408" s="1" t="s">
        <v>1126</v>
      </c>
      <c r="J3408" s="1" t="s">
        <v>26</v>
      </c>
      <c r="K3408" s="1" t="s">
        <v>3777</v>
      </c>
      <c r="L3408" s="1" t="s">
        <v>26</v>
      </c>
      <c r="M3408" s="1" t="s">
        <v>27</v>
      </c>
      <c r="N3408" s="1" t="s">
        <v>26</v>
      </c>
      <c r="O3408" s="1" t="s">
        <v>26</v>
      </c>
      <c r="P3408" s="4">
        <v>43379.634988425925</v>
      </c>
    </row>
    <row r="3409" hidden="1">
      <c r="A3409" s="1" t="s">
        <v>21</v>
      </c>
      <c r="B3409" s="3" t="str">
        <f>HYPERLINK("https://hawk-eye.atlassian.net/browse/HWKREPORT-9?atlOrigin=eyJpIjoiYzgwYTQ0ZjEyNzQzNGJhN2JmNjEyZTM0NmRhZWZhNjIiLCJwIjoic2hlZXRzLWppcmEifQ","HWKREPORT-9")</f>
        <v>HWKREPORT-9</v>
      </c>
      <c r="C3409" s="1" t="s">
        <v>4752</v>
      </c>
      <c r="D3409" s="1" t="s">
        <v>34</v>
      </c>
      <c r="E3409" s="1" t="s">
        <v>35</v>
      </c>
      <c r="F3409" s="4">
        <v>43378.32226851852</v>
      </c>
      <c r="G3409" s="3" t="str">
        <f>HYPERLINK("https://hawk-eye.atlassian.net/browse/CVR-20?atlOrigin=eyJpIjoiYzgwYTQ0ZjEyNzQzNGJhN2JmNjEyZTM0NmRhZWZhNjIiLCJwIjoic2hlZXRzLWppcmEifQ","CVR-20")</f>
        <v>CVR-20</v>
      </c>
      <c r="H3409" s="1" t="s">
        <v>1058</v>
      </c>
      <c r="I3409" s="1" t="s">
        <v>1082</v>
      </c>
      <c r="J3409" s="1" t="s">
        <v>26</v>
      </c>
      <c r="K3409" s="1" t="s">
        <v>4753</v>
      </c>
      <c r="L3409" s="1" t="s">
        <v>26</v>
      </c>
      <c r="M3409" s="1" t="s">
        <v>27</v>
      </c>
      <c r="N3409" s="1" t="s">
        <v>26</v>
      </c>
      <c r="O3409" s="1" t="s">
        <v>26</v>
      </c>
      <c r="P3409" s="4">
        <v>43383.535219907404</v>
      </c>
    </row>
    <row r="3410" hidden="1">
      <c r="A3410" s="1" t="s">
        <v>21</v>
      </c>
      <c r="B3410" s="3" t="str">
        <f>HYPERLINK("https://hawk-eye.atlassian.net/browse/HWKREPORT-10?atlOrigin=eyJpIjoiYzgwYTQ0ZjEyNzQzNGJhN2JmNjEyZTM0NmRhZWZhNjIiLCJwIjoic2hlZXRzLWppcmEifQ","HWKREPORT-10")</f>
        <v>HWKREPORT-10</v>
      </c>
      <c r="C3410" s="1" t="s">
        <v>4754</v>
      </c>
      <c r="D3410" s="1" t="s">
        <v>34</v>
      </c>
      <c r="E3410" s="1" t="s">
        <v>35</v>
      </c>
      <c r="F3410" s="4">
        <v>43379.257002314815</v>
      </c>
      <c r="G3410" s="3" t="str">
        <f>HYPERLINK("https://hawk-eye.atlassian.net/browse/CVR-18?atlOrigin=eyJpIjoiYzgwYTQ0ZjEyNzQzNGJhN2JmNjEyZTM0NmRhZWZhNjIiLCJwIjoic2hlZXRzLWppcmEifQ","CVR-18")</f>
        <v>CVR-18</v>
      </c>
      <c r="H3410" s="1" t="s">
        <v>1058</v>
      </c>
      <c r="I3410" s="1" t="s">
        <v>1082</v>
      </c>
      <c r="J3410" s="1" t="s">
        <v>26</v>
      </c>
      <c r="K3410" s="1" t="s">
        <v>1744</v>
      </c>
      <c r="L3410" s="1" t="s">
        <v>26</v>
      </c>
      <c r="M3410" s="1" t="s">
        <v>27</v>
      </c>
      <c r="N3410" s="1" t="s">
        <v>26</v>
      </c>
      <c r="O3410" s="1" t="s">
        <v>26</v>
      </c>
      <c r="P3410" s="4">
        <v>43382.57892361111</v>
      </c>
    </row>
    <row r="3411" hidden="1">
      <c r="A3411" s="1" t="s">
        <v>21</v>
      </c>
      <c r="B3411" s="3" t="str">
        <f>HYPERLINK("https://hawk-eye.atlassian.net/browse/HWKREPORT-11?atlOrigin=eyJpIjoiYzgwYTQ0ZjEyNzQzNGJhN2JmNjEyZTM0NmRhZWZhNjIiLCJwIjoic2hlZXRzLWppcmEifQ","HWKREPORT-11")</f>
        <v>HWKREPORT-11</v>
      </c>
      <c r="C3411" s="1" t="s">
        <v>4755</v>
      </c>
      <c r="D3411" s="1" t="s">
        <v>23</v>
      </c>
      <c r="E3411" s="1" t="s">
        <v>35</v>
      </c>
      <c r="F3411" s="4">
        <v>43380.38229166667</v>
      </c>
      <c r="G3411" s="3" t="str">
        <f>HYPERLINK("https://hawk-eye.atlassian.net/browse/CVR-19?atlOrigin=eyJpIjoiYzgwYTQ0ZjEyNzQzNGJhN2JmNjEyZTM0NmRhZWZhNjIiLCJwIjoic2hlZXRzLWppcmEifQ","CVR-19")</f>
        <v>CVR-19</v>
      </c>
      <c r="H3411" s="1" t="s">
        <v>1058</v>
      </c>
      <c r="I3411" s="1" t="s">
        <v>1082</v>
      </c>
      <c r="J3411" s="1" t="s">
        <v>26</v>
      </c>
      <c r="K3411" s="1" t="s">
        <v>1744</v>
      </c>
      <c r="L3411" s="1" t="s">
        <v>26</v>
      </c>
      <c r="M3411" s="1" t="s">
        <v>27</v>
      </c>
      <c r="N3411" s="1" t="s">
        <v>26</v>
      </c>
      <c r="O3411" s="1" t="s">
        <v>26</v>
      </c>
      <c r="P3411" s="4">
        <v>43383.35556712963</v>
      </c>
    </row>
    <row r="3412" hidden="1">
      <c r="A3412" s="1" t="s">
        <v>21</v>
      </c>
      <c r="B3412" s="3" t="str">
        <f>HYPERLINK("https://hawk-eye.atlassian.net/browse/HWKREPORT-12?atlOrigin=eyJpIjoiYzgwYTQ0ZjEyNzQzNGJhN2JmNjEyZTM0NmRhZWZhNjIiLCJwIjoic2hlZXRzLWppcmEifQ","HWKREPORT-12")</f>
        <v>HWKREPORT-12</v>
      </c>
      <c r="C3412" s="1" t="s">
        <v>4756</v>
      </c>
      <c r="D3412" s="1" t="s">
        <v>23</v>
      </c>
      <c r="E3412" s="1" t="s">
        <v>35</v>
      </c>
      <c r="F3412" s="4">
        <v>43383.36394675926</v>
      </c>
      <c r="G3412" s="3" t="str">
        <f>HYPERLINK("https://hawk-eye.atlassian.net/browse/CVR-22?atlOrigin=eyJpIjoiYzgwYTQ0ZjEyNzQzNGJhN2JmNjEyZTM0NmRhZWZhNjIiLCJwIjoic2hlZXRzLWppcmEifQ","CVR-22")</f>
        <v>CVR-22</v>
      </c>
      <c r="H3412" s="1" t="s">
        <v>1058</v>
      </c>
      <c r="I3412" s="1" t="s">
        <v>1104</v>
      </c>
      <c r="J3412" s="1" t="s">
        <v>26</v>
      </c>
      <c r="K3412" s="1" t="s">
        <v>1744</v>
      </c>
      <c r="L3412" s="1" t="s">
        <v>26</v>
      </c>
      <c r="M3412" s="1" t="s">
        <v>27</v>
      </c>
      <c r="N3412" s="1" t="s">
        <v>26</v>
      </c>
      <c r="O3412" s="1" t="s">
        <v>26</v>
      </c>
      <c r="P3412" s="4">
        <v>43385.70329861111</v>
      </c>
    </row>
    <row r="3413" hidden="1">
      <c r="A3413" s="1" t="s">
        <v>21</v>
      </c>
      <c r="B3413" s="3" t="str">
        <f>HYPERLINK("https://hawk-eye.atlassian.net/browse/HWKREPORT-13?atlOrigin=eyJpIjoiYzgwYTQ0ZjEyNzQzNGJhN2JmNjEyZTM0NmRhZWZhNjIiLCJwIjoic2hlZXRzLWppcmEifQ","HWKREPORT-13")</f>
        <v>HWKREPORT-13</v>
      </c>
      <c r="C3413" s="1" t="s">
        <v>4757</v>
      </c>
      <c r="D3413" s="1" t="s">
        <v>34</v>
      </c>
      <c r="E3413" s="1" t="s">
        <v>35</v>
      </c>
      <c r="F3413" s="4">
        <v>43384.555347222224</v>
      </c>
      <c r="G3413" s="3" t="str">
        <f>HYPERLINK("https://hawk-eye.atlassian.net/browse/CVR-23?atlOrigin=eyJpIjoiYzgwYTQ0ZjEyNzQzNGJhN2JmNjEyZTM0NmRhZWZhNjIiLCJwIjoic2hlZXRzLWppcmEifQ","CVR-23")</f>
        <v>CVR-23</v>
      </c>
      <c r="H3413" s="1" t="s">
        <v>1058</v>
      </c>
      <c r="I3413" s="1" t="s">
        <v>1082</v>
      </c>
      <c r="J3413" s="1" t="s">
        <v>26</v>
      </c>
      <c r="K3413" s="1" t="s">
        <v>1744</v>
      </c>
      <c r="L3413" s="1" t="s">
        <v>26</v>
      </c>
      <c r="M3413" s="1" t="s">
        <v>27</v>
      </c>
      <c r="N3413" s="1" t="s">
        <v>26</v>
      </c>
      <c r="O3413" s="1" t="s">
        <v>26</v>
      </c>
      <c r="P3413" s="4">
        <v>43389.42826388889</v>
      </c>
    </row>
    <row r="3414" hidden="1">
      <c r="A3414" s="1" t="s">
        <v>21</v>
      </c>
      <c r="B3414" s="3" t="str">
        <f>HYPERLINK("https://hawk-eye.atlassian.net/browse/HWKREPORT-14?atlOrigin=eyJpIjoiYzgwYTQ0ZjEyNzQzNGJhN2JmNjEyZTM0NmRhZWZhNjIiLCJwIjoic2hlZXRzLWppcmEifQ","HWKREPORT-14")</f>
        <v>HWKREPORT-14</v>
      </c>
      <c r="C3414" s="1" t="s">
        <v>4758</v>
      </c>
      <c r="D3414" s="1" t="s">
        <v>34</v>
      </c>
      <c r="E3414" s="1" t="s">
        <v>35</v>
      </c>
      <c r="F3414" s="4">
        <v>43385.4083912037</v>
      </c>
      <c r="G3414" s="3" t="str">
        <f>HYPERLINK("https://hawk-eye.atlassian.net/browse/CVR-24?atlOrigin=eyJpIjoiYzgwYTQ0ZjEyNzQzNGJhN2JmNjEyZTM0NmRhZWZhNjIiLCJwIjoic2hlZXRzLWppcmEifQ","CVR-24")</f>
        <v>CVR-24</v>
      </c>
      <c r="H3414" s="1" t="s">
        <v>1058</v>
      </c>
      <c r="I3414" s="1" t="s">
        <v>1082</v>
      </c>
      <c r="J3414" s="1" t="s">
        <v>26</v>
      </c>
      <c r="K3414" s="1" t="s">
        <v>1744</v>
      </c>
      <c r="L3414" s="1" t="s">
        <v>26</v>
      </c>
      <c r="M3414" s="1" t="s">
        <v>27</v>
      </c>
      <c r="N3414" s="1" t="s">
        <v>26</v>
      </c>
      <c r="O3414" s="1" t="s">
        <v>26</v>
      </c>
      <c r="P3414" s="4">
        <v>43398.62768518519</v>
      </c>
    </row>
    <row r="3415" hidden="1">
      <c r="A3415" s="1" t="s">
        <v>21</v>
      </c>
      <c r="B3415" s="3" t="str">
        <f>HYPERLINK("https://hawk-eye.atlassian.net/browse/HWKREPORT-15?atlOrigin=eyJpIjoiYzgwYTQ0ZjEyNzQzNGJhN2JmNjEyZTM0NmRhZWZhNjIiLCJwIjoic2hlZXRzLWppcmEifQ","HWKREPORT-15")</f>
        <v>HWKREPORT-15</v>
      </c>
      <c r="C3415" s="1" t="s">
        <v>4759</v>
      </c>
      <c r="D3415" s="1" t="s">
        <v>34</v>
      </c>
      <c r="E3415" s="1" t="s">
        <v>35</v>
      </c>
      <c r="F3415" s="4">
        <v>43387.74857638889</v>
      </c>
      <c r="G3415" s="3" t="str">
        <f>HYPERLINK("https://hawk-eye.atlassian.net/browse/TVR-27?atlOrigin=eyJpIjoiYzgwYTQ0ZjEyNzQzNGJhN2JmNjEyZTM0NmRhZWZhNjIiLCJwIjoic2hlZXRzLWppcmEifQ","TVR-27")</f>
        <v>TVR-27</v>
      </c>
      <c r="H3415" s="1" t="s">
        <v>1058</v>
      </c>
      <c r="I3415" s="1" t="s">
        <v>1126</v>
      </c>
      <c r="J3415" s="1" t="s">
        <v>26</v>
      </c>
      <c r="K3415" s="1" t="s">
        <v>1573</v>
      </c>
      <c r="L3415" s="1" t="s">
        <v>26</v>
      </c>
      <c r="M3415" s="1" t="s">
        <v>27</v>
      </c>
      <c r="N3415" s="1" t="s">
        <v>26</v>
      </c>
      <c r="O3415" s="1" t="s">
        <v>26</v>
      </c>
      <c r="P3415" s="4">
        <v>43475.427465277775</v>
      </c>
    </row>
    <row r="3416" hidden="1">
      <c r="A3416" s="1" t="s">
        <v>1055</v>
      </c>
      <c r="B3416" s="3" t="str">
        <f>HYPERLINK("https://hawk-eye.atlassian.net/browse/HWKREPORT-16?atlOrigin=eyJpIjoiYzgwYTQ0ZjEyNzQzNGJhN2JmNjEyZTM0NmRhZWZhNjIiLCJwIjoic2hlZXRzLWppcmEifQ","HWKREPORT-16")</f>
        <v>HWKREPORT-16</v>
      </c>
      <c r="C3416" s="1" t="s">
        <v>4760</v>
      </c>
      <c r="D3416" s="1" t="s">
        <v>23</v>
      </c>
      <c r="E3416" s="1" t="s">
        <v>35</v>
      </c>
      <c r="F3416" s="4">
        <v>43389.61074074074</v>
      </c>
      <c r="G3416" s="3" t="str">
        <f>HYPERLINK("https://hawk-eye.atlassian.net/browse/CDS-87?atlOrigin=eyJpIjoiYzgwYTQ0ZjEyNzQzNGJhN2JmNjEyZTM0NmRhZWZhNjIiLCJwIjoic2hlZXRzLWppcmEifQ","CDS-87")</f>
        <v>CDS-87</v>
      </c>
      <c r="H3416" s="1" t="s">
        <v>1058</v>
      </c>
      <c r="I3416" s="1" t="s">
        <v>1082</v>
      </c>
      <c r="J3416" s="1" t="s">
        <v>26</v>
      </c>
      <c r="K3416" s="1" t="s">
        <v>1700</v>
      </c>
      <c r="L3416" s="1" t="s">
        <v>26</v>
      </c>
      <c r="M3416" s="1" t="s">
        <v>27</v>
      </c>
      <c r="N3416" s="1" t="s">
        <v>26</v>
      </c>
      <c r="O3416" s="1" t="s">
        <v>26</v>
      </c>
      <c r="P3416" s="4">
        <v>43397.41976851852</v>
      </c>
    </row>
    <row r="3417" hidden="1">
      <c r="A3417" s="1" t="s">
        <v>1055</v>
      </c>
      <c r="B3417" s="3" t="str">
        <f>HYPERLINK("https://hawk-eye.atlassian.net/browse/HWKREPORT-17?atlOrigin=eyJpIjoiYzgwYTQ0ZjEyNzQzNGJhN2JmNjEyZTM0NmRhZWZhNjIiLCJwIjoic2hlZXRzLWppcmEifQ","HWKREPORT-17")</f>
        <v>HWKREPORT-17</v>
      </c>
      <c r="C3417" s="1" t="s">
        <v>4761</v>
      </c>
      <c r="D3417" s="1" t="s">
        <v>23</v>
      </c>
      <c r="E3417" s="1" t="s">
        <v>35</v>
      </c>
      <c r="F3417" s="4">
        <v>43389.63376157408</v>
      </c>
      <c r="G3417" s="3" t="str">
        <f>HYPERLINK("https://hawk-eye.atlassian.net/browse/CDS-88?atlOrigin=eyJpIjoiYzgwYTQ0ZjEyNzQzNGJhN2JmNjEyZTM0NmRhZWZhNjIiLCJwIjoic2hlZXRzLWppcmEifQ","CDS-88")</f>
        <v>CDS-88</v>
      </c>
      <c r="H3417" s="1" t="s">
        <v>1058</v>
      </c>
      <c r="I3417" s="1" t="s">
        <v>1082</v>
      </c>
      <c r="J3417" s="1" t="s">
        <v>26</v>
      </c>
      <c r="K3417" s="1" t="s">
        <v>1700</v>
      </c>
      <c r="L3417" s="1" t="s">
        <v>26</v>
      </c>
      <c r="M3417" s="1" t="s">
        <v>27</v>
      </c>
      <c r="N3417" s="1" t="s">
        <v>26</v>
      </c>
      <c r="O3417" s="1" t="s">
        <v>26</v>
      </c>
      <c r="P3417" s="4">
        <v>43396.62677083333</v>
      </c>
    </row>
    <row r="3418" hidden="1">
      <c r="A3418" s="1" t="s">
        <v>1055</v>
      </c>
      <c r="B3418" s="3" t="str">
        <f>HYPERLINK("https://hawk-eye.atlassian.net/browse/HWKREPORT-18?atlOrigin=eyJpIjoiYzgwYTQ0ZjEyNzQzNGJhN2JmNjEyZTM0NmRhZWZhNjIiLCJwIjoic2hlZXRzLWppcmEifQ","HWKREPORT-18")</f>
        <v>HWKREPORT-18</v>
      </c>
      <c r="C3418" s="1" t="s">
        <v>4762</v>
      </c>
      <c r="D3418" s="1" t="s">
        <v>23</v>
      </c>
      <c r="E3418" s="1" t="s">
        <v>35</v>
      </c>
      <c r="F3418" s="4">
        <v>43389.6637962963</v>
      </c>
      <c r="G3418" s="3" t="str">
        <f>HYPERLINK("https://hawk-eye.atlassian.net/browse/CDS-89?atlOrigin=eyJpIjoiYzgwYTQ0ZjEyNzQzNGJhN2JmNjEyZTM0NmRhZWZhNjIiLCJwIjoic2hlZXRzLWppcmEifQ","CDS-89")</f>
        <v>CDS-89</v>
      </c>
      <c r="H3418" s="1" t="s">
        <v>1058</v>
      </c>
      <c r="I3418" s="1" t="s">
        <v>1082</v>
      </c>
      <c r="J3418" s="1" t="s">
        <v>26</v>
      </c>
      <c r="K3418" s="1" t="s">
        <v>1700</v>
      </c>
      <c r="L3418" s="1" t="s">
        <v>26</v>
      </c>
      <c r="M3418" s="1" t="s">
        <v>27</v>
      </c>
      <c r="N3418" s="1" t="s">
        <v>26</v>
      </c>
      <c r="O3418" s="1" t="s">
        <v>26</v>
      </c>
      <c r="P3418" s="4">
        <v>43403.37908564815</v>
      </c>
    </row>
    <row r="3419" hidden="1">
      <c r="A3419" s="1" t="s">
        <v>21</v>
      </c>
      <c r="B3419" s="3" t="str">
        <f>HYPERLINK("https://hawk-eye.atlassian.net/browse/HWKREPORT-19?atlOrigin=eyJpIjoiYzgwYTQ0ZjEyNzQzNGJhN2JmNjEyZTM0NmRhZWZhNjIiLCJwIjoic2hlZXRzLWppcmEifQ","HWKREPORT-19")</f>
        <v>HWKREPORT-19</v>
      </c>
      <c r="C3419" s="1" t="s">
        <v>4763</v>
      </c>
      <c r="D3419" s="1" t="s">
        <v>34</v>
      </c>
      <c r="E3419" s="1" t="s">
        <v>35</v>
      </c>
      <c r="F3419" s="4">
        <v>43389.7</v>
      </c>
      <c r="G3419" s="3" t="str">
        <f>HYPERLINK("https://hawk-eye.atlassian.net/browse/?atlOrigin=eyJpIjoiYzgwYTQ0ZjEyNzQzNGJhN2JmNjEyZTM0NmRhZWZhNjIiLCJwIjoic2hlZXRzLWppcmEifQ","")</f>
        <v/>
      </c>
      <c r="H3419" s="1" t="s">
        <v>1058</v>
      </c>
      <c r="I3419" s="1" t="s">
        <v>1082</v>
      </c>
      <c r="J3419" s="1" t="s">
        <v>26</v>
      </c>
      <c r="K3419" s="1" t="s">
        <v>1744</v>
      </c>
      <c r="L3419" s="1" t="s">
        <v>26</v>
      </c>
      <c r="M3419" s="1" t="s">
        <v>27</v>
      </c>
      <c r="N3419" s="1" t="s">
        <v>26</v>
      </c>
      <c r="O3419" s="1" t="s">
        <v>26</v>
      </c>
      <c r="P3419" s="4">
        <v>43469.133252314816</v>
      </c>
    </row>
    <row r="3420" hidden="1">
      <c r="A3420" s="1" t="s">
        <v>21</v>
      </c>
      <c r="B3420" s="3" t="str">
        <f>HYPERLINK("https://hawk-eye.atlassian.net/browse/HWKREPORT-20?atlOrigin=eyJpIjoiYzgwYTQ0ZjEyNzQzNGJhN2JmNjEyZTM0NmRhZWZhNjIiLCJwIjoic2hlZXRzLWppcmEifQ","HWKREPORT-20")</f>
        <v>HWKREPORT-20</v>
      </c>
      <c r="C3420" s="1" t="s">
        <v>4764</v>
      </c>
      <c r="D3420" s="1" t="s">
        <v>34</v>
      </c>
      <c r="E3420" s="1" t="s">
        <v>35</v>
      </c>
      <c r="F3420" s="4">
        <v>43389.94697916666</v>
      </c>
      <c r="G3420" s="3" t="str">
        <f>HYPERLINK("https://hawk-eye.atlassian.net/browse/TVR-29?atlOrigin=eyJpIjoiYzgwYTQ0ZjEyNzQzNGJhN2JmNjEyZTM0NmRhZWZhNjIiLCJwIjoic2hlZXRzLWppcmEifQ","TVR-29")</f>
        <v>TVR-29</v>
      </c>
      <c r="H3420" s="1" t="s">
        <v>1058</v>
      </c>
      <c r="I3420" s="1" t="s">
        <v>1126</v>
      </c>
      <c r="J3420" s="1" t="s">
        <v>26</v>
      </c>
      <c r="K3420" s="1" t="s">
        <v>1573</v>
      </c>
      <c r="L3420" s="1" t="s">
        <v>26</v>
      </c>
      <c r="M3420" s="1" t="s">
        <v>27</v>
      </c>
      <c r="N3420" s="1" t="s">
        <v>26</v>
      </c>
      <c r="O3420" s="1" t="s">
        <v>26</v>
      </c>
      <c r="P3420" s="4">
        <v>43391.64939814815</v>
      </c>
    </row>
    <row r="3421" hidden="1">
      <c r="A3421" s="1" t="s">
        <v>21</v>
      </c>
      <c r="B3421" s="3" t="str">
        <f>HYPERLINK("https://hawk-eye.atlassian.net/browse/HWKREPORT-21?atlOrigin=eyJpIjoiYzgwYTQ0ZjEyNzQzNGJhN2JmNjEyZTM0NmRhZWZhNjIiLCJwIjoic2hlZXRzLWppcmEifQ","HWKREPORT-21")</f>
        <v>HWKREPORT-21</v>
      </c>
      <c r="C3421" s="1" t="s">
        <v>4765</v>
      </c>
      <c r="D3421" s="1" t="s">
        <v>34</v>
      </c>
      <c r="E3421" s="1" t="s">
        <v>35</v>
      </c>
      <c r="F3421" s="4">
        <v>43392.749189814815</v>
      </c>
      <c r="G3421" s="3" t="str">
        <f>HYPERLINK("https://hawk-eye.atlassian.net/browse/TVR-30?atlOrigin=eyJpIjoiYzgwYTQ0ZjEyNzQzNGJhN2JmNjEyZTM0NmRhZWZhNjIiLCJwIjoic2hlZXRzLWppcmEifQ","TVR-30")</f>
        <v>TVR-30</v>
      </c>
      <c r="H3421" s="1" t="s">
        <v>1058</v>
      </c>
      <c r="I3421" s="1" t="s">
        <v>1126</v>
      </c>
      <c r="J3421" s="1" t="s">
        <v>26</v>
      </c>
      <c r="K3421" s="1" t="s">
        <v>1573</v>
      </c>
      <c r="L3421" s="1" t="s">
        <v>26</v>
      </c>
      <c r="M3421" s="1" t="s">
        <v>27</v>
      </c>
      <c r="N3421" s="1" t="s">
        <v>26</v>
      </c>
      <c r="O3421" s="1" t="s">
        <v>26</v>
      </c>
      <c r="P3421" s="4">
        <v>43475.42767361111</v>
      </c>
    </row>
    <row r="3422" hidden="1">
      <c r="A3422" s="1" t="s">
        <v>21</v>
      </c>
      <c r="B3422" s="3" t="str">
        <f>HYPERLINK("https://hawk-eye.atlassian.net/browse/HWKREPORT-22?atlOrigin=eyJpIjoiYzgwYTQ0ZjEyNzQzNGJhN2JmNjEyZTM0NmRhZWZhNjIiLCJwIjoic2hlZXRzLWppcmEifQ","HWKREPORT-22")</f>
        <v>HWKREPORT-22</v>
      </c>
      <c r="C3422" s="1" t="s">
        <v>4766</v>
      </c>
      <c r="D3422" s="1" t="s">
        <v>34</v>
      </c>
      <c r="E3422" s="1" t="s">
        <v>35</v>
      </c>
      <c r="F3422" s="4">
        <v>43393.714421296296</v>
      </c>
      <c r="G3422" s="3" t="str">
        <f>HYPERLINK("https://hawk-eye.atlassian.net/browse/TVR-31?atlOrigin=eyJpIjoiYzgwYTQ0ZjEyNzQzNGJhN2JmNjEyZTM0NmRhZWZhNjIiLCJwIjoic2hlZXRzLWppcmEifQ","TVR-31")</f>
        <v>TVR-31</v>
      </c>
      <c r="H3422" s="1" t="s">
        <v>1058</v>
      </c>
      <c r="I3422" s="1" t="s">
        <v>1126</v>
      </c>
      <c r="J3422" s="1" t="s">
        <v>26</v>
      </c>
      <c r="K3422" s="1" t="s">
        <v>1573</v>
      </c>
      <c r="L3422" s="1" t="s">
        <v>26</v>
      </c>
      <c r="M3422" s="1" t="s">
        <v>27</v>
      </c>
      <c r="N3422" s="1" t="s">
        <v>26</v>
      </c>
      <c r="O3422" s="1" t="s">
        <v>26</v>
      </c>
      <c r="P3422" s="4">
        <v>43475.42755787037</v>
      </c>
    </row>
    <row r="3423" hidden="1">
      <c r="A3423" s="1" t="s">
        <v>21</v>
      </c>
      <c r="B3423" s="3" t="str">
        <f>HYPERLINK("https://hawk-eye.atlassian.net/browse/HWKREPORT-23?atlOrigin=eyJpIjoiYzgwYTQ0ZjEyNzQzNGJhN2JmNjEyZTM0NmRhZWZhNjIiLCJwIjoic2hlZXRzLWppcmEifQ","HWKREPORT-23")</f>
        <v>HWKREPORT-23</v>
      </c>
      <c r="C3423" s="1" t="s">
        <v>4767</v>
      </c>
      <c r="D3423" s="1" t="s">
        <v>34</v>
      </c>
      <c r="E3423" s="1" t="s">
        <v>35</v>
      </c>
      <c r="F3423" s="4">
        <v>43394.8843287037</v>
      </c>
      <c r="G3423" s="3" t="str">
        <f>HYPERLINK("https://hawk-eye.atlassian.net/browse/TVR-32?atlOrigin=eyJpIjoiYzgwYTQ0ZjEyNzQzNGJhN2JmNjEyZTM0NmRhZWZhNjIiLCJwIjoic2hlZXRzLWppcmEifQ","TVR-32")</f>
        <v>TVR-32</v>
      </c>
      <c r="H3423" s="1" t="s">
        <v>1058</v>
      </c>
      <c r="I3423" s="1" t="s">
        <v>1126</v>
      </c>
      <c r="J3423" s="1" t="s">
        <v>26</v>
      </c>
      <c r="K3423" s="1" t="s">
        <v>1573</v>
      </c>
      <c r="L3423" s="1" t="s">
        <v>26</v>
      </c>
      <c r="M3423" s="1" t="s">
        <v>27</v>
      </c>
      <c r="N3423" s="1" t="s">
        <v>26</v>
      </c>
      <c r="O3423" s="1" t="s">
        <v>26</v>
      </c>
      <c r="P3423" s="4">
        <v>43423.65710648148</v>
      </c>
    </row>
    <row r="3424" hidden="1">
      <c r="A3424" s="1" t="s">
        <v>21</v>
      </c>
      <c r="B3424" s="3" t="str">
        <f>HYPERLINK("https://hawk-eye.atlassian.net/browse/HWKREPORT-24?atlOrigin=eyJpIjoiYzgwYTQ0ZjEyNzQzNGJhN2JmNjEyZTM0NmRhZWZhNjIiLCJwIjoic2hlZXRzLWppcmEifQ","HWKREPORT-24")</f>
        <v>HWKREPORT-24</v>
      </c>
      <c r="C3424" s="1" t="s">
        <v>4768</v>
      </c>
      <c r="D3424" s="1" t="s">
        <v>34</v>
      </c>
      <c r="E3424" s="1" t="s">
        <v>35</v>
      </c>
      <c r="F3424" s="4">
        <v>43397.751296296294</v>
      </c>
      <c r="G3424" s="3" t="str">
        <f>HYPERLINK("https://hawk-eye.atlassian.net/browse/?atlOrigin=eyJpIjoiYzgwYTQ0ZjEyNzQzNGJhN2JmNjEyZTM0NmRhZWZhNjIiLCJwIjoic2hlZXRzLWppcmEifQ","")</f>
        <v/>
      </c>
      <c r="H3424" s="1" t="s">
        <v>1058</v>
      </c>
      <c r="I3424" s="1" t="s">
        <v>1126</v>
      </c>
      <c r="J3424" s="1" t="s">
        <v>26</v>
      </c>
      <c r="K3424" s="1" t="s">
        <v>1573</v>
      </c>
      <c r="L3424" s="1" t="s">
        <v>26</v>
      </c>
      <c r="M3424" s="1" t="s">
        <v>27</v>
      </c>
      <c r="N3424" s="1" t="s">
        <v>26</v>
      </c>
      <c r="O3424" s="1" t="s">
        <v>26</v>
      </c>
      <c r="P3424" s="4">
        <v>43806.63185185185</v>
      </c>
    </row>
    <row r="3425" hidden="1">
      <c r="A3425" s="1" t="s">
        <v>21</v>
      </c>
      <c r="B3425" s="3" t="str">
        <f>HYPERLINK("https://hawk-eye.atlassian.net/browse/HWKREPORT-25?atlOrigin=eyJpIjoiYzgwYTQ0ZjEyNzQzNGJhN2JmNjEyZTM0NmRhZWZhNjIiLCJwIjoic2hlZXRzLWppcmEifQ","HWKREPORT-25")</f>
        <v>HWKREPORT-25</v>
      </c>
      <c r="C3425" s="1" t="s">
        <v>4769</v>
      </c>
      <c r="D3425" s="1" t="s">
        <v>23</v>
      </c>
      <c r="E3425" s="1" t="s">
        <v>35</v>
      </c>
      <c r="F3425" s="4">
        <v>43398.474270833336</v>
      </c>
      <c r="G3425" s="3" t="str">
        <f>HYPERLINK("https://hawk-eye.atlassian.net/browse/CDS-101?atlOrigin=eyJpIjoiYzgwYTQ0ZjEyNzQzNGJhN2JmNjEyZTM0NmRhZWZhNjIiLCJwIjoic2hlZXRzLWppcmEifQ","CDS-101")</f>
        <v>CDS-101</v>
      </c>
      <c r="H3425" s="1" t="s">
        <v>1058</v>
      </c>
      <c r="I3425" s="1" t="s">
        <v>1082</v>
      </c>
      <c r="J3425" s="1" t="s">
        <v>26</v>
      </c>
      <c r="K3425" s="1" t="s">
        <v>1700</v>
      </c>
      <c r="L3425" s="1" t="s">
        <v>26</v>
      </c>
      <c r="M3425" s="1" t="s">
        <v>27</v>
      </c>
      <c r="N3425" s="1" t="s">
        <v>26</v>
      </c>
      <c r="O3425" s="1" t="s">
        <v>26</v>
      </c>
      <c r="P3425" s="4">
        <v>43447.61207175926</v>
      </c>
    </row>
    <row r="3426" hidden="1">
      <c r="A3426" s="1" t="s">
        <v>1055</v>
      </c>
      <c r="B3426" s="3" t="str">
        <f>HYPERLINK("https://hawk-eye.atlassian.net/browse/HWKREPORT-26?atlOrigin=eyJpIjoiYzgwYTQ0ZjEyNzQzNGJhN2JmNjEyZTM0NmRhZWZhNjIiLCJwIjoic2hlZXRzLWppcmEifQ","HWKREPORT-26")</f>
        <v>HWKREPORT-26</v>
      </c>
      <c r="C3426" s="1" t="s">
        <v>4770</v>
      </c>
      <c r="D3426" s="1" t="s">
        <v>23</v>
      </c>
      <c r="E3426" s="1" t="s">
        <v>1057</v>
      </c>
      <c r="F3426" s="4">
        <v>43398.4771875</v>
      </c>
      <c r="G3426" s="3" t="str">
        <f>HYPERLINK("https://hawk-eye.atlassian.net/browse/?atlOrigin=eyJpIjoiYzgwYTQ0ZjEyNzQzNGJhN2JmNjEyZTM0NmRhZWZhNjIiLCJwIjoic2hlZXRzLWppcmEifQ","")</f>
        <v/>
      </c>
      <c r="H3426" s="1" t="s">
        <v>1058</v>
      </c>
      <c r="I3426" s="1" t="s">
        <v>1082</v>
      </c>
      <c r="J3426" s="1" t="s">
        <v>26</v>
      </c>
      <c r="K3426" s="1" t="s">
        <v>1700</v>
      </c>
      <c r="L3426" s="1" t="s">
        <v>26</v>
      </c>
      <c r="M3426" s="1" t="s">
        <v>27</v>
      </c>
      <c r="N3426" s="1" t="s">
        <v>26</v>
      </c>
      <c r="O3426" s="1" t="s">
        <v>26</v>
      </c>
      <c r="P3426" s="4">
        <v>43398.4771875</v>
      </c>
    </row>
    <row r="3427" hidden="1">
      <c r="A3427" s="1" t="s">
        <v>21</v>
      </c>
      <c r="B3427" s="3" t="str">
        <f>HYPERLINK("https://hawk-eye.atlassian.net/browse/HWKREPORT-27?atlOrigin=eyJpIjoiYzgwYTQ0ZjEyNzQzNGJhN2JmNjEyZTM0NmRhZWZhNjIiLCJwIjoic2hlZXRzLWppcmEifQ","HWKREPORT-27")</f>
        <v>HWKREPORT-27</v>
      </c>
      <c r="C3427" s="1" t="s">
        <v>4771</v>
      </c>
      <c r="D3427" s="1" t="s">
        <v>34</v>
      </c>
      <c r="E3427" s="1" t="s">
        <v>35</v>
      </c>
      <c r="F3427" s="4">
        <v>43403.47773148148</v>
      </c>
      <c r="G3427" s="3" t="str">
        <f>HYPERLINK("https://hawk-eye.atlassian.net/browse/CDS-90?atlOrigin=eyJpIjoiYzgwYTQ0ZjEyNzQzNGJhN2JmNjEyZTM0NmRhZWZhNjIiLCJwIjoic2hlZXRzLWppcmEifQ","CDS-90")</f>
        <v>CDS-90</v>
      </c>
      <c r="H3427" s="1" t="s">
        <v>1058</v>
      </c>
      <c r="I3427" s="1" t="s">
        <v>1082</v>
      </c>
      <c r="J3427" s="1" t="s">
        <v>26</v>
      </c>
      <c r="K3427" s="1" t="s">
        <v>1700</v>
      </c>
      <c r="L3427" s="1" t="s">
        <v>26</v>
      </c>
      <c r="M3427" s="1" t="s">
        <v>27</v>
      </c>
      <c r="N3427" s="1" t="s">
        <v>26</v>
      </c>
      <c r="O3427" s="1" t="s">
        <v>26</v>
      </c>
      <c r="P3427" s="4">
        <v>43405.41336805555</v>
      </c>
    </row>
    <row r="3428" hidden="1">
      <c r="A3428" s="1" t="s">
        <v>21</v>
      </c>
      <c r="B3428" s="3" t="str">
        <f>HYPERLINK("https://hawk-eye.atlassian.net/browse/HWKREPORT-28?atlOrigin=eyJpIjoiYzgwYTQ0ZjEyNzQzNGJhN2JmNjEyZTM0NmRhZWZhNjIiLCJwIjoic2hlZXRzLWppcmEifQ","HWKREPORT-28")</f>
        <v>HWKREPORT-28</v>
      </c>
      <c r="C3428" s="1" t="s">
        <v>4772</v>
      </c>
      <c r="D3428" s="1" t="s">
        <v>23</v>
      </c>
      <c r="E3428" s="1" t="s">
        <v>35</v>
      </c>
      <c r="F3428" s="4">
        <v>43403.58645833333</v>
      </c>
      <c r="G3428" s="3" t="str">
        <f>HYPERLINK("https://hawk-eye.atlassian.net/browse/SMARTDATA-506?atlOrigin=eyJpIjoiYzgwYTQ0ZjEyNzQzNGJhN2JmNjEyZTM0NmRhZWZhNjIiLCJwIjoic2hlZXRzLWppcmEifQ","SMARTDATA-506")</f>
        <v>SMARTDATA-506</v>
      </c>
      <c r="H3428" s="1" t="s">
        <v>1058</v>
      </c>
      <c r="I3428" s="1" t="s">
        <v>1085</v>
      </c>
      <c r="J3428" s="1" t="s">
        <v>26</v>
      </c>
      <c r="K3428" s="1" t="s">
        <v>4632</v>
      </c>
      <c r="L3428" s="1" t="s">
        <v>26</v>
      </c>
      <c r="M3428" s="1" t="s">
        <v>27</v>
      </c>
      <c r="N3428" s="1" t="s">
        <v>26</v>
      </c>
      <c r="O3428" s="1" t="s">
        <v>26</v>
      </c>
      <c r="P3428" s="4">
        <v>43453.72767361111</v>
      </c>
    </row>
    <row r="3429" hidden="1">
      <c r="A3429" s="1" t="s">
        <v>21</v>
      </c>
      <c r="B3429" s="3" t="str">
        <f>HYPERLINK("https://hawk-eye.atlassian.net/browse/HWKREPORT-29?atlOrigin=eyJpIjoiYzgwYTQ0ZjEyNzQzNGJhN2JmNjEyZTM0NmRhZWZhNjIiLCJwIjoic2hlZXRzLWppcmEifQ","HWKREPORT-29")</f>
        <v>HWKREPORT-29</v>
      </c>
      <c r="C3429" s="1" t="s">
        <v>4773</v>
      </c>
      <c r="D3429" s="1" t="s">
        <v>23</v>
      </c>
      <c r="E3429" s="1" t="s">
        <v>35</v>
      </c>
      <c r="F3429" s="4">
        <v>43403.58828703704</v>
      </c>
      <c r="G3429" s="3" t="str">
        <f>HYPERLINK("https://hawk-eye.atlassian.net/browse/SMARTDATA-505?atlOrigin=eyJpIjoiYzgwYTQ0ZjEyNzQzNGJhN2JmNjEyZTM0NmRhZWZhNjIiLCJwIjoic2hlZXRzLWppcmEifQ","SMARTDATA-505")</f>
        <v>SMARTDATA-505</v>
      </c>
      <c r="H3429" s="1" t="s">
        <v>1058</v>
      </c>
      <c r="I3429" s="1" t="s">
        <v>1085</v>
      </c>
      <c r="J3429" s="1" t="s">
        <v>26</v>
      </c>
      <c r="K3429" s="1" t="s">
        <v>4632</v>
      </c>
      <c r="L3429" s="1" t="s">
        <v>26</v>
      </c>
      <c r="M3429" s="1" t="s">
        <v>27</v>
      </c>
      <c r="N3429" s="1" t="s">
        <v>26</v>
      </c>
      <c r="O3429" s="1" t="s">
        <v>26</v>
      </c>
      <c r="P3429" s="4">
        <v>43405.58231481481</v>
      </c>
    </row>
    <row r="3430" hidden="1">
      <c r="A3430" s="1" t="s">
        <v>21</v>
      </c>
      <c r="B3430" s="3" t="str">
        <f>HYPERLINK("https://hawk-eye.atlassian.net/browse/HWKREPORT-30?atlOrigin=eyJpIjoiYzgwYTQ0ZjEyNzQzNGJhN2JmNjEyZTM0NmRhZWZhNjIiLCJwIjoic2hlZXRzLWppcmEifQ","HWKREPORT-30")</f>
        <v>HWKREPORT-30</v>
      </c>
      <c r="C3430" s="1" t="s">
        <v>4774</v>
      </c>
      <c r="D3430" s="1" t="s">
        <v>23</v>
      </c>
      <c r="E3430" s="1" t="s">
        <v>35</v>
      </c>
      <c r="F3430" s="4">
        <v>43403.592453703706</v>
      </c>
      <c r="G3430" s="3" t="str">
        <f>HYPERLINK("https://hawk-eye.atlassian.net/browse/?atlOrigin=eyJpIjoiYzgwYTQ0ZjEyNzQzNGJhN2JmNjEyZTM0NmRhZWZhNjIiLCJwIjoic2hlZXRzLWppcmEifQ","")</f>
        <v/>
      </c>
      <c r="H3430" s="1" t="s">
        <v>1058</v>
      </c>
      <c r="I3430" s="1" t="s">
        <v>1085</v>
      </c>
      <c r="J3430" s="1" t="s">
        <v>26</v>
      </c>
      <c r="K3430" s="1" t="s">
        <v>4632</v>
      </c>
      <c r="L3430" s="1" t="s">
        <v>26</v>
      </c>
      <c r="M3430" s="1" t="s">
        <v>27</v>
      </c>
      <c r="N3430" s="1" t="s">
        <v>26</v>
      </c>
      <c r="O3430" s="1" t="s">
        <v>26</v>
      </c>
      <c r="P3430" s="4">
        <v>43403.63898148148</v>
      </c>
    </row>
    <row r="3431" hidden="1">
      <c r="A3431" s="1" t="s">
        <v>21</v>
      </c>
      <c r="B3431" s="3" t="str">
        <f>HYPERLINK("https://hawk-eye.atlassian.net/browse/HWKREPORT-31?atlOrigin=eyJpIjoiYzgwYTQ0ZjEyNzQzNGJhN2JmNjEyZTM0NmRhZWZhNjIiLCJwIjoic2hlZXRzLWppcmEifQ","HWKREPORT-31")</f>
        <v>HWKREPORT-31</v>
      </c>
      <c r="C3431" s="1" t="s">
        <v>4775</v>
      </c>
      <c r="D3431" s="1" t="s">
        <v>34</v>
      </c>
      <c r="E3431" s="1" t="s">
        <v>35</v>
      </c>
      <c r="F3431" s="4">
        <v>43403.65751157407</v>
      </c>
      <c r="G3431" s="3" t="str">
        <f>HYPERLINK("https://hawk-eye.atlassian.net/browse/SMARTDATA-508?atlOrigin=eyJpIjoiYzgwYTQ0ZjEyNzQzNGJhN2JmNjEyZTM0NmRhZWZhNjIiLCJwIjoic2hlZXRzLWppcmEifQ","SMARTDATA-508")</f>
        <v>SMARTDATA-508</v>
      </c>
      <c r="H3431" s="1" t="s">
        <v>1058</v>
      </c>
      <c r="I3431" s="1" t="s">
        <v>1085</v>
      </c>
      <c r="J3431" s="1" t="s">
        <v>26</v>
      </c>
      <c r="K3431" s="1" t="s">
        <v>4632</v>
      </c>
      <c r="L3431" s="1" t="s">
        <v>26</v>
      </c>
      <c r="M3431" s="1" t="s">
        <v>27</v>
      </c>
      <c r="N3431" s="1" t="s">
        <v>26</v>
      </c>
      <c r="O3431" s="1" t="s">
        <v>26</v>
      </c>
      <c r="P3431" s="4">
        <v>43453.731770833336</v>
      </c>
    </row>
    <row r="3432" hidden="1">
      <c r="A3432" s="1" t="s">
        <v>21</v>
      </c>
      <c r="B3432" s="3" t="str">
        <f>HYPERLINK("https://hawk-eye.atlassian.net/browse/HWKREPORT-32?atlOrigin=eyJpIjoiYzgwYTQ0ZjEyNzQzNGJhN2JmNjEyZTM0NmRhZWZhNjIiLCJwIjoic2hlZXRzLWppcmEifQ","HWKREPORT-32")</f>
        <v>HWKREPORT-32</v>
      </c>
      <c r="C3432" s="1" t="s">
        <v>4776</v>
      </c>
      <c r="D3432" s="1" t="s">
        <v>34</v>
      </c>
      <c r="E3432" s="1" t="s">
        <v>35</v>
      </c>
      <c r="F3432" s="4">
        <v>43403.840416666666</v>
      </c>
      <c r="G3432" s="3" t="str">
        <f>HYPERLINK("https://hawk-eye.atlassian.net/browse/CVR-30?atlOrigin=eyJpIjoiYzgwYTQ0ZjEyNzQzNGJhN2JmNjEyZTM0NmRhZWZhNjIiLCJwIjoic2hlZXRzLWppcmEifQ","CVR-30")</f>
        <v>CVR-30</v>
      </c>
      <c r="H3432" s="1" t="s">
        <v>1058</v>
      </c>
      <c r="I3432" s="1" t="s">
        <v>1082</v>
      </c>
      <c r="J3432" s="1" t="s">
        <v>26</v>
      </c>
      <c r="K3432" s="1" t="s">
        <v>1744</v>
      </c>
      <c r="L3432" s="1" t="s">
        <v>26</v>
      </c>
      <c r="M3432" s="1" t="s">
        <v>27</v>
      </c>
      <c r="N3432" s="1" t="s">
        <v>26</v>
      </c>
      <c r="O3432" s="1" t="s">
        <v>26</v>
      </c>
      <c r="P3432" s="4">
        <v>43474.40787037037</v>
      </c>
    </row>
    <row r="3433" hidden="1">
      <c r="A3433" s="1" t="s">
        <v>21</v>
      </c>
      <c r="B3433" s="3" t="str">
        <f>HYPERLINK("https://hawk-eye.atlassian.net/browse/HWKREPORT-33?atlOrigin=eyJpIjoiYzgwYTQ0ZjEyNzQzNGJhN2JmNjEyZTM0NmRhZWZhNjIiLCJwIjoic2hlZXRzLWppcmEifQ","HWKREPORT-33")</f>
        <v>HWKREPORT-33</v>
      </c>
      <c r="C3433" s="1" t="s">
        <v>4777</v>
      </c>
      <c r="D3433" s="1" t="s">
        <v>23</v>
      </c>
      <c r="E3433" s="1" t="s">
        <v>35</v>
      </c>
      <c r="F3433" s="4">
        <v>43404.55142361111</v>
      </c>
      <c r="G3433" s="3" t="str">
        <f t="shared" ref="G3433:G3434" si="234">HYPERLINK("https://hawk-eye.atlassian.net/browse/?atlOrigin=eyJpIjoiYzgwYTQ0ZjEyNzQzNGJhN2JmNjEyZTM0NmRhZWZhNjIiLCJwIjoic2hlZXRzLWppcmEifQ","")</f>
        <v/>
      </c>
      <c r="H3433" s="1" t="s">
        <v>1058</v>
      </c>
      <c r="I3433" s="1" t="s">
        <v>1126</v>
      </c>
      <c r="J3433" s="1" t="s">
        <v>26</v>
      </c>
      <c r="K3433" s="1" t="s">
        <v>4778</v>
      </c>
      <c r="L3433" s="1" t="s">
        <v>26</v>
      </c>
      <c r="M3433" s="1" t="s">
        <v>27</v>
      </c>
      <c r="N3433" s="1" t="s">
        <v>26</v>
      </c>
      <c r="O3433" s="1" t="s">
        <v>26</v>
      </c>
      <c r="P3433" s="4">
        <v>43488.353900462964</v>
      </c>
    </row>
    <row r="3434" hidden="1">
      <c r="A3434" s="1" t="s">
        <v>21</v>
      </c>
      <c r="B3434" s="3" t="str">
        <f>HYPERLINK("https://hawk-eye.atlassian.net/browse/HWKREPORT-34?atlOrigin=eyJpIjoiYzgwYTQ0ZjEyNzQzNGJhN2JmNjEyZTM0NmRhZWZhNjIiLCJwIjoic2hlZXRzLWppcmEifQ","HWKREPORT-34")</f>
        <v>HWKREPORT-34</v>
      </c>
      <c r="C3434" s="1" t="s">
        <v>4779</v>
      </c>
      <c r="D3434" s="1" t="s">
        <v>23</v>
      </c>
      <c r="E3434" s="1" t="s">
        <v>35</v>
      </c>
      <c r="F3434" s="4">
        <v>43404.560902777775</v>
      </c>
      <c r="G3434" s="3" t="str">
        <f t="shared" si="234"/>
        <v/>
      </c>
      <c r="H3434" s="1" t="s">
        <v>1058</v>
      </c>
      <c r="I3434" s="1" t="s">
        <v>1126</v>
      </c>
      <c r="J3434" s="1" t="s">
        <v>26</v>
      </c>
      <c r="K3434" s="1" t="s">
        <v>4778</v>
      </c>
      <c r="L3434" s="1" t="s">
        <v>26</v>
      </c>
      <c r="M3434" s="1" t="s">
        <v>27</v>
      </c>
      <c r="N3434" s="1" t="s">
        <v>26</v>
      </c>
      <c r="O3434" s="1" t="s">
        <v>26</v>
      </c>
      <c r="P3434" s="4">
        <v>43488.39813657408</v>
      </c>
    </row>
    <row r="3435" hidden="1">
      <c r="A3435" s="1" t="s">
        <v>21</v>
      </c>
      <c r="B3435" s="3" t="str">
        <f>HYPERLINK("https://hawk-eye.atlassian.net/browse/HWKREPORT-35?atlOrigin=eyJpIjoiYzgwYTQ0ZjEyNzQzNGJhN2JmNjEyZTM0NmRhZWZhNjIiLCJwIjoic2hlZXRzLWppcmEifQ","HWKREPORT-35")</f>
        <v>HWKREPORT-35</v>
      </c>
      <c r="C3435" s="1" t="s">
        <v>4780</v>
      </c>
      <c r="D3435" s="1" t="s">
        <v>23</v>
      </c>
      <c r="E3435" s="1" t="s">
        <v>35</v>
      </c>
      <c r="F3435" s="4">
        <v>43405.42107638889</v>
      </c>
      <c r="G3435" s="3" t="str">
        <f>HYPERLINK("https://hawk-eye.atlassian.net/browse/CVR-29?atlOrigin=eyJpIjoiYzgwYTQ0ZjEyNzQzNGJhN2JmNjEyZTM0NmRhZWZhNjIiLCJwIjoic2hlZXRzLWppcmEifQ","CVR-29")</f>
        <v>CVR-29</v>
      </c>
      <c r="H3435" s="1" t="s">
        <v>1058</v>
      </c>
      <c r="I3435" s="1" t="s">
        <v>1082</v>
      </c>
      <c r="J3435" s="1" t="s">
        <v>26</v>
      </c>
      <c r="K3435" s="1" t="s">
        <v>1744</v>
      </c>
      <c r="L3435" s="1" t="s">
        <v>26</v>
      </c>
      <c r="M3435" s="1" t="s">
        <v>27</v>
      </c>
      <c r="N3435" s="1" t="s">
        <v>26</v>
      </c>
      <c r="O3435" s="1" t="s">
        <v>26</v>
      </c>
      <c r="P3435" s="4">
        <v>43806.63947916667</v>
      </c>
    </row>
    <row r="3436" hidden="1">
      <c r="A3436" s="1" t="s">
        <v>21</v>
      </c>
      <c r="B3436" s="3" t="str">
        <f>HYPERLINK("https://hawk-eye.atlassian.net/browse/HWKREPORT-36?atlOrigin=eyJpIjoiYzgwYTQ0ZjEyNzQzNGJhN2JmNjEyZTM0NmRhZWZhNjIiLCJwIjoic2hlZXRzLWppcmEifQ","HWKREPORT-36")</f>
        <v>HWKREPORT-36</v>
      </c>
      <c r="C3436" s="1" t="s">
        <v>4781</v>
      </c>
      <c r="D3436" s="1" t="s">
        <v>23</v>
      </c>
      <c r="E3436" s="1" t="s">
        <v>35</v>
      </c>
      <c r="F3436" s="4">
        <v>43406.401192129626</v>
      </c>
      <c r="G3436" s="3" t="str">
        <f>HYPERLINK("https://hawk-eye.atlassian.net/browse/CDS-102?atlOrigin=eyJpIjoiYzgwYTQ0ZjEyNzQzNGJhN2JmNjEyZTM0NmRhZWZhNjIiLCJwIjoic2hlZXRzLWppcmEifQ","CDS-102")</f>
        <v>CDS-102</v>
      </c>
      <c r="H3436" s="1" t="s">
        <v>1058</v>
      </c>
      <c r="I3436" s="1" t="s">
        <v>1082</v>
      </c>
      <c r="J3436" s="1" t="s">
        <v>26</v>
      </c>
      <c r="K3436" s="1" t="s">
        <v>1700</v>
      </c>
      <c r="L3436" s="1" t="s">
        <v>26</v>
      </c>
      <c r="M3436" s="1" t="s">
        <v>27</v>
      </c>
      <c r="N3436" s="1" t="s">
        <v>26</v>
      </c>
      <c r="O3436" s="1" t="s">
        <v>26</v>
      </c>
      <c r="P3436" s="4">
        <v>43447.61200231482</v>
      </c>
    </row>
    <row r="3437" hidden="1">
      <c r="A3437" s="1" t="s">
        <v>21</v>
      </c>
      <c r="B3437" s="3" t="str">
        <f>HYPERLINK("https://hawk-eye.atlassian.net/browse/HWKREPORT-37?atlOrigin=eyJpIjoiYzgwYTQ0ZjEyNzQzNGJhN2JmNjEyZTM0NmRhZWZhNjIiLCJwIjoic2hlZXRzLWppcmEifQ","HWKREPORT-37")</f>
        <v>HWKREPORT-37</v>
      </c>
      <c r="C3437" s="1" t="s">
        <v>4782</v>
      </c>
      <c r="D3437" s="1" t="s">
        <v>23</v>
      </c>
      <c r="E3437" s="1" t="s">
        <v>35</v>
      </c>
      <c r="F3437" s="4">
        <v>43407.438310185185</v>
      </c>
      <c r="G3437" s="3" t="str">
        <f>HYPERLINK("https://hawk-eye.atlassian.net/browse/TVR-39?atlOrigin=eyJpIjoiYzgwYTQ0ZjEyNzQzNGJhN2JmNjEyZTM0NmRhZWZhNjIiLCJwIjoic2hlZXRzLWppcmEifQ","TVR-39")</f>
        <v>TVR-39</v>
      </c>
      <c r="H3437" s="1" t="s">
        <v>1058</v>
      </c>
      <c r="I3437" s="1" t="s">
        <v>1126</v>
      </c>
      <c r="J3437" s="1" t="s">
        <v>26</v>
      </c>
      <c r="K3437" s="1" t="s">
        <v>1573</v>
      </c>
      <c r="L3437" s="1" t="s">
        <v>26</v>
      </c>
      <c r="M3437" s="1" t="s">
        <v>27</v>
      </c>
      <c r="N3437" s="1" t="s">
        <v>26</v>
      </c>
      <c r="O3437" s="1" t="s">
        <v>26</v>
      </c>
      <c r="P3437" s="4">
        <v>43806.63878472222</v>
      </c>
    </row>
    <row r="3438" hidden="1">
      <c r="A3438" s="1" t="s">
        <v>21</v>
      </c>
      <c r="B3438" s="3" t="str">
        <f>HYPERLINK("https://hawk-eye.atlassian.net/browse/HWKREPORT-38?atlOrigin=eyJpIjoiYzgwYTQ0ZjEyNzQzNGJhN2JmNjEyZTM0NmRhZWZhNjIiLCJwIjoic2hlZXRzLWppcmEifQ","HWKREPORT-38")</f>
        <v>HWKREPORT-38</v>
      </c>
      <c r="C3438" s="1" t="s">
        <v>4783</v>
      </c>
      <c r="D3438" s="1" t="s">
        <v>23</v>
      </c>
      <c r="E3438" s="1" t="s">
        <v>35</v>
      </c>
      <c r="F3438" s="4">
        <v>43408.971875</v>
      </c>
      <c r="G3438" s="3" t="str">
        <f>HYPERLINK("https://hawk-eye.atlassian.net/browse/TVR-40?atlOrigin=eyJpIjoiYzgwYTQ0ZjEyNzQzNGJhN2JmNjEyZTM0NmRhZWZhNjIiLCJwIjoic2hlZXRzLWppcmEifQ","TVR-40")</f>
        <v>TVR-40</v>
      </c>
      <c r="H3438" s="1" t="s">
        <v>1058</v>
      </c>
      <c r="I3438" s="1" t="s">
        <v>1126</v>
      </c>
      <c r="J3438" s="1" t="s">
        <v>26</v>
      </c>
      <c r="K3438" s="1" t="s">
        <v>1573</v>
      </c>
      <c r="L3438" s="1" t="s">
        <v>26</v>
      </c>
      <c r="M3438" s="1" t="s">
        <v>27</v>
      </c>
      <c r="N3438" s="1" t="s">
        <v>26</v>
      </c>
      <c r="O3438" s="1" t="s">
        <v>26</v>
      </c>
      <c r="P3438" s="4">
        <v>43806.637824074074</v>
      </c>
    </row>
    <row r="3439" hidden="1">
      <c r="A3439" s="1" t="s">
        <v>21</v>
      </c>
      <c r="B3439" s="3" t="str">
        <f>HYPERLINK("https://hawk-eye.atlassian.net/browse/HWKREPORT-39?atlOrigin=eyJpIjoiYzgwYTQ0ZjEyNzQzNGJhN2JmNjEyZTM0NmRhZWZhNjIiLCJwIjoic2hlZXRzLWppcmEifQ","HWKREPORT-39")</f>
        <v>HWKREPORT-39</v>
      </c>
      <c r="C3439" s="1" t="s">
        <v>4784</v>
      </c>
      <c r="D3439" s="1" t="s">
        <v>23</v>
      </c>
      <c r="E3439" s="1" t="s">
        <v>35</v>
      </c>
      <c r="F3439" s="4">
        <v>43410.77266203704</v>
      </c>
      <c r="G3439" s="3" t="str">
        <f>HYPERLINK("https://hawk-eye.atlassian.net/browse/SMARTDATA-509?atlOrigin=eyJpIjoiYzgwYTQ0ZjEyNzQzNGJhN2JmNjEyZTM0NmRhZWZhNjIiLCJwIjoic2hlZXRzLWppcmEifQ","SMARTDATA-509")</f>
        <v>SMARTDATA-509</v>
      </c>
      <c r="H3439" s="1" t="s">
        <v>1058</v>
      </c>
      <c r="I3439" s="1" t="s">
        <v>1085</v>
      </c>
      <c r="J3439" s="1" t="s">
        <v>26</v>
      </c>
      <c r="K3439" s="1" t="s">
        <v>4632</v>
      </c>
      <c r="L3439" s="1" t="s">
        <v>26</v>
      </c>
      <c r="M3439" s="1" t="s">
        <v>27</v>
      </c>
      <c r="N3439" s="1" t="s">
        <v>26</v>
      </c>
      <c r="O3439" s="1" t="s">
        <v>26</v>
      </c>
      <c r="P3439" s="4">
        <v>43423.68917824074</v>
      </c>
    </row>
  </sheetData>
  <autoFilter ref="$A$1:$Z$3439">
    <filterColumn colId="8">
      <filters>
        <filter val="Basketball"/>
      </filters>
    </filterColumn>
    <filterColumn colId="0">
      <filters>
        <filter val="Support"/>
        <filter val="Bug"/>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
    <col customWidth="1" min="3" max="3" width="6.38"/>
    <col customWidth="1" min="4" max="4" width="8.88"/>
    <col customWidth="1" min="5" max="5" width="12.88"/>
    <col customWidth="1" min="6" max="6" width="15.38"/>
    <col customWidth="1" min="7" max="8" width="14.38"/>
  </cols>
  <sheetData>
    <row r="1">
      <c r="B1" s="2" t="s">
        <v>4785</v>
      </c>
    </row>
    <row r="2">
      <c r="B2" s="21" t="s">
        <v>4786</v>
      </c>
      <c r="C2" s="21" t="s">
        <v>3</v>
      </c>
      <c r="D2" s="64" t="s">
        <v>258</v>
      </c>
      <c r="E2" s="21" t="s">
        <v>218</v>
      </c>
      <c r="F2" s="21" t="s">
        <v>223</v>
      </c>
      <c r="G2" s="64" t="s">
        <v>257</v>
      </c>
      <c r="H2" s="65" t="s">
        <v>256</v>
      </c>
      <c r="I2" s="21" t="s">
        <v>248</v>
      </c>
      <c r="J2" s="21" t="s">
        <v>216</v>
      </c>
      <c r="K2" s="21" t="s">
        <v>246</v>
      </c>
      <c r="L2" s="2"/>
      <c r="M2" s="2"/>
    </row>
    <row r="3">
      <c r="B3" s="60">
        <f>'testmo-export-repository'!A2</f>
        <v>1110</v>
      </c>
      <c r="C3" s="60" t="str">
        <f t="array" ref="C3">IFERROR(INDEX('testmo-export-repository'!$B$2:$X$1000,MATCH($B3,'testmo-export-repository'!$A$2:$A$1000,false),MATCH(C$2,'testmo-export-repository'!$B$1:$X$1,false)),"")</f>
        <v>High</v>
      </c>
      <c r="D3" s="60" t="str">
        <f t="array" ref="D3">IFERROR(INDEX('testmo-export-repository'!$B$2:$X$1000,MATCH($B3,'testmo-export-repository'!$A$2:$A$1000,false),MATCH(D$2,'testmo-export-repository'!$B$1:$X$1,false)),"")</f>
        <v>Low</v>
      </c>
      <c r="E3" s="60">
        <f>IFERROR(VLOOKUP($C3,instructions!$N$3:$O$5,2,false),"")</f>
        <v>1</v>
      </c>
      <c r="F3" s="60">
        <f>IFERROR(VLOOKUP($D3,instructions!$N$3:$O$5,2,false),"")</f>
        <v>3</v>
      </c>
      <c r="G3" s="60" t="str">
        <f t="array" ref="G3">IFERROR(INDEX('testmo-export-repository'!$B$2:$X$1000,MATCH($B3,'testmo-export-repository'!$A$2:$A$1000,false),MATCH(G$2,'testmo-export-repository'!$B$1:$Y$1,false)),"")</f>
        <v>Yes</v>
      </c>
      <c r="H3" s="60" t="str">
        <f t="array" ref="H3">IFERROR(INDEX('testmo-export-repository'!$B$2:$X$1000,MATCH($B3,'testmo-export-repository'!$A$2:$A$1000,false),MATCH(H$2,'testmo-export-repository'!$B$1:$Y$1,false)),"")</f>
        <v>No</v>
      </c>
      <c r="I3" s="60" t="str">
        <f t="array" ref="I3">IFERROR(INDEX('testmo-export-repository'!$B$2:$X$1000,MATCH($B3,'testmo-export-repository'!$A$2:$A$1000,false),MATCH(I$2,'testmo-export-repository'!$B$1:$Y$1,false)),"")</f>
        <v>Passed</v>
      </c>
      <c r="J3" s="60" t="str">
        <f t="array" ref="J3">IFERROR(INDEX('testmo-export-repository'!$B$2:$Y$1000,MATCH($B3,'testmo-export-repository'!$A$2:$A$1000,false),MATCH(J$2,'testmo-export-repository'!$B$1:$Y$1,false)),"")</f>
        <v/>
      </c>
      <c r="K3" s="60" t="str">
        <f t="array" ref="K3">IFERROR(INDEX('testmo-export-repository'!$B$2:$Y$1000,MATCH($B3,'testmo-export-repository'!$A$2:$A$1000,false),MATCH(K$2,'testmo-export-repository'!$B$1:$Y$1,false)),"")</f>
        <v>BAS-474</v>
      </c>
    </row>
    <row r="4">
      <c r="B4" s="60">
        <f>'testmo-export-repository'!A3</f>
        <v>2033</v>
      </c>
      <c r="C4" s="60" t="str">
        <f t="array" ref="C4">IFERROR(INDEX('testmo-export-repository'!$B$2:$X$1000,MATCH($B4,'testmo-export-repository'!$A$2:$A$1000,false),MATCH(C$2,'testmo-export-repository'!$B$1:$X$1,false)),"")</f>
        <v>High</v>
      </c>
      <c r="D4" s="60" t="str">
        <f t="array" ref="D4">IFERROR(INDEX('testmo-export-repository'!$B$2:$X$1000,MATCH($B4,'testmo-export-repository'!$A$2:$A$1000,false),MATCH(D$2,'testmo-export-repository'!$B$1:$X$1,false)),"")</f>
        <v>Normal</v>
      </c>
      <c r="E4" s="60">
        <f>IFERROR(VLOOKUP($C4,instructions!$N$3:$O$5,2,false),"")</f>
        <v>1</v>
      </c>
      <c r="F4" s="60">
        <f>IFERROR(VLOOKUP($D4,instructions!$N$3:$O$5,2,false),"")</f>
        <v>2</v>
      </c>
      <c r="G4" s="60" t="str">
        <f t="array" ref="G4">IFERROR(INDEX('testmo-export-repository'!$B$2:$X$1000,MATCH($B4,'testmo-export-repository'!$A$2:$A$1000,false),MATCH(G$2,'testmo-export-repository'!$B$1:$X$1,false)),"")</f>
        <v>Yes</v>
      </c>
      <c r="H4" s="60" t="str">
        <f t="array" ref="H4">IFERROR(INDEX('testmo-export-repository'!$B$2:$X$1000,MATCH($B4,'testmo-export-repository'!$A$2:$A$1000,false),MATCH(H$2,'testmo-export-repository'!$B$1:$X$1,false)),"")</f>
        <v>Yes</v>
      </c>
      <c r="I4" s="60" t="str">
        <f t="array" ref="I4">IFERROR(INDEX('testmo-export-repository'!$B$2:$X$1000,MATCH($B4,'testmo-export-repository'!$A$2:$A$1000,false),MATCH(I$2,'testmo-export-repository'!$B$1:$X$1,false)),"")</f>
        <v/>
      </c>
      <c r="J4" s="60" t="str">
        <f t="array" ref="J4">IFERROR(INDEX('testmo-export-repository'!$B$2:$Y$1000,MATCH($B4,'testmo-export-repository'!$A$2:$A$1000,false),MATCH(J$2,'testmo-export-repository'!$B$1:$Y$1,false)),"")</f>
        <v/>
      </c>
      <c r="K4" s="60" t="str">
        <f t="array" ref="K4">IFERROR(INDEX('testmo-export-repository'!$B$2:$Y$1000,MATCH($B4,'testmo-export-repository'!$A$2:$A$1000,false),MATCH(K$2,'testmo-export-repository'!$B$1:$Y$1,false)),"")</f>
        <v>BAS-121</v>
      </c>
    </row>
    <row r="5">
      <c r="B5" s="60">
        <f>'testmo-export-repository'!A4</f>
        <v>2034</v>
      </c>
      <c r="C5" s="60" t="str">
        <f t="array" ref="C5">IFERROR(INDEX('testmo-export-repository'!$B$2:$X$1000,MATCH($B5,'testmo-export-repository'!$A$2:$A$1000,false),MATCH(C$2,'testmo-export-repository'!$B$1:$X$1,false)),"")</f>
        <v>Normal</v>
      </c>
      <c r="D5" s="60" t="str">
        <f t="array" ref="D5">IFERROR(INDEX('testmo-export-repository'!$B$2:$X$1000,MATCH($B5,'testmo-export-repository'!$A$2:$A$1000,false),MATCH(D$2,'testmo-export-repository'!$B$1:$X$1,false)),"")</f>
        <v>Normal</v>
      </c>
      <c r="E5" s="60">
        <f>IFERROR(VLOOKUP($C5,instructions!$N$3:$O$5,2,false),"")</f>
        <v>2</v>
      </c>
      <c r="F5" s="60">
        <f>IFERROR(VLOOKUP($D5,instructions!$N$3:$O$5,2,false),"")</f>
        <v>2</v>
      </c>
      <c r="G5" s="60" t="str">
        <f t="array" ref="G5">IFERROR(INDEX('testmo-export-repository'!$B$2:$X$1000,MATCH($B5,'testmo-export-repository'!$A$2:$A$1000,false),MATCH(G$2,'testmo-export-repository'!$B$1:$X$1,false)),"")</f>
        <v>No</v>
      </c>
      <c r="H5" s="60" t="str">
        <f t="array" ref="H5">IFERROR(INDEX('testmo-export-repository'!$B$2:$X$1000,MATCH($B5,'testmo-export-repository'!$A$2:$A$1000,false),MATCH(H$2,'testmo-export-repository'!$B$1:$X$1,false)),"")</f>
        <v>No</v>
      </c>
      <c r="I5" s="60" t="str">
        <f t="array" ref="I5">IFERROR(INDEX('testmo-export-repository'!$B$2:$X$1000,MATCH($B5,'testmo-export-repository'!$A$2:$A$1000,false),MATCH(I$2,'testmo-export-repository'!$B$1:$X$1,false)),"")</f>
        <v/>
      </c>
      <c r="J5" s="60" t="str">
        <f t="array" ref="J5">IFERROR(INDEX('testmo-export-repository'!$B$2:$Y$1000,MATCH($B5,'testmo-export-repository'!$A$2:$A$1000,false),MATCH(J$2,'testmo-export-repository'!$B$1:$Y$1,false)),"")</f>
        <v/>
      </c>
      <c r="K5" s="60" t="str">
        <f t="array" ref="K5">IFERROR(INDEX('testmo-export-repository'!$B$2:$Y$1000,MATCH($B5,'testmo-export-repository'!$A$2:$A$1000,false),MATCH(K$2,'testmo-export-repository'!$B$1:$Y$1,false)),"")</f>
        <v>BAS-121</v>
      </c>
    </row>
    <row r="6">
      <c r="B6" s="60">
        <f>'testmo-export-repository'!A5</f>
        <v>2044</v>
      </c>
      <c r="C6" s="60" t="str">
        <f t="array" ref="C6">IFERROR(INDEX('testmo-export-repository'!$B$2:$X$1000,MATCH($B6,'testmo-export-repository'!$A$2:$A$1000,false),MATCH(C$2,'testmo-export-repository'!$B$1:$X$1,false)),"")</f>
        <v>High</v>
      </c>
      <c r="D6" s="60" t="str">
        <f t="array" ref="D6">IFERROR(INDEX('testmo-export-repository'!$B$2:$X$1000,MATCH($B6,'testmo-export-repository'!$A$2:$A$1000,false),MATCH(D$2,'testmo-export-repository'!$B$1:$X$1,false)),"")</f>
        <v>Normal</v>
      </c>
      <c r="E6" s="60">
        <f>IFERROR(VLOOKUP($C6,instructions!$N$3:$O$5,2,false),"")</f>
        <v>1</v>
      </c>
      <c r="F6" s="60">
        <f>IFERROR(VLOOKUP($D6,instructions!$N$3:$O$5,2,false),"")</f>
        <v>2</v>
      </c>
      <c r="G6" s="60" t="str">
        <f t="array" ref="G6">IFERROR(INDEX('testmo-export-repository'!$B$2:$X$1000,MATCH($B6,'testmo-export-repository'!$A$2:$A$1000,false),MATCH(G$2,'testmo-export-repository'!$B$1:$X$1,false)),"")</f>
        <v>Yes</v>
      </c>
      <c r="H6" s="60" t="str">
        <f t="array" ref="H6">IFERROR(INDEX('testmo-export-repository'!$B$2:$X$1000,MATCH($B6,'testmo-export-repository'!$A$2:$A$1000,false),MATCH(H$2,'testmo-export-repository'!$B$1:$X$1,false)),"")</f>
        <v>Yes</v>
      </c>
      <c r="I6" s="60" t="str">
        <f t="array" ref="I6">IFERROR(INDEX('testmo-export-repository'!$B$2:$X$1000,MATCH($B6,'testmo-export-repository'!$A$2:$A$1000,false),MATCH(I$2,'testmo-export-repository'!$B$1:$X$1,false)),"")</f>
        <v/>
      </c>
      <c r="J6" s="60" t="str">
        <f t="array" ref="J6">IFERROR(INDEX('testmo-export-repository'!$B$2:$Y$1000,MATCH($B6,'testmo-export-repository'!$A$2:$A$1000,false),MATCH(J$2,'testmo-export-repository'!$B$1:$Y$1,false)),"")</f>
        <v/>
      </c>
      <c r="K6" s="60" t="str">
        <f t="array" ref="K6">IFERROR(INDEX('testmo-export-repository'!$B$2:$Y$1000,MATCH($B6,'testmo-export-repository'!$A$2:$A$1000,false),MATCH(K$2,'testmo-export-repository'!$B$1:$Y$1,false)),"")</f>
        <v>BAS-121</v>
      </c>
    </row>
    <row r="7">
      <c r="B7" s="60">
        <f>'testmo-export-repository'!A6</f>
        <v>2247</v>
      </c>
      <c r="C7" s="60" t="str">
        <f t="array" ref="C7">IFERROR(INDEX('testmo-export-repository'!$B$2:$X$1000,MATCH($B7,'testmo-export-repository'!$A$2:$A$1000,false),MATCH(C$2,'testmo-export-repository'!$B$1:$X$1,false)),"")</f>
        <v>High</v>
      </c>
      <c r="D7" s="60" t="str">
        <f t="array" ref="D7">IFERROR(INDEX('testmo-export-repository'!$B$2:$X$1000,MATCH($B7,'testmo-export-repository'!$A$2:$A$1000,false),MATCH(D$2,'testmo-export-repository'!$B$1:$X$1,false)),"")</f>
        <v>High</v>
      </c>
      <c r="E7" s="60">
        <f>IFERROR(VLOOKUP($C7,instructions!$N$3:$O$5,2,false),"")</f>
        <v>1</v>
      </c>
      <c r="F7" s="60">
        <f>IFERROR(VLOOKUP($D7,instructions!$N$3:$O$5,2,false),"")</f>
        <v>1</v>
      </c>
      <c r="G7" s="60" t="str">
        <f t="array" ref="G7">IFERROR(INDEX('testmo-export-repository'!$B$2:$X$1000,MATCH($B7,'testmo-export-repository'!$A$2:$A$1000,false),MATCH(G$2,'testmo-export-repository'!$B$1:$X$1,false)),"")</f>
        <v>Yes</v>
      </c>
      <c r="H7" s="60" t="str">
        <f t="array" ref="H7">IFERROR(INDEX('testmo-export-repository'!$B$2:$X$1000,MATCH($B7,'testmo-export-repository'!$A$2:$A$1000,false),MATCH(H$2,'testmo-export-repository'!$B$1:$X$1,false)),"")</f>
        <v>No</v>
      </c>
      <c r="I7" s="60" t="str">
        <f t="array" ref="I7">IFERROR(INDEX('testmo-export-repository'!$B$2:$X$1000,MATCH($B7,'testmo-export-repository'!$A$2:$A$1000,false),MATCH(I$2,'testmo-export-repository'!$B$1:$X$1,false)),"")</f>
        <v/>
      </c>
      <c r="J7" s="60" t="str">
        <f t="array" ref="J7">IFERROR(INDEX('testmo-export-repository'!$B$2:$Y$1000,MATCH($B7,'testmo-export-repository'!$A$2:$A$1000,false),MATCH(J$2,'testmo-export-repository'!$B$1:$Y$1,false)),"")</f>
        <v/>
      </c>
      <c r="K7" s="60" t="str">
        <f t="array" ref="K7">IFERROR(INDEX('testmo-export-repository'!$B$2:$Y$1000,MATCH($B7,'testmo-export-repository'!$A$2:$A$1000,false),MATCH(K$2,'testmo-export-repository'!$B$1:$Y$1,false)),"")</f>
        <v/>
      </c>
    </row>
    <row r="8">
      <c r="B8" s="60">
        <f>'testmo-export-repository'!A7</f>
        <v>2248</v>
      </c>
      <c r="C8" s="60" t="str">
        <f t="array" ref="C8">IFERROR(INDEX('testmo-export-repository'!$B$2:$X$1000,MATCH($B8,'testmo-export-repository'!$A$2:$A$1000,false),MATCH(C$2,'testmo-export-repository'!$B$1:$X$1,false)),"")</f>
        <v>High</v>
      </c>
      <c r="D8" s="60" t="str">
        <f t="array" ref="D8">IFERROR(INDEX('testmo-export-repository'!$B$2:$X$1000,MATCH($B8,'testmo-export-repository'!$A$2:$A$1000,false),MATCH(D$2,'testmo-export-repository'!$B$1:$X$1,false)),"")</f>
        <v>High</v>
      </c>
      <c r="E8" s="60">
        <f>IFERROR(VLOOKUP($C8,instructions!$N$3:$O$5,2,false),"")</f>
        <v>1</v>
      </c>
      <c r="F8" s="60">
        <f>IFERROR(VLOOKUP($D8,instructions!$N$3:$O$5,2,false),"")</f>
        <v>1</v>
      </c>
      <c r="G8" s="60" t="str">
        <f t="array" ref="G8">IFERROR(INDEX('testmo-export-repository'!$B$2:$X$1000,MATCH($B8,'testmo-export-repository'!$A$2:$A$1000,false),MATCH(G$2,'testmo-export-repository'!$B$1:$X$1,false)),"")</f>
        <v>Yes</v>
      </c>
      <c r="H8" s="60" t="str">
        <f t="array" ref="H8">IFERROR(INDEX('testmo-export-repository'!$B$2:$X$1000,MATCH($B8,'testmo-export-repository'!$A$2:$A$1000,false),MATCH(H$2,'testmo-export-repository'!$B$1:$X$1,false)),"")</f>
        <v>No</v>
      </c>
      <c r="I8" s="60" t="str">
        <f t="array" ref="I8">IFERROR(INDEX('testmo-export-repository'!$B$2:$X$1000,MATCH($B8,'testmo-export-repository'!$A$2:$A$1000,false),MATCH(I$2,'testmo-export-repository'!$B$1:$X$1,false)),"")</f>
        <v/>
      </c>
      <c r="J8" s="60" t="str">
        <f t="array" ref="J8">IFERROR(INDEX('testmo-export-repository'!$B$2:$Y$1000,MATCH($B8,'testmo-export-repository'!$A$2:$A$1000,false),MATCH(J$2,'testmo-export-repository'!$B$1:$Y$1,false)),"")</f>
        <v/>
      </c>
      <c r="K8" s="60" t="str">
        <f t="array" ref="K8">IFERROR(INDEX('testmo-export-repository'!$B$2:$Y$1000,MATCH($B8,'testmo-export-repository'!$A$2:$A$1000,false),MATCH(K$2,'testmo-export-repository'!$B$1:$Y$1,false)),"")</f>
        <v/>
      </c>
    </row>
    <row r="9">
      <c r="B9" s="60">
        <f>'testmo-export-repository'!A8</f>
        <v>2249</v>
      </c>
      <c r="C9" s="60" t="str">
        <f t="array" ref="C9">IFERROR(INDEX('testmo-export-repository'!$B$2:$X$1000,MATCH($B9,'testmo-export-repository'!$A$2:$A$1000,false),MATCH(C$2,'testmo-export-repository'!$B$1:$X$1,false)),"")</f>
        <v>High</v>
      </c>
      <c r="D9" s="60" t="str">
        <f t="array" ref="D9">IFERROR(INDEX('testmo-export-repository'!$B$2:$X$1000,MATCH($B9,'testmo-export-repository'!$A$2:$A$1000,false),MATCH(D$2,'testmo-export-repository'!$B$1:$X$1,false)),"")</f>
        <v>High</v>
      </c>
      <c r="E9" s="60">
        <f>IFERROR(VLOOKUP($C9,instructions!$N$3:$O$5,2,false),"")</f>
        <v>1</v>
      </c>
      <c r="F9" s="60">
        <f>IFERROR(VLOOKUP($D9,instructions!$N$3:$O$5,2,false),"")</f>
        <v>1</v>
      </c>
      <c r="G9" s="60" t="str">
        <f t="array" ref="G9">IFERROR(INDEX('testmo-export-repository'!$B$2:$X$1000,MATCH($B9,'testmo-export-repository'!$A$2:$A$1000,false),MATCH(G$2,'testmo-export-repository'!$B$1:$X$1,false)),"")</f>
        <v>Yes</v>
      </c>
      <c r="H9" s="60" t="str">
        <f t="array" ref="H9">IFERROR(INDEX('testmo-export-repository'!$B$2:$X$1000,MATCH($B9,'testmo-export-repository'!$A$2:$A$1000,false),MATCH(H$2,'testmo-export-repository'!$B$1:$X$1,false)),"")</f>
        <v>No</v>
      </c>
      <c r="I9" s="60" t="str">
        <f t="array" ref="I9">IFERROR(INDEX('testmo-export-repository'!$B$2:$X$1000,MATCH($B9,'testmo-export-repository'!$A$2:$A$1000,false),MATCH(I$2,'testmo-export-repository'!$B$1:$X$1,false)),"")</f>
        <v/>
      </c>
      <c r="J9" s="60" t="str">
        <f t="array" ref="J9">IFERROR(INDEX('testmo-export-repository'!$B$2:$Y$1000,MATCH($B9,'testmo-export-repository'!$A$2:$A$1000,false),MATCH(J$2,'testmo-export-repository'!$B$1:$Y$1,false)),"")</f>
        <v/>
      </c>
      <c r="K9" s="60" t="str">
        <f t="array" ref="K9">IFERROR(INDEX('testmo-export-repository'!$B$2:$Y$1000,MATCH($B9,'testmo-export-repository'!$A$2:$A$1000,false),MATCH(K$2,'testmo-export-repository'!$B$1:$Y$1,false)),"")</f>
        <v/>
      </c>
    </row>
    <row r="10">
      <c r="B10" s="60">
        <f>'testmo-export-repository'!A9</f>
        <v>2250</v>
      </c>
      <c r="C10" s="60" t="str">
        <f t="array" ref="C10">IFERROR(INDEX('testmo-export-repository'!$B$2:$X$1000,MATCH($B10,'testmo-export-repository'!$A$2:$A$1000,false),MATCH(C$2,'testmo-export-repository'!$B$1:$X$1,false)),"")</f>
        <v>High</v>
      </c>
      <c r="D10" s="60" t="str">
        <f t="array" ref="D10">IFERROR(INDEX('testmo-export-repository'!$B$2:$X$1000,MATCH($B10,'testmo-export-repository'!$A$2:$A$1000,false),MATCH(D$2,'testmo-export-repository'!$B$1:$X$1,false)),"")</f>
        <v>High</v>
      </c>
      <c r="E10" s="60">
        <f>IFERROR(VLOOKUP($C10,instructions!$N$3:$O$5,2,false),"")</f>
        <v>1</v>
      </c>
      <c r="F10" s="60">
        <f>IFERROR(VLOOKUP($D10,instructions!$N$3:$O$5,2,false),"")</f>
        <v>1</v>
      </c>
      <c r="G10" s="60" t="str">
        <f t="array" ref="G10">IFERROR(INDEX('testmo-export-repository'!$B$2:$X$1000,MATCH($B10,'testmo-export-repository'!$A$2:$A$1000,false),MATCH(G$2,'testmo-export-repository'!$B$1:$X$1,false)),"")</f>
        <v>Yes</v>
      </c>
      <c r="H10" s="60" t="str">
        <f t="array" ref="H10">IFERROR(INDEX('testmo-export-repository'!$B$2:$X$1000,MATCH($B10,'testmo-export-repository'!$A$2:$A$1000,false),MATCH(H$2,'testmo-export-repository'!$B$1:$X$1,false)),"")</f>
        <v>No</v>
      </c>
      <c r="I10" s="60" t="str">
        <f t="array" ref="I10">IFERROR(INDEX('testmo-export-repository'!$B$2:$X$1000,MATCH($B10,'testmo-export-repository'!$A$2:$A$1000,false),MATCH(I$2,'testmo-export-repository'!$B$1:$X$1,false)),"")</f>
        <v/>
      </c>
      <c r="J10" s="60" t="str">
        <f t="array" ref="J10">IFERROR(INDEX('testmo-export-repository'!$B$2:$Y$1000,MATCH($B10,'testmo-export-repository'!$A$2:$A$1000,false),MATCH(J$2,'testmo-export-repository'!$B$1:$Y$1,false)),"")</f>
        <v/>
      </c>
      <c r="K10" s="60" t="str">
        <f t="array" ref="K10">IFERROR(INDEX('testmo-export-repository'!$B$2:$Y$1000,MATCH($B10,'testmo-export-repository'!$A$2:$A$1000,false),MATCH(K$2,'testmo-export-repository'!$B$1:$Y$1,false)),"")</f>
        <v/>
      </c>
    </row>
    <row r="11">
      <c r="B11" s="60">
        <f>'testmo-export-repository'!A10</f>
        <v>2046</v>
      </c>
      <c r="C11" s="60" t="str">
        <f t="array" ref="C11">IFERROR(INDEX('testmo-export-repository'!$B$2:$X$1000,MATCH($B11,'testmo-export-repository'!$A$2:$A$1000,false),MATCH(C$2,'testmo-export-repository'!$B$1:$X$1,false)),"")</f>
        <v>Normal</v>
      </c>
      <c r="D11" s="60" t="str">
        <f t="array" ref="D11">IFERROR(INDEX('testmo-export-repository'!$B$2:$X$1000,MATCH($B11,'testmo-export-repository'!$A$2:$A$1000,false),MATCH(D$2,'testmo-export-repository'!$B$1:$X$1,false)),"")</f>
        <v>Normal</v>
      </c>
      <c r="E11" s="60">
        <f>IFERROR(VLOOKUP($C11,instructions!$N$3:$O$5,2,false),"")</f>
        <v>2</v>
      </c>
      <c r="F11" s="60">
        <f>IFERROR(VLOOKUP($D11,instructions!$N$3:$O$5,2,false),"")</f>
        <v>2</v>
      </c>
      <c r="G11" s="60" t="str">
        <f t="array" ref="G11">IFERROR(INDEX('testmo-export-repository'!$B$2:$X$1000,MATCH($B11,'testmo-export-repository'!$A$2:$A$1000,false),MATCH(G$2,'testmo-export-repository'!$B$1:$X$1,false)),"")</f>
        <v>Yes</v>
      </c>
      <c r="H11" s="60" t="str">
        <f t="array" ref="H11">IFERROR(INDEX('testmo-export-repository'!$B$2:$X$1000,MATCH($B11,'testmo-export-repository'!$A$2:$A$1000,false),MATCH(H$2,'testmo-export-repository'!$B$1:$X$1,false)),"")</f>
        <v>No</v>
      </c>
      <c r="I11" s="60" t="str">
        <f t="array" ref="I11">IFERROR(INDEX('testmo-export-repository'!$B$2:$X$1000,MATCH($B11,'testmo-export-repository'!$A$2:$A$1000,false),MATCH(I$2,'testmo-export-repository'!$B$1:$X$1,false)),"")</f>
        <v/>
      </c>
      <c r="J11" s="60" t="str">
        <f t="array" ref="J11">IFERROR(INDEX('testmo-export-repository'!$B$2:$Y$1000,MATCH($B11,'testmo-export-repository'!$A$2:$A$1000,false),MATCH(J$2,'testmo-export-repository'!$B$1:$Y$1,false)),"")</f>
        <v/>
      </c>
      <c r="K11" s="60" t="str">
        <f t="array" ref="K11">IFERROR(INDEX('testmo-export-repository'!$B$2:$Y$1000,MATCH($B11,'testmo-export-repository'!$A$2:$A$1000,false),MATCH(K$2,'testmo-export-repository'!$B$1:$Y$1,false)),"")</f>
        <v>BAS-121</v>
      </c>
    </row>
    <row r="12">
      <c r="B12" s="60">
        <f>'testmo-export-repository'!A11</f>
        <v>2047</v>
      </c>
      <c r="C12" s="60" t="str">
        <f t="array" ref="C12">IFERROR(INDEX('testmo-export-repository'!$B$2:$X$1000,MATCH($B12,'testmo-export-repository'!$A$2:$A$1000,false),MATCH(C$2,'testmo-export-repository'!$B$1:$X$1,false)),"")</f>
        <v>Normal</v>
      </c>
      <c r="D12" s="60" t="str">
        <f t="array" ref="D12">IFERROR(INDEX('testmo-export-repository'!$B$2:$X$1000,MATCH($B12,'testmo-export-repository'!$A$2:$A$1000,false),MATCH(D$2,'testmo-export-repository'!$B$1:$X$1,false)),"")</f>
        <v>Normal</v>
      </c>
      <c r="E12" s="60">
        <f>IFERROR(VLOOKUP($C12,instructions!$N$3:$O$5,2,false),"")</f>
        <v>2</v>
      </c>
      <c r="F12" s="60">
        <f>IFERROR(VLOOKUP($D12,instructions!$N$3:$O$5,2,false),"")</f>
        <v>2</v>
      </c>
      <c r="G12" s="60" t="str">
        <f t="array" ref="G12">IFERROR(INDEX('testmo-export-repository'!$B$2:$X$1000,MATCH($B12,'testmo-export-repository'!$A$2:$A$1000,false),MATCH(G$2,'testmo-export-repository'!$B$1:$X$1,false)),"")</f>
        <v>Yes</v>
      </c>
      <c r="H12" s="60" t="str">
        <f t="array" ref="H12">IFERROR(INDEX('testmo-export-repository'!$B$2:$X$1000,MATCH($B12,'testmo-export-repository'!$A$2:$A$1000,false),MATCH(H$2,'testmo-export-repository'!$B$1:$X$1,false)),"")</f>
        <v>No</v>
      </c>
      <c r="I12" s="60" t="str">
        <f t="array" ref="I12">IFERROR(INDEX('testmo-export-repository'!$B$2:$X$1000,MATCH($B12,'testmo-export-repository'!$A$2:$A$1000,false),MATCH(I$2,'testmo-export-repository'!$B$1:$X$1,false)),"")</f>
        <v/>
      </c>
      <c r="J12" s="60" t="str">
        <f t="array" ref="J12">IFERROR(INDEX('testmo-export-repository'!$B$2:$Y$1000,MATCH($B12,'testmo-export-repository'!$A$2:$A$1000,false),MATCH(J$2,'testmo-export-repository'!$B$1:$Y$1,false)),"")</f>
        <v/>
      </c>
      <c r="K12" s="60" t="str">
        <f t="array" ref="K12">IFERROR(INDEX('testmo-export-repository'!$B$2:$Y$1000,MATCH($B12,'testmo-export-repository'!$A$2:$A$1000,false),MATCH(K$2,'testmo-export-repository'!$B$1:$Y$1,false)),"")</f>
        <v/>
      </c>
    </row>
    <row r="13">
      <c r="B13" s="60">
        <f>'testmo-export-repository'!A12</f>
        <v>2224</v>
      </c>
      <c r="C13" s="60" t="str">
        <f t="array" ref="C13">IFERROR(INDEX('testmo-export-repository'!$B$2:$X$1000,MATCH($B13,'testmo-export-repository'!$A$2:$A$1000,false),MATCH(C$2,'testmo-export-repository'!$B$1:$X$1,false)),"")</f>
        <v>High</v>
      </c>
      <c r="D13" s="60" t="str">
        <f t="array" ref="D13">IFERROR(INDEX('testmo-export-repository'!$B$2:$X$1000,MATCH($B13,'testmo-export-repository'!$A$2:$A$1000,false),MATCH(D$2,'testmo-export-repository'!$B$1:$X$1,false)),"")</f>
        <v>High</v>
      </c>
      <c r="E13" s="60">
        <f>IFERROR(VLOOKUP($C13,instructions!$N$3:$O$5,2,false),"")</f>
        <v>1</v>
      </c>
      <c r="F13" s="60">
        <f>IFERROR(VLOOKUP($D13,instructions!$N$3:$O$5,2,false),"")</f>
        <v>1</v>
      </c>
      <c r="G13" s="60" t="str">
        <f t="array" ref="G13">IFERROR(INDEX('testmo-export-repository'!$B$2:$X$1000,MATCH($B13,'testmo-export-repository'!$A$2:$A$1000,false),MATCH(G$2,'testmo-export-repository'!$B$1:$X$1,false)),"")</f>
        <v>Yes</v>
      </c>
      <c r="H13" s="60" t="str">
        <f t="array" ref="H13">IFERROR(INDEX('testmo-export-repository'!$B$2:$X$1000,MATCH($B13,'testmo-export-repository'!$A$2:$A$1000,false),MATCH(H$2,'testmo-export-repository'!$B$1:$X$1,false)),"")</f>
        <v>No</v>
      </c>
      <c r="I13" s="60" t="str">
        <f t="array" ref="I13">IFERROR(INDEX('testmo-export-repository'!$B$2:$X$1000,MATCH($B13,'testmo-export-repository'!$A$2:$A$1000,false),MATCH(I$2,'testmo-export-repository'!$B$1:$X$1,false)),"")</f>
        <v/>
      </c>
      <c r="J13" s="60" t="str">
        <f t="array" ref="J13">IFERROR(INDEX('testmo-export-repository'!$B$2:$Y$1000,MATCH($B13,'testmo-export-repository'!$A$2:$A$1000,false),MATCH(J$2,'testmo-export-repository'!$B$1:$Y$1,false)),"")</f>
        <v/>
      </c>
      <c r="K13" s="60" t="str">
        <f t="array" ref="K13">IFERROR(INDEX('testmo-export-repository'!$B$2:$Y$1000,MATCH($B13,'testmo-export-repository'!$A$2:$A$1000,false),MATCH(K$2,'testmo-export-repository'!$B$1:$Y$1,false)),"")</f>
        <v/>
      </c>
    </row>
    <row r="14">
      <c r="B14" s="60">
        <f>'testmo-export-repository'!A13</f>
        <v>7118</v>
      </c>
      <c r="C14" s="60" t="str">
        <f t="array" ref="C14">IFERROR(INDEX('testmo-export-repository'!$B$2:$X$1000,MATCH($B14,'testmo-export-repository'!$A$2:$A$1000,false),MATCH(C$2,'testmo-export-repository'!$B$1:$X$1,false)),"")</f>
        <v>High</v>
      </c>
      <c r="D14" s="60" t="str">
        <f t="array" ref="D14">IFERROR(INDEX('testmo-export-repository'!$B$2:$X$1000,MATCH($B14,'testmo-export-repository'!$A$2:$A$1000,false),MATCH(D$2,'testmo-export-repository'!$B$1:$X$1,false)),"")</f>
        <v>High</v>
      </c>
      <c r="E14" s="60">
        <f>IFERROR(VLOOKUP($C14,instructions!$N$3:$O$5,2,false),"")</f>
        <v>1</v>
      </c>
      <c r="F14" s="60">
        <f>IFERROR(VLOOKUP($D14,instructions!$N$3:$O$5,2,false),"")</f>
        <v>1</v>
      </c>
      <c r="G14" s="60" t="str">
        <f t="array" ref="G14">IFERROR(INDEX('testmo-export-repository'!$B$2:$X$1000,MATCH($B14,'testmo-export-repository'!$A$2:$A$1000,false),MATCH(G$2,'testmo-export-repository'!$B$1:$X$1,false)),"")</f>
        <v>Yes</v>
      </c>
      <c r="H14" s="60" t="str">
        <f t="array" ref="H14">IFERROR(INDEX('testmo-export-repository'!$B$2:$X$1000,MATCH($B14,'testmo-export-repository'!$A$2:$A$1000,false),MATCH(H$2,'testmo-export-repository'!$B$1:$X$1,false)),"")</f>
        <v>No</v>
      </c>
      <c r="I14" s="60" t="str">
        <f t="array" ref="I14">IFERROR(INDEX('testmo-export-repository'!$B$2:$X$1000,MATCH($B14,'testmo-export-repository'!$A$2:$A$1000,false),MATCH(I$2,'testmo-export-repository'!$B$1:$X$1,false)),"")</f>
        <v/>
      </c>
      <c r="J14" s="60" t="str">
        <f t="array" ref="J14">IFERROR(INDEX('testmo-export-repository'!$B$2:$Y$1000,MATCH($B14,'testmo-export-repository'!$A$2:$A$1000,false),MATCH(J$2,'testmo-export-repository'!$B$1:$Y$1,false)),"")</f>
        <v/>
      </c>
      <c r="K14" s="60" t="str">
        <f t="array" ref="K14">IFERROR(INDEX('testmo-export-repository'!$B$2:$Y$1000,MATCH($B14,'testmo-export-repository'!$A$2:$A$1000,false),MATCH(K$2,'testmo-export-repository'!$B$1:$Y$1,false)),"")</f>
        <v/>
      </c>
    </row>
    <row r="15">
      <c r="B15" s="60">
        <f>'testmo-export-repository'!A14</f>
        <v>2225</v>
      </c>
      <c r="C15" s="60" t="str">
        <f t="array" ref="C15">IFERROR(INDEX('testmo-export-repository'!$B$2:$X$1000,MATCH($B15,'testmo-export-repository'!$A$2:$A$1000,false),MATCH(C$2,'testmo-export-repository'!$B$1:$X$1,false)),"")</f>
        <v>High</v>
      </c>
      <c r="D15" s="60" t="str">
        <f t="array" ref="D15">IFERROR(INDEX('testmo-export-repository'!$B$2:$X$1000,MATCH($B15,'testmo-export-repository'!$A$2:$A$1000,false),MATCH(D$2,'testmo-export-repository'!$B$1:$X$1,false)),"")</f>
        <v>High</v>
      </c>
      <c r="E15" s="60">
        <f>IFERROR(VLOOKUP($C15,instructions!$N$3:$O$5,2,false),"")</f>
        <v>1</v>
      </c>
      <c r="F15" s="60">
        <f>IFERROR(VLOOKUP($D15,instructions!$N$3:$O$5,2,false),"")</f>
        <v>1</v>
      </c>
      <c r="G15" s="60" t="str">
        <f t="array" ref="G15">IFERROR(INDEX('testmo-export-repository'!$B$2:$X$1000,MATCH($B15,'testmo-export-repository'!$A$2:$A$1000,false),MATCH(G$2,'testmo-export-repository'!$B$1:$X$1,false)),"")</f>
        <v>Yes</v>
      </c>
      <c r="H15" s="60" t="str">
        <f t="array" ref="H15">IFERROR(INDEX('testmo-export-repository'!$B$2:$X$1000,MATCH($B15,'testmo-export-repository'!$A$2:$A$1000,false),MATCH(H$2,'testmo-export-repository'!$B$1:$X$1,false)),"")</f>
        <v>No</v>
      </c>
      <c r="I15" s="60" t="str">
        <f t="array" ref="I15">IFERROR(INDEX('testmo-export-repository'!$B$2:$X$1000,MATCH($B15,'testmo-export-repository'!$A$2:$A$1000,false),MATCH(I$2,'testmo-export-repository'!$B$1:$X$1,false)),"")</f>
        <v/>
      </c>
      <c r="J15" s="60" t="str">
        <f t="array" ref="J15">IFERROR(INDEX('testmo-export-repository'!$B$2:$Y$1000,MATCH($B15,'testmo-export-repository'!$A$2:$A$1000,false),MATCH(J$2,'testmo-export-repository'!$B$1:$Y$1,false)),"")</f>
        <v/>
      </c>
      <c r="K15" s="60" t="str">
        <f t="array" ref="K15">IFERROR(INDEX('testmo-export-repository'!$B$2:$Y$1000,MATCH($B15,'testmo-export-repository'!$A$2:$A$1000,false),MATCH(K$2,'testmo-export-repository'!$B$1:$Y$1,false)),"")</f>
        <v/>
      </c>
    </row>
    <row r="16">
      <c r="B16" s="60">
        <f>'testmo-export-repository'!A15</f>
        <v>2226</v>
      </c>
      <c r="C16" s="60" t="str">
        <f t="array" ref="C16">IFERROR(INDEX('testmo-export-repository'!$B$2:$X$1000,MATCH($B16,'testmo-export-repository'!$A$2:$A$1000,false),MATCH(C$2,'testmo-export-repository'!$B$1:$X$1,false)),"")</f>
        <v>High</v>
      </c>
      <c r="D16" s="60" t="str">
        <f t="array" ref="D16">IFERROR(INDEX('testmo-export-repository'!$B$2:$X$1000,MATCH($B16,'testmo-export-repository'!$A$2:$A$1000,false),MATCH(D$2,'testmo-export-repository'!$B$1:$X$1,false)),"")</f>
        <v>Normal</v>
      </c>
      <c r="E16" s="60">
        <f>IFERROR(VLOOKUP($C16,instructions!$N$3:$O$5,2,false),"")</f>
        <v>1</v>
      </c>
      <c r="F16" s="60">
        <f>IFERROR(VLOOKUP($D16,instructions!$N$3:$O$5,2,false),"")</f>
        <v>2</v>
      </c>
      <c r="G16" s="60" t="str">
        <f t="array" ref="G16">IFERROR(INDEX('testmo-export-repository'!$B$2:$X$1000,MATCH($B16,'testmo-export-repository'!$A$2:$A$1000,false),MATCH(G$2,'testmo-export-repository'!$B$1:$X$1,false)),"")</f>
        <v>Yes</v>
      </c>
      <c r="H16" s="60" t="str">
        <f t="array" ref="H16">IFERROR(INDEX('testmo-export-repository'!$B$2:$X$1000,MATCH($B16,'testmo-export-repository'!$A$2:$A$1000,false),MATCH(H$2,'testmo-export-repository'!$B$1:$X$1,false)),"")</f>
        <v>No</v>
      </c>
      <c r="I16" s="60" t="str">
        <f t="array" ref="I16">IFERROR(INDEX('testmo-export-repository'!$B$2:$X$1000,MATCH($B16,'testmo-export-repository'!$A$2:$A$1000,false),MATCH(I$2,'testmo-export-repository'!$B$1:$X$1,false)),"")</f>
        <v/>
      </c>
      <c r="J16" s="60" t="str">
        <f t="array" ref="J16">IFERROR(INDEX('testmo-export-repository'!$B$2:$Y$1000,MATCH($B16,'testmo-export-repository'!$A$2:$A$1000,false),MATCH(J$2,'testmo-export-repository'!$B$1:$Y$1,false)),"")</f>
        <v/>
      </c>
      <c r="K16" s="60" t="str">
        <f t="array" ref="K16">IFERROR(INDEX('testmo-export-repository'!$B$2:$Y$1000,MATCH($B16,'testmo-export-repository'!$A$2:$A$1000,false),MATCH(K$2,'testmo-export-repository'!$B$1:$Y$1,false)),"")</f>
        <v/>
      </c>
    </row>
    <row r="17">
      <c r="B17" s="60">
        <f>'testmo-export-repository'!A16</f>
        <v>2228</v>
      </c>
      <c r="C17" s="60" t="str">
        <f t="array" ref="C17">IFERROR(INDEX('testmo-export-repository'!$B$2:$X$1000,MATCH($B17,'testmo-export-repository'!$A$2:$A$1000,false),MATCH(C$2,'testmo-export-repository'!$B$1:$X$1,false)),"")</f>
        <v>Normal</v>
      </c>
      <c r="D17" s="60" t="str">
        <f t="array" ref="D17">IFERROR(INDEX('testmo-export-repository'!$B$2:$X$1000,MATCH($B17,'testmo-export-repository'!$A$2:$A$1000,false),MATCH(D$2,'testmo-export-repository'!$B$1:$X$1,false)),"")</f>
        <v>Normal</v>
      </c>
      <c r="E17" s="60">
        <f>IFERROR(VLOOKUP($C17,instructions!$N$3:$O$5,2,false),"")</f>
        <v>2</v>
      </c>
      <c r="F17" s="60">
        <f>IFERROR(VLOOKUP($D17,instructions!$N$3:$O$5,2,false),"")</f>
        <v>2</v>
      </c>
      <c r="G17" s="60" t="str">
        <f t="array" ref="G17">IFERROR(INDEX('testmo-export-repository'!$B$2:$X$1000,MATCH($B17,'testmo-export-repository'!$A$2:$A$1000,false),MATCH(G$2,'testmo-export-repository'!$B$1:$X$1,false)),"")</f>
        <v>Yes</v>
      </c>
      <c r="H17" s="60" t="str">
        <f t="array" ref="H17">IFERROR(INDEX('testmo-export-repository'!$B$2:$X$1000,MATCH($B17,'testmo-export-repository'!$A$2:$A$1000,false),MATCH(H$2,'testmo-export-repository'!$B$1:$X$1,false)),"")</f>
        <v>No</v>
      </c>
      <c r="I17" s="60" t="str">
        <f t="array" ref="I17">IFERROR(INDEX('testmo-export-repository'!$B$2:$X$1000,MATCH($B17,'testmo-export-repository'!$A$2:$A$1000,false),MATCH(I$2,'testmo-export-repository'!$B$1:$X$1,false)),"")</f>
        <v/>
      </c>
      <c r="J17" s="60" t="str">
        <f t="array" ref="J17">IFERROR(INDEX('testmo-export-repository'!$B$2:$Y$1000,MATCH($B17,'testmo-export-repository'!$A$2:$A$1000,false),MATCH(J$2,'testmo-export-repository'!$B$1:$Y$1,false)),"")</f>
        <v/>
      </c>
      <c r="K17" s="60" t="str">
        <f t="array" ref="K17">IFERROR(INDEX('testmo-export-repository'!$B$2:$Y$1000,MATCH($B17,'testmo-export-repository'!$A$2:$A$1000,false),MATCH(K$2,'testmo-export-repository'!$B$1:$Y$1,false)),"")</f>
        <v/>
      </c>
    </row>
    <row r="18">
      <c r="B18" s="60">
        <f>'testmo-export-repository'!A17</f>
        <v>2229</v>
      </c>
      <c r="C18" s="60" t="str">
        <f t="array" ref="C18">IFERROR(INDEX('testmo-export-repository'!$B$2:$X$1000,MATCH($B18,'testmo-export-repository'!$A$2:$A$1000,false),MATCH(C$2,'testmo-export-repository'!$B$1:$X$1,false)),"")</f>
        <v>Normal</v>
      </c>
      <c r="D18" s="60" t="str">
        <f t="array" ref="D18">IFERROR(INDEX('testmo-export-repository'!$B$2:$X$1000,MATCH($B18,'testmo-export-repository'!$A$2:$A$1000,false),MATCH(D$2,'testmo-export-repository'!$B$1:$X$1,false)),"")</f>
        <v>Normal</v>
      </c>
      <c r="E18" s="60">
        <f>IFERROR(VLOOKUP($C18,instructions!$N$3:$O$5,2,false),"")</f>
        <v>2</v>
      </c>
      <c r="F18" s="60">
        <f>IFERROR(VLOOKUP($D18,instructions!$N$3:$O$5,2,false),"")</f>
        <v>2</v>
      </c>
      <c r="G18" s="60" t="str">
        <f t="array" ref="G18">IFERROR(INDEX('testmo-export-repository'!$B$2:$X$1000,MATCH($B18,'testmo-export-repository'!$A$2:$A$1000,false),MATCH(G$2,'testmo-export-repository'!$B$1:$X$1,false)),"")</f>
        <v>Yes</v>
      </c>
      <c r="H18" s="60" t="str">
        <f t="array" ref="H18">IFERROR(INDEX('testmo-export-repository'!$B$2:$X$1000,MATCH($B18,'testmo-export-repository'!$A$2:$A$1000,false),MATCH(H$2,'testmo-export-repository'!$B$1:$X$1,false)),"")</f>
        <v>No</v>
      </c>
      <c r="I18" s="60" t="str">
        <f t="array" ref="I18">IFERROR(INDEX('testmo-export-repository'!$B$2:$X$1000,MATCH($B18,'testmo-export-repository'!$A$2:$A$1000,false),MATCH(I$2,'testmo-export-repository'!$B$1:$X$1,false)),"")</f>
        <v/>
      </c>
      <c r="J18" s="60" t="str">
        <f t="array" ref="J18">IFERROR(INDEX('testmo-export-repository'!$B$2:$Y$1000,MATCH($B18,'testmo-export-repository'!$A$2:$A$1000,false),MATCH(J$2,'testmo-export-repository'!$B$1:$Y$1,false)),"")</f>
        <v/>
      </c>
      <c r="K18" s="60" t="str">
        <f t="array" ref="K18">IFERROR(INDEX('testmo-export-repository'!$B$2:$Y$1000,MATCH($B18,'testmo-export-repository'!$A$2:$A$1000,false),MATCH(K$2,'testmo-export-repository'!$B$1:$Y$1,false)),"")</f>
        <v/>
      </c>
    </row>
    <row r="19">
      <c r="B19" s="60">
        <f>'testmo-export-repository'!A18</f>
        <v>2231</v>
      </c>
      <c r="C19" s="60" t="str">
        <f t="array" ref="C19">IFERROR(INDEX('testmo-export-repository'!$B$2:$X$1000,MATCH($B19,'testmo-export-repository'!$A$2:$A$1000,false),MATCH(C$2,'testmo-export-repository'!$B$1:$X$1,false)),"")</f>
        <v>Normal</v>
      </c>
      <c r="D19" s="60" t="str">
        <f t="array" ref="D19">IFERROR(INDEX('testmo-export-repository'!$B$2:$X$1000,MATCH($B19,'testmo-export-repository'!$A$2:$A$1000,false),MATCH(D$2,'testmo-export-repository'!$B$1:$X$1,false)),"")</f>
        <v>Normal</v>
      </c>
      <c r="E19" s="60">
        <f>IFERROR(VLOOKUP($C19,instructions!$N$3:$O$5,2,false),"")</f>
        <v>2</v>
      </c>
      <c r="F19" s="60">
        <f>IFERROR(VLOOKUP($D19,instructions!$N$3:$O$5,2,false),"")</f>
        <v>2</v>
      </c>
      <c r="G19" s="60" t="str">
        <f t="array" ref="G19">IFERROR(INDEX('testmo-export-repository'!$B$2:$X$1000,MATCH($B19,'testmo-export-repository'!$A$2:$A$1000,false),MATCH(G$2,'testmo-export-repository'!$B$1:$X$1,false)),"")</f>
        <v>Yes</v>
      </c>
      <c r="H19" s="60" t="str">
        <f t="array" ref="H19">IFERROR(INDEX('testmo-export-repository'!$B$2:$X$1000,MATCH($B19,'testmo-export-repository'!$A$2:$A$1000,false),MATCH(H$2,'testmo-export-repository'!$B$1:$X$1,false)),"")</f>
        <v>No</v>
      </c>
      <c r="I19" s="60" t="str">
        <f t="array" ref="I19">IFERROR(INDEX('testmo-export-repository'!$B$2:$X$1000,MATCH($B19,'testmo-export-repository'!$A$2:$A$1000,false),MATCH(I$2,'testmo-export-repository'!$B$1:$X$1,false)),"")</f>
        <v/>
      </c>
      <c r="J19" s="60" t="str">
        <f t="array" ref="J19">IFERROR(INDEX('testmo-export-repository'!$B$2:$Y$1000,MATCH($B19,'testmo-export-repository'!$A$2:$A$1000,false),MATCH(J$2,'testmo-export-repository'!$B$1:$Y$1,false)),"")</f>
        <v/>
      </c>
      <c r="K19" s="60" t="str">
        <f t="array" ref="K19">IFERROR(INDEX('testmo-export-repository'!$B$2:$Y$1000,MATCH($B19,'testmo-export-repository'!$A$2:$A$1000,false),MATCH(K$2,'testmo-export-repository'!$B$1:$Y$1,false)),"")</f>
        <v/>
      </c>
    </row>
    <row r="20">
      <c r="B20" s="60">
        <f>'testmo-export-repository'!A19</f>
        <v>2230</v>
      </c>
      <c r="C20" s="60" t="str">
        <f t="array" ref="C20">IFERROR(INDEX('testmo-export-repository'!$B$2:$X$1000,MATCH($B20,'testmo-export-repository'!$A$2:$A$1000,false),MATCH(C$2,'testmo-export-repository'!$B$1:$X$1,false)),"")</f>
        <v>Normal</v>
      </c>
      <c r="D20" s="60" t="str">
        <f t="array" ref="D20">IFERROR(INDEX('testmo-export-repository'!$B$2:$X$1000,MATCH($B20,'testmo-export-repository'!$A$2:$A$1000,false),MATCH(D$2,'testmo-export-repository'!$B$1:$X$1,false)),"")</f>
        <v>High</v>
      </c>
      <c r="E20" s="60">
        <f>IFERROR(VLOOKUP($C20,instructions!$N$3:$O$5,2,false),"")</f>
        <v>2</v>
      </c>
      <c r="F20" s="60">
        <f>IFERROR(VLOOKUP($D20,instructions!$N$3:$O$5,2,false),"")</f>
        <v>1</v>
      </c>
      <c r="G20" s="60" t="str">
        <f t="array" ref="G20">IFERROR(INDEX('testmo-export-repository'!$B$2:$X$1000,MATCH($B20,'testmo-export-repository'!$A$2:$A$1000,false),MATCH(G$2,'testmo-export-repository'!$B$1:$X$1,false)),"")</f>
        <v>Yes</v>
      </c>
      <c r="H20" s="60" t="str">
        <f t="array" ref="H20">IFERROR(INDEX('testmo-export-repository'!$B$2:$X$1000,MATCH($B20,'testmo-export-repository'!$A$2:$A$1000,false),MATCH(H$2,'testmo-export-repository'!$B$1:$X$1,false)),"")</f>
        <v>Yes</v>
      </c>
      <c r="I20" s="60" t="str">
        <f t="array" ref="I20">IFERROR(INDEX('testmo-export-repository'!$B$2:$X$1000,MATCH($B20,'testmo-export-repository'!$A$2:$A$1000,false),MATCH(I$2,'testmo-export-repository'!$B$1:$X$1,false)),"")</f>
        <v/>
      </c>
      <c r="J20" s="60" t="str">
        <f t="array" ref="J20">IFERROR(INDEX('testmo-export-repository'!$B$2:$Y$1000,MATCH($B20,'testmo-export-repository'!$A$2:$A$1000,false),MATCH(J$2,'testmo-export-repository'!$B$1:$Y$1,false)),"")</f>
        <v/>
      </c>
      <c r="K20" s="60" t="str">
        <f t="array" ref="K20">IFERROR(INDEX('testmo-export-repository'!$B$2:$Y$1000,MATCH($B20,'testmo-export-repository'!$A$2:$A$1000,false),MATCH(K$2,'testmo-export-repository'!$B$1:$Y$1,false)),"")</f>
        <v/>
      </c>
    </row>
    <row r="21">
      <c r="B21" s="60">
        <f>'testmo-export-repository'!A20</f>
        <v>2240</v>
      </c>
      <c r="C21" s="60" t="str">
        <f t="array" ref="C21">IFERROR(INDEX('testmo-export-repository'!$B$2:$X$1000,MATCH($B21,'testmo-export-repository'!$A$2:$A$1000,false),MATCH(C$2,'testmo-export-repository'!$B$1:$X$1,false)),"")</f>
        <v>Normal</v>
      </c>
      <c r="D21" s="60" t="str">
        <f t="array" ref="D21">IFERROR(INDEX('testmo-export-repository'!$B$2:$X$1000,MATCH($B21,'testmo-export-repository'!$A$2:$A$1000,false),MATCH(D$2,'testmo-export-repository'!$B$1:$X$1,false)),"")</f>
        <v>High</v>
      </c>
      <c r="E21" s="60">
        <f>IFERROR(VLOOKUP($C21,instructions!$N$3:$O$5,2,false),"")</f>
        <v>2</v>
      </c>
      <c r="F21" s="60">
        <f>IFERROR(VLOOKUP($D21,instructions!$N$3:$O$5,2,false),"")</f>
        <v>1</v>
      </c>
      <c r="G21" s="60" t="str">
        <f t="array" ref="G21">IFERROR(INDEX('testmo-export-repository'!$B$2:$X$1000,MATCH($B21,'testmo-export-repository'!$A$2:$A$1000,false),MATCH(G$2,'testmo-export-repository'!$B$1:$X$1,false)),"")</f>
        <v>Yes</v>
      </c>
      <c r="H21" s="60" t="str">
        <f t="array" ref="H21">IFERROR(INDEX('testmo-export-repository'!$B$2:$X$1000,MATCH($B21,'testmo-export-repository'!$A$2:$A$1000,false),MATCH(H$2,'testmo-export-repository'!$B$1:$X$1,false)),"")</f>
        <v>Yes</v>
      </c>
      <c r="I21" s="60" t="str">
        <f t="array" ref="I21">IFERROR(INDEX('testmo-export-repository'!$B$2:$X$1000,MATCH($B21,'testmo-export-repository'!$A$2:$A$1000,false),MATCH(I$2,'testmo-export-repository'!$B$1:$X$1,false)),"")</f>
        <v/>
      </c>
      <c r="J21" s="60" t="str">
        <f t="array" ref="J21">IFERROR(INDEX('testmo-export-repository'!$B$2:$Y$1000,MATCH($B21,'testmo-export-repository'!$A$2:$A$1000,false),MATCH(J$2,'testmo-export-repository'!$B$1:$Y$1,false)),"")</f>
        <v/>
      </c>
      <c r="K21" s="60" t="str">
        <f t="array" ref="K21">IFERROR(INDEX('testmo-export-repository'!$B$2:$Y$1000,MATCH($B21,'testmo-export-repository'!$A$2:$A$1000,false),MATCH(K$2,'testmo-export-repository'!$B$1:$Y$1,false)),"")</f>
        <v/>
      </c>
    </row>
    <row r="22">
      <c r="B22" s="60">
        <f>'testmo-export-repository'!A21</f>
        <v>2026</v>
      </c>
      <c r="C22" s="60" t="str">
        <f t="array" ref="C22">IFERROR(INDEX('testmo-export-repository'!$B$2:$X$1000,MATCH($B22,'testmo-export-repository'!$A$2:$A$1000,false),MATCH(C$2,'testmo-export-repository'!$B$1:$X$1,false)),"")</f>
        <v>High</v>
      </c>
      <c r="D22" s="60" t="str">
        <f t="array" ref="D22">IFERROR(INDEX('testmo-export-repository'!$B$2:$X$1000,MATCH($B22,'testmo-export-repository'!$A$2:$A$1000,false),MATCH(D$2,'testmo-export-repository'!$B$1:$X$1,false)),"")</f>
        <v>Normal</v>
      </c>
      <c r="E22" s="60">
        <f>IFERROR(VLOOKUP($C22,instructions!$N$3:$O$5,2,false),"")</f>
        <v>1</v>
      </c>
      <c r="F22" s="60">
        <f>IFERROR(VLOOKUP($D22,instructions!$N$3:$O$5,2,false),"")</f>
        <v>2</v>
      </c>
      <c r="G22" s="60" t="str">
        <f t="array" ref="G22">IFERROR(INDEX('testmo-export-repository'!$B$2:$X$1000,MATCH($B22,'testmo-export-repository'!$A$2:$A$1000,false),MATCH(G$2,'testmo-export-repository'!$B$1:$X$1,false)),"")</f>
        <v>Yes</v>
      </c>
      <c r="H22" s="60" t="str">
        <f t="array" ref="H22">IFERROR(INDEX('testmo-export-repository'!$B$2:$X$1000,MATCH($B22,'testmo-export-repository'!$A$2:$A$1000,false),MATCH(H$2,'testmo-export-repository'!$B$1:$X$1,false)),"")</f>
        <v>Yes</v>
      </c>
      <c r="I22" s="60" t="str">
        <f t="array" ref="I22">IFERROR(INDEX('testmo-export-repository'!$B$2:$X$1000,MATCH($B22,'testmo-export-repository'!$A$2:$A$1000,false),MATCH(I$2,'testmo-export-repository'!$B$1:$X$1,false)),"")</f>
        <v/>
      </c>
      <c r="J22" s="60" t="str">
        <f t="array" ref="J22">IFERROR(INDEX('testmo-export-repository'!$B$2:$Y$1000,MATCH($B22,'testmo-export-repository'!$A$2:$A$1000,false),MATCH(J$2,'testmo-export-repository'!$B$1:$Y$1,false)),"")</f>
        <v/>
      </c>
      <c r="K22" s="60" t="str">
        <f t="array" ref="K22">IFERROR(INDEX('testmo-export-repository'!$B$2:$Y$1000,MATCH($B22,'testmo-export-repository'!$A$2:$A$1000,false),MATCH(K$2,'testmo-export-repository'!$B$1:$Y$1,false)),"")</f>
        <v/>
      </c>
    </row>
    <row r="23">
      <c r="B23" s="60">
        <f>'testmo-export-repository'!A22</f>
        <v>2241</v>
      </c>
      <c r="C23" s="60" t="str">
        <f t="array" ref="C23">IFERROR(INDEX('testmo-export-repository'!$B$2:$X$1000,MATCH($B23,'testmo-export-repository'!$A$2:$A$1000,false),MATCH(C$2,'testmo-export-repository'!$B$1:$X$1,false)),"")</f>
        <v>Normal</v>
      </c>
      <c r="D23" s="60" t="str">
        <f t="array" ref="D23">IFERROR(INDEX('testmo-export-repository'!$B$2:$X$1000,MATCH($B23,'testmo-export-repository'!$A$2:$A$1000,false),MATCH(D$2,'testmo-export-repository'!$B$1:$X$1,false)),"")</f>
        <v>High</v>
      </c>
      <c r="E23" s="60">
        <f>IFERROR(VLOOKUP($C23,instructions!$N$3:$O$5,2,false),"")</f>
        <v>2</v>
      </c>
      <c r="F23" s="60">
        <f>IFERROR(VLOOKUP($D23,instructions!$N$3:$O$5,2,false),"")</f>
        <v>1</v>
      </c>
      <c r="G23" s="60" t="str">
        <f t="array" ref="G23">IFERROR(INDEX('testmo-export-repository'!$B$2:$X$1000,MATCH($B23,'testmo-export-repository'!$A$2:$A$1000,false),MATCH(G$2,'testmo-export-repository'!$B$1:$X$1,false)),"")</f>
        <v>Yes</v>
      </c>
      <c r="H23" s="60" t="str">
        <f t="array" ref="H23">IFERROR(INDEX('testmo-export-repository'!$B$2:$X$1000,MATCH($B23,'testmo-export-repository'!$A$2:$A$1000,false),MATCH(H$2,'testmo-export-repository'!$B$1:$X$1,false)),"")</f>
        <v>No</v>
      </c>
      <c r="I23" s="60" t="str">
        <f t="array" ref="I23">IFERROR(INDEX('testmo-export-repository'!$B$2:$X$1000,MATCH($B23,'testmo-export-repository'!$A$2:$A$1000,false),MATCH(I$2,'testmo-export-repository'!$B$1:$X$1,false)),"")</f>
        <v/>
      </c>
      <c r="J23" s="60" t="str">
        <f t="array" ref="J23">IFERROR(INDEX('testmo-export-repository'!$B$2:$Y$1000,MATCH($B23,'testmo-export-repository'!$A$2:$A$1000,false),MATCH(J$2,'testmo-export-repository'!$B$1:$Y$1,false)),"")</f>
        <v/>
      </c>
      <c r="K23" s="60" t="str">
        <f t="array" ref="K23">IFERROR(INDEX('testmo-export-repository'!$B$2:$Y$1000,MATCH($B23,'testmo-export-repository'!$A$2:$A$1000,false),MATCH(K$2,'testmo-export-repository'!$B$1:$Y$1,false)),"")</f>
        <v/>
      </c>
    </row>
    <row r="24">
      <c r="B24" s="60">
        <f>'testmo-export-repository'!A23</f>
        <v>2242</v>
      </c>
      <c r="C24" s="60" t="str">
        <f t="array" ref="C24">IFERROR(INDEX('testmo-export-repository'!$B$2:$X$1000,MATCH($B24,'testmo-export-repository'!$A$2:$A$1000,false),MATCH(C$2,'testmo-export-repository'!$B$1:$X$1,false)),"")</f>
        <v>High</v>
      </c>
      <c r="D24" s="60" t="str">
        <f t="array" ref="D24">IFERROR(INDEX('testmo-export-repository'!$B$2:$X$1000,MATCH($B24,'testmo-export-repository'!$A$2:$A$1000,false),MATCH(D$2,'testmo-export-repository'!$B$1:$X$1,false)),"")</f>
        <v>Normal</v>
      </c>
      <c r="E24" s="60">
        <f>IFERROR(VLOOKUP($C24,instructions!$N$3:$O$5,2,false),"")</f>
        <v>1</v>
      </c>
      <c r="F24" s="60">
        <f>IFERROR(VLOOKUP($D24,instructions!$N$3:$O$5,2,false),"")</f>
        <v>2</v>
      </c>
      <c r="G24" s="60" t="str">
        <f t="array" ref="G24">IFERROR(INDEX('testmo-export-repository'!$B$2:$X$1000,MATCH($B24,'testmo-export-repository'!$A$2:$A$1000,false),MATCH(G$2,'testmo-export-repository'!$B$1:$X$1,false)),"")</f>
        <v>Yes</v>
      </c>
      <c r="H24" s="60" t="str">
        <f t="array" ref="H24">IFERROR(INDEX('testmo-export-repository'!$B$2:$X$1000,MATCH($B24,'testmo-export-repository'!$A$2:$A$1000,false),MATCH(H$2,'testmo-export-repository'!$B$1:$X$1,false)),"")</f>
        <v>Yes</v>
      </c>
      <c r="I24" s="60" t="str">
        <f t="array" ref="I24">IFERROR(INDEX('testmo-export-repository'!$B$2:$X$1000,MATCH($B24,'testmo-export-repository'!$A$2:$A$1000,false),MATCH(I$2,'testmo-export-repository'!$B$1:$X$1,false)),"")</f>
        <v/>
      </c>
      <c r="J24" s="60" t="str">
        <f t="array" ref="J24">IFERROR(INDEX('testmo-export-repository'!$B$2:$Y$1000,MATCH($B24,'testmo-export-repository'!$A$2:$A$1000,false),MATCH(J$2,'testmo-export-repository'!$B$1:$Y$1,false)),"")</f>
        <v/>
      </c>
      <c r="K24" s="60" t="str">
        <f t="array" ref="K24">IFERROR(INDEX('testmo-export-repository'!$B$2:$Y$1000,MATCH($B24,'testmo-export-repository'!$A$2:$A$1000,false),MATCH(K$2,'testmo-export-repository'!$B$1:$Y$1,false)),"")</f>
        <v/>
      </c>
    </row>
    <row r="25">
      <c r="B25" s="60">
        <f>'testmo-export-repository'!A24</f>
        <v>2243</v>
      </c>
      <c r="C25" s="60" t="str">
        <f t="array" ref="C25">IFERROR(INDEX('testmo-export-repository'!$B$2:$X$1000,MATCH($B25,'testmo-export-repository'!$A$2:$A$1000,false),MATCH(C$2,'testmo-export-repository'!$B$1:$X$1,false)),"")</f>
        <v>Normal</v>
      </c>
      <c r="D25" s="60" t="str">
        <f t="array" ref="D25">IFERROR(INDEX('testmo-export-repository'!$B$2:$X$1000,MATCH($B25,'testmo-export-repository'!$A$2:$A$1000,false),MATCH(D$2,'testmo-export-repository'!$B$1:$X$1,false)),"")</f>
        <v/>
      </c>
      <c r="E25" s="60">
        <f>IFERROR(VLOOKUP($C25,instructions!$N$3:$O$5,2,false),"")</f>
        <v>2</v>
      </c>
      <c r="F25" s="60" t="str">
        <f>IFERROR(VLOOKUP($D25,instructions!$N$3:$O$5,2,false),"")</f>
        <v/>
      </c>
      <c r="G25" s="60" t="str">
        <f t="array" ref="G25">IFERROR(INDEX('testmo-export-repository'!$B$2:$X$1000,MATCH($B25,'testmo-export-repository'!$A$2:$A$1000,false),MATCH(G$2,'testmo-export-repository'!$B$1:$X$1,false)),"")</f>
        <v/>
      </c>
      <c r="H25" s="60" t="str">
        <f t="array" ref="H25">IFERROR(INDEX('testmo-export-repository'!$B$2:$X$1000,MATCH($B25,'testmo-export-repository'!$A$2:$A$1000,false),MATCH(H$2,'testmo-export-repository'!$B$1:$X$1,false)),"")</f>
        <v/>
      </c>
      <c r="I25" s="60" t="str">
        <f t="array" ref="I25">IFERROR(INDEX('testmo-export-repository'!$B$2:$X$1000,MATCH($B25,'testmo-export-repository'!$A$2:$A$1000,false),MATCH(I$2,'testmo-export-repository'!$B$1:$X$1,false)),"")</f>
        <v/>
      </c>
      <c r="J25" s="60" t="str">
        <f t="array" ref="J25">IFERROR(INDEX('testmo-export-repository'!$B$2:$Y$1000,MATCH($B25,'testmo-export-repository'!$A$2:$A$1000,false),MATCH(J$2,'testmo-export-repository'!$B$1:$Y$1,false)),"")</f>
        <v/>
      </c>
      <c r="K25" s="60" t="str">
        <f t="array" ref="K25">IFERROR(INDEX('testmo-export-repository'!$B$2:$Y$1000,MATCH($B25,'testmo-export-repository'!$A$2:$A$1000,false),MATCH(K$2,'testmo-export-repository'!$B$1:$Y$1,false)),"")</f>
        <v/>
      </c>
    </row>
    <row r="26">
      <c r="B26" s="60">
        <f>'testmo-export-repository'!A25</f>
        <v>2244</v>
      </c>
      <c r="C26" s="60" t="str">
        <f t="array" ref="C26">IFERROR(INDEX('testmo-export-repository'!$B$2:$X$1000,MATCH($B26,'testmo-export-repository'!$A$2:$A$1000,false),MATCH(C$2,'testmo-export-repository'!$B$1:$X$1,false)),"")</f>
        <v>High</v>
      </c>
      <c r="D26" s="60" t="str">
        <f t="array" ref="D26">IFERROR(INDEX('testmo-export-repository'!$B$2:$X$1000,MATCH($B26,'testmo-export-repository'!$A$2:$A$1000,false),MATCH(D$2,'testmo-export-repository'!$B$1:$X$1,false)),"")</f>
        <v>High</v>
      </c>
      <c r="E26" s="60">
        <f>IFERROR(VLOOKUP($C26,instructions!$N$3:$O$5,2,false),"")</f>
        <v>1</v>
      </c>
      <c r="F26" s="60">
        <f>IFERROR(VLOOKUP($D26,instructions!$N$3:$O$5,2,false),"")</f>
        <v>1</v>
      </c>
      <c r="G26" s="60" t="str">
        <f t="array" ref="G26">IFERROR(INDEX('testmo-export-repository'!$B$2:$X$1000,MATCH($B26,'testmo-export-repository'!$A$2:$A$1000,false),MATCH(G$2,'testmo-export-repository'!$B$1:$X$1,false)),"")</f>
        <v>Yes</v>
      </c>
      <c r="H26" s="60" t="str">
        <f t="array" ref="H26">IFERROR(INDEX('testmo-export-repository'!$B$2:$X$1000,MATCH($B26,'testmo-export-repository'!$A$2:$A$1000,false),MATCH(H$2,'testmo-export-repository'!$B$1:$X$1,false)),"")</f>
        <v>No</v>
      </c>
      <c r="I26" s="60" t="str">
        <f t="array" ref="I26">IFERROR(INDEX('testmo-export-repository'!$B$2:$X$1000,MATCH($B26,'testmo-export-repository'!$A$2:$A$1000,false),MATCH(I$2,'testmo-export-repository'!$B$1:$X$1,false)),"")</f>
        <v/>
      </c>
      <c r="J26" s="60" t="str">
        <f t="array" ref="J26">IFERROR(INDEX('testmo-export-repository'!$B$2:$Y$1000,MATCH($B26,'testmo-export-repository'!$A$2:$A$1000,false),MATCH(J$2,'testmo-export-repository'!$B$1:$Y$1,false)),"")</f>
        <v/>
      </c>
      <c r="K26" s="60" t="str">
        <f t="array" ref="K26">IFERROR(INDEX('testmo-export-repository'!$B$2:$Y$1000,MATCH($B26,'testmo-export-repository'!$A$2:$A$1000,false),MATCH(K$2,'testmo-export-repository'!$B$1:$Y$1,false)),"")</f>
        <v/>
      </c>
    </row>
    <row r="27">
      <c r="B27" s="60">
        <f>'testmo-export-repository'!A26</f>
        <v>2245</v>
      </c>
      <c r="C27" s="60" t="str">
        <f t="array" ref="C27">IFERROR(INDEX('testmo-export-repository'!$B$2:$X$1000,MATCH($B27,'testmo-export-repository'!$A$2:$A$1000,false),MATCH(C$2,'testmo-export-repository'!$B$1:$X$1,false)),"")</f>
        <v>Normal</v>
      </c>
      <c r="D27" s="60" t="str">
        <f t="array" ref="D27">IFERROR(INDEX('testmo-export-repository'!$B$2:$X$1000,MATCH($B27,'testmo-export-repository'!$A$2:$A$1000,false),MATCH(D$2,'testmo-export-repository'!$B$1:$X$1,false)),"")</f>
        <v>Normal</v>
      </c>
      <c r="E27" s="60">
        <f>IFERROR(VLOOKUP($C27,instructions!$N$3:$O$5,2,false),"")</f>
        <v>2</v>
      </c>
      <c r="F27" s="60">
        <f>IFERROR(VLOOKUP($D27,instructions!$N$3:$O$5,2,false),"")</f>
        <v>2</v>
      </c>
      <c r="G27" s="60" t="str">
        <f t="array" ref="G27">IFERROR(INDEX('testmo-export-repository'!$B$2:$X$1000,MATCH($B27,'testmo-export-repository'!$A$2:$A$1000,false),MATCH(G$2,'testmo-export-repository'!$B$1:$X$1,false)),"")</f>
        <v>Yes</v>
      </c>
      <c r="H27" s="60" t="str">
        <f t="array" ref="H27">IFERROR(INDEX('testmo-export-repository'!$B$2:$X$1000,MATCH($B27,'testmo-export-repository'!$A$2:$A$1000,false),MATCH(H$2,'testmo-export-repository'!$B$1:$X$1,false)),"")</f>
        <v>No</v>
      </c>
      <c r="I27" s="60" t="str">
        <f t="array" ref="I27">IFERROR(INDEX('testmo-export-repository'!$B$2:$X$1000,MATCH($B27,'testmo-export-repository'!$A$2:$A$1000,false),MATCH(I$2,'testmo-export-repository'!$B$1:$X$1,false)),"")</f>
        <v/>
      </c>
      <c r="J27" s="60" t="str">
        <f t="array" ref="J27">IFERROR(INDEX('testmo-export-repository'!$B$2:$Y$1000,MATCH($B27,'testmo-export-repository'!$A$2:$A$1000,false),MATCH(J$2,'testmo-export-repository'!$B$1:$Y$1,false)),"")</f>
        <v/>
      </c>
      <c r="K27" s="60" t="str">
        <f t="array" ref="K27">IFERROR(INDEX('testmo-export-repository'!$B$2:$Y$1000,MATCH($B27,'testmo-export-repository'!$A$2:$A$1000,false),MATCH(K$2,'testmo-export-repository'!$B$1:$Y$1,false)),"")</f>
        <v/>
      </c>
    </row>
    <row r="28">
      <c r="B28" s="60">
        <f>'testmo-export-repository'!A27</f>
        <v>2246</v>
      </c>
      <c r="C28" s="60" t="str">
        <f t="array" ref="C28">IFERROR(INDEX('testmo-export-repository'!$B$2:$X$1000,MATCH($B28,'testmo-export-repository'!$A$2:$A$1000,false),MATCH(C$2,'testmo-export-repository'!$B$1:$X$1,false)),"")</f>
        <v>High</v>
      </c>
      <c r="D28" s="60" t="str">
        <f t="array" ref="D28">IFERROR(INDEX('testmo-export-repository'!$B$2:$X$1000,MATCH($B28,'testmo-export-repository'!$A$2:$A$1000,false),MATCH(D$2,'testmo-export-repository'!$B$1:$X$1,false)),"")</f>
        <v>Normal</v>
      </c>
      <c r="E28" s="60">
        <f>IFERROR(VLOOKUP($C28,instructions!$N$3:$O$5,2,false),"")</f>
        <v>1</v>
      </c>
      <c r="F28" s="60">
        <f>IFERROR(VLOOKUP($D28,instructions!$N$3:$O$5,2,false),"")</f>
        <v>2</v>
      </c>
      <c r="G28" s="60" t="str">
        <f t="array" ref="G28">IFERROR(INDEX('testmo-export-repository'!$B$2:$X$1000,MATCH($B28,'testmo-export-repository'!$A$2:$A$1000,false),MATCH(G$2,'testmo-export-repository'!$B$1:$X$1,false)),"")</f>
        <v>Yes</v>
      </c>
      <c r="H28" s="60" t="str">
        <f t="array" ref="H28">IFERROR(INDEX('testmo-export-repository'!$B$2:$X$1000,MATCH($B28,'testmo-export-repository'!$A$2:$A$1000,false),MATCH(H$2,'testmo-export-repository'!$B$1:$X$1,false)),"")</f>
        <v>No</v>
      </c>
      <c r="I28" s="60" t="str">
        <f t="array" ref="I28">IFERROR(INDEX('testmo-export-repository'!$B$2:$X$1000,MATCH($B28,'testmo-export-repository'!$A$2:$A$1000,false),MATCH(I$2,'testmo-export-repository'!$B$1:$X$1,false)),"")</f>
        <v/>
      </c>
      <c r="J28" s="60" t="str">
        <f t="array" ref="J28">IFERROR(INDEX('testmo-export-repository'!$B$2:$Y$1000,MATCH($B28,'testmo-export-repository'!$A$2:$A$1000,false),MATCH(J$2,'testmo-export-repository'!$B$1:$Y$1,false)),"")</f>
        <v/>
      </c>
      <c r="K28" s="60" t="str">
        <f t="array" ref="K28">IFERROR(INDEX('testmo-export-repository'!$B$2:$Y$1000,MATCH($B28,'testmo-export-repository'!$A$2:$A$1000,false),MATCH(K$2,'testmo-export-repository'!$B$1:$Y$1,false)),"")</f>
        <v/>
      </c>
    </row>
    <row r="29">
      <c r="B29" s="60">
        <f>'testmo-export-repository'!A28</f>
        <v>1900</v>
      </c>
      <c r="C29" s="60" t="str">
        <f t="array" ref="C29">IFERROR(INDEX('testmo-export-repository'!$B$2:$X$1000,MATCH($B29,'testmo-export-repository'!$A$2:$A$1000,false),MATCH(C$2,'testmo-export-repository'!$B$1:$X$1,false)),"")</f>
        <v>High</v>
      </c>
      <c r="D29" s="60" t="str">
        <f t="array" ref="D29">IFERROR(INDEX('testmo-export-repository'!$B$2:$X$1000,MATCH($B29,'testmo-export-repository'!$A$2:$A$1000,false),MATCH(D$2,'testmo-export-repository'!$B$1:$X$1,false)),"")</f>
        <v>Normal</v>
      </c>
      <c r="E29" s="60">
        <f>IFERROR(VLOOKUP($C29,instructions!$N$3:$O$5,2,false),"")</f>
        <v>1</v>
      </c>
      <c r="F29" s="60">
        <f>IFERROR(VLOOKUP($D29,instructions!$N$3:$O$5,2,false),"")</f>
        <v>2</v>
      </c>
      <c r="G29" s="60" t="str">
        <f t="array" ref="G29">IFERROR(INDEX('testmo-export-repository'!$B$2:$X$1000,MATCH($B29,'testmo-export-repository'!$A$2:$A$1000,false),MATCH(G$2,'testmo-export-repository'!$B$1:$X$1,false)),"")</f>
        <v>Yes</v>
      </c>
      <c r="H29" s="60" t="str">
        <f t="array" ref="H29">IFERROR(INDEX('testmo-export-repository'!$B$2:$X$1000,MATCH($B29,'testmo-export-repository'!$A$2:$A$1000,false),MATCH(H$2,'testmo-export-repository'!$B$1:$X$1,false)),"")</f>
        <v>Yes</v>
      </c>
      <c r="I29" s="60" t="str">
        <f t="array" ref="I29">IFERROR(INDEX('testmo-export-repository'!$B$2:$X$1000,MATCH($B29,'testmo-export-repository'!$A$2:$A$1000,false),MATCH(I$2,'testmo-export-repository'!$B$1:$X$1,false)),"")</f>
        <v>Passed</v>
      </c>
      <c r="J29" s="60" t="str">
        <f t="array" ref="J29">IFERROR(INDEX('testmo-export-repository'!$B$2:$Y$1000,MATCH($B29,'testmo-export-repository'!$A$2:$A$1000,false),MATCH(J$2,'testmo-export-repository'!$B$1:$Y$1,false)),"")</f>
        <v/>
      </c>
      <c r="K29" s="60" t="str">
        <f t="array" ref="K29">IFERROR(INDEX('testmo-export-repository'!$B$2:$Y$1000,MATCH($B29,'testmo-export-repository'!$A$2:$A$1000,false),MATCH(K$2,'testmo-export-repository'!$B$1:$Y$1,false)),"")</f>
        <v>BAS-579</v>
      </c>
    </row>
    <row r="30">
      <c r="B30" s="60">
        <f>'testmo-export-repository'!A29</f>
        <v>1901</v>
      </c>
      <c r="C30" s="60" t="str">
        <f t="array" ref="C30">IFERROR(INDEX('testmo-export-repository'!$B$2:$X$1000,MATCH($B30,'testmo-export-repository'!$A$2:$A$1000,false),MATCH(C$2,'testmo-export-repository'!$B$1:$X$1,false)),"")</f>
        <v>High</v>
      </c>
      <c r="D30" s="60" t="str">
        <f t="array" ref="D30">IFERROR(INDEX('testmo-export-repository'!$B$2:$X$1000,MATCH($B30,'testmo-export-repository'!$A$2:$A$1000,false),MATCH(D$2,'testmo-export-repository'!$B$1:$X$1,false)),"")</f>
        <v>Normal</v>
      </c>
      <c r="E30" s="60">
        <f>IFERROR(VLOOKUP($C30,instructions!$N$3:$O$5,2,false),"")</f>
        <v>1</v>
      </c>
      <c r="F30" s="60">
        <f>IFERROR(VLOOKUP($D30,instructions!$N$3:$O$5,2,false),"")</f>
        <v>2</v>
      </c>
      <c r="G30" s="60" t="str">
        <f t="array" ref="G30">IFERROR(INDEX('testmo-export-repository'!$B$2:$X$1000,MATCH($B30,'testmo-export-repository'!$A$2:$A$1000,false),MATCH(G$2,'testmo-export-repository'!$B$1:$X$1,false)),"")</f>
        <v>Yes</v>
      </c>
      <c r="H30" s="60" t="str">
        <f t="array" ref="H30">IFERROR(INDEX('testmo-export-repository'!$B$2:$X$1000,MATCH($B30,'testmo-export-repository'!$A$2:$A$1000,false),MATCH(H$2,'testmo-export-repository'!$B$1:$X$1,false)),"")</f>
        <v>Yes</v>
      </c>
      <c r="I30" s="60" t="str">
        <f t="array" ref="I30">IFERROR(INDEX('testmo-export-repository'!$B$2:$X$1000,MATCH($B30,'testmo-export-repository'!$A$2:$A$1000,false),MATCH(I$2,'testmo-export-repository'!$B$1:$X$1,false)),"")</f>
        <v>Passed</v>
      </c>
      <c r="J30" s="60" t="str">
        <f t="array" ref="J30">IFERROR(INDEX('testmo-export-repository'!$B$2:$Y$1000,MATCH($B30,'testmo-export-repository'!$A$2:$A$1000,false),MATCH(J$2,'testmo-export-repository'!$B$1:$Y$1,false)),"")</f>
        <v/>
      </c>
      <c r="K30" s="60" t="str">
        <f t="array" ref="K30">IFERROR(INDEX('testmo-export-repository'!$B$2:$Y$1000,MATCH($B30,'testmo-export-repository'!$A$2:$A$1000,false),MATCH(K$2,'testmo-export-repository'!$B$1:$Y$1,false)),"")</f>
        <v>BAS-579</v>
      </c>
    </row>
    <row r="31">
      <c r="B31" s="60">
        <f>'testmo-export-repository'!A30</f>
        <v>1902</v>
      </c>
      <c r="C31" s="60" t="str">
        <f t="array" ref="C31">IFERROR(INDEX('testmo-export-repository'!$B$2:$X$1000,MATCH($B31,'testmo-export-repository'!$A$2:$A$1000,false),MATCH(C$2,'testmo-export-repository'!$B$1:$X$1,false)),"")</f>
        <v>High</v>
      </c>
      <c r="D31" s="60" t="str">
        <f t="array" ref="D31">IFERROR(INDEX('testmo-export-repository'!$B$2:$X$1000,MATCH($B31,'testmo-export-repository'!$A$2:$A$1000,false),MATCH(D$2,'testmo-export-repository'!$B$1:$X$1,false)),"")</f>
        <v>Normal</v>
      </c>
      <c r="E31" s="60">
        <f>IFERROR(VLOOKUP($C31,instructions!$N$3:$O$5,2,false),"")</f>
        <v>1</v>
      </c>
      <c r="F31" s="60">
        <f>IFERROR(VLOOKUP($D31,instructions!$N$3:$O$5,2,false),"")</f>
        <v>2</v>
      </c>
      <c r="G31" s="60" t="str">
        <f t="array" ref="G31">IFERROR(INDEX('testmo-export-repository'!$B$2:$X$1000,MATCH($B31,'testmo-export-repository'!$A$2:$A$1000,false),MATCH(G$2,'testmo-export-repository'!$B$1:$X$1,false)),"")</f>
        <v>Yes</v>
      </c>
      <c r="H31" s="60" t="str">
        <f t="array" ref="H31">IFERROR(INDEX('testmo-export-repository'!$B$2:$X$1000,MATCH($B31,'testmo-export-repository'!$A$2:$A$1000,false),MATCH(H$2,'testmo-export-repository'!$B$1:$X$1,false)),"")</f>
        <v>No</v>
      </c>
      <c r="I31" s="60" t="str">
        <f t="array" ref="I31">IFERROR(INDEX('testmo-export-repository'!$B$2:$X$1000,MATCH($B31,'testmo-export-repository'!$A$2:$A$1000,false),MATCH(I$2,'testmo-export-repository'!$B$1:$X$1,false)),"")</f>
        <v>Passed</v>
      </c>
      <c r="J31" s="60" t="str">
        <f t="array" ref="J31">IFERROR(INDEX('testmo-export-repository'!$B$2:$Y$1000,MATCH($B31,'testmo-export-repository'!$A$2:$A$1000,false),MATCH(J$2,'testmo-export-repository'!$B$1:$Y$1,false)),"")</f>
        <v/>
      </c>
      <c r="K31" s="60" t="str">
        <f t="array" ref="K31">IFERROR(INDEX('testmo-export-repository'!$B$2:$Y$1000,MATCH($B31,'testmo-export-repository'!$A$2:$A$1000,false),MATCH(K$2,'testmo-export-repository'!$B$1:$Y$1,false)),"")</f>
        <v>BAS-579</v>
      </c>
    </row>
    <row r="32">
      <c r="B32" s="60">
        <f>'testmo-export-repository'!A31</f>
        <v>1903</v>
      </c>
      <c r="C32" s="60" t="str">
        <f t="array" ref="C32">IFERROR(INDEX('testmo-export-repository'!$B$2:$X$1000,MATCH($B32,'testmo-export-repository'!$A$2:$A$1000,false),MATCH(C$2,'testmo-export-repository'!$B$1:$X$1,false)),"")</f>
        <v>High</v>
      </c>
      <c r="D32" s="60" t="str">
        <f t="array" ref="D32">IFERROR(INDEX('testmo-export-repository'!$B$2:$X$1000,MATCH($B32,'testmo-export-repository'!$A$2:$A$1000,false),MATCH(D$2,'testmo-export-repository'!$B$1:$X$1,false)),"")</f>
        <v>Normal</v>
      </c>
      <c r="E32" s="60">
        <f>IFERROR(VLOOKUP($C32,instructions!$N$3:$O$5,2,false),"")</f>
        <v>1</v>
      </c>
      <c r="F32" s="60">
        <f>IFERROR(VLOOKUP($D32,instructions!$N$3:$O$5,2,false),"")</f>
        <v>2</v>
      </c>
      <c r="G32" s="60" t="str">
        <f t="array" ref="G32">IFERROR(INDEX('testmo-export-repository'!$B$2:$X$1000,MATCH($B32,'testmo-export-repository'!$A$2:$A$1000,false),MATCH(G$2,'testmo-export-repository'!$B$1:$X$1,false)),"")</f>
        <v>Yes</v>
      </c>
      <c r="H32" s="60" t="str">
        <f t="array" ref="H32">IFERROR(INDEX('testmo-export-repository'!$B$2:$X$1000,MATCH($B32,'testmo-export-repository'!$A$2:$A$1000,false),MATCH(H$2,'testmo-export-repository'!$B$1:$X$1,false)),"")</f>
        <v>No</v>
      </c>
      <c r="I32" s="60" t="str">
        <f t="array" ref="I32">IFERROR(INDEX('testmo-export-repository'!$B$2:$X$1000,MATCH($B32,'testmo-export-repository'!$A$2:$A$1000,false),MATCH(I$2,'testmo-export-repository'!$B$1:$X$1,false)),"")</f>
        <v>Passed</v>
      </c>
      <c r="J32" s="60" t="str">
        <f t="array" ref="J32">IFERROR(INDEX('testmo-export-repository'!$B$2:$Y$1000,MATCH($B32,'testmo-export-repository'!$A$2:$A$1000,false),MATCH(J$2,'testmo-export-repository'!$B$1:$Y$1,false)),"")</f>
        <v/>
      </c>
      <c r="K32" s="60" t="str">
        <f t="array" ref="K32">IFERROR(INDEX('testmo-export-repository'!$B$2:$Y$1000,MATCH($B32,'testmo-export-repository'!$A$2:$A$1000,false),MATCH(K$2,'testmo-export-repository'!$B$1:$Y$1,false)),"")</f>
        <v>BAS-579</v>
      </c>
    </row>
    <row r="33">
      <c r="B33" s="60">
        <f>'testmo-export-repository'!A32</f>
        <v>1904</v>
      </c>
      <c r="C33" s="60" t="str">
        <f t="array" ref="C33">IFERROR(INDEX('testmo-export-repository'!$B$2:$X$1000,MATCH($B33,'testmo-export-repository'!$A$2:$A$1000,false),MATCH(C$2,'testmo-export-repository'!$B$1:$X$1,false)),"")</f>
        <v>High</v>
      </c>
      <c r="D33" s="60" t="str">
        <f t="array" ref="D33">IFERROR(INDEX('testmo-export-repository'!$B$2:$X$1000,MATCH($B33,'testmo-export-repository'!$A$2:$A$1000,false),MATCH(D$2,'testmo-export-repository'!$B$1:$X$1,false)),"")</f>
        <v>Low</v>
      </c>
      <c r="E33" s="60">
        <f>IFERROR(VLOOKUP($C33,instructions!$N$3:$O$5,2,false),"")</f>
        <v>1</v>
      </c>
      <c r="F33" s="60">
        <f>IFERROR(VLOOKUP($D33,instructions!$N$3:$O$5,2,false),"")</f>
        <v>3</v>
      </c>
      <c r="G33" s="60" t="str">
        <f t="array" ref="G33">IFERROR(INDEX('testmo-export-repository'!$B$2:$X$1000,MATCH($B33,'testmo-export-repository'!$A$2:$A$1000,false),MATCH(G$2,'testmo-export-repository'!$B$1:$X$1,false)),"")</f>
        <v>Yes</v>
      </c>
      <c r="H33" s="60" t="str">
        <f t="array" ref="H33">IFERROR(INDEX('testmo-export-repository'!$B$2:$X$1000,MATCH($B33,'testmo-export-repository'!$A$2:$A$1000,false),MATCH(H$2,'testmo-export-repository'!$B$1:$X$1,false)),"")</f>
        <v>Yes</v>
      </c>
      <c r="I33" s="60" t="str">
        <f t="array" ref="I33">IFERROR(INDEX('testmo-export-repository'!$B$2:$X$1000,MATCH($B33,'testmo-export-repository'!$A$2:$A$1000,false),MATCH(I$2,'testmo-export-repository'!$B$1:$X$1,false)),"")</f>
        <v>Passed</v>
      </c>
      <c r="J33" s="60" t="str">
        <f t="array" ref="J33">IFERROR(INDEX('testmo-export-repository'!$B$2:$Y$1000,MATCH($B33,'testmo-export-repository'!$A$2:$A$1000,false),MATCH(J$2,'testmo-export-repository'!$B$1:$Y$1,false)),"")</f>
        <v/>
      </c>
      <c r="K33" s="60" t="str">
        <f t="array" ref="K33">IFERROR(INDEX('testmo-export-repository'!$B$2:$Y$1000,MATCH($B33,'testmo-export-repository'!$A$2:$A$1000,false),MATCH(K$2,'testmo-export-repository'!$B$1:$Y$1,false)),"")</f>
        <v>BAS-515</v>
      </c>
    </row>
    <row r="34">
      <c r="B34" s="60">
        <f>'testmo-export-repository'!A33</f>
        <v>1906</v>
      </c>
      <c r="C34" s="60" t="str">
        <f t="array" ref="C34">IFERROR(INDEX('testmo-export-repository'!$B$2:$X$1000,MATCH($B34,'testmo-export-repository'!$A$2:$A$1000,false),MATCH(C$2,'testmo-export-repository'!$B$1:$X$1,false)),"")</f>
        <v>High</v>
      </c>
      <c r="D34" s="60" t="str">
        <f t="array" ref="D34">IFERROR(INDEX('testmo-export-repository'!$B$2:$X$1000,MATCH($B34,'testmo-export-repository'!$A$2:$A$1000,false),MATCH(D$2,'testmo-export-repository'!$B$1:$X$1,false)),"")</f>
        <v>Low</v>
      </c>
      <c r="E34" s="60">
        <f>IFERROR(VLOOKUP($C34,instructions!$N$3:$O$5,2,false),"")</f>
        <v>1</v>
      </c>
      <c r="F34" s="60">
        <f>IFERROR(VLOOKUP($D34,instructions!$N$3:$O$5,2,false),"")</f>
        <v>3</v>
      </c>
      <c r="G34" s="60" t="str">
        <f t="array" ref="G34">IFERROR(INDEX('testmo-export-repository'!$B$2:$X$1000,MATCH($B34,'testmo-export-repository'!$A$2:$A$1000,false),MATCH(G$2,'testmo-export-repository'!$B$1:$X$1,false)),"")</f>
        <v>Yes</v>
      </c>
      <c r="H34" s="60" t="str">
        <f t="array" ref="H34">IFERROR(INDEX('testmo-export-repository'!$B$2:$X$1000,MATCH($B34,'testmo-export-repository'!$A$2:$A$1000,false),MATCH(H$2,'testmo-export-repository'!$B$1:$X$1,false)),"")</f>
        <v>Yes</v>
      </c>
      <c r="I34" s="60" t="str">
        <f t="array" ref="I34">IFERROR(INDEX('testmo-export-repository'!$B$2:$X$1000,MATCH($B34,'testmo-export-repository'!$A$2:$A$1000,false),MATCH(I$2,'testmo-export-repository'!$B$1:$X$1,false)),"")</f>
        <v>Passed</v>
      </c>
      <c r="J34" s="60" t="str">
        <f t="array" ref="J34">IFERROR(INDEX('testmo-export-repository'!$B$2:$Y$1000,MATCH($B34,'testmo-export-repository'!$A$2:$A$1000,false),MATCH(J$2,'testmo-export-repository'!$B$1:$Y$1,false)),"")</f>
        <v/>
      </c>
      <c r="K34" s="60" t="str">
        <f t="array" ref="K34">IFERROR(INDEX('testmo-export-repository'!$B$2:$Y$1000,MATCH($B34,'testmo-export-repository'!$A$2:$A$1000,false),MATCH(K$2,'testmo-export-repository'!$B$1:$Y$1,false)),"")</f>
        <v>BAS-606</v>
      </c>
    </row>
    <row r="35">
      <c r="B35" s="60">
        <f>'testmo-export-repository'!A34</f>
        <v>1907</v>
      </c>
      <c r="C35" s="60" t="str">
        <f t="array" ref="C35">IFERROR(INDEX('testmo-export-repository'!$B$2:$X$1000,MATCH($B35,'testmo-export-repository'!$A$2:$A$1000,false),MATCH(C$2,'testmo-export-repository'!$B$1:$X$1,false)),"")</f>
        <v>Normal</v>
      </c>
      <c r="D35" s="60" t="str">
        <f t="array" ref="D35">IFERROR(INDEX('testmo-export-repository'!$B$2:$X$1000,MATCH($B35,'testmo-export-repository'!$A$2:$A$1000,false),MATCH(D$2,'testmo-export-repository'!$B$1:$X$1,false)),"")</f>
        <v>Normal</v>
      </c>
      <c r="E35" s="60">
        <f>IFERROR(VLOOKUP($C35,instructions!$N$3:$O$5,2,false),"")</f>
        <v>2</v>
      </c>
      <c r="F35" s="60">
        <f>IFERROR(VLOOKUP($D35,instructions!$N$3:$O$5,2,false),"")</f>
        <v>2</v>
      </c>
      <c r="G35" s="60" t="str">
        <f t="array" ref="G35">IFERROR(INDEX('testmo-export-repository'!$B$2:$X$1000,MATCH($B35,'testmo-export-repository'!$A$2:$A$1000,false),MATCH(G$2,'testmo-export-repository'!$B$1:$X$1,false)),"")</f>
        <v>Yes</v>
      </c>
      <c r="H35" s="60" t="str">
        <f t="array" ref="H35">IFERROR(INDEX('testmo-export-repository'!$B$2:$X$1000,MATCH($B35,'testmo-export-repository'!$A$2:$A$1000,false),MATCH(H$2,'testmo-export-repository'!$B$1:$X$1,false)),"")</f>
        <v>Yes</v>
      </c>
      <c r="I35" s="60" t="str">
        <f t="array" ref="I35">IFERROR(INDEX('testmo-export-repository'!$B$2:$X$1000,MATCH($B35,'testmo-export-repository'!$A$2:$A$1000,false),MATCH(I$2,'testmo-export-repository'!$B$1:$X$1,false)),"")</f>
        <v>Passed</v>
      </c>
      <c r="J35" s="60" t="str">
        <f t="array" ref="J35">IFERROR(INDEX('testmo-export-repository'!$B$2:$Y$1000,MATCH($B35,'testmo-export-repository'!$A$2:$A$1000,false),MATCH(J$2,'testmo-export-repository'!$B$1:$Y$1,false)),"")</f>
        <v/>
      </c>
      <c r="K35" s="60" t="str">
        <f t="array" ref="K35">IFERROR(INDEX('testmo-export-repository'!$B$2:$Y$1000,MATCH($B35,'testmo-export-repository'!$A$2:$A$1000,false),MATCH(K$2,'testmo-export-repository'!$B$1:$Y$1,false)),"")</f>
        <v>BAS-606</v>
      </c>
    </row>
    <row r="36">
      <c r="B36" s="60">
        <f>'testmo-export-repository'!A35</f>
        <v>1908</v>
      </c>
      <c r="C36" s="60" t="str">
        <f t="array" ref="C36">IFERROR(INDEX('testmo-export-repository'!$B$2:$X$1000,MATCH($B36,'testmo-export-repository'!$A$2:$A$1000,false),MATCH(C$2,'testmo-export-repository'!$B$1:$X$1,false)),"")</f>
        <v>High</v>
      </c>
      <c r="D36" s="60" t="str">
        <f t="array" ref="D36">IFERROR(INDEX('testmo-export-repository'!$B$2:$X$1000,MATCH($B36,'testmo-export-repository'!$A$2:$A$1000,false),MATCH(D$2,'testmo-export-repository'!$B$1:$X$1,false)),"")</f>
        <v>Low</v>
      </c>
      <c r="E36" s="60">
        <f>IFERROR(VLOOKUP($C36,instructions!$N$3:$O$5,2,false),"")</f>
        <v>1</v>
      </c>
      <c r="F36" s="60">
        <f>IFERROR(VLOOKUP($D36,instructions!$N$3:$O$5,2,false),"")</f>
        <v>3</v>
      </c>
      <c r="G36" s="60" t="str">
        <f t="array" ref="G36">IFERROR(INDEX('testmo-export-repository'!$B$2:$X$1000,MATCH($B36,'testmo-export-repository'!$A$2:$A$1000,false),MATCH(G$2,'testmo-export-repository'!$B$1:$X$1,false)),"")</f>
        <v>Yes</v>
      </c>
      <c r="H36" s="60" t="str">
        <f t="array" ref="H36">IFERROR(INDEX('testmo-export-repository'!$B$2:$X$1000,MATCH($B36,'testmo-export-repository'!$A$2:$A$1000,false),MATCH(H$2,'testmo-export-repository'!$B$1:$X$1,false)),"")</f>
        <v>Yes</v>
      </c>
      <c r="I36" s="60" t="str">
        <f t="array" ref="I36">IFERROR(INDEX('testmo-export-repository'!$B$2:$X$1000,MATCH($B36,'testmo-export-repository'!$A$2:$A$1000,false),MATCH(I$2,'testmo-export-repository'!$B$1:$X$1,false)),"")</f>
        <v>Passed</v>
      </c>
      <c r="J36" s="60" t="str">
        <f t="array" ref="J36">IFERROR(INDEX('testmo-export-repository'!$B$2:$Y$1000,MATCH($B36,'testmo-export-repository'!$A$2:$A$1000,false),MATCH(J$2,'testmo-export-repository'!$B$1:$Y$1,false)),"")</f>
        <v/>
      </c>
      <c r="K36" s="60" t="str">
        <f t="array" ref="K36">IFERROR(INDEX('testmo-export-repository'!$B$2:$Y$1000,MATCH($B36,'testmo-export-repository'!$A$2:$A$1000,false),MATCH(K$2,'testmo-export-repository'!$B$1:$Y$1,false)),"")</f>
        <v>BAS-606</v>
      </c>
    </row>
    <row r="37">
      <c r="B37" s="60">
        <f>'testmo-export-repository'!A36</f>
        <v>1909</v>
      </c>
      <c r="C37" s="60" t="str">
        <f t="array" ref="C37">IFERROR(INDEX('testmo-export-repository'!$B$2:$X$1000,MATCH($B37,'testmo-export-repository'!$A$2:$A$1000,false),MATCH(C$2,'testmo-export-repository'!$B$1:$X$1,false)),"")</f>
        <v>Normal</v>
      </c>
      <c r="D37" s="60" t="str">
        <f t="array" ref="D37">IFERROR(INDEX('testmo-export-repository'!$B$2:$X$1000,MATCH($B37,'testmo-export-repository'!$A$2:$A$1000,false),MATCH(D$2,'testmo-export-repository'!$B$1:$X$1,false)),"")</f>
        <v>Normal</v>
      </c>
      <c r="E37" s="60">
        <f>IFERROR(VLOOKUP($C37,instructions!$N$3:$O$5,2,false),"")</f>
        <v>2</v>
      </c>
      <c r="F37" s="60">
        <f>IFERROR(VLOOKUP($D37,instructions!$N$3:$O$5,2,false),"")</f>
        <v>2</v>
      </c>
      <c r="G37" s="60" t="str">
        <f t="array" ref="G37">IFERROR(INDEX('testmo-export-repository'!$B$2:$X$1000,MATCH($B37,'testmo-export-repository'!$A$2:$A$1000,false),MATCH(G$2,'testmo-export-repository'!$B$1:$X$1,false)),"")</f>
        <v>Yes</v>
      </c>
      <c r="H37" s="60" t="str">
        <f t="array" ref="H37">IFERROR(INDEX('testmo-export-repository'!$B$2:$X$1000,MATCH($B37,'testmo-export-repository'!$A$2:$A$1000,false),MATCH(H$2,'testmo-export-repository'!$B$1:$X$1,false)),"")</f>
        <v>Yes</v>
      </c>
      <c r="I37" s="60" t="str">
        <f t="array" ref="I37">IFERROR(INDEX('testmo-export-repository'!$B$2:$X$1000,MATCH($B37,'testmo-export-repository'!$A$2:$A$1000,false),MATCH(I$2,'testmo-export-repository'!$B$1:$X$1,false)),"")</f>
        <v>Passed</v>
      </c>
      <c r="J37" s="60" t="str">
        <f t="array" ref="J37">IFERROR(INDEX('testmo-export-repository'!$B$2:$Y$1000,MATCH($B37,'testmo-export-repository'!$A$2:$A$1000,false),MATCH(J$2,'testmo-export-repository'!$B$1:$Y$1,false)),"")</f>
        <v/>
      </c>
      <c r="K37" s="60" t="str">
        <f t="array" ref="K37">IFERROR(INDEX('testmo-export-repository'!$B$2:$Y$1000,MATCH($B37,'testmo-export-repository'!$A$2:$A$1000,false),MATCH(K$2,'testmo-export-repository'!$B$1:$Y$1,false)),"")</f>
        <v/>
      </c>
    </row>
    <row r="38">
      <c r="B38" s="60">
        <f>'testmo-export-repository'!A37</f>
        <v>1910</v>
      </c>
      <c r="C38" s="60" t="str">
        <f t="array" ref="C38">IFERROR(INDEX('testmo-export-repository'!$B$2:$X$1000,MATCH($B38,'testmo-export-repository'!$A$2:$A$1000,false),MATCH(C$2,'testmo-export-repository'!$B$1:$X$1,false)),"")</f>
        <v>Normal</v>
      </c>
      <c r="D38" s="60" t="str">
        <f t="array" ref="D38">IFERROR(INDEX('testmo-export-repository'!$B$2:$X$1000,MATCH($B38,'testmo-export-repository'!$A$2:$A$1000,false),MATCH(D$2,'testmo-export-repository'!$B$1:$X$1,false)),"")</f>
        <v>Normal</v>
      </c>
      <c r="E38" s="60">
        <f>IFERROR(VLOOKUP($C38,instructions!$N$3:$O$5,2,false),"")</f>
        <v>2</v>
      </c>
      <c r="F38" s="60">
        <f>IFERROR(VLOOKUP($D38,instructions!$N$3:$O$5,2,false),"")</f>
        <v>2</v>
      </c>
      <c r="G38" s="60" t="str">
        <f t="array" ref="G38">IFERROR(INDEX('testmo-export-repository'!$B$2:$X$1000,MATCH($B38,'testmo-export-repository'!$A$2:$A$1000,false),MATCH(G$2,'testmo-export-repository'!$B$1:$X$1,false)),"")</f>
        <v>Yes</v>
      </c>
      <c r="H38" s="60" t="str">
        <f t="array" ref="H38">IFERROR(INDEX('testmo-export-repository'!$B$2:$X$1000,MATCH($B38,'testmo-export-repository'!$A$2:$A$1000,false),MATCH(H$2,'testmo-export-repository'!$B$1:$X$1,false)),"")</f>
        <v>Yes</v>
      </c>
      <c r="I38" s="60" t="str">
        <f t="array" ref="I38">IFERROR(INDEX('testmo-export-repository'!$B$2:$X$1000,MATCH($B38,'testmo-export-repository'!$A$2:$A$1000,false),MATCH(I$2,'testmo-export-repository'!$B$1:$X$1,false)),"")</f>
        <v>Passed</v>
      </c>
      <c r="J38" s="60" t="str">
        <f t="array" ref="J38">IFERROR(INDEX('testmo-export-repository'!$B$2:$Y$1000,MATCH($B38,'testmo-export-repository'!$A$2:$A$1000,false),MATCH(J$2,'testmo-export-repository'!$B$1:$Y$1,false)),"")</f>
        <v/>
      </c>
      <c r="K38" s="60" t="str">
        <f t="array" ref="K38">IFERROR(INDEX('testmo-export-repository'!$B$2:$Y$1000,MATCH($B38,'testmo-export-repository'!$A$2:$A$1000,false),MATCH(K$2,'testmo-export-repository'!$B$1:$Y$1,false)),"")</f>
        <v>BAS-606</v>
      </c>
    </row>
    <row r="39">
      <c r="B39" s="60">
        <f>'testmo-export-repository'!A38</f>
        <v>1911</v>
      </c>
      <c r="C39" s="60" t="str">
        <f t="array" ref="C39">IFERROR(INDEX('testmo-export-repository'!$B$2:$X$1000,MATCH($B39,'testmo-export-repository'!$A$2:$A$1000,false),MATCH(C$2,'testmo-export-repository'!$B$1:$X$1,false)),"")</f>
        <v>Normal</v>
      </c>
      <c r="D39" s="60" t="str">
        <f t="array" ref="D39">IFERROR(INDEX('testmo-export-repository'!$B$2:$X$1000,MATCH($B39,'testmo-export-repository'!$A$2:$A$1000,false),MATCH(D$2,'testmo-export-repository'!$B$1:$X$1,false)),"")</f>
        <v>Low</v>
      </c>
      <c r="E39" s="60">
        <f>IFERROR(VLOOKUP($C39,instructions!$N$3:$O$5,2,false),"")</f>
        <v>2</v>
      </c>
      <c r="F39" s="60">
        <f>IFERROR(VLOOKUP($D39,instructions!$N$3:$O$5,2,false),"")</f>
        <v>3</v>
      </c>
      <c r="G39" s="60" t="str">
        <f t="array" ref="G39">IFERROR(INDEX('testmo-export-repository'!$B$2:$X$1000,MATCH($B39,'testmo-export-repository'!$A$2:$A$1000,false),MATCH(G$2,'testmo-export-repository'!$B$1:$X$1,false)),"")</f>
        <v>Yes</v>
      </c>
      <c r="H39" s="60" t="str">
        <f t="array" ref="H39">IFERROR(INDEX('testmo-export-repository'!$B$2:$X$1000,MATCH($B39,'testmo-export-repository'!$A$2:$A$1000,false),MATCH(H$2,'testmo-export-repository'!$B$1:$X$1,false)),"")</f>
        <v>No</v>
      </c>
      <c r="I39" s="60" t="str">
        <f t="array" ref="I39">IFERROR(INDEX('testmo-export-repository'!$B$2:$X$1000,MATCH($B39,'testmo-export-repository'!$A$2:$A$1000,false),MATCH(I$2,'testmo-export-repository'!$B$1:$X$1,false)),"")</f>
        <v>Passed</v>
      </c>
      <c r="J39" s="60" t="str">
        <f t="array" ref="J39">IFERROR(INDEX('testmo-export-repository'!$B$2:$Y$1000,MATCH($B39,'testmo-export-repository'!$A$2:$A$1000,false),MATCH(J$2,'testmo-export-repository'!$B$1:$Y$1,false)),"")</f>
        <v/>
      </c>
      <c r="K39" s="60" t="str">
        <f t="array" ref="K39">IFERROR(INDEX('testmo-export-repository'!$B$2:$Y$1000,MATCH($B39,'testmo-export-repository'!$A$2:$A$1000,false),MATCH(K$2,'testmo-export-repository'!$B$1:$Y$1,false)),"")</f>
        <v>BAS-606</v>
      </c>
    </row>
    <row r="40">
      <c r="B40" s="60">
        <f>'testmo-export-repository'!A39</f>
        <v>1912</v>
      </c>
      <c r="C40" s="60" t="str">
        <f t="array" ref="C40">IFERROR(INDEX('testmo-export-repository'!$B$2:$X$1000,MATCH($B40,'testmo-export-repository'!$A$2:$A$1000,false),MATCH(C$2,'testmo-export-repository'!$B$1:$X$1,false)),"")</f>
        <v>Normal</v>
      </c>
      <c r="D40" s="60" t="str">
        <f t="array" ref="D40">IFERROR(INDEX('testmo-export-repository'!$B$2:$X$1000,MATCH($B40,'testmo-export-repository'!$A$2:$A$1000,false),MATCH(D$2,'testmo-export-repository'!$B$1:$X$1,false)),"")</f>
        <v>Normal</v>
      </c>
      <c r="E40" s="60">
        <f>IFERROR(VLOOKUP($C40,instructions!$N$3:$O$5,2,false),"")</f>
        <v>2</v>
      </c>
      <c r="F40" s="60">
        <f>IFERROR(VLOOKUP($D40,instructions!$N$3:$O$5,2,false),"")</f>
        <v>2</v>
      </c>
      <c r="G40" s="60" t="str">
        <f t="array" ref="G40">IFERROR(INDEX('testmo-export-repository'!$B$2:$X$1000,MATCH($B40,'testmo-export-repository'!$A$2:$A$1000,false),MATCH(G$2,'testmo-export-repository'!$B$1:$X$1,false)),"")</f>
        <v>Yes</v>
      </c>
      <c r="H40" s="60" t="str">
        <f t="array" ref="H40">IFERROR(INDEX('testmo-export-repository'!$B$2:$X$1000,MATCH($B40,'testmo-export-repository'!$A$2:$A$1000,false),MATCH(H$2,'testmo-export-repository'!$B$1:$X$1,false)),"")</f>
        <v>No</v>
      </c>
      <c r="I40" s="60" t="str">
        <f t="array" ref="I40">IFERROR(INDEX('testmo-export-repository'!$B$2:$X$1000,MATCH($B40,'testmo-export-repository'!$A$2:$A$1000,false),MATCH(I$2,'testmo-export-repository'!$B$1:$X$1,false)),"")</f>
        <v>Passed</v>
      </c>
      <c r="J40" s="60" t="str">
        <f t="array" ref="J40">IFERROR(INDEX('testmo-export-repository'!$B$2:$Y$1000,MATCH($B40,'testmo-export-repository'!$A$2:$A$1000,false),MATCH(J$2,'testmo-export-repository'!$B$1:$Y$1,false)),"")</f>
        <v/>
      </c>
      <c r="K40" s="60" t="str">
        <f t="array" ref="K40">IFERROR(INDEX('testmo-export-repository'!$B$2:$Y$1000,MATCH($B40,'testmo-export-repository'!$A$2:$A$1000,false),MATCH(K$2,'testmo-export-repository'!$B$1:$Y$1,false)),"")</f>
        <v>BAS-606</v>
      </c>
    </row>
    <row r="41">
      <c r="B41" s="60">
        <f>'testmo-export-repository'!A40</f>
        <v>1913</v>
      </c>
      <c r="C41" s="60" t="str">
        <f t="array" ref="C41">IFERROR(INDEX('testmo-export-repository'!$B$2:$X$1000,MATCH($B41,'testmo-export-repository'!$A$2:$A$1000,false),MATCH(C$2,'testmo-export-repository'!$B$1:$X$1,false)),"")</f>
        <v>High</v>
      </c>
      <c r="D41" s="60" t="str">
        <f t="array" ref="D41">IFERROR(INDEX('testmo-export-repository'!$B$2:$X$1000,MATCH($B41,'testmo-export-repository'!$A$2:$A$1000,false),MATCH(D$2,'testmo-export-repository'!$B$1:$X$1,false)),"")</f>
        <v>High</v>
      </c>
      <c r="E41" s="60">
        <f>IFERROR(VLOOKUP($C41,instructions!$N$3:$O$5,2,false),"")</f>
        <v>1</v>
      </c>
      <c r="F41" s="60">
        <f>IFERROR(VLOOKUP($D41,instructions!$N$3:$O$5,2,false),"")</f>
        <v>1</v>
      </c>
      <c r="G41" s="60" t="str">
        <f t="array" ref="G41">IFERROR(INDEX('testmo-export-repository'!$B$2:$X$1000,MATCH($B41,'testmo-export-repository'!$A$2:$A$1000,false),MATCH(G$2,'testmo-export-repository'!$B$1:$X$1,false)),"")</f>
        <v>Yes</v>
      </c>
      <c r="H41" s="60" t="str">
        <f t="array" ref="H41">IFERROR(INDEX('testmo-export-repository'!$B$2:$X$1000,MATCH($B41,'testmo-export-repository'!$A$2:$A$1000,false),MATCH(H$2,'testmo-export-repository'!$B$1:$X$1,false)),"")</f>
        <v>No</v>
      </c>
      <c r="I41" s="60" t="str">
        <f t="array" ref="I41">IFERROR(INDEX('testmo-export-repository'!$B$2:$X$1000,MATCH($B41,'testmo-export-repository'!$A$2:$A$1000,false),MATCH(I$2,'testmo-export-repository'!$B$1:$X$1,false)),"")</f>
        <v>Passed</v>
      </c>
      <c r="J41" s="60" t="str">
        <f t="array" ref="J41">IFERROR(INDEX('testmo-export-repository'!$B$2:$Y$1000,MATCH($B41,'testmo-export-repository'!$A$2:$A$1000,false),MATCH(J$2,'testmo-export-repository'!$B$1:$Y$1,false)),"")</f>
        <v/>
      </c>
      <c r="K41" s="60" t="str">
        <f t="array" ref="K41">IFERROR(INDEX('testmo-export-repository'!$B$2:$Y$1000,MATCH($B41,'testmo-export-repository'!$A$2:$A$1000,false),MATCH(K$2,'testmo-export-repository'!$B$1:$Y$1,false)),"")</f>
        <v>BAS-606</v>
      </c>
    </row>
    <row r="42">
      <c r="B42" s="60">
        <f>'testmo-export-repository'!A41</f>
        <v>1916</v>
      </c>
      <c r="C42" s="60" t="str">
        <f t="array" ref="C42">IFERROR(INDEX('testmo-export-repository'!$B$2:$X$1000,MATCH($B42,'testmo-export-repository'!$A$2:$A$1000,false),MATCH(C$2,'testmo-export-repository'!$B$1:$X$1,false)),"")</f>
        <v>High</v>
      </c>
      <c r="D42" s="60" t="str">
        <f t="array" ref="D42">IFERROR(INDEX('testmo-export-repository'!$B$2:$X$1000,MATCH($B42,'testmo-export-repository'!$A$2:$A$1000,false),MATCH(D$2,'testmo-export-repository'!$B$1:$X$1,false)),"")</f>
        <v>Normal</v>
      </c>
      <c r="E42" s="60">
        <f>IFERROR(VLOOKUP($C42,instructions!$N$3:$O$5,2,false),"")</f>
        <v>1</v>
      </c>
      <c r="F42" s="60">
        <f>IFERROR(VLOOKUP($D42,instructions!$N$3:$O$5,2,false),"")</f>
        <v>2</v>
      </c>
      <c r="G42" s="60" t="str">
        <f t="array" ref="G42">IFERROR(INDEX('testmo-export-repository'!$B$2:$X$1000,MATCH($B42,'testmo-export-repository'!$A$2:$A$1000,false),MATCH(G$2,'testmo-export-repository'!$B$1:$X$1,false)),"")</f>
        <v>Yes</v>
      </c>
      <c r="H42" s="60" t="str">
        <f t="array" ref="H42">IFERROR(INDEX('testmo-export-repository'!$B$2:$X$1000,MATCH($B42,'testmo-export-repository'!$A$2:$A$1000,false),MATCH(H$2,'testmo-export-repository'!$B$1:$X$1,false)),"")</f>
        <v>No</v>
      </c>
      <c r="I42" s="60" t="str">
        <f t="array" ref="I42">IFERROR(INDEX('testmo-export-repository'!$B$2:$X$1000,MATCH($B42,'testmo-export-repository'!$A$2:$A$1000,false),MATCH(I$2,'testmo-export-repository'!$B$1:$X$1,false)),"")</f>
        <v>Passed</v>
      </c>
      <c r="J42" s="60" t="str">
        <f t="array" ref="J42">IFERROR(INDEX('testmo-export-repository'!$B$2:$Y$1000,MATCH($B42,'testmo-export-repository'!$A$2:$A$1000,false),MATCH(J$2,'testmo-export-repository'!$B$1:$Y$1,false)),"")</f>
        <v/>
      </c>
      <c r="K42" s="60" t="str">
        <f t="array" ref="K42">IFERROR(INDEX('testmo-export-repository'!$B$2:$Y$1000,MATCH($B42,'testmo-export-repository'!$A$2:$A$1000,false),MATCH(K$2,'testmo-export-repository'!$B$1:$Y$1,false)),"")</f>
        <v>BAS-619</v>
      </c>
    </row>
    <row r="43">
      <c r="B43" s="60">
        <f>'testmo-export-repository'!A42</f>
        <v>1917</v>
      </c>
      <c r="C43" s="60" t="str">
        <f t="array" ref="C43">IFERROR(INDEX('testmo-export-repository'!$B$2:$X$1000,MATCH($B43,'testmo-export-repository'!$A$2:$A$1000,false),MATCH(C$2,'testmo-export-repository'!$B$1:$X$1,false)),"")</f>
        <v>Normal</v>
      </c>
      <c r="D43" s="60" t="str">
        <f t="array" ref="D43">IFERROR(INDEX('testmo-export-repository'!$B$2:$X$1000,MATCH($B43,'testmo-export-repository'!$A$2:$A$1000,false),MATCH(D$2,'testmo-export-repository'!$B$1:$X$1,false)),"")</f>
        <v>Normal</v>
      </c>
      <c r="E43" s="60">
        <f>IFERROR(VLOOKUP($C43,instructions!$N$3:$O$5,2,false),"")</f>
        <v>2</v>
      </c>
      <c r="F43" s="60">
        <f>IFERROR(VLOOKUP($D43,instructions!$N$3:$O$5,2,false),"")</f>
        <v>2</v>
      </c>
      <c r="G43" s="60" t="str">
        <f t="array" ref="G43">IFERROR(INDEX('testmo-export-repository'!$B$2:$X$1000,MATCH($B43,'testmo-export-repository'!$A$2:$A$1000,false),MATCH(G$2,'testmo-export-repository'!$B$1:$X$1,false)),"")</f>
        <v>Yes</v>
      </c>
      <c r="H43" s="60" t="str">
        <f t="array" ref="H43">IFERROR(INDEX('testmo-export-repository'!$B$2:$X$1000,MATCH($B43,'testmo-export-repository'!$A$2:$A$1000,false),MATCH(H$2,'testmo-export-repository'!$B$1:$X$1,false)),"")</f>
        <v>No</v>
      </c>
      <c r="I43" s="60" t="str">
        <f t="array" ref="I43">IFERROR(INDEX('testmo-export-repository'!$B$2:$X$1000,MATCH($B43,'testmo-export-repository'!$A$2:$A$1000,false),MATCH(I$2,'testmo-export-repository'!$B$1:$X$1,false)),"")</f>
        <v>Passed</v>
      </c>
      <c r="J43" s="60" t="str">
        <f t="array" ref="J43">IFERROR(INDEX('testmo-export-repository'!$B$2:$Y$1000,MATCH($B43,'testmo-export-repository'!$A$2:$A$1000,false),MATCH(J$2,'testmo-export-repository'!$B$1:$Y$1,false)),"")</f>
        <v/>
      </c>
      <c r="K43" s="60" t="str">
        <f t="array" ref="K43">IFERROR(INDEX('testmo-export-repository'!$B$2:$Y$1000,MATCH($B43,'testmo-export-repository'!$A$2:$A$1000,false),MATCH(K$2,'testmo-export-repository'!$B$1:$Y$1,false)),"")</f>
        <v>BAS-619</v>
      </c>
    </row>
    <row r="44">
      <c r="B44" s="60">
        <f>'testmo-export-repository'!A43</f>
        <v>1918</v>
      </c>
      <c r="C44" s="60" t="str">
        <f t="array" ref="C44">IFERROR(INDEX('testmo-export-repository'!$B$2:$X$1000,MATCH($B44,'testmo-export-repository'!$A$2:$A$1000,false),MATCH(C$2,'testmo-export-repository'!$B$1:$X$1,false)),"")</f>
        <v>Low</v>
      </c>
      <c r="D44" s="60" t="str">
        <f t="array" ref="D44">IFERROR(INDEX('testmo-export-repository'!$B$2:$X$1000,MATCH($B44,'testmo-export-repository'!$A$2:$A$1000,false),MATCH(D$2,'testmo-export-repository'!$B$1:$X$1,false)),"")</f>
        <v>Low</v>
      </c>
      <c r="E44" s="60">
        <f>IFERROR(VLOOKUP($C44,instructions!$N$3:$O$5,2,false),"")</f>
        <v>3</v>
      </c>
      <c r="F44" s="60">
        <f>IFERROR(VLOOKUP($D44,instructions!$N$3:$O$5,2,false),"")</f>
        <v>3</v>
      </c>
      <c r="G44" s="60" t="str">
        <f t="array" ref="G44">IFERROR(INDEX('testmo-export-repository'!$B$2:$X$1000,MATCH($B44,'testmo-export-repository'!$A$2:$A$1000,false),MATCH(G$2,'testmo-export-repository'!$B$1:$X$1,false)),"")</f>
        <v>Yes</v>
      </c>
      <c r="H44" s="60" t="str">
        <f t="array" ref="H44">IFERROR(INDEX('testmo-export-repository'!$B$2:$X$1000,MATCH($B44,'testmo-export-repository'!$A$2:$A$1000,false),MATCH(H$2,'testmo-export-repository'!$B$1:$X$1,false)),"")</f>
        <v>No</v>
      </c>
      <c r="I44" s="60" t="str">
        <f t="array" ref="I44">IFERROR(INDEX('testmo-export-repository'!$B$2:$X$1000,MATCH($B44,'testmo-export-repository'!$A$2:$A$1000,false),MATCH(I$2,'testmo-export-repository'!$B$1:$X$1,false)),"")</f>
        <v/>
      </c>
      <c r="J44" s="60" t="str">
        <f t="array" ref="J44">IFERROR(INDEX('testmo-export-repository'!$B$2:$Y$1000,MATCH($B44,'testmo-export-repository'!$A$2:$A$1000,false),MATCH(J$2,'testmo-export-repository'!$B$1:$Y$1,false)),"")</f>
        <v/>
      </c>
      <c r="K44" s="60" t="str">
        <f t="array" ref="K44">IFERROR(INDEX('testmo-export-repository'!$B$2:$Y$1000,MATCH($B44,'testmo-export-repository'!$A$2:$A$1000,false),MATCH(K$2,'testmo-export-repository'!$B$1:$Y$1,false)),"")</f>
        <v>BAS-592</v>
      </c>
    </row>
    <row r="45">
      <c r="B45" s="60">
        <f>'testmo-export-repository'!A44</f>
        <v>1919</v>
      </c>
      <c r="C45" s="60" t="str">
        <f t="array" ref="C45">IFERROR(INDEX('testmo-export-repository'!$B$2:$X$1000,MATCH($B45,'testmo-export-repository'!$A$2:$A$1000,false),MATCH(C$2,'testmo-export-repository'!$B$1:$X$1,false)),"")</f>
        <v>High</v>
      </c>
      <c r="D45" s="60" t="str">
        <f t="array" ref="D45">IFERROR(INDEX('testmo-export-repository'!$B$2:$X$1000,MATCH($B45,'testmo-export-repository'!$A$2:$A$1000,false),MATCH(D$2,'testmo-export-repository'!$B$1:$X$1,false)),"")</f>
        <v>Low</v>
      </c>
      <c r="E45" s="60">
        <f>IFERROR(VLOOKUP($C45,instructions!$N$3:$O$5,2,false),"")</f>
        <v>1</v>
      </c>
      <c r="F45" s="60">
        <f>IFERROR(VLOOKUP($D45,instructions!$N$3:$O$5,2,false),"")</f>
        <v>3</v>
      </c>
      <c r="G45" s="60" t="str">
        <f t="array" ref="G45">IFERROR(INDEX('testmo-export-repository'!$B$2:$X$1000,MATCH($B45,'testmo-export-repository'!$A$2:$A$1000,false),MATCH(G$2,'testmo-export-repository'!$B$1:$X$1,false)),"")</f>
        <v>Yes</v>
      </c>
      <c r="H45" s="60" t="str">
        <f t="array" ref="H45">IFERROR(INDEX('testmo-export-repository'!$B$2:$X$1000,MATCH($B45,'testmo-export-repository'!$A$2:$A$1000,false),MATCH(H$2,'testmo-export-repository'!$B$1:$X$1,false)),"")</f>
        <v>No</v>
      </c>
      <c r="I45" s="60" t="str">
        <f t="array" ref="I45">IFERROR(INDEX('testmo-export-repository'!$B$2:$X$1000,MATCH($B45,'testmo-export-repository'!$A$2:$A$1000,false),MATCH(I$2,'testmo-export-repository'!$B$1:$X$1,false)),"")</f>
        <v>Passed</v>
      </c>
      <c r="J45" s="60" t="str">
        <f t="array" ref="J45">IFERROR(INDEX('testmo-export-repository'!$B$2:$Y$1000,MATCH($B45,'testmo-export-repository'!$A$2:$A$1000,false),MATCH(J$2,'testmo-export-repository'!$B$1:$Y$1,false)),"")</f>
        <v/>
      </c>
      <c r="K45" s="60" t="str">
        <f t="array" ref="K45">IFERROR(INDEX('testmo-export-repository'!$B$2:$Y$1000,MATCH($B45,'testmo-export-repository'!$A$2:$A$1000,false),MATCH(K$2,'testmo-export-repository'!$B$1:$Y$1,false)),"")</f>
        <v>BAS-474</v>
      </c>
    </row>
    <row r="46">
      <c r="B46" s="60">
        <f>'testmo-export-repository'!A45</f>
        <v>2264</v>
      </c>
      <c r="C46" s="60" t="str">
        <f t="array" ref="C46">IFERROR(INDEX('testmo-export-repository'!$B$2:$X$1000,MATCH($B46,'testmo-export-repository'!$A$2:$A$1000,false),MATCH(C$2,'testmo-export-repository'!$B$1:$X$1,false)),"")</f>
        <v>High</v>
      </c>
      <c r="D46" s="60" t="str">
        <f t="array" ref="D46">IFERROR(INDEX('testmo-export-repository'!$B$2:$X$1000,MATCH($B46,'testmo-export-repository'!$A$2:$A$1000,false),MATCH(D$2,'testmo-export-repository'!$B$1:$X$1,false)),"")</f>
        <v>Low</v>
      </c>
      <c r="E46" s="60">
        <f>IFERROR(VLOOKUP($C46,instructions!$N$3:$O$5,2,false),"")</f>
        <v>1</v>
      </c>
      <c r="F46" s="60">
        <f>IFERROR(VLOOKUP($D46,instructions!$N$3:$O$5,2,false),"")</f>
        <v>3</v>
      </c>
      <c r="G46" s="60" t="str">
        <f t="array" ref="G46">IFERROR(INDEX('testmo-export-repository'!$B$2:$X$1000,MATCH($B46,'testmo-export-repository'!$A$2:$A$1000,false),MATCH(G$2,'testmo-export-repository'!$B$1:$X$1,false)),"")</f>
        <v>Yes</v>
      </c>
      <c r="H46" s="60" t="str">
        <f t="array" ref="H46">IFERROR(INDEX('testmo-export-repository'!$B$2:$X$1000,MATCH($B46,'testmo-export-repository'!$A$2:$A$1000,false),MATCH(H$2,'testmo-export-repository'!$B$1:$X$1,false)),"")</f>
        <v>No</v>
      </c>
      <c r="I46" s="60" t="str">
        <f t="array" ref="I46">IFERROR(INDEX('testmo-export-repository'!$B$2:$X$1000,MATCH($B46,'testmo-export-repository'!$A$2:$A$1000,false),MATCH(I$2,'testmo-export-repository'!$B$1:$X$1,false)),"")</f>
        <v/>
      </c>
      <c r="J46" s="60" t="str">
        <f t="array" ref="J46">IFERROR(INDEX('testmo-export-repository'!$B$2:$Y$1000,MATCH($B46,'testmo-export-repository'!$A$2:$A$1000,false),MATCH(J$2,'testmo-export-repository'!$B$1:$Y$1,false)),"")</f>
        <v/>
      </c>
      <c r="K46" s="60" t="str">
        <f t="array" ref="K46">IFERROR(INDEX('testmo-export-repository'!$B$2:$Y$1000,MATCH($B46,'testmo-export-repository'!$A$2:$A$1000,false),MATCH(K$2,'testmo-export-repository'!$B$1:$Y$1,false)),"")</f>
        <v/>
      </c>
    </row>
    <row r="47">
      <c r="B47" s="60">
        <f>'testmo-export-repository'!A46</f>
        <v>5327</v>
      </c>
      <c r="C47" s="60" t="str">
        <f t="array" ref="C47">IFERROR(INDEX('testmo-export-repository'!$B$2:$X$1000,MATCH($B47,'testmo-export-repository'!$A$2:$A$1000,false),MATCH(C$2,'testmo-export-repository'!$B$1:$X$1,false)),"")</f>
        <v>High</v>
      </c>
      <c r="D47" s="60" t="str">
        <f t="array" ref="D47">IFERROR(INDEX('testmo-export-repository'!$B$2:$X$1000,MATCH($B47,'testmo-export-repository'!$A$2:$A$1000,false),MATCH(D$2,'testmo-export-repository'!$B$1:$X$1,false)),"")</f>
        <v>Low</v>
      </c>
      <c r="E47" s="60">
        <f>IFERROR(VLOOKUP($C47,instructions!$N$3:$O$5,2,false),"")</f>
        <v>1</v>
      </c>
      <c r="F47" s="60">
        <f>IFERROR(VLOOKUP($D47,instructions!$N$3:$O$5,2,false),"")</f>
        <v>3</v>
      </c>
      <c r="G47" s="60" t="str">
        <f t="array" ref="G47">IFERROR(INDEX('testmo-export-repository'!$B$2:$X$1000,MATCH($B47,'testmo-export-repository'!$A$2:$A$1000,false),MATCH(G$2,'testmo-export-repository'!$B$1:$X$1,false)),"")</f>
        <v>Yes</v>
      </c>
      <c r="H47" s="60" t="str">
        <f t="array" ref="H47">IFERROR(INDEX('testmo-export-repository'!$B$2:$X$1000,MATCH($B47,'testmo-export-repository'!$A$2:$A$1000,false),MATCH(H$2,'testmo-export-repository'!$B$1:$X$1,false)),"")</f>
        <v>No</v>
      </c>
      <c r="I47" s="60" t="str">
        <f t="array" ref="I47">IFERROR(INDEX('testmo-export-repository'!$B$2:$X$1000,MATCH($B47,'testmo-export-repository'!$A$2:$A$1000,false),MATCH(I$2,'testmo-export-repository'!$B$1:$X$1,false)),"")</f>
        <v/>
      </c>
      <c r="J47" s="60" t="str">
        <f t="array" ref="J47">IFERROR(INDEX('testmo-export-repository'!$B$2:$Y$1000,MATCH($B47,'testmo-export-repository'!$A$2:$A$1000,false),MATCH(J$2,'testmo-export-repository'!$B$1:$Y$1,false)),"")</f>
        <v/>
      </c>
      <c r="K47" s="60" t="str">
        <f t="array" ref="K47">IFERROR(INDEX('testmo-export-repository'!$B$2:$Y$1000,MATCH($B47,'testmo-export-repository'!$A$2:$A$1000,false),MATCH(K$2,'testmo-export-repository'!$B$1:$Y$1,false)),"")</f>
        <v/>
      </c>
    </row>
    <row r="48">
      <c r="B48" s="60">
        <f>'testmo-export-repository'!A47</f>
        <v>7114</v>
      </c>
      <c r="C48" s="60" t="str">
        <f t="array" ref="C48">IFERROR(INDEX('testmo-export-repository'!$B$2:$X$1000,MATCH($B48,'testmo-export-repository'!$A$2:$A$1000,false),MATCH(C$2,'testmo-export-repository'!$B$1:$X$1,false)),"")</f>
        <v>Low</v>
      </c>
      <c r="D48" s="60" t="str">
        <f t="array" ref="D48">IFERROR(INDEX('testmo-export-repository'!$B$2:$X$1000,MATCH($B48,'testmo-export-repository'!$A$2:$A$1000,false),MATCH(D$2,'testmo-export-repository'!$B$1:$X$1,false)),"")</f>
        <v>Normal</v>
      </c>
      <c r="E48" s="60">
        <f>IFERROR(VLOOKUP($C48,instructions!$N$3:$O$5,2,false),"")</f>
        <v>3</v>
      </c>
      <c r="F48" s="60">
        <f>IFERROR(VLOOKUP($D48,instructions!$N$3:$O$5,2,false),"")</f>
        <v>2</v>
      </c>
      <c r="G48" s="60" t="str">
        <f t="array" ref="G48">IFERROR(INDEX('testmo-export-repository'!$B$2:$X$1000,MATCH($B48,'testmo-export-repository'!$A$2:$A$1000,false),MATCH(G$2,'testmo-export-repository'!$B$1:$X$1,false)),"")</f>
        <v>Yes</v>
      </c>
      <c r="H48" s="60" t="str">
        <f t="array" ref="H48">IFERROR(INDEX('testmo-export-repository'!$B$2:$X$1000,MATCH($B48,'testmo-export-repository'!$A$2:$A$1000,false),MATCH(H$2,'testmo-export-repository'!$B$1:$X$1,false)),"")</f>
        <v>No</v>
      </c>
      <c r="I48" s="60" t="str">
        <f t="array" ref="I48">IFERROR(INDEX('testmo-export-repository'!$B$2:$X$1000,MATCH($B48,'testmo-export-repository'!$A$2:$A$1000,false),MATCH(I$2,'testmo-export-repository'!$B$1:$X$1,false)),"")</f>
        <v>Passed</v>
      </c>
      <c r="J48" s="60" t="str">
        <f t="array" ref="J48">IFERROR(INDEX('testmo-export-repository'!$B$2:$Y$1000,MATCH($B48,'testmo-export-repository'!$A$2:$A$1000,false),MATCH(J$2,'testmo-export-repository'!$B$1:$Y$1,false)),"")</f>
        <v>2.37</v>
      </c>
      <c r="K48" s="60" t="str">
        <f t="array" ref="K48">IFERROR(INDEX('testmo-export-repository'!$B$2:$Y$1000,MATCH($B48,'testmo-export-repository'!$A$2:$A$1000,false),MATCH(K$2,'testmo-export-repository'!$B$1:$Y$1,false)),"")</f>
        <v>BAS-733</v>
      </c>
    </row>
    <row r="49">
      <c r="B49" s="60">
        <f>'testmo-export-repository'!A48</f>
        <v>7115</v>
      </c>
      <c r="C49" s="60" t="str">
        <f t="array" ref="C49">IFERROR(INDEX('testmo-export-repository'!$B$2:$X$1000,MATCH($B49,'testmo-export-repository'!$A$2:$A$1000,false),MATCH(C$2,'testmo-export-repository'!$B$1:$X$1,false)),"")</f>
        <v>Low</v>
      </c>
      <c r="D49" s="60" t="str">
        <f t="array" ref="D49">IFERROR(INDEX('testmo-export-repository'!$B$2:$X$1000,MATCH($B49,'testmo-export-repository'!$A$2:$A$1000,false),MATCH(D$2,'testmo-export-repository'!$B$1:$X$1,false)),"")</f>
        <v>Normal</v>
      </c>
      <c r="E49" s="60">
        <f>IFERROR(VLOOKUP($C49,instructions!$N$3:$O$5,2,false),"")</f>
        <v>3</v>
      </c>
      <c r="F49" s="60">
        <f>IFERROR(VLOOKUP($D49,instructions!$N$3:$O$5,2,false),"")</f>
        <v>2</v>
      </c>
      <c r="G49" s="60" t="str">
        <f t="array" ref="G49">IFERROR(INDEX('testmo-export-repository'!$B$2:$X$1000,MATCH($B49,'testmo-export-repository'!$A$2:$A$1000,false),MATCH(G$2,'testmo-export-repository'!$B$1:$X$1,false)),"")</f>
        <v>Yes</v>
      </c>
      <c r="H49" s="60" t="str">
        <f t="array" ref="H49">IFERROR(INDEX('testmo-export-repository'!$B$2:$X$1000,MATCH($B49,'testmo-export-repository'!$A$2:$A$1000,false),MATCH(H$2,'testmo-export-repository'!$B$1:$X$1,false)),"")</f>
        <v>No</v>
      </c>
      <c r="I49" s="60" t="str">
        <f t="array" ref="I49">IFERROR(INDEX('testmo-export-repository'!$B$2:$X$1000,MATCH($B49,'testmo-export-repository'!$A$2:$A$1000,false),MATCH(I$2,'testmo-export-repository'!$B$1:$X$1,false)),"")</f>
        <v>Passed</v>
      </c>
      <c r="J49" s="60" t="str">
        <f t="array" ref="J49">IFERROR(INDEX('testmo-export-repository'!$B$2:$Y$1000,MATCH($B49,'testmo-export-repository'!$A$2:$A$1000,false),MATCH(J$2,'testmo-export-repository'!$B$1:$Y$1,false)),"")</f>
        <v>2.37</v>
      </c>
      <c r="K49" s="60" t="str">
        <f t="array" ref="K49">IFERROR(INDEX('testmo-export-repository'!$B$2:$Y$1000,MATCH($B49,'testmo-export-repository'!$A$2:$A$1000,false),MATCH(K$2,'testmo-export-repository'!$B$1:$Y$1,false)),"")</f>
        <v>BAS-733</v>
      </c>
    </row>
    <row r="50">
      <c r="B50" s="60">
        <f>'testmo-export-repository'!A49</f>
        <v>7116</v>
      </c>
      <c r="C50" s="60" t="str">
        <f t="array" ref="C50">IFERROR(INDEX('testmo-export-repository'!$B$2:$X$1000,MATCH($B50,'testmo-export-repository'!$A$2:$A$1000,false),MATCH(C$2,'testmo-export-repository'!$B$1:$X$1,false)),"")</f>
        <v>Low</v>
      </c>
      <c r="D50" s="60" t="str">
        <f t="array" ref="D50">IFERROR(INDEX('testmo-export-repository'!$B$2:$X$1000,MATCH($B50,'testmo-export-repository'!$A$2:$A$1000,false),MATCH(D$2,'testmo-export-repository'!$B$1:$X$1,false)),"")</f>
        <v>Normal</v>
      </c>
      <c r="E50" s="60">
        <f>IFERROR(VLOOKUP($C50,instructions!$N$3:$O$5,2,false),"")</f>
        <v>3</v>
      </c>
      <c r="F50" s="60">
        <f>IFERROR(VLOOKUP($D50,instructions!$N$3:$O$5,2,false),"")</f>
        <v>2</v>
      </c>
      <c r="G50" s="60" t="str">
        <f t="array" ref="G50">IFERROR(INDEX('testmo-export-repository'!$B$2:$X$1000,MATCH($B50,'testmo-export-repository'!$A$2:$A$1000,false),MATCH(G$2,'testmo-export-repository'!$B$1:$X$1,false)),"")</f>
        <v>Yes</v>
      </c>
      <c r="H50" s="60" t="str">
        <f t="array" ref="H50">IFERROR(INDEX('testmo-export-repository'!$B$2:$X$1000,MATCH($B50,'testmo-export-repository'!$A$2:$A$1000,false),MATCH(H$2,'testmo-export-repository'!$B$1:$X$1,false)),"")</f>
        <v>No</v>
      </c>
      <c r="I50" s="60" t="str">
        <f t="array" ref="I50">IFERROR(INDEX('testmo-export-repository'!$B$2:$X$1000,MATCH($B50,'testmo-export-repository'!$A$2:$A$1000,false),MATCH(I$2,'testmo-export-repository'!$B$1:$X$1,false)),"")</f>
        <v>Passed</v>
      </c>
      <c r="J50" s="60" t="str">
        <f t="array" ref="J50">IFERROR(INDEX('testmo-export-repository'!$B$2:$Y$1000,MATCH($B50,'testmo-export-repository'!$A$2:$A$1000,false),MATCH(J$2,'testmo-export-repository'!$B$1:$Y$1,false)),"")</f>
        <v>2.37</v>
      </c>
      <c r="K50" s="60" t="str">
        <f t="array" ref="K50">IFERROR(INDEX('testmo-export-repository'!$B$2:$Y$1000,MATCH($B50,'testmo-export-repository'!$A$2:$A$1000,false),MATCH(K$2,'testmo-export-repository'!$B$1:$Y$1,false)),"")</f>
        <v>BAS-733</v>
      </c>
    </row>
    <row r="51">
      <c r="B51" s="60">
        <f>'testmo-export-repository'!A50</f>
        <v>7117</v>
      </c>
      <c r="C51" s="60" t="str">
        <f t="array" ref="C51">IFERROR(INDEX('testmo-export-repository'!$B$2:$X$1000,MATCH($B51,'testmo-export-repository'!$A$2:$A$1000,false),MATCH(C$2,'testmo-export-repository'!$B$1:$X$1,false)),"")</f>
        <v>Low</v>
      </c>
      <c r="D51" s="60" t="str">
        <f t="array" ref="D51">IFERROR(INDEX('testmo-export-repository'!$B$2:$X$1000,MATCH($B51,'testmo-export-repository'!$A$2:$A$1000,false),MATCH(D$2,'testmo-export-repository'!$B$1:$X$1,false)),"")</f>
        <v>Normal</v>
      </c>
      <c r="E51" s="60">
        <f>IFERROR(VLOOKUP($C51,instructions!$N$3:$O$5,2,false),"")</f>
        <v>3</v>
      </c>
      <c r="F51" s="60">
        <f>IFERROR(VLOOKUP($D51,instructions!$N$3:$O$5,2,false),"")</f>
        <v>2</v>
      </c>
      <c r="G51" s="60" t="str">
        <f t="array" ref="G51">IFERROR(INDEX('testmo-export-repository'!$B$2:$X$1000,MATCH($B51,'testmo-export-repository'!$A$2:$A$1000,false),MATCH(G$2,'testmo-export-repository'!$B$1:$X$1,false)),"")</f>
        <v>Yes</v>
      </c>
      <c r="H51" s="60" t="str">
        <f t="array" ref="H51">IFERROR(INDEX('testmo-export-repository'!$B$2:$X$1000,MATCH($B51,'testmo-export-repository'!$A$2:$A$1000,false),MATCH(H$2,'testmo-export-repository'!$B$1:$X$1,false)),"")</f>
        <v>No</v>
      </c>
      <c r="I51" s="60" t="str">
        <f t="array" ref="I51">IFERROR(INDEX('testmo-export-repository'!$B$2:$X$1000,MATCH($B51,'testmo-export-repository'!$A$2:$A$1000,false),MATCH(I$2,'testmo-export-repository'!$B$1:$X$1,false)),"")</f>
        <v>Passed</v>
      </c>
      <c r="J51" s="60" t="str">
        <f t="array" ref="J51">IFERROR(INDEX('testmo-export-repository'!$B$2:$Y$1000,MATCH($B51,'testmo-export-repository'!$A$2:$A$1000,false),MATCH(J$2,'testmo-export-repository'!$B$1:$Y$1,false)),"")</f>
        <v>2.37</v>
      </c>
      <c r="K51" s="60" t="str">
        <f t="array" ref="K51">IFERROR(INDEX('testmo-export-repository'!$B$2:$Y$1000,MATCH($B51,'testmo-export-repository'!$A$2:$A$1000,false),MATCH(K$2,'testmo-export-repository'!$B$1:$Y$1,false)),"")</f>
        <v>BAS-733</v>
      </c>
    </row>
    <row r="52">
      <c r="B52" s="60">
        <f>'testmo-export-repository'!A51</f>
        <v>7120</v>
      </c>
      <c r="C52" s="60" t="str">
        <f t="array" ref="C52">IFERROR(INDEX('testmo-export-repository'!$B$2:$X$1000,MATCH($B52,'testmo-export-repository'!$A$2:$A$1000,false),MATCH(C$2,'testmo-export-repository'!$B$1:$X$1,false)),"")</f>
        <v>Normal</v>
      </c>
      <c r="D52" s="60" t="str">
        <f t="array" ref="D52">IFERROR(INDEX('testmo-export-repository'!$B$2:$X$1000,MATCH($B52,'testmo-export-repository'!$A$2:$A$1000,false),MATCH(D$2,'testmo-export-repository'!$B$1:$X$1,false)),"")</f>
        <v>High</v>
      </c>
      <c r="E52" s="60">
        <f>IFERROR(VLOOKUP($C52,instructions!$N$3:$O$5,2,false),"")</f>
        <v>2</v>
      </c>
      <c r="F52" s="60">
        <f>IFERROR(VLOOKUP($D52,instructions!$N$3:$O$5,2,false),"")</f>
        <v>1</v>
      </c>
      <c r="G52" s="60" t="str">
        <f t="array" ref="G52">IFERROR(INDEX('testmo-export-repository'!$B$2:$X$1000,MATCH($B52,'testmo-export-repository'!$A$2:$A$1000,false),MATCH(G$2,'testmo-export-repository'!$B$1:$X$1,false)),"")</f>
        <v>Yes</v>
      </c>
      <c r="H52" s="60" t="str">
        <f t="array" ref="H52">IFERROR(INDEX('testmo-export-repository'!$B$2:$X$1000,MATCH($B52,'testmo-export-repository'!$A$2:$A$1000,false),MATCH(H$2,'testmo-export-repository'!$B$1:$X$1,false)),"")</f>
        <v>No</v>
      </c>
      <c r="I52" s="60" t="str">
        <f t="array" ref="I52">IFERROR(INDEX('testmo-export-repository'!$B$2:$X$1000,MATCH($B52,'testmo-export-repository'!$A$2:$A$1000,false),MATCH(I$2,'testmo-export-repository'!$B$1:$X$1,false)),"")</f>
        <v>Passed</v>
      </c>
      <c r="J52" s="60" t="str">
        <f t="array" ref="J52">IFERROR(INDEX('testmo-export-repository'!$B$2:$Y$1000,MATCH($B52,'testmo-export-repository'!$A$2:$A$1000,false),MATCH(J$2,'testmo-export-repository'!$B$1:$Y$1,false)),"")</f>
        <v>2.37</v>
      </c>
      <c r="K52" s="60" t="str">
        <f t="array" ref="K52">IFERROR(INDEX('testmo-export-repository'!$B$2:$Y$1000,MATCH($B52,'testmo-export-repository'!$A$2:$A$1000,false),MATCH(K$2,'testmo-export-repository'!$B$1:$Y$1,false)),"")</f>
        <v>BAS-838</v>
      </c>
    </row>
    <row r="53">
      <c r="B53" s="60">
        <f>'testmo-export-repository'!A52</f>
        <v>7121</v>
      </c>
      <c r="C53" s="60" t="str">
        <f t="array" ref="C53">IFERROR(INDEX('testmo-export-repository'!$B$2:$X$1000,MATCH($B53,'testmo-export-repository'!$A$2:$A$1000,false),MATCH(C$2,'testmo-export-repository'!$B$1:$X$1,false)),"")</f>
        <v>Low</v>
      </c>
      <c r="D53" s="60" t="str">
        <f t="array" ref="D53">IFERROR(INDEX('testmo-export-repository'!$B$2:$X$1000,MATCH($B53,'testmo-export-repository'!$A$2:$A$1000,false),MATCH(D$2,'testmo-export-repository'!$B$1:$X$1,false)),"")</f>
        <v>Low</v>
      </c>
      <c r="E53" s="60">
        <f>IFERROR(VLOOKUP($C53,instructions!$N$3:$O$5,2,false),"")</f>
        <v>3</v>
      </c>
      <c r="F53" s="60">
        <f>IFERROR(VLOOKUP($D53,instructions!$N$3:$O$5,2,false),"")</f>
        <v>3</v>
      </c>
      <c r="G53" s="60" t="str">
        <f t="array" ref="G53">IFERROR(INDEX('testmo-export-repository'!$B$2:$X$1000,MATCH($B53,'testmo-export-repository'!$A$2:$A$1000,false),MATCH(G$2,'testmo-export-repository'!$B$1:$X$1,false)),"")</f>
        <v>No</v>
      </c>
      <c r="H53" s="60" t="str">
        <f t="array" ref="H53">IFERROR(INDEX('testmo-export-repository'!$B$2:$X$1000,MATCH($B53,'testmo-export-repository'!$A$2:$A$1000,false),MATCH(H$2,'testmo-export-repository'!$B$1:$X$1,false)),"")</f>
        <v>No</v>
      </c>
      <c r="I53" s="60" t="str">
        <f t="array" ref="I53">IFERROR(INDEX('testmo-export-repository'!$B$2:$X$1000,MATCH($B53,'testmo-export-repository'!$A$2:$A$1000,false),MATCH(I$2,'testmo-export-repository'!$B$1:$X$1,false)),"")</f>
        <v>Passed</v>
      </c>
      <c r="J53" s="60" t="str">
        <f t="array" ref="J53">IFERROR(INDEX('testmo-export-repository'!$B$2:$Y$1000,MATCH($B53,'testmo-export-repository'!$A$2:$A$1000,false),MATCH(J$2,'testmo-export-repository'!$B$1:$Y$1,false)),"")</f>
        <v>2.37</v>
      </c>
      <c r="K53" s="60" t="str">
        <f t="array" ref="K53">IFERROR(INDEX('testmo-export-repository'!$B$2:$Y$1000,MATCH($B53,'testmo-export-repository'!$A$2:$A$1000,false),MATCH(K$2,'testmo-export-repository'!$B$1:$Y$1,false)),"")</f>
        <v>BAS-844</v>
      </c>
    </row>
    <row r="54">
      <c r="B54" s="60">
        <f>'testmo-export-repository'!A53</f>
        <v>7138</v>
      </c>
      <c r="C54" s="60" t="str">
        <f t="array" ref="C54">IFERROR(INDEX('testmo-export-repository'!$B$2:$X$1000,MATCH($B54,'testmo-export-repository'!$A$2:$A$1000,false),MATCH(C$2,'testmo-export-repository'!$B$1:$X$1,false)),"")</f>
        <v>Normal</v>
      </c>
      <c r="D54" s="60" t="str">
        <f t="array" ref="D54">IFERROR(INDEX('testmo-export-repository'!$B$2:$X$1000,MATCH($B54,'testmo-export-repository'!$A$2:$A$1000,false),MATCH(D$2,'testmo-export-repository'!$B$1:$X$1,false)),"")</f>
        <v>High</v>
      </c>
      <c r="E54" s="60">
        <f>IFERROR(VLOOKUP($C54,instructions!$N$3:$O$5,2,false),"")</f>
        <v>2</v>
      </c>
      <c r="F54" s="60">
        <f>IFERROR(VLOOKUP($D54,instructions!$N$3:$O$5,2,false),"")</f>
        <v>1</v>
      </c>
      <c r="G54" s="60" t="str">
        <f t="array" ref="G54">IFERROR(INDEX('testmo-export-repository'!$B$2:$X$1000,MATCH($B54,'testmo-export-repository'!$A$2:$A$1000,false),MATCH(G$2,'testmo-export-repository'!$B$1:$X$1,false)),"")</f>
        <v>Yes</v>
      </c>
      <c r="H54" s="60" t="str">
        <f t="array" ref="H54">IFERROR(INDEX('testmo-export-repository'!$B$2:$X$1000,MATCH($B54,'testmo-export-repository'!$A$2:$A$1000,false),MATCH(H$2,'testmo-export-repository'!$B$1:$X$1,false)),"")</f>
        <v>No</v>
      </c>
      <c r="I54" s="60" t="str">
        <f t="array" ref="I54">IFERROR(INDEX('testmo-export-repository'!$B$2:$X$1000,MATCH($B54,'testmo-export-repository'!$A$2:$A$1000,false),MATCH(I$2,'testmo-export-repository'!$B$1:$X$1,false)),"")</f>
        <v>Passed</v>
      </c>
      <c r="J54" s="60" t="str">
        <f t="array" ref="J54">IFERROR(INDEX('testmo-export-repository'!$B$2:$Y$1000,MATCH($B54,'testmo-export-repository'!$A$2:$A$1000,false),MATCH(J$2,'testmo-export-repository'!$B$1:$Y$1,false)),"")</f>
        <v>2.37</v>
      </c>
      <c r="K54" s="60" t="str">
        <f t="array" ref="K54">IFERROR(INDEX('testmo-export-repository'!$B$2:$Y$1000,MATCH($B54,'testmo-export-repository'!$A$2:$A$1000,false),MATCH(K$2,'testmo-export-repository'!$B$1:$Y$1,false)),"")</f>
        <v>BAS-964</v>
      </c>
    </row>
    <row r="55">
      <c r="B55" s="60">
        <f>'testmo-export-repository'!A54</f>
        <v>7131</v>
      </c>
      <c r="C55" s="60" t="str">
        <f t="array" ref="C55">IFERROR(INDEX('testmo-export-repository'!$B$2:$X$1000,MATCH($B55,'testmo-export-repository'!$A$2:$A$1000,false),MATCH(C$2,'testmo-export-repository'!$B$1:$X$1,false)),"")</f>
        <v>Normal</v>
      </c>
      <c r="D55" s="60" t="str">
        <f t="array" ref="D55">IFERROR(INDEX('testmo-export-repository'!$B$2:$X$1000,MATCH($B55,'testmo-export-repository'!$A$2:$A$1000,false),MATCH(D$2,'testmo-export-repository'!$B$1:$X$1,false)),"")</f>
        <v>Low</v>
      </c>
      <c r="E55" s="60">
        <f>IFERROR(VLOOKUP($C55,instructions!$N$3:$O$5,2,false),"")</f>
        <v>2</v>
      </c>
      <c r="F55" s="60">
        <f>IFERROR(VLOOKUP($D55,instructions!$N$3:$O$5,2,false),"")</f>
        <v>3</v>
      </c>
      <c r="G55" s="60" t="str">
        <f t="array" ref="G55">IFERROR(INDEX('testmo-export-repository'!$B$2:$X$1000,MATCH($B55,'testmo-export-repository'!$A$2:$A$1000,false),MATCH(G$2,'testmo-export-repository'!$B$1:$X$1,false)),"")</f>
        <v>Yes</v>
      </c>
      <c r="H55" s="60" t="str">
        <f t="array" ref="H55">IFERROR(INDEX('testmo-export-repository'!$B$2:$X$1000,MATCH($B55,'testmo-export-repository'!$A$2:$A$1000,false),MATCH(H$2,'testmo-export-repository'!$B$1:$X$1,false)),"")</f>
        <v>No</v>
      </c>
      <c r="I55" s="60" t="str">
        <f t="array" ref="I55">IFERROR(INDEX('testmo-export-repository'!$B$2:$X$1000,MATCH($B55,'testmo-export-repository'!$A$2:$A$1000,false),MATCH(I$2,'testmo-export-repository'!$B$1:$X$1,false)),"")</f>
        <v>Passed</v>
      </c>
      <c r="J55" s="60" t="str">
        <f t="array" ref="J55">IFERROR(INDEX('testmo-export-repository'!$B$2:$Y$1000,MATCH($B55,'testmo-export-repository'!$A$2:$A$1000,false),MATCH(J$2,'testmo-export-repository'!$B$1:$Y$1,false)),"")</f>
        <v>2.37</v>
      </c>
      <c r="K55" s="60" t="str">
        <f t="array" ref="K55">IFERROR(INDEX('testmo-export-repository'!$B$2:$Y$1000,MATCH($B55,'testmo-export-repository'!$A$2:$A$1000,false),MATCH(K$2,'testmo-export-repository'!$B$1:$Y$1,false)),"")</f>
        <v>BAS-957</v>
      </c>
    </row>
    <row r="56">
      <c r="B56" s="60">
        <f>'testmo-export-repository'!A55</f>
        <v>7132</v>
      </c>
      <c r="C56" s="60" t="str">
        <f t="array" ref="C56">IFERROR(INDEX('testmo-export-repository'!$B$2:$X$1000,MATCH($B56,'testmo-export-repository'!$A$2:$A$1000,false),MATCH(C$2,'testmo-export-repository'!$B$1:$X$1,false)),"")</f>
        <v>Normal</v>
      </c>
      <c r="D56" s="60" t="str">
        <f t="array" ref="D56">IFERROR(INDEX('testmo-export-repository'!$B$2:$X$1000,MATCH($B56,'testmo-export-repository'!$A$2:$A$1000,false),MATCH(D$2,'testmo-export-repository'!$B$1:$X$1,false)),"")</f>
        <v>Low</v>
      </c>
      <c r="E56" s="60">
        <f>IFERROR(VLOOKUP($C56,instructions!$N$3:$O$5,2,false),"")</f>
        <v>2</v>
      </c>
      <c r="F56" s="60">
        <f>IFERROR(VLOOKUP($D56,instructions!$N$3:$O$5,2,false),"")</f>
        <v>3</v>
      </c>
      <c r="G56" s="60" t="str">
        <f t="array" ref="G56">IFERROR(INDEX('testmo-export-repository'!$B$2:$X$1000,MATCH($B56,'testmo-export-repository'!$A$2:$A$1000,false),MATCH(G$2,'testmo-export-repository'!$B$1:$X$1,false)),"")</f>
        <v>Yes</v>
      </c>
      <c r="H56" s="60" t="str">
        <f t="array" ref="H56">IFERROR(INDEX('testmo-export-repository'!$B$2:$X$1000,MATCH($B56,'testmo-export-repository'!$A$2:$A$1000,false),MATCH(H$2,'testmo-export-repository'!$B$1:$X$1,false)),"")</f>
        <v>No</v>
      </c>
      <c r="I56" s="60" t="str">
        <f t="array" ref="I56">IFERROR(INDEX('testmo-export-repository'!$B$2:$X$1000,MATCH($B56,'testmo-export-repository'!$A$2:$A$1000,false),MATCH(I$2,'testmo-export-repository'!$B$1:$X$1,false)),"")</f>
        <v>Passed</v>
      </c>
      <c r="J56" s="60" t="str">
        <f t="array" ref="J56">IFERROR(INDEX('testmo-export-repository'!$B$2:$Y$1000,MATCH($B56,'testmo-export-repository'!$A$2:$A$1000,false),MATCH(J$2,'testmo-export-repository'!$B$1:$Y$1,false)),"")</f>
        <v>2.37</v>
      </c>
      <c r="K56" s="60" t="str">
        <f t="array" ref="K56">IFERROR(INDEX('testmo-export-repository'!$B$2:$Y$1000,MATCH($B56,'testmo-export-repository'!$A$2:$A$1000,false),MATCH(K$2,'testmo-export-repository'!$B$1:$Y$1,false)),"")</f>
        <v>BAS-957</v>
      </c>
    </row>
    <row r="57">
      <c r="B57" s="60">
        <f>'testmo-export-repository'!A56</f>
        <v>7133</v>
      </c>
      <c r="C57" s="60" t="str">
        <f t="array" ref="C57">IFERROR(INDEX('testmo-export-repository'!$B$2:$X$1000,MATCH($B57,'testmo-export-repository'!$A$2:$A$1000,false),MATCH(C$2,'testmo-export-repository'!$B$1:$X$1,false)),"")</f>
        <v>Normal</v>
      </c>
      <c r="D57" s="60" t="str">
        <f t="array" ref="D57">IFERROR(INDEX('testmo-export-repository'!$B$2:$X$1000,MATCH($B57,'testmo-export-repository'!$A$2:$A$1000,false),MATCH(D$2,'testmo-export-repository'!$B$1:$X$1,false)),"")</f>
        <v>Low</v>
      </c>
      <c r="E57" s="60">
        <f>IFERROR(VLOOKUP($C57,instructions!$N$3:$O$5,2,false),"")</f>
        <v>2</v>
      </c>
      <c r="F57" s="60">
        <f>IFERROR(VLOOKUP($D57,instructions!$N$3:$O$5,2,false),"")</f>
        <v>3</v>
      </c>
      <c r="G57" s="60" t="str">
        <f t="array" ref="G57">IFERROR(INDEX('testmo-export-repository'!$B$2:$X$1000,MATCH($B57,'testmo-export-repository'!$A$2:$A$1000,false),MATCH(G$2,'testmo-export-repository'!$B$1:$X$1,false)),"")</f>
        <v>Yes</v>
      </c>
      <c r="H57" s="60" t="str">
        <f t="array" ref="H57">IFERROR(INDEX('testmo-export-repository'!$B$2:$X$1000,MATCH($B57,'testmo-export-repository'!$A$2:$A$1000,false),MATCH(H$2,'testmo-export-repository'!$B$1:$X$1,false)),"")</f>
        <v>No</v>
      </c>
      <c r="I57" s="60" t="str">
        <f t="array" ref="I57">IFERROR(INDEX('testmo-export-repository'!$B$2:$X$1000,MATCH($B57,'testmo-export-repository'!$A$2:$A$1000,false),MATCH(I$2,'testmo-export-repository'!$B$1:$X$1,false)),"")</f>
        <v>Passed</v>
      </c>
      <c r="J57" s="60" t="str">
        <f t="array" ref="J57">IFERROR(INDEX('testmo-export-repository'!$B$2:$Y$1000,MATCH($B57,'testmo-export-repository'!$A$2:$A$1000,false),MATCH(J$2,'testmo-export-repository'!$B$1:$Y$1,false)),"")</f>
        <v>2.37</v>
      </c>
      <c r="K57" s="60" t="str">
        <f t="array" ref="K57">IFERROR(INDEX('testmo-export-repository'!$B$2:$Y$1000,MATCH($B57,'testmo-export-repository'!$A$2:$A$1000,false),MATCH(K$2,'testmo-export-repository'!$B$1:$Y$1,false)),"")</f>
        <v>BAS-957</v>
      </c>
    </row>
    <row r="58">
      <c r="B58" s="60">
        <f>'testmo-export-repository'!A57</f>
        <v>7134</v>
      </c>
      <c r="C58" s="60" t="str">
        <f t="array" ref="C58">IFERROR(INDEX('testmo-export-repository'!$B$2:$X$1000,MATCH($B58,'testmo-export-repository'!$A$2:$A$1000,false),MATCH(C$2,'testmo-export-repository'!$B$1:$X$1,false)),"")</f>
        <v>Normal</v>
      </c>
      <c r="D58" s="60" t="str">
        <f t="array" ref="D58">IFERROR(INDEX('testmo-export-repository'!$B$2:$X$1000,MATCH($B58,'testmo-export-repository'!$A$2:$A$1000,false),MATCH(D$2,'testmo-export-repository'!$B$1:$X$1,false)),"")</f>
        <v>Low</v>
      </c>
      <c r="E58" s="60">
        <f>IFERROR(VLOOKUP($C58,instructions!$N$3:$O$5,2,false),"")</f>
        <v>2</v>
      </c>
      <c r="F58" s="60">
        <f>IFERROR(VLOOKUP($D58,instructions!$N$3:$O$5,2,false),"")</f>
        <v>3</v>
      </c>
      <c r="G58" s="60" t="str">
        <f t="array" ref="G58">IFERROR(INDEX('testmo-export-repository'!$B$2:$X$1000,MATCH($B58,'testmo-export-repository'!$A$2:$A$1000,false),MATCH(G$2,'testmo-export-repository'!$B$1:$X$1,false)),"")</f>
        <v>Yes</v>
      </c>
      <c r="H58" s="60" t="str">
        <f t="array" ref="H58">IFERROR(INDEX('testmo-export-repository'!$B$2:$X$1000,MATCH($B58,'testmo-export-repository'!$A$2:$A$1000,false),MATCH(H$2,'testmo-export-repository'!$B$1:$X$1,false)),"")</f>
        <v>No</v>
      </c>
      <c r="I58" s="60" t="str">
        <f t="array" ref="I58">IFERROR(INDEX('testmo-export-repository'!$B$2:$X$1000,MATCH($B58,'testmo-export-repository'!$A$2:$A$1000,false),MATCH(I$2,'testmo-export-repository'!$B$1:$X$1,false)),"")</f>
        <v>Passed</v>
      </c>
      <c r="J58" s="60" t="str">
        <f t="array" ref="J58">IFERROR(INDEX('testmo-export-repository'!$B$2:$Y$1000,MATCH($B58,'testmo-export-repository'!$A$2:$A$1000,false),MATCH(J$2,'testmo-export-repository'!$B$1:$Y$1,false)),"")</f>
        <v>2.37</v>
      </c>
      <c r="K58" s="60" t="str">
        <f t="array" ref="K58">IFERROR(INDEX('testmo-export-repository'!$B$2:$Y$1000,MATCH($B58,'testmo-export-repository'!$A$2:$A$1000,false),MATCH(K$2,'testmo-export-repository'!$B$1:$Y$1,false)),"")</f>
        <v>BAS-957</v>
      </c>
    </row>
    <row r="59">
      <c r="B59" s="60">
        <f>'testmo-export-repository'!A58</f>
        <v>20376</v>
      </c>
      <c r="C59" s="60" t="str">
        <f t="array" ref="C59">IFERROR(INDEX('testmo-export-repository'!$B$2:$X$1000,MATCH($B59,'testmo-export-repository'!$A$2:$A$1000,false),MATCH(C$2,'testmo-export-repository'!$B$1:$X$1,false)),"")</f>
        <v>High</v>
      </c>
      <c r="D59" s="60" t="str">
        <f t="array" ref="D59">IFERROR(INDEX('testmo-export-repository'!$B$2:$X$1000,MATCH($B59,'testmo-export-repository'!$A$2:$A$1000,false),MATCH(D$2,'testmo-export-repository'!$B$1:$X$1,false)),"")</f>
        <v>Normal</v>
      </c>
      <c r="E59" s="60">
        <f>IFERROR(VLOOKUP($C59,instructions!$N$3:$O$5,2,false),"")</f>
        <v>1</v>
      </c>
      <c r="F59" s="60">
        <f>IFERROR(VLOOKUP($D59,instructions!$N$3:$O$5,2,false),"")</f>
        <v>2</v>
      </c>
      <c r="G59" s="60" t="str">
        <f t="array" ref="G59">IFERROR(INDEX('testmo-export-repository'!$B$2:$X$1000,MATCH($B59,'testmo-export-repository'!$A$2:$A$1000,false),MATCH(G$2,'testmo-export-repository'!$B$1:$X$1,false)),"")</f>
        <v>Yes</v>
      </c>
      <c r="H59" s="60" t="str">
        <f t="array" ref="H59">IFERROR(INDEX('testmo-export-repository'!$B$2:$X$1000,MATCH($B59,'testmo-export-repository'!$A$2:$A$1000,false),MATCH(H$2,'testmo-export-repository'!$B$1:$X$1,false)),"")</f>
        <v>No</v>
      </c>
      <c r="I59" s="60" t="str">
        <f t="array" ref="I59">IFERROR(INDEX('testmo-export-repository'!$B$2:$X$1000,MATCH($B59,'testmo-export-repository'!$A$2:$A$1000,false),MATCH(I$2,'testmo-export-repository'!$B$1:$X$1,false)),"")</f>
        <v/>
      </c>
      <c r="J59" s="60" t="str">
        <f t="array" ref="J59">IFERROR(INDEX('testmo-export-repository'!$B$2:$Y$1000,MATCH($B59,'testmo-export-repository'!$A$2:$A$1000,false),MATCH(J$2,'testmo-export-repository'!$B$1:$Y$1,false)),"")</f>
        <v>2.38</v>
      </c>
      <c r="K59" s="60" t="str">
        <f t="array" ref="K59">IFERROR(INDEX('testmo-export-repository'!$B$2:$Y$1000,MATCH($B59,'testmo-export-repository'!$A$2:$A$1000,false),MATCH(K$2,'testmo-export-repository'!$B$1:$Y$1,false)),"")</f>
        <v>BAS-807</v>
      </c>
    </row>
    <row r="60">
      <c r="B60" s="60">
        <f>'testmo-export-repository'!A59</f>
        <v>20377</v>
      </c>
      <c r="C60" s="60" t="str">
        <f t="array" ref="C60">IFERROR(INDEX('testmo-export-repository'!$B$2:$X$1000,MATCH($B60,'testmo-export-repository'!$A$2:$A$1000,false),MATCH(C$2,'testmo-export-repository'!$B$1:$X$1,false)),"")</f>
        <v>High</v>
      </c>
      <c r="D60" s="60" t="str">
        <f t="array" ref="D60">IFERROR(INDEX('testmo-export-repository'!$B$2:$X$1000,MATCH($B60,'testmo-export-repository'!$A$2:$A$1000,false),MATCH(D$2,'testmo-export-repository'!$B$1:$X$1,false)),"")</f>
        <v>Normal</v>
      </c>
      <c r="E60" s="60">
        <f>IFERROR(VLOOKUP($C60,instructions!$N$3:$O$5,2,false),"")</f>
        <v>1</v>
      </c>
      <c r="F60" s="60">
        <f>IFERROR(VLOOKUP($D60,instructions!$N$3:$O$5,2,false),"")</f>
        <v>2</v>
      </c>
      <c r="G60" s="60" t="str">
        <f t="array" ref="G60">IFERROR(INDEX('testmo-export-repository'!$B$2:$X$1000,MATCH($B60,'testmo-export-repository'!$A$2:$A$1000,false),MATCH(G$2,'testmo-export-repository'!$B$1:$X$1,false)),"")</f>
        <v>Yes</v>
      </c>
      <c r="H60" s="60" t="str">
        <f t="array" ref="H60">IFERROR(INDEX('testmo-export-repository'!$B$2:$X$1000,MATCH($B60,'testmo-export-repository'!$A$2:$A$1000,false),MATCH(H$2,'testmo-export-repository'!$B$1:$X$1,false)),"")</f>
        <v>No</v>
      </c>
      <c r="I60" s="60" t="str">
        <f t="array" ref="I60">IFERROR(INDEX('testmo-export-repository'!$B$2:$X$1000,MATCH($B60,'testmo-export-repository'!$A$2:$A$1000,false),MATCH(I$2,'testmo-export-repository'!$B$1:$X$1,false)),"")</f>
        <v/>
      </c>
      <c r="J60" s="60" t="str">
        <f t="array" ref="J60">IFERROR(INDEX('testmo-export-repository'!$B$2:$Y$1000,MATCH($B60,'testmo-export-repository'!$A$2:$A$1000,false),MATCH(J$2,'testmo-export-repository'!$B$1:$Y$1,false)),"")</f>
        <v>2.38</v>
      </c>
      <c r="K60" s="60" t="str">
        <f t="array" ref="K60">IFERROR(INDEX('testmo-export-repository'!$B$2:$Y$1000,MATCH($B60,'testmo-export-repository'!$A$2:$A$1000,false),MATCH(K$2,'testmo-export-repository'!$B$1:$Y$1,false)),"")</f>
        <v>BAS-807</v>
      </c>
    </row>
    <row r="61">
      <c r="B61" s="60">
        <f>'testmo-export-repository'!A60</f>
        <v>20378</v>
      </c>
      <c r="C61" s="60" t="str">
        <f t="array" ref="C61">IFERROR(INDEX('testmo-export-repository'!$B$2:$X$1000,MATCH($B61,'testmo-export-repository'!$A$2:$A$1000,false),MATCH(C$2,'testmo-export-repository'!$B$1:$X$1,false)),"")</f>
        <v>High</v>
      </c>
      <c r="D61" s="60" t="str">
        <f t="array" ref="D61">IFERROR(INDEX('testmo-export-repository'!$B$2:$X$1000,MATCH($B61,'testmo-export-repository'!$A$2:$A$1000,false),MATCH(D$2,'testmo-export-repository'!$B$1:$X$1,false)),"")</f>
        <v>Normal</v>
      </c>
      <c r="E61" s="60">
        <f>IFERROR(VLOOKUP($C61,instructions!$N$3:$O$5,2,false),"")</f>
        <v>1</v>
      </c>
      <c r="F61" s="60">
        <f>IFERROR(VLOOKUP($D61,instructions!$N$3:$O$5,2,false),"")</f>
        <v>2</v>
      </c>
      <c r="G61" s="60" t="str">
        <f t="array" ref="G61">IFERROR(INDEX('testmo-export-repository'!$B$2:$X$1000,MATCH($B61,'testmo-export-repository'!$A$2:$A$1000,false),MATCH(G$2,'testmo-export-repository'!$B$1:$X$1,false)),"")</f>
        <v>Yes</v>
      </c>
      <c r="H61" s="60" t="str">
        <f t="array" ref="H61">IFERROR(INDEX('testmo-export-repository'!$B$2:$X$1000,MATCH($B61,'testmo-export-repository'!$A$2:$A$1000,false),MATCH(H$2,'testmo-export-repository'!$B$1:$X$1,false)),"")</f>
        <v>No</v>
      </c>
      <c r="I61" s="60" t="str">
        <f t="array" ref="I61">IFERROR(INDEX('testmo-export-repository'!$B$2:$X$1000,MATCH($B61,'testmo-export-repository'!$A$2:$A$1000,false),MATCH(I$2,'testmo-export-repository'!$B$1:$X$1,false)),"")</f>
        <v/>
      </c>
      <c r="J61" s="60" t="str">
        <f t="array" ref="J61">IFERROR(INDEX('testmo-export-repository'!$B$2:$Y$1000,MATCH($B61,'testmo-export-repository'!$A$2:$A$1000,false),MATCH(J$2,'testmo-export-repository'!$B$1:$Y$1,false)),"")</f>
        <v>2.38</v>
      </c>
      <c r="K61" s="60" t="str">
        <f t="array" ref="K61">IFERROR(INDEX('testmo-export-repository'!$B$2:$Y$1000,MATCH($B61,'testmo-export-repository'!$A$2:$A$1000,false),MATCH(K$2,'testmo-export-repository'!$B$1:$Y$1,false)),"")</f>
        <v>BAS-807</v>
      </c>
    </row>
    <row r="62">
      <c r="B62" s="60">
        <f>'testmo-export-repository'!A61</f>
        <v>20379</v>
      </c>
      <c r="C62" s="60" t="str">
        <f t="array" ref="C62">IFERROR(INDEX('testmo-export-repository'!$B$2:$X$1000,MATCH($B62,'testmo-export-repository'!$A$2:$A$1000,false),MATCH(C$2,'testmo-export-repository'!$B$1:$X$1,false)),"")</f>
        <v>Normal</v>
      </c>
      <c r="D62" s="60" t="str">
        <f t="array" ref="D62">IFERROR(INDEX('testmo-export-repository'!$B$2:$X$1000,MATCH($B62,'testmo-export-repository'!$A$2:$A$1000,false),MATCH(D$2,'testmo-export-repository'!$B$1:$X$1,false)),"")</f>
        <v>High</v>
      </c>
      <c r="E62" s="60">
        <f>IFERROR(VLOOKUP($C62,instructions!$N$3:$O$5,2,false),"")</f>
        <v>2</v>
      </c>
      <c r="F62" s="60">
        <f>IFERROR(VLOOKUP($D62,instructions!$N$3:$O$5,2,false),"")</f>
        <v>1</v>
      </c>
      <c r="G62" s="60" t="str">
        <f t="array" ref="G62">IFERROR(INDEX('testmo-export-repository'!$B$2:$X$1000,MATCH($B62,'testmo-export-repository'!$A$2:$A$1000,false),MATCH(G$2,'testmo-export-repository'!$B$1:$X$1,false)),"")</f>
        <v>Yes</v>
      </c>
      <c r="H62" s="60" t="str">
        <f t="array" ref="H62">IFERROR(INDEX('testmo-export-repository'!$B$2:$X$1000,MATCH($B62,'testmo-export-repository'!$A$2:$A$1000,false),MATCH(H$2,'testmo-export-repository'!$B$1:$X$1,false)),"")</f>
        <v>No</v>
      </c>
      <c r="I62" s="60" t="str">
        <f t="array" ref="I62">IFERROR(INDEX('testmo-export-repository'!$B$2:$X$1000,MATCH($B62,'testmo-export-repository'!$A$2:$A$1000,false),MATCH(I$2,'testmo-export-repository'!$B$1:$X$1,false)),"")</f>
        <v/>
      </c>
      <c r="J62" s="60" t="str">
        <f t="array" ref="J62">IFERROR(INDEX('testmo-export-repository'!$B$2:$Y$1000,MATCH($B62,'testmo-export-repository'!$A$2:$A$1000,false),MATCH(J$2,'testmo-export-repository'!$B$1:$Y$1,false)),"")</f>
        <v>2.38</v>
      </c>
      <c r="K62" s="60" t="str">
        <f t="array" ref="K62">IFERROR(INDEX('testmo-export-repository'!$B$2:$Y$1000,MATCH($B62,'testmo-export-repository'!$A$2:$A$1000,false),MATCH(K$2,'testmo-export-repository'!$B$1:$Y$1,false)),"")</f>
        <v>BAS-808</v>
      </c>
    </row>
    <row r="63">
      <c r="B63" s="60">
        <f>'testmo-export-repository'!A62</f>
        <v>20380</v>
      </c>
      <c r="C63" s="60" t="str">
        <f t="array" ref="C63">IFERROR(INDEX('testmo-export-repository'!$B$2:$X$1000,MATCH($B63,'testmo-export-repository'!$A$2:$A$1000,false),MATCH(C$2,'testmo-export-repository'!$B$1:$X$1,false)),"")</f>
        <v>Normal</v>
      </c>
      <c r="D63" s="60" t="str">
        <f t="array" ref="D63">IFERROR(INDEX('testmo-export-repository'!$B$2:$X$1000,MATCH($B63,'testmo-export-repository'!$A$2:$A$1000,false),MATCH(D$2,'testmo-export-repository'!$B$1:$X$1,false)),"")</f>
        <v>Normal</v>
      </c>
      <c r="E63" s="60">
        <f>IFERROR(VLOOKUP($C63,instructions!$N$3:$O$5,2,false),"")</f>
        <v>2</v>
      </c>
      <c r="F63" s="60">
        <f>IFERROR(VLOOKUP($D63,instructions!$N$3:$O$5,2,false),"")</f>
        <v>2</v>
      </c>
      <c r="G63" s="60" t="str">
        <f t="array" ref="G63">IFERROR(INDEX('testmo-export-repository'!$B$2:$X$1000,MATCH($B63,'testmo-export-repository'!$A$2:$A$1000,false),MATCH(G$2,'testmo-export-repository'!$B$1:$X$1,false)),"")</f>
        <v>Yes</v>
      </c>
      <c r="H63" s="60" t="str">
        <f t="array" ref="H63">IFERROR(INDEX('testmo-export-repository'!$B$2:$X$1000,MATCH($B63,'testmo-export-repository'!$A$2:$A$1000,false),MATCH(H$2,'testmo-export-repository'!$B$1:$X$1,false)),"")</f>
        <v>No</v>
      </c>
      <c r="I63" s="60" t="str">
        <f t="array" ref="I63">IFERROR(INDEX('testmo-export-repository'!$B$2:$X$1000,MATCH($B63,'testmo-export-repository'!$A$2:$A$1000,false),MATCH(I$2,'testmo-export-repository'!$B$1:$X$1,false)),"")</f>
        <v/>
      </c>
      <c r="J63" s="60" t="str">
        <f t="array" ref="J63">IFERROR(INDEX('testmo-export-repository'!$B$2:$Y$1000,MATCH($B63,'testmo-export-repository'!$A$2:$A$1000,false),MATCH(J$2,'testmo-export-repository'!$B$1:$Y$1,false)),"")</f>
        <v>2.38</v>
      </c>
      <c r="K63" s="60" t="str">
        <f t="array" ref="K63">IFERROR(INDEX('testmo-export-repository'!$B$2:$Y$1000,MATCH($B63,'testmo-export-repository'!$A$2:$A$1000,false),MATCH(K$2,'testmo-export-repository'!$B$1:$Y$1,false)),"")</f>
        <v>BAS-808</v>
      </c>
    </row>
    <row r="64">
      <c r="B64" s="60">
        <f>'testmo-export-repository'!A63</f>
        <v>20381</v>
      </c>
      <c r="C64" s="60" t="str">
        <f t="array" ref="C64">IFERROR(INDEX('testmo-export-repository'!$B$2:$X$1000,MATCH($B64,'testmo-export-repository'!$A$2:$A$1000,false),MATCH(C$2,'testmo-export-repository'!$B$1:$X$1,false)),"")</f>
        <v>High</v>
      </c>
      <c r="D64" s="60" t="str">
        <f t="array" ref="D64">IFERROR(INDEX('testmo-export-repository'!$B$2:$X$1000,MATCH($B64,'testmo-export-repository'!$A$2:$A$1000,false),MATCH(D$2,'testmo-export-repository'!$B$1:$X$1,false)),"")</f>
        <v>Normal</v>
      </c>
      <c r="E64" s="60">
        <f>IFERROR(VLOOKUP($C64,instructions!$N$3:$O$5,2,false),"")</f>
        <v>1</v>
      </c>
      <c r="F64" s="60">
        <f>IFERROR(VLOOKUP($D64,instructions!$N$3:$O$5,2,false),"")</f>
        <v>2</v>
      </c>
      <c r="G64" s="60" t="str">
        <f t="array" ref="G64">IFERROR(INDEX('testmo-export-repository'!$B$2:$X$1000,MATCH($B64,'testmo-export-repository'!$A$2:$A$1000,false),MATCH(G$2,'testmo-export-repository'!$B$1:$X$1,false)),"")</f>
        <v>Yes</v>
      </c>
      <c r="H64" s="60" t="str">
        <f t="array" ref="H64">IFERROR(INDEX('testmo-export-repository'!$B$2:$X$1000,MATCH($B64,'testmo-export-repository'!$A$2:$A$1000,false),MATCH(H$2,'testmo-export-repository'!$B$1:$X$1,false)),"")</f>
        <v>No</v>
      </c>
      <c r="I64" s="60" t="str">
        <f t="array" ref="I64">IFERROR(INDEX('testmo-export-repository'!$B$2:$X$1000,MATCH($B64,'testmo-export-repository'!$A$2:$A$1000,false),MATCH(I$2,'testmo-export-repository'!$B$1:$X$1,false)),"")</f>
        <v/>
      </c>
      <c r="J64" s="60" t="str">
        <f t="array" ref="J64">IFERROR(INDEX('testmo-export-repository'!$B$2:$Y$1000,MATCH($B64,'testmo-export-repository'!$A$2:$A$1000,false),MATCH(J$2,'testmo-export-repository'!$B$1:$Y$1,false)),"")</f>
        <v>2.38</v>
      </c>
      <c r="K64" s="60" t="str">
        <f t="array" ref="K64">IFERROR(INDEX('testmo-export-repository'!$B$2:$Y$1000,MATCH($B64,'testmo-export-repository'!$A$2:$A$1000,false),MATCH(K$2,'testmo-export-repository'!$B$1:$Y$1,false)),"")</f>
        <v/>
      </c>
    </row>
    <row r="65">
      <c r="B65" s="60">
        <f>'testmo-export-repository'!A64</f>
        <v>20382</v>
      </c>
      <c r="C65" s="60" t="str">
        <f t="array" ref="C65">IFERROR(INDEX('testmo-export-repository'!$B$2:$X$1000,MATCH($B65,'testmo-export-repository'!$A$2:$A$1000,false),MATCH(C$2,'testmo-export-repository'!$B$1:$X$1,false)),"")</f>
        <v>Low</v>
      </c>
      <c r="D65" s="60" t="str">
        <f t="array" ref="D65">IFERROR(INDEX('testmo-export-repository'!$B$2:$X$1000,MATCH($B65,'testmo-export-repository'!$A$2:$A$1000,false),MATCH(D$2,'testmo-export-repository'!$B$1:$X$1,false)),"")</f>
        <v>Low</v>
      </c>
      <c r="E65" s="60">
        <f>IFERROR(VLOOKUP($C65,instructions!$N$3:$O$5,2,false),"")</f>
        <v>3</v>
      </c>
      <c r="F65" s="60">
        <f>IFERROR(VLOOKUP($D65,instructions!$N$3:$O$5,2,false),"")</f>
        <v>3</v>
      </c>
      <c r="G65" s="60" t="str">
        <f t="array" ref="G65">IFERROR(INDEX('testmo-export-repository'!$B$2:$X$1000,MATCH($B65,'testmo-export-repository'!$A$2:$A$1000,false),MATCH(G$2,'testmo-export-repository'!$B$1:$X$1,false)),"")</f>
        <v>Yes</v>
      </c>
      <c r="H65" s="60" t="str">
        <f t="array" ref="H65">IFERROR(INDEX('testmo-export-repository'!$B$2:$X$1000,MATCH($B65,'testmo-export-repository'!$A$2:$A$1000,false),MATCH(H$2,'testmo-export-repository'!$B$1:$X$1,false)),"")</f>
        <v>No</v>
      </c>
      <c r="I65" s="60" t="str">
        <f t="array" ref="I65">IFERROR(INDEX('testmo-export-repository'!$B$2:$X$1000,MATCH($B65,'testmo-export-repository'!$A$2:$A$1000,false),MATCH(I$2,'testmo-export-repository'!$B$1:$X$1,false)),"")</f>
        <v/>
      </c>
      <c r="J65" s="60" t="str">
        <f t="array" ref="J65">IFERROR(INDEX('testmo-export-repository'!$B$2:$Y$1000,MATCH($B65,'testmo-export-repository'!$A$2:$A$1000,false),MATCH(J$2,'testmo-export-repository'!$B$1:$Y$1,false)),"")</f>
        <v>2.39</v>
      </c>
      <c r="K65" s="60" t="str">
        <f t="array" ref="K65">IFERROR(INDEX('testmo-export-repository'!$B$2:$Y$1000,MATCH($B65,'testmo-export-repository'!$A$2:$A$1000,false),MATCH(K$2,'testmo-export-repository'!$B$1:$Y$1,false)),"")</f>
        <v>BAS-836</v>
      </c>
    </row>
    <row r="66">
      <c r="B66" s="60">
        <f>'testmo-export-repository'!A65</f>
        <v>9376</v>
      </c>
      <c r="C66" s="60" t="str">
        <f t="array" ref="C66">IFERROR(INDEX('testmo-export-repository'!$B$2:$X$1000,MATCH($B66,'testmo-export-repository'!$A$2:$A$1000,false),MATCH(C$2,'testmo-export-repository'!$B$1:$X$1,false)),"")</f>
        <v>High</v>
      </c>
      <c r="D66" s="60" t="str">
        <f t="array" ref="D66">IFERROR(INDEX('testmo-export-repository'!$B$2:$X$1000,MATCH($B66,'testmo-export-repository'!$A$2:$A$1000,false),MATCH(D$2,'testmo-export-repository'!$B$1:$X$1,false)),"")</f>
        <v>Normal</v>
      </c>
      <c r="E66" s="60">
        <f>IFERROR(VLOOKUP($C66,instructions!$N$3:$O$5,2,false),"")</f>
        <v>1</v>
      </c>
      <c r="F66" s="60">
        <f>IFERROR(VLOOKUP($D66,instructions!$N$3:$O$5,2,false),"")</f>
        <v>2</v>
      </c>
      <c r="G66" s="60" t="str">
        <f t="array" ref="G66">IFERROR(INDEX('testmo-export-repository'!$B$2:$X$1000,MATCH($B66,'testmo-export-repository'!$A$2:$A$1000,false),MATCH(G$2,'testmo-export-repository'!$B$1:$X$1,false)),"")</f>
        <v>Yes</v>
      </c>
      <c r="H66" s="60" t="str">
        <f t="array" ref="H66">IFERROR(INDEX('testmo-export-repository'!$B$2:$X$1000,MATCH($B66,'testmo-export-repository'!$A$2:$A$1000,false),MATCH(H$2,'testmo-export-repository'!$B$1:$X$1,false)),"")</f>
        <v>No</v>
      </c>
      <c r="I66" s="60" t="str">
        <f t="array" ref="I66">IFERROR(INDEX('testmo-export-repository'!$B$2:$X$1000,MATCH($B66,'testmo-export-repository'!$A$2:$A$1000,false),MATCH(I$2,'testmo-export-repository'!$B$1:$X$1,false)),"")</f>
        <v>Passed</v>
      </c>
      <c r="J66" s="60" t="str">
        <f t="array" ref="J66">IFERROR(INDEX('testmo-export-repository'!$B$2:$Y$1000,MATCH($B66,'testmo-export-repository'!$A$2:$A$1000,false),MATCH(J$2,'testmo-export-repository'!$B$1:$Y$1,false)),"")</f>
        <v>2.38</v>
      </c>
      <c r="K66" s="60" t="str">
        <f t="array" ref="K66">IFERROR(INDEX('testmo-export-repository'!$B$2:$Y$1000,MATCH($B66,'testmo-export-repository'!$A$2:$A$1000,false),MATCH(K$2,'testmo-export-repository'!$B$1:$Y$1,false)),"")</f>
        <v>BAS-807</v>
      </c>
    </row>
    <row r="67">
      <c r="B67" s="60">
        <f>'testmo-export-repository'!A66</f>
        <v>9377</v>
      </c>
      <c r="C67" s="60" t="str">
        <f t="array" ref="C67">IFERROR(INDEX('testmo-export-repository'!$B$2:$X$1000,MATCH($B67,'testmo-export-repository'!$A$2:$A$1000,false),MATCH(C$2,'testmo-export-repository'!$B$1:$X$1,false)),"")</f>
        <v>High</v>
      </c>
      <c r="D67" s="60" t="str">
        <f t="array" ref="D67">IFERROR(INDEX('testmo-export-repository'!$B$2:$X$1000,MATCH($B67,'testmo-export-repository'!$A$2:$A$1000,false),MATCH(D$2,'testmo-export-repository'!$B$1:$X$1,false)),"")</f>
        <v>Normal</v>
      </c>
      <c r="E67" s="60">
        <f>IFERROR(VLOOKUP($C67,instructions!$N$3:$O$5,2,false),"")</f>
        <v>1</v>
      </c>
      <c r="F67" s="60">
        <f>IFERROR(VLOOKUP($D67,instructions!$N$3:$O$5,2,false),"")</f>
        <v>2</v>
      </c>
      <c r="G67" s="60" t="str">
        <f t="array" ref="G67">IFERROR(INDEX('testmo-export-repository'!$B$2:$X$1000,MATCH($B67,'testmo-export-repository'!$A$2:$A$1000,false),MATCH(G$2,'testmo-export-repository'!$B$1:$X$1,false)),"")</f>
        <v>Yes</v>
      </c>
      <c r="H67" s="60" t="str">
        <f t="array" ref="H67">IFERROR(INDEX('testmo-export-repository'!$B$2:$X$1000,MATCH($B67,'testmo-export-repository'!$A$2:$A$1000,false),MATCH(H$2,'testmo-export-repository'!$B$1:$X$1,false)),"")</f>
        <v>No</v>
      </c>
      <c r="I67" s="60" t="str">
        <f t="array" ref="I67">IFERROR(INDEX('testmo-export-repository'!$B$2:$X$1000,MATCH($B67,'testmo-export-repository'!$A$2:$A$1000,false),MATCH(I$2,'testmo-export-repository'!$B$1:$X$1,false)),"")</f>
        <v>Passed</v>
      </c>
      <c r="J67" s="60" t="str">
        <f t="array" ref="J67">IFERROR(INDEX('testmo-export-repository'!$B$2:$Y$1000,MATCH($B67,'testmo-export-repository'!$A$2:$A$1000,false),MATCH(J$2,'testmo-export-repository'!$B$1:$Y$1,false)),"")</f>
        <v>2.38</v>
      </c>
      <c r="K67" s="60" t="str">
        <f t="array" ref="K67">IFERROR(INDEX('testmo-export-repository'!$B$2:$Y$1000,MATCH($B67,'testmo-export-repository'!$A$2:$A$1000,false),MATCH(K$2,'testmo-export-repository'!$B$1:$Y$1,false)),"")</f>
        <v>BAS-807</v>
      </c>
    </row>
    <row r="68">
      <c r="B68" s="60">
        <f>'testmo-export-repository'!A67</f>
        <v>9378</v>
      </c>
      <c r="C68" s="60" t="str">
        <f t="array" ref="C68">IFERROR(INDEX('testmo-export-repository'!$B$2:$X$1000,MATCH($B68,'testmo-export-repository'!$A$2:$A$1000,false),MATCH(C$2,'testmo-export-repository'!$B$1:$X$1,false)),"")</f>
        <v>High</v>
      </c>
      <c r="D68" s="60" t="str">
        <f t="array" ref="D68">IFERROR(INDEX('testmo-export-repository'!$B$2:$X$1000,MATCH($B68,'testmo-export-repository'!$A$2:$A$1000,false),MATCH(D$2,'testmo-export-repository'!$B$1:$X$1,false)),"")</f>
        <v>Normal</v>
      </c>
      <c r="E68" s="60">
        <f>IFERROR(VLOOKUP($C68,instructions!$N$3:$O$5,2,false),"")</f>
        <v>1</v>
      </c>
      <c r="F68" s="60">
        <f>IFERROR(VLOOKUP($D68,instructions!$N$3:$O$5,2,false),"")</f>
        <v>2</v>
      </c>
      <c r="G68" s="60" t="str">
        <f t="array" ref="G68">IFERROR(INDEX('testmo-export-repository'!$B$2:$X$1000,MATCH($B68,'testmo-export-repository'!$A$2:$A$1000,false),MATCH(G$2,'testmo-export-repository'!$B$1:$X$1,false)),"")</f>
        <v>Yes</v>
      </c>
      <c r="H68" s="60" t="str">
        <f t="array" ref="H68">IFERROR(INDEX('testmo-export-repository'!$B$2:$X$1000,MATCH($B68,'testmo-export-repository'!$A$2:$A$1000,false),MATCH(H$2,'testmo-export-repository'!$B$1:$X$1,false)),"")</f>
        <v>No</v>
      </c>
      <c r="I68" s="60" t="str">
        <f t="array" ref="I68">IFERROR(INDEX('testmo-export-repository'!$B$2:$X$1000,MATCH($B68,'testmo-export-repository'!$A$2:$A$1000,false),MATCH(I$2,'testmo-export-repository'!$B$1:$X$1,false)),"")</f>
        <v>Passed</v>
      </c>
      <c r="J68" s="60" t="str">
        <f t="array" ref="J68">IFERROR(INDEX('testmo-export-repository'!$B$2:$Y$1000,MATCH($B68,'testmo-export-repository'!$A$2:$A$1000,false),MATCH(J$2,'testmo-export-repository'!$B$1:$Y$1,false)),"")</f>
        <v>2.38</v>
      </c>
      <c r="K68" s="60" t="str">
        <f t="array" ref="K68">IFERROR(INDEX('testmo-export-repository'!$B$2:$Y$1000,MATCH($B68,'testmo-export-repository'!$A$2:$A$1000,false),MATCH(K$2,'testmo-export-repository'!$B$1:$Y$1,false)),"")</f>
        <v>BAS-807</v>
      </c>
    </row>
    <row r="69">
      <c r="B69" s="60">
        <f>'testmo-export-repository'!A68</f>
        <v>20385</v>
      </c>
      <c r="C69" s="60" t="str">
        <f t="array" ref="C69">IFERROR(INDEX('testmo-export-repository'!$B$2:$X$1000,MATCH($B69,'testmo-export-repository'!$A$2:$A$1000,false),MATCH(C$2,'testmo-export-repository'!$B$1:$X$1,false)),"")</f>
        <v>Normal</v>
      </c>
      <c r="D69" s="60" t="str">
        <f t="array" ref="D69">IFERROR(INDEX('testmo-export-repository'!$B$2:$X$1000,MATCH($B69,'testmo-export-repository'!$A$2:$A$1000,false),MATCH(D$2,'testmo-export-repository'!$B$1:$X$1,false)),"")</f>
        <v>High</v>
      </c>
      <c r="E69" s="60">
        <f>IFERROR(VLOOKUP($C69,instructions!$N$3:$O$5,2,false),"")</f>
        <v>2</v>
      </c>
      <c r="F69" s="60">
        <f>IFERROR(VLOOKUP($D69,instructions!$N$3:$O$5,2,false),"")</f>
        <v>1</v>
      </c>
      <c r="G69" s="60" t="str">
        <f t="array" ref="G69">IFERROR(INDEX('testmo-export-repository'!$B$2:$X$1000,MATCH($B69,'testmo-export-repository'!$A$2:$A$1000,false),MATCH(G$2,'testmo-export-repository'!$B$1:$X$1,false)),"")</f>
        <v>No</v>
      </c>
      <c r="H69" s="60" t="str">
        <f t="array" ref="H69">IFERROR(INDEX('testmo-export-repository'!$B$2:$X$1000,MATCH($B69,'testmo-export-repository'!$A$2:$A$1000,false),MATCH(H$2,'testmo-export-repository'!$B$1:$X$1,false)),"")</f>
        <v>No</v>
      </c>
      <c r="I69" s="60" t="str">
        <f t="array" ref="I69">IFERROR(INDEX('testmo-export-repository'!$B$2:$X$1000,MATCH($B69,'testmo-export-repository'!$A$2:$A$1000,false),MATCH(I$2,'testmo-export-repository'!$B$1:$X$1,false)),"")</f>
        <v>Passed</v>
      </c>
      <c r="J69" s="60" t="str">
        <f t="array" ref="J69">IFERROR(INDEX('testmo-export-repository'!$B$2:$Y$1000,MATCH($B69,'testmo-export-repository'!$A$2:$A$1000,false),MATCH(J$2,'testmo-export-repository'!$B$1:$Y$1,false)),"")</f>
        <v>2.39</v>
      </c>
      <c r="K69" s="60" t="str">
        <f t="array" ref="K69">IFERROR(INDEX('testmo-export-repository'!$B$2:$Y$1000,MATCH($B69,'testmo-export-repository'!$A$2:$A$1000,false),MATCH(K$2,'testmo-export-repository'!$B$1:$Y$1,false)),"")</f>
        <v>BAS-1073</v>
      </c>
    </row>
    <row r="70">
      <c r="B70" s="60">
        <f>'testmo-export-repository'!A69</f>
        <v>21429</v>
      </c>
      <c r="C70" s="60" t="str">
        <f t="array" ref="C70">IFERROR(INDEX('testmo-export-repository'!$B$2:$X$1000,MATCH($B70,'testmo-export-repository'!$A$2:$A$1000,false),MATCH(C$2,'testmo-export-repository'!$B$1:$X$1,false)),"")</f>
        <v>Low</v>
      </c>
      <c r="D70" s="60" t="str">
        <f t="array" ref="D70">IFERROR(INDEX('testmo-export-repository'!$B$2:$X$1000,MATCH($B70,'testmo-export-repository'!$A$2:$A$1000,false),MATCH(D$2,'testmo-export-repository'!$B$1:$X$1,false)),"")</f>
        <v>Normal</v>
      </c>
      <c r="E70" s="60">
        <f>IFERROR(VLOOKUP($C70,instructions!$N$3:$O$5,2,false),"")</f>
        <v>3</v>
      </c>
      <c r="F70" s="60">
        <f>IFERROR(VLOOKUP($D70,instructions!$N$3:$O$5,2,false),"")</f>
        <v>2</v>
      </c>
      <c r="G70" s="60" t="str">
        <f t="array" ref="G70">IFERROR(INDEX('testmo-export-repository'!$B$2:$X$1000,MATCH($B70,'testmo-export-repository'!$A$2:$A$1000,false),MATCH(G$2,'testmo-export-repository'!$B$1:$X$1,false)),"")</f>
        <v>No</v>
      </c>
      <c r="H70" s="60" t="str">
        <f t="array" ref="H70">IFERROR(INDEX('testmo-export-repository'!$B$2:$X$1000,MATCH($B70,'testmo-export-repository'!$A$2:$A$1000,false),MATCH(H$2,'testmo-export-repository'!$B$1:$X$1,false)),"")</f>
        <v>No</v>
      </c>
      <c r="I70" s="60" t="str">
        <f t="array" ref="I70">IFERROR(INDEX('testmo-export-repository'!$B$2:$X$1000,MATCH($B70,'testmo-export-repository'!$A$2:$A$1000,false),MATCH(I$2,'testmo-export-repository'!$B$1:$X$1,false)),"")</f>
        <v>Passed</v>
      </c>
      <c r="J70" s="60" t="str">
        <f t="array" ref="J70">IFERROR(INDEX('testmo-export-repository'!$B$2:$Y$1000,MATCH($B70,'testmo-export-repository'!$A$2:$A$1000,false),MATCH(J$2,'testmo-export-repository'!$B$1:$Y$1,false)),"")</f>
        <v>2.39</v>
      </c>
      <c r="K70" s="60" t="str">
        <f t="array" ref="K70">IFERROR(INDEX('testmo-export-repository'!$B$2:$Y$1000,MATCH($B70,'testmo-export-repository'!$A$2:$A$1000,false),MATCH(K$2,'testmo-export-repository'!$B$1:$Y$1,false)),"")</f>
        <v>BAS-1070</v>
      </c>
    </row>
    <row r="71">
      <c r="B71" s="60">
        <f>'testmo-export-repository'!A70</f>
        <v>5325</v>
      </c>
      <c r="C71" s="60" t="str">
        <f t="array" ref="C71">IFERROR(INDEX('testmo-export-repository'!$B$2:$X$1000,MATCH($B71,'testmo-export-repository'!$A$2:$A$1000,false),MATCH(C$2,'testmo-export-repository'!$B$1:$X$1,false)),"")</f>
        <v>High</v>
      </c>
      <c r="D71" s="60" t="str">
        <f t="array" ref="D71">IFERROR(INDEX('testmo-export-repository'!$B$2:$X$1000,MATCH($B71,'testmo-export-repository'!$A$2:$A$1000,false),MATCH(D$2,'testmo-export-repository'!$B$1:$X$1,false)),"")</f>
        <v>High</v>
      </c>
      <c r="E71" s="60">
        <f>IFERROR(VLOOKUP($C71,instructions!$N$3:$O$5,2,false),"")</f>
        <v>1</v>
      </c>
      <c r="F71" s="60">
        <f>IFERROR(VLOOKUP($D71,instructions!$N$3:$O$5,2,false),"")</f>
        <v>1</v>
      </c>
      <c r="G71" s="60" t="str">
        <f t="array" ref="G71">IFERROR(INDEX('testmo-export-repository'!$B$2:$X$1000,MATCH($B71,'testmo-export-repository'!$A$2:$A$1000,false),MATCH(G$2,'testmo-export-repository'!$B$1:$X$1,false)),"")</f>
        <v>Yes</v>
      </c>
      <c r="H71" s="60" t="str">
        <f t="array" ref="H71">IFERROR(INDEX('testmo-export-repository'!$B$2:$X$1000,MATCH($B71,'testmo-export-repository'!$A$2:$A$1000,false),MATCH(H$2,'testmo-export-repository'!$B$1:$X$1,false)),"")</f>
        <v>No</v>
      </c>
      <c r="I71" s="60" t="str">
        <f t="array" ref="I71">IFERROR(INDEX('testmo-export-repository'!$B$2:$X$1000,MATCH($B71,'testmo-export-repository'!$A$2:$A$1000,false),MATCH(I$2,'testmo-export-repository'!$B$1:$X$1,false)),"")</f>
        <v/>
      </c>
      <c r="J71" s="60" t="str">
        <f t="array" ref="J71">IFERROR(INDEX('testmo-export-repository'!$B$2:$Y$1000,MATCH($B71,'testmo-export-repository'!$A$2:$A$1000,false),MATCH(J$2,'testmo-export-repository'!$B$1:$Y$1,false)),"")</f>
        <v/>
      </c>
      <c r="K71" s="60" t="str">
        <f t="array" ref="K71">IFERROR(INDEX('testmo-export-repository'!$B$2:$Y$1000,MATCH($B71,'testmo-export-repository'!$A$2:$A$1000,false),MATCH(K$2,'testmo-export-repository'!$B$1:$Y$1,false)),"")</f>
        <v/>
      </c>
    </row>
    <row r="72">
      <c r="B72" s="60">
        <f>'testmo-export-repository'!A71</f>
        <v>5326</v>
      </c>
      <c r="C72" s="60" t="str">
        <f t="array" ref="C72">IFERROR(INDEX('testmo-export-repository'!$B$2:$X$1000,MATCH($B72,'testmo-export-repository'!$A$2:$A$1000,false),MATCH(C$2,'testmo-export-repository'!$B$1:$X$1,false)),"")</f>
        <v>High</v>
      </c>
      <c r="D72" s="60" t="str">
        <f t="array" ref="D72">IFERROR(INDEX('testmo-export-repository'!$B$2:$X$1000,MATCH($B72,'testmo-export-repository'!$A$2:$A$1000,false),MATCH(D$2,'testmo-export-repository'!$B$1:$X$1,false)),"")</f>
        <v>Normal</v>
      </c>
      <c r="E72" s="60">
        <f>IFERROR(VLOOKUP($C72,instructions!$N$3:$O$5,2,false),"")</f>
        <v>1</v>
      </c>
      <c r="F72" s="60">
        <f>IFERROR(VLOOKUP($D72,instructions!$N$3:$O$5,2,false),"")</f>
        <v>2</v>
      </c>
      <c r="G72" s="60" t="str">
        <f t="array" ref="G72">IFERROR(INDEX('testmo-export-repository'!$B$2:$X$1000,MATCH($B72,'testmo-export-repository'!$A$2:$A$1000,false),MATCH(G$2,'testmo-export-repository'!$B$1:$X$1,false)),"")</f>
        <v>Yes</v>
      </c>
      <c r="H72" s="60" t="str">
        <f t="array" ref="H72">IFERROR(INDEX('testmo-export-repository'!$B$2:$X$1000,MATCH($B72,'testmo-export-repository'!$A$2:$A$1000,false),MATCH(H$2,'testmo-export-repository'!$B$1:$X$1,false)),"")</f>
        <v>No</v>
      </c>
      <c r="I72" s="60" t="str">
        <f t="array" ref="I72">IFERROR(INDEX('testmo-export-repository'!$B$2:$X$1000,MATCH($B72,'testmo-export-repository'!$A$2:$A$1000,false),MATCH(I$2,'testmo-export-repository'!$B$1:$X$1,false)),"")</f>
        <v/>
      </c>
      <c r="J72" s="60" t="str">
        <f t="array" ref="J72">IFERROR(INDEX('testmo-export-repository'!$B$2:$Y$1000,MATCH($B72,'testmo-export-repository'!$A$2:$A$1000,false),MATCH(J$2,'testmo-export-repository'!$B$1:$Y$1,false)),"")</f>
        <v/>
      </c>
      <c r="K72" s="60" t="str">
        <f t="array" ref="K72">IFERROR(INDEX('testmo-export-repository'!$B$2:$Y$1000,MATCH($B72,'testmo-export-repository'!$A$2:$A$1000,false),MATCH(K$2,'testmo-export-repository'!$B$1:$Y$1,false)),"")</f>
        <v/>
      </c>
    </row>
    <row r="73">
      <c r="B73" s="60">
        <f>'testmo-export-repository'!A72</f>
        <v>5276</v>
      </c>
      <c r="C73" s="60" t="str">
        <f t="array" ref="C73">IFERROR(INDEX('testmo-export-repository'!$B$2:$X$1000,MATCH($B73,'testmo-export-repository'!$A$2:$A$1000,false),MATCH(C$2,'testmo-export-repository'!$B$1:$X$1,false)),"")</f>
        <v>Normal</v>
      </c>
      <c r="D73" s="60" t="str">
        <f t="array" ref="D73">IFERROR(INDEX('testmo-export-repository'!$B$2:$X$1000,MATCH($B73,'testmo-export-repository'!$A$2:$A$1000,false),MATCH(D$2,'testmo-export-repository'!$B$1:$X$1,false)),"")</f>
        <v/>
      </c>
      <c r="E73" s="60">
        <f>IFERROR(VLOOKUP($C73,instructions!$N$3:$O$5,2,false),"")</f>
        <v>2</v>
      </c>
      <c r="F73" s="60" t="str">
        <f>IFERROR(VLOOKUP($D73,instructions!$N$3:$O$5,2,false),"")</f>
        <v/>
      </c>
      <c r="G73" s="60" t="str">
        <f t="array" ref="G73">IFERROR(INDEX('testmo-export-repository'!$B$2:$X$1000,MATCH($B73,'testmo-export-repository'!$A$2:$A$1000,false),MATCH(G$2,'testmo-export-repository'!$B$1:$X$1,false)),"")</f>
        <v/>
      </c>
      <c r="H73" s="60" t="str">
        <f t="array" ref="H73">IFERROR(INDEX('testmo-export-repository'!$B$2:$X$1000,MATCH($B73,'testmo-export-repository'!$A$2:$A$1000,false),MATCH(H$2,'testmo-export-repository'!$B$1:$X$1,false)),"")</f>
        <v/>
      </c>
      <c r="I73" s="60" t="str">
        <f t="array" ref="I73">IFERROR(INDEX('testmo-export-repository'!$B$2:$X$1000,MATCH($B73,'testmo-export-repository'!$A$2:$A$1000,false),MATCH(I$2,'testmo-export-repository'!$B$1:$X$1,false)),"")</f>
        <v>Passed</v>
      </c>
      <c r="J73" s="60" t="str">
        <f t="array" ref="J73">IFERROR(INDEX('testmo-export-repository'!$B$2:$Y$1000,MATCH($B73,'testmo-export-repository'!$A$2:$A$1000,false),MATCH(J$2,'testmo-export-repository'!$B$1:$Y$1,false)),"")</f>
        <v/>
      </c>
      <c r="K73" s="60" t="str">
        <f t="array" ref="K73">IFERROR(INDEX('testmo-export-repository'!$B$2:$Y$1000,MATCH($B73,'testmo-export-repository'!$A$2:$A$1000,false),MATCH(K$2,'testmo-export-repository'!$B$1:$Y$1,false)),"")</f>
        <v>BAS-748</v>
      </c>
    </row>
    <row r="74">
      <c r="B74" s="60">
        <f>'testmo-export-repository'!A73</f>
        <v>5278</v>
      </c>
      <c r="C74" s="60" t="str">
        <f t="array" ref="C74">IFERROR(INDEX('testmo-export-repository'!$B$2:$X$1000,MATCH($B74,'testmo-export-repository'!$A$2:$A$1000,false),MATCH(C$2,'testmo-export-repository'!$B$1:$X$1,false)),"")</f>
        <v>Low</v>
      </c>
      <c r="D74" s="60" t="str">
        <f t="array" ref="D74">IFERROR(INDEX('testmo-export-repository'!$B$2:$X$1000,MATCH($B74,'testmo-export-repository'!$A$2:$A$1000,false),MATCH(D$2,'testmo-export-repository'!$B$1:$X$1,false)),"")</f>
        <v>High</v>
      </c>
      <c r="E74" s="60">
        <f>IFERROR(VLOOKUP($C74,instructions!$N$3:$O$5,2,false),"")</f>
        <v>3</v>
      </c>
      <c r="F74" s="60">
        <f>IFERROR(VLOOKUP($D74,instructions!$N$3:$O$5,2,false),"")</f>
        <v>1</v>
      </c>
      <c r="G74" s="60" t="str">
        <f t="array" ref="G74">IFERROR(INDEX('testmo-export-repository'!$B$2:$X$1000,MATCH($B74,'testmo-export-repository'!$A$2:$A$1000,false),MATCH(G$2,'testmo-export-repository'!$B$1:$X$1,false)),"")</f>
        <v>Yes</v>
      </c>
      <c r="H74" s="60" t="str">
        <f t="array" ref="H74">IFERROR(INDEX('testmo-export-repository'!$B$2:$X$1000,MATCH($B74,'testmo-export-repository'!$A$2:$A$1000,false),MATCH(H$2,'testmo-export-repository'!$B$1:$X$1,false)),"")</f>
        <v>Yes</v>
      </c>
      <c r="I74" s="60" t="str">
        <f t="array" ref="I74">IFERROR(INDEX('testmo-export-repository'!$B$2:$X$1000,MATCH($B74,'testmo-export-repository'!$A$2:$A$1000,false),MATCH(I$2,'testmo-export-repository'!$B$1:$X$1,false)),"")</f>
        <v>Passed</v>
      </c>
      <c r="J74" s="60" t="str">
        <f t="array" ref="J74">IFERROR(INDEX('testmo-export-repository'!$B$2:$Y$1000,MATCH($B74,'testmo-export-repository'!$A$2:$A$1000,false),MATCH(J$2,'testmo-export-repository'!$B$1:$Y$1,false)),"")</f>
        <v/>
      </c>
      <c r="K74" s="60" t="str">
        <f t="array" ref="K74">IFERROR(INDEX('testmo-export-repository'!$B$2:$Y$1000,MATCH($B74,'testmo-export-repository'!$A$2:$A$1000,false),MATCH(K$2,'testmo-export-repository'!$B$1:$Y$1,false)),"")</f>
        <v>BAS-675</v>
      </c>
    </row>
    <row r="75">
      <c r="B75" s="60">
        <f>'testmo-export-repository'!A74</f>
        <v>5279</v>
      </c>
      <c r="C75" s="60" t="str">
        <f t="array" ref="C75">IFERROR(INDEX('testmo-export-repository'!$B$2:$X$1000,MATCH($B75,'testmo-export-repository'!$A$2:$A$1000,false),MATCH(C$2,'testmo-export-repository'!$B$1:$X$1,false)),"")</f>
        <v>High</v>
      </c>
      <c r="D75" s="60" t="str">
        <f t="array" ref="D75">IFERROR(INDEX('testmo-export-repository'!$B$2:$X$1000,MATCH($B75,'testmo-export-repository'!$A$2:$A$1000,false),MATCH(D$2,'testmo-export-repository'!$B$1:$X$1,false)),"")</f>
        <v>High</v>
      </c>
      <c r="E75" s="60">
        <f>IFERROR(VLOOKUP($C75,instructions!$N$3:$O$5,2,false),"")</f>
        <v>1</v>
      </c>
      <c r="F75" s="60">
        <f>IFERROR(VLOOKUP($D75,instructions!$N$3:$O$5,2,false),"")</f>
        <v>1</v>
      </c>
      <c r="G75" s="60" t="str">
        <f t="array" ref="G75">IFERROR(INDEX('testmo-export-repository'!$B$2:$X$1000,MATCH($B75,'testmo-export-repository'!$A$2:$A$1000,false),MATCH(G$2,'testmo-export-repository'!$B$1:$X$1,false)),"")</f>
        <v>Yes</v>
      </c>
      <c r="H75" s="60" t="str">
        <f t="array" ref="H75">IFERROR(INDEX('testmo-export-repository'!$B$2:$X$1000,MATCH($B75,'testmo-export-repository'!$A$2:$A$1000,false),MATCH(H$2,'testmo-export-repository'!$B$1:$X$1,false)),"")</f>
        <v>No</v>
      </c>
      <c r="I75" s="60" t="str">
        <f t="array" ref="I75">IFERROR(INDEX('testmo-export-repository'!$B$2:$X$1000,MATCH($B75,'testmo-export-repository'!$A$2:$A$1000,false),MATCH(I$2,'testmo-export-repository'!$B$1:$X$1,false)),"")</f>
        <v>Passed</v>
      </c>
      <c r="J75" s="60" t="str">
        <f t="array" ref="J75">IFERROR(INDEX('testmo-export-repository'!$B$2:$Y$1000,MATCH($B75,'testmo-export-repository'!$A$2:$A$1000,false),MATCH(J$2,'testmo-export-repository'!$B$1:$Y$1,false)),"")</f>
        <v/>
      </c>
      <c r="K75" s="60" t="str">
        <f t="array" ref="K75">IFERROR(INDEX('testmo-export-repository'!$B$2:$Y$1000,MATCH($B75,'testmo-export-repository'!$A$2:$A$1000,false),MATCH(K$2,'testmo-export-repository'!$B$1:$Y$1,false)),"")</f>
        <v>BAS-675</v>
      </c>
    </row>
    <row r="76">
      <c r="B76" s="60">
        <f>'testmo-export-repository'!A75</f>
        <v>5280</v>
      </c>
      <c r="C76" s="60" t="str">
        <f t="array" ref="C76">IFERROR(INDEX('testmo-export-repository'!$B$2:$X$1000,MATCH($B76,'testmo-export-repository'!$A$2:$A$1000,false),MATCH(C$2,'testmo-export-repository'!$B$1:$X$1,false)),"")</f>
        <v>Normal</v>
      </c>
      <c r="D76" s="60" t="str">
        <f t="array" ref="D76">IFERROR(INDEX('testmo-export-repository'!$B$2:$X$1000,MATCH($B76,'testmo-export-repository'!$A$2:$A$1000,false),MATCH(D$2,'testmo-export-repository'!$B$1:$X$1,false)),"")</f>
        <v/>
      </c>
      <c r="E76" s="60">
        <f>IFERROR(VLOOKUP($C76,instructions!$N$3:$O$5,2,false),"")</f>
        <v>2</v>
      </c>
      <c r="F76" s="60" t="str">
        <f>IFERROR(VLOOKUP($D76,instructions!$N$3:$O$5,2,false),"")</f>
        <v/>
      </c>
      <c r="G76" s="60" t="str">
        <f t="array" ref="G76">IFERROR(INDEX('testmo-export-repository'!$B$2:$X$1000,MATCH($B76,'testmo-export-repository'!$A$2:$A$1000,false),MATCH(G$2,'testmo-export-repository'!$B$1:$X$1,false)),"")</f>
        <v/>
      </c>
      <c r="H76" s="60" t="str">
        <f t="array" ref="H76">IFERROR(INDEX('testmo-export-repository'!$B$2:$X$1000,MATCH($B76,'testmo-export-repository'!$A$2:$A$1000,false),MATCH(H$2,'testmo-export-repository'!$B$1:$X$1,false)),"")</f>
        <v/>
      </c>
      <c r="I76" s="60" t="str">
        <f t="array" ref="I76">IFERROR(INDEX('testmo-export-repository'!$B$2:$X$1000,MATCH($B76,'testmo-export-repository'!$A$2:$A$1000,false),MATCH(I$2,'testmo-export-repository'!$B$1:$X$1,false)),"")</f>
        <v>Passed</v>
      </c>
      <c r="J76" s="60" t="str">
        <f t="array" ref="J76">IFERROR(INDEX('testmo-export-repository'!$B$2:$Y$1000,MATCH($B76,'testmo-export-repository'!$A$2:$A$1000,false),MATCH(J$2,'testmo-export-repository'!$B$1:$Y$1,false)),"")</f>
        <v/>
      </c>
      <c r="K76" s="60" t="str">
        <f t="array" ref="K76">IFERROR(INDEX('testmo-export-repository'!$B$2:$Y$1000,MATCH($B76,'testmo-export-repository'!$A$2:$A$1000,false),MATCH(K$2,'testmo-export-repository'!$B$1:$Y$1,false)),"")</f>
        <v>BAS-675</v>
      </c>
    </row>
    <row r="77">
      <c r="B77" s="60">
        <f>'testmo-export-repository'!A76</f>
        <v>5281</v>
      </c>
      <c r="C77" s="60" t="str">
        <f t="array" ref="C77">IFERROR(INDEX('testmo-export-repository'!$B$2:$X$1000,MATCH($B77,'testmo-export-repository'!$A$2:$A$1000,false),MATCH(C$2,'testmo-export-repository'!$B$1:$X$1,false)),"")</f>
        <v>Normal</v>
      </c>
      <c r="D77" s="60" t="str">
        <f t="array" ref="D77">IFERROR(INDEX('testmo-export-repository'!$B$2:$X$1000,MATCH($B77,'testmo-export-repository'!$A$2:$A$1000,false),MATCH(D$2,'testmo-export-repository'!$B$1:$X$1,false)),"")</f>
        <v/>
      </c>
      <c r="E77" s="60">
        <f>IFERROR(VLOOKUP($C77,instructions!$N$3:$O$5,2,false),"")</f>
        <v>2</v>
      </c>
      <c r="F77" s="60" t="str">
        <f>IFERROR(VLOOKUP($D77,instructions!$N$3:$O$5,2,false),"")</f>
        <v/>
      </c>
      <c r="G77" s="60" t="str">
        <f t="array" ref="G77">IFERROR(INDEX('testmo-export-repository'!$B$2:$X$1000,MATCH($B77,'testmo-export-repository'!$A$2:$A$1000,false),MATCH(G$2,'testmo-export-repository'!$B$1:$X$1,false)),"")</f>
        <v/>
      </c>
      <c r="H77" s="60" t="str">
        <f t="array" ref="H77">IFERROR(INDEX('testmo-export-repository'!$B$2:$X$1000,MATCH($B77,'testmo-export-repository'!$A$2:$A$1000,false),MATCH(H$2,'testmo-export-repository'!$B$1:$X$1,false)),"")</f>
        <v/>
      </c>
      <c r="I77" s="60" t="str">
        <f t="array" ref="I77">IFERROR(INDEX('testmo-export-repository'!$B$2:$X$1000,MATCH($B77,'testmo-export-repository'!$A$2:$A$1000,false),MATCH(I$2,'testmo-export-repository'!$B$1:$X$1,false)),"")</f>
        <v>Passed</v>
      </c>
      <c r="J77" s="60" t="str">
        <f t="array" ref="J77">IFERROR(INDEX('testmo-export-repository'!$B$2:$Y$1000,MATCH($B77,'testmo-export-repository'!$A$2:$A$1000,false),MATCH(J$2,'testmo-export-repository'!$B$1:$Y$1,false)),"")</f>
        <v/>
      </c>
      <c r="K77" s="60" t="str">
        <f t="array" ref="K77">IFERROR(INDEX('testmo-export-repository'!$B$2:$Y$1000,MATCH($B77,'testmo-export-repository'!$A$2:$A$1000,false),MATCH(K$2,'testmo-export-repository'!$B$1:$Y$1,false)),"")</f>
        <v>BAS-675</v>
      </c>
    </row>
    <row r="78">
      <c r="B78" s="60">
        <f>'testmo-export-repository'!A77</f>
        <v>5282</v>
      </c>
      <c r="C78" s="60" t="str">
        <f t="array" ref="C78">IFERROR(INDEX('testmo-export-repository'!$B$2:$X$1000,MATCH($B78,'testmo-export-repository'!$A$2:$A$1000,false),MATCH(C$2,'testmo-export-repository'!$B$1:$X$1,false)),"")</f>
        <v>Normal</v>
      </c>
      <c r="D78" s="60" t="str">
        <f t="array" ref="D78">IFERROR(INDEX('testmo-export-repository'!$B$2:$X$1000,MATCH($B78,'testmo-export-repository'!$A$2:$A$1000,false),MATCH(D$2,'testmo-export-repository'!$B$1:$X$1,false)),"")</f>
        <v>Low</v>
      </c>
      <c r="E78" s="60">
        <f>IFERROR(VLOOKUP($C78,instructions!$N$3:$O$5,2,false),"")</f>
        <v>2</v>
      </c>
      <c r="F78" s="60">
        <f>IFERROR(VLOOKUP($D78,instructions!$N$3:$O$5,2,false),"")</f>
        <v>3</v>
      </c>
      <c r="G78" s="60" t="str">
        <f t="array" ref="G78">IFERROR(INDEX('testmo-export-repository'!$B$2:$X$1000,MATCH($B78,'testmo-export-repository'!$A$2:$A$1000,false),MATCH(G$2,'testmo-export-repository'!$B$1:$X$1,false)),"")</f>
        <v>Yes</v>
      </c>
      <c r="H78" s="60" t="str">
        <f t="array" ref="H78">IFERROR(INDEX('testmo-export-repository'!$B$2:$X$1000,MATCH($B78,'testmo-export-repository'!$A$2:$A$1000,false),MATCH(H$2,'testmo-export-repository'!$B$1:$X$1,false)),"")</f>
        <v>No</v>
      </c>
      <c r="I78" s="60" t="str">
        <f t="array" ref="I78">IFERROR(INDEX('testmo-export-repository'!$B$2:$X$1000,MATCH($B78,'testmo-export-repository'!$A$2:$A$1000,false),MATCH(I$2,'testmo-export-repository'!$B$1:$X$1,false)),"")</f>
        <v>Passed</v>
      </c>
      <c r="J78" s="60" t="str">
        <f t="array" ref="J78">IFERROR(INDEX('testmo-export-repository'!$B$2:$Y$1000,MATCH($B78,'testmo-export-repository'!$A$2:$A$1000,false),MATCH(J$2,'testmo-export-repository'!$B$1:$Y$1,false)),"")</f>
        <v/>
      </c>
      <c r="K78" s="60" t="str">
        <f t="array" ref="K78">IFERROR(INDEX('testmo-export-repository'!$B$2:$Y$1000,MATCH($B78,'testmo-export-repository'!$A$2:$A$1000,false),MATCH(K$2,'testmo-export-repository'!$B$1:$Y$1,false)),"")</f>
        <v>BAS-719</v>
      </c>
    </row>
    <row r="79">
      <c r="B79" s="60">
        <f>'testmo-export-repository'!A78</f>
        <v>5283</v>
      </c>
      <c r="C79" s="60" t="str">
        <f t="array" ref="C79">IFERROR(INDEX('testmo-export-repository'!$B$2:$X$1000,MATCH($B79,'testmo-export-repository'!$A$2:$A$1000,false),MATCH(C$2,'testmo-export-repository'!$B$1:$X$1,false)),"")</f>
        <v>Normal</v>
      </c>
      <c r="D79" s="60" t="str">
        <f t="array" ref="D79">IFERROR(INDEX('testmo-export-repository'!$B$2:$X$1000,MATCH($B79,'testmo-export-repository'!$A$2:$A$1000,false),MATCH(D$2,'testmo-export-repository'!$B$1:$X$1,false)),"")</f>
        <v/>
      </c>
      <c r="E79" s="60">
        <f>IFERROR(VLOOKUP($C79,instructions!$N$3:$O$5,2,false),"")</f>
        <v>2</v>
      </c>
      <c r="F79" s="60" t="str">
        <f>IFERROR(VLOOKUP($D79,instructions!$N$3:$O$5,2,false),"")</f>
        <v/>
      </c>
      <c r="G79" s="60" t="str">
        <f t="array" ref="G79">IFERROR(INDEX('testmo-export-repository'!$B$2:$X$1000,MATCH($B79,'testmo-export-repository'!$A$2:$A$1000,false),MATCH(G$2,'testmo-export-repository'!$B$1:$X$1,false)),"")</f>
        <v/>
      </c>
      <c r="H79" s="60" t="str">
        <f t="array" ref="H79">IFERROR(INDEX('testmo-export-repository'!$B$2:$X$1000,MATCH($B79,'testmo-export-repository'!$A$2:$A$1000,false),MATCH(H$2,'testmo-export-repository'!$B$1:$X$1,false)),"")</f>
        <v/>
      </c>
      <c r="I79" s="60" t="str">
        <f t="array" ref="I79">IFERROR(INDEX('testmo-export-repository'!$B$2:$X$1000,MATCH($B79,'testmo-export-repository'!$A$2:$A$1000,false),MATCH(I$2,'testmo-export-repository'!$B$1:$X$1,false)),"")</f>
        <v>Passed</v>
      </c>
      <c r="J79" s="60" t="str">
        <f t="array" ref="J79">IFERROR(INDEX('testmo-export-repository'!$B$2:$Y$1000,MATCH($B79,'testmo-export-repository'!$A$2:$A$1000,false),MATCH(J$2,'testmo-export-repository'!$B$1:$Y$1,false)),"")</f>
        <v/>
      </c>
      <c r="K79" s="60" t="str">
        <f t="array" ref="K79">IFERROR(INDEX('testmo-export-repository'!$B$2:$Y$1000,MATCH($B79,'testmo-export-repository'!$A$2:$A$1000,false),MATCH(K$2,'testmo-export-repository'!$B$1:$Y$1,false)),"")</f>
        <v>BAS-719</v>
      </c>
    </row>
    <row r="80">
      <c r="B80" s="60">
        <f>'testmo-export-repository'!A79</f>
        <v>5284</v>
      </c>
      <c r="C80" s="60" t="str">
        <f t="array" ref="C80">IFERROR(INDEX('testmo-export-repository'!$B$2:$X$1000,MATCH($B80,'testmo-export-repository'!$A$2:$A$1000,false),MATCH(C$2,'testmo-export-repository'!$B$1:$X$1,false)),"")</f>
        <v>Normal</v>
      </c>
      <c r="D80" s="60" t="str">
        <f t="array" ref="D80">IFERROR(INDEX('testmo-export-repository'!$B$2:$X$1000,MATCH($B80,'testmo-export-repository'!$A$2:$A$1000,false),MATCH(D$2,'testmo-export-repository'!$B$1:$X$1,false)),"")</f>
        <v/>
      </c>
      <c r="E80" s="60">
        <f>IFERROR(VLOOKUP($C80,instructions!$N$3:$O$5,2,false),"")</f>
        <v>2</v>
      </c>
      <c r="F80" s="60" t="str">
        <f>IFERROR(VLOOKUP($D80,instructions!$N$3:$O$5,2,false),"")</f>
        <v/>
      </c>
      <c r="G80" s="60" t="str">
        <f t="array" ref="G80">IFERROR(INDEX('testmo-export-repository'!$B$2:$X$1000,MATCH($B80,'testmo-export-repository'!$A$2:$A$1000,false),MATCH(G$2,'testmo-export-repository'!$B$1:$X$1,false)),"")</f>
        <v/>
      </c>
      <c r="H80" s="60" t="str">
        <f t="array" ref="H80">IFERROR(INDEX('testmo-export-repository'!$B$2:$X$1000,MATCH($B80,'testmo-export-repository'!$A$2:$A$1000,false),MATCH(H$2,'testmo-export-repository'!$B$1:$X$1,false)),"")</f>
        <v/>
      </c>
      <c r="I80" s="60" t="str">
        <f t="array" ref="I80">IFERROR(INDEX('testmo-export-repository'!$B$2:$X$1000,MATCH($B80,'testmo-export-repository'!$A$2:$A$1000,false),MATCH(I$2,'testmo-export-repository'!$B$1:$X$1,false)),"")</f>
        <v>Passed</v>
      </c>
      <c r="J80" s="60" t="str">
        <f t="array" ref="J80">IFERROR(INDEX('testmo-export-repository'!$B$2:$Y$1000,MATCH($B80,'testmo-export-repository'!$A$2:$A$1000,false),MATCH(J$2,'testmo-export-repository'!$B$1:$Y$1,false)),"")</f>
        <v/>
      </c>
      <c r="K80" s="60" t="str">
        <f t="array" ref="K80">IFERROR(INDEX('testmo-export-repository'!$B$2:$Y$1000,MATCH($B80,'testmo-export-repository'!$A$2:$A$1000,false),MATCH(K$2,'testmo-export-repository'!$B$1:$Y$1,false)),"")</f>
        <v>BAS-719</v>
      </c>
    </row>
    <row r="81">
      <c r="B81" s="60">
        <f>'testmo-export-repository'!A80</f>
        <v>5285</v>
      </c>
      <c r="C81" s="60" t="str">
        <f t="array" ref="C81">IFERROR(INDEX('testmo-export-repository'!$B$2:$X$1000,MATCH($B81,'testmo-export-repository'!$A$2:$A$1000,false),MATCH(C$2,'testmo-export-repository'!$B$1:$X$1,false)),"")</f>
        <v>Normal</v>
      </c>
      <c r="D81" s="60" t="str">
        <f t="array" ref="D81">IFERROR(INDEX('testmo-export-repository'!$B$2:$X$1000,MATCH($B81,'testmo-export-repository'!$A$2:$A$1000,false),MATCH(D$2,'testmo-export-repository'!$B$1:$X$1,false)),"")</f>
        <v/>
      </c>
      <c r="E81" s="60">
        <f>IFERROR(VLOOKUP($C81,instructions!$N$3:$O$5,2,false),"")</f>
        <v>2</v>
      </c>
      <c r="F81" s="60" t="str">
        <f>IFERROR(VLOOKUP($D81,instructions!$N$3:$O$5,2,false),"")</f>
        <v/>
      </c>
      <c r="G81" s="60" t="str">
        <f t="array" ref="G81">IFERROR(INDEX('testmo-export-repository'!$B$2:$X$1000,MATCH($B81,'testmo-export-repository'!$A$2:$A$1000,false),MATCH(G$2,'testmo-export-repository'!$B$1:$X$1,false)),"")</f>
        <v/>
      </c>
      <c r="H81" s="60" t="str">
        <f t="array" ref="H81">IFERROR(INDEX('testmo-export-repository'!$B$2:$X$1000,MATCH($B81,'testmo-export-repository'!$A$2:$A$1000,false),MATCH(H$2,'testmo-export-repository'!$B$1:$X$1,false)),"")</f>
        <v/>
      </c>
      <c r="I81" s="60" t="str">
        <f t="array" ref="I81">IFERROR(INDEX('testmo-export-repository'!$B$2:$X$1000,MATCH($B81,'testmo-export-repository'!$A$2:$A$1000,false),MATCH(I$2,'testmo-export-repository'!$B$1:$X$1,false)),"")</f>
        <v>Passed</v>
      </c>
      <c r="J81" s="60" t="str">
        <f t="array" ref="J81">IFERROR(INDEX('testmo-export-repository'!$B$2:$Y$1000,MATCH($B81,'testmo-export-repository'!$A$2:$A$1000,false),MATCH(J$2,'testmo-export-repository'!$B$1:$Y$1,false)),"")</f>
        <v/>
      </c>
      <c r="K81" s="60" t="str">
        <f t="array" ref="K81">IFERROR(INDEX('testmo-export-repository'!$B$2:$Y$1000,MATCH($B81,'testmo-export-repository'!$A$2:$A$1000,false),MATCH(K$2,'testmo-export-repository'!$B$1:$Y$1,false)),"")</f>
        <v>BAS-680</v>
      </c>
    </row>
    <row r="82">
      <c r="B82" s="60">
        <f>'testmo-export-repository'!A81</f>
        <v>2266</v>
      </c>
      <c r="C82" s="60" t="str">
        <f t="array" ref="C82">IFERROR(INDEX('testmo-export-repository'!$B$2:$X$1000,MATCH($B82,'testmo-export-repository'!$A$2:$A$1000,false),MATCH(C$2,'testmo-export-repository'!$B$1:$X$1,false)),"")</f>
        <v>Normal</v>
      </c>
      <c r="D82" s="60" t="str">
        <f t="array" ref="D82">IFERROR(INDEX('testmo-export-repository'!$B$2:$X$1000,MATCH($B82,'testmo-export-repository'!$A$2:$A$1000,false),MATCH(D$2,'testmo-export-repository'!$B$1:$X$1,false)),"")</f>
        <v/>
      </c>
      <c r="E82" s="60">
        <f>IFERROR(VLOOKUP($C82,instructions!$N$3:$O$5,2,false),"")</f>
        <v>2</v>
      </c>
      <c r="F82" s="60" t="str">
        <f>IFERROR(VLOOKUP($D82,instructions!$N$3:$O$5,2,false),"")</f>
        <v/>
      </c>
      <c r="G82" s="60" t="str">
        <f t="array" ref="G82">IFERROR(INDEX('testmo-export-repository'!$B$2:$X$1000,MATCH($B82,'testmo-export-repository'!$A$2:$A$1000,false),MATCH(G$2,'testmo-export-repository'!$B$1:$X$1,false)),"")</f>
        <v/>
      </c>
      <c r="H82" s="60" t="str">
        <f t="array" ref="H82">IFERROR(INDEX('testmo-export-repository'!$B$2:$X$1000,MATCH($B82,'testmo-export-repository'!$A$2:$A$1000,false),MATCH(H$2,'testmo-export-repository'!$B$1:$X$1,false)),"")</f>
        <v/>
      </c>
      <c r="I82" s="60" t="str">
        <f t="array" ref="I82">IFERROR(INDEX('testmo-export-repository'!$B$2:$X$1000,MATCH($B82,'testmo-export-repository'!$A$2:$A$1000,false),MATCH(I$2,'testmo-export-repository'!$B$1:$X$1,false)),"")</f>
        <v>Passed</v>
      </c>
      <c r="J82" s="60" t="str">
        <f t="array" ref="J82">IFERROR(INDEX('testmo-export-repository'!$B$2:$Y$1000,MATCH($B82,'testmo-export-repository'!$A$2:$A$1000,false),MATCH(J$2,'testmo-export-repository'!$B$1:$Y$1,false)),"")</f>
        <v/>
      </c>
      <c r="K82" s="60" t="str">
        <f t="array" ref="K82">IFERROR(INDEX('testmo-export-repository'!$B$2:$Y$1000,MATCH($B82,'testmo-export-repository'!$A$2:$A$1000,false),MATCH(K$2,'testmo-export-repository'!$B$1:$Y$1,false)),"")</f>
        <v>BAS-561</v>
      </c>
    </row>
    <row r="83">
      <c r="B83" s="60">
        <f>'testmo-export-repository'!A82</f>
        <v>2268</v>
      </c>
      <c r="C83" s="60" t="str">
        <f t="array" ref="C83">IFERROR(INDEX('testmo-export-repository'!$B$2:$X$1000,MATCH($B83,'testmo-export-repository'!$A$2:$A$1000,false),MATCH(C$2,'testmo-export-repository'!$B$1:$X$1,false)),"")</f>
        <v>Normal</v>
      </c>
      <c r="D83" s="60" t="str">
        <f t="array" ref="D83">IFERROR(INDEX('testmo-export-repository'!$B$2:$X$1000,MATCH($B83,'testmo-export-repository'!$A$2:$A$1000,false),MATCH(D$2,'testmo-export-repository'!$B$1:$X$1,false)),"")</f>
        <v/>
      </c>
      <c r="E83" s="60">
        <f>IFERROR(VLOOKUP($C83,instructions!$N$3:$O$5,2,false),"")</f>
        <v>2</v>
      </c>
      <c r="F83" s="60" t="str">
        <f>IFERROR(VLOOKUP($D83,instructions!$N$3:$O$5,2,false),"")</f>
        <v/>
      </c>
      <c r="G83" s="60" t="str">
        <f t="array" ref="G83">IFERROR(INDEX('testmo-export-repository'!$B$2:$X$1000,MATCH($B83,'testmo-export-repository'!$A$2:$A$1000,false),MATCH(G$2,'testmo-export-repository'!$B$1:$X$1,false)),"")</f>
        <v/>
      </c>
      <c r="H83" s="60" t="str">
        <f t="array" ref="H83">IFERROR(INDEX('testmo-export-repository'!$B$2:$X$1000,MATCH($B83,'testmo-export-repository'!$A$2:$A$1000,false),MATCH(H$2,'testmo-export-repository'!$B$1:$X$1,false)),"")</f>
        <v/>
      </c>
      <c r="I83" s="60" t="str">
        <f t="array" ref="I83">IFERROR(INDEX('testmo-export-repository'!$B$2:$X$1000,MATCH($B83,'testmo-export-repository'!$A$2:$A$1000,false),MATCH(I$2,'testmo-export-repository'!$B$1:$X$1,false)),"")</f>
        <v>Passed</v>
      </c>
      <c r="J83" s="60" t="str">
        <f t="array" ref="J83">IFERROR(INDEX('testmo-export-repository'!$B$2:$Y$1000,MATCH($B83,'testmo-export-repository'!$A$2:$A$1000,false),MATCH(J$2,'testmo-export-repository'!$B$1:$Y$1,false)),"")</f>
        <v/>
      </c>
      <c r="K83" s="60" t="str">
        <f t="array" ref="K83">IFERROR(INDEX('testmo-export-repository'!$B$2:$Y$1000,MATCH($B83,'testmo-export-repository'!$A$2:$A$1000,false),MATCH(K$2,'testmo-export-repository'!$B$1:$Y$1,false)),"")</f>
        <v/>
      </c>
    </row>
    <row r="84">
      <c r="B84" s="60">
        <f>'testmo-export-repository'!A83</f>
        <v>2270</v>
      </c>
      <c r="C84" s="60" t="str">
        <f t="array" ref="C84">IFERROR(INDEX('testmo-export-repository'!$B$2:$X$1000,MATCH($B84,'testmo-export-repository'!$A$2:$A$1000,false),MATCH(C$2,'testmo-export-repository'!$B$1:$X$1,false)),"")</f>
        <v>Normal</v>
      </c>
      <c r="D84" s="60" t="str">
        <f t="array" ref="D84">IFERROR(INDEX('testmo-export-repository'!$B$2:$X$1000,MATCH($B84,'testmo-export-repository'!$A$2:$A$1000,false),MATCH(D$2,'testmo-export-repository'!$B$1:$X$1,false)),"")</f>
        <v/>
      </c>
      <c r="E84" s="60">
        <f>IFERROR(VLOOKUP($C84,instructions!$N$3:$O$5,2,false),"")</f>
        <v>2</v>
      </c>
      <c r="F84" s="60" t="str">
        <f>IFERROR(VLOOKUP($D84,instructions!$N$3:$O$5,2,false),"")</f>
        <v/>
      </c>
      <c r="G84" s="60" t="str">
        <f t="array" ref="G84">IFERROR(INDEX('testmo-export-repository'!$B$2:$X$1000,MATCH($B84,'testmo-export-repository'!$A$2:$A$1000,false),MATCH(G$2,'testmo-export-repository'!$B$1:$X$1,false)),"")</f>
        <v/>
      </c>
      <c r="H84" s="60" t="str">
        <f t="array" ref="H84">IFERROR(INDEX('testmo-export-repository'!$B$2:$X$1000,MATCH($B84,'testmo-export-repository'!$A$2:$A$1000,false),MATCH(H$2,'testmo-export-repository'!$B$1:$X$1,false)),"")</f>
        <v/>
      </c>
      <c r="I84" s="60" t="str">
        <f t="array" ref="I84">IFERROR(INDEX('testmo-export-repository'!$B$2:$X$1000,MATCH($B84,'testmo-export-repository'!$A$2:$A$1000,false),MATCH(I$2,'testmo-export-repository'!$B$1:$X$1,false)),"")</f>
        <v>Passed</v>
      </c>
      <c r="J84" s="60" t="str">
        <f t="array" ref="J84">IFERROR(INDEX('testmo-export-repository'!$B$2:$Y$1000,MATCH($B84,'testmo-export-repository'!$A$2:$A$1000,false),MATCH(J$2,'testmo-export-repository'!$B$1:$Y$1,false)),"")</f>
        <v/>
      </c>
      <c r="K84" s="60" t="str">
        <f t="array" ref="K84">IFERROR(INDEX('testmo-export-repository'!$B$2:$Y$1000,MATCH($B84,'testmo-export-repository'!$A$2:$A$1000,false),MATCH(K$2,'testmo-export-repository'!$B$1:$Y$1,false)),"")</f>
        <v>BAS-614</v>
      </c>
    </row>
    <row r="85">
      <c r="B85" s="60">
        <f>'testmo-export-repository'!A84</f>
        <v>2267</v>
      </c>
      <c r="C85" s="60" t="str">
        <f t="array" ref="C85">IFERROR(INDEX('testmo-export-repository'!$B$2:$X$1000,MATCH($B85,'testmo-export-repository'!$A$2:$A$1000,false),MATCH(C$2,'testmo-export-repository'!$B$1:$X$1,false)),"")</f>
        <v>Normal</v>
      </c>
      <c r="D85" s="60" t="str">
        <f t="array" ref="D85">IFERROR(INDEX('testmo-export-repository'!$B$2:$X$1000,MATCH($B85,'testmo-export-repository'!$A$2:$A$1000,false),MATCH(D$2,'testmo-export-repository'!$B$1:$X$1,false)),"")</f>
        <v/>
      </c>
      <c r="E85" s="60">
        <f>IFERROR(VLOOKUP($C85,instructions!$N$3:$O$5,2,false),"")</f>
        <v>2</v>
      </c>
      <c r="F85" s="60" t="str">
        <f>IFERROR(VLOOKUP($D85,instructions!$N$3:$O$5,2,false),"")</f>
        <v/>
      </c>
      <c r="G85" s="60" t="str">
        <f t="array" ref="G85">IFERROR(INDEX('testmo-export-repository'!$B$2:$X$1000,MATCH($B85,'testmo-export-repository'!$A$2:$A$1000,false),MATCH(G$2,'testmo-export-repository'!$B$1:$X$1,false)),"")</f>
        <v/>
      </c>
      <c r="H85" s="60" t="str">
        <f t="array" ref="H85">IFERROR(INDEX('testmo-export-repository'!$B$2:$X$1000,MATCH($B85,'testmo-export-repository'!$A$2:$A$1000,false),MATCH(H$2,'testmo-export-repository'!$B$1:$X$1,false)),"")</f>
        <v/>
      </c>
      <c r="I85" s="60" t="str">
        <f t="array" ref="I85">IFERROR(INDEX('testmo-export-repository'!$B$2:$X$1000,MATCH($B85,'testmo-export-repository'!$A$2:$A$1000,false),MATCH(I$2,'testmo-export-repository'!$B$1:$X$1,false)),"")</f>
        <v>Passed</v>
      </c>
      <c r="J85" s="60" t="str">
        <f t="array" ref="J85">IFERROR(INDEX('testmo-export-repository'!$B$2:$Y$1000,MATCH($B85,'testmo-export-repository'!$A$2:$A$1000,false),MATCH(J$2,'testmo-export-repository'!$B$1:$Y$1,false)),"")</f>
        <v/>
      </c>
      <c r="K85" s="60" t="str">
        <f t="array" ref="K85">IFERROR(INDEX('testmo-export-repository'!$B$2:$Y$1000,MATCH($B85,'testmo-export-repository'!$A$2:$A$1000,false),MATCH(K$2,'testmo-export-repository'!$B$1:$Y$1,false)),"")</f>
        <v>BAS-614</v>
      </c>
    </row>
    <row r="86">
      <c r="B86" s="60">
        <f>'testmo-export-repository'!A85</f>
        <v>5328</v>
      </c>
      <c r="C86" s="60" t="str">
        <f t="array" ref="C86">IFERROR(INDEX('testmo-export-repository'!$B$2:$X$1000,MATCH($B86,'testmo-export-repository'!$A$2:$A$1000,false),MATCH(C$2,'testmo-export-repository'!$B$1:$X$1,false)),"")</f>
        <v>Normal</v>
      </c>
      <c r="D86" s="60" t="str">
        <f t="array" ref="D86">IFERROR(INDEX('testmo-export-repository'!$B$2:$X$1000,MATCH($B86,'testmo-export-repository'!$A$2:$A$1000,false),MATCH(D$2,'testmo-export-repository'!$B$1:$X$1,false)),"")</f>
        <v/>
      </c>
      <c r="E86" s="60">
        <f>IFERROR(VLOOKUP($C86,instructions!$N$3:$O$5,2,false),"")</f>
        <v>2</v>
      </c>
      <c r="F86" s="60" t="str">
        <f>IFERROR(VLOOKUP($D86,instructions!$N$3:$O$5,2,false),"")</f>
        <v/>
      </c>
      <c r="G86" s="60" t="str">
        <f t="array" ref="G86">IFERROR(INDEX('testmo-export-repository'!$B$2:$X$1000,MATCH($B86,'testmo-export-repository'!$A$2:$A$1000,false),MATCH(G$2,'testmo-export-repository'!$B$1:$X$1,false)),"")</f>
        <v/>
      </c>
      <c r="H86" s="60" t="str">
        <f t="array" ref="H86">IFERROR(INDEX('testmo-export-repository'!$B$2:$X$1000,MATCH($B86,'testmo-export-repository'!$A$2:$A$1000,false),MATCH(H$2,'testmo-export-repository'!$B$1:$X$1,false)),"")</f>
        <v/>
      </c>
      <c r="I86" s="60" t="str">
        <f t="array" ref="I86">IFERROR(INDEX('testmo-export-repository'!$B$2:$X$1000,MATCH($B86,'testmo-export-repository'!$A$2:$A$1000,false),MATCH(I$2,'testmo-export-repository'!$B$1:$X$1,false)),"")</f>
        <v/>
      </c>
      <c r="J86" s="60" t="str">
        <f t="array" ref="J86">IFERROR(INDEX('testmo-export-repository'!$B$2:$Y$1000,MATCH($B86,'testmo-export-repository'!$A$2:$A$1000,false),MATCH(J$2,'testmo-export-repository'!$B$1:$Y$1,false)),"")</f>
        <v/>
      </c>
      <c r="K86" s="60" t="str">
        <f t="array" ref="K86">IFERROR(INDEX('testmo-export-repository'!$B$2:$Y$1000,MATCH($B86,'testmo-export-repository'!$A$2:$A$1000,false),MATCH(K$2,'testmo-export-repository'!$B$1:$Y$1,false)),"")</f>
        <v/>
      </c>
    </row>
    <row r="87">
      <c r="B87" s="60">
        <f>'testmo-export-repository'!A86</f>
        <v>1905</v>
      </c>
      <c r="C87" s="60" t="str">
        <f t="array" ref="C87">IFERROR(INDEX('testmo-export-repository'!$B$2:$X$1000,MATCH($B87,'testmo-export-repository'!$A$2:$A$1000,false),MATCH(C$2,'testmo-export-repository'!$B$1:$X$1,false)),"")</f>
        <v>Normal</v>
      </c>
      <c r="D87" s="60" t="str">
        <f t="array" ref="D87">IFERROR(INDEX('testmo-export-repository'!$B$2:$X$1000,MATCH($B87,'testmo-export-repository'!$A$2:$A$1000,false),MATCH(D$2,'testmo-export-repository'!$B$1:$X$1,false)),"")</f>
        <v/>
      </c>
      <c r="E87" s="60">
        <f>IFERROR(VLOOKUP($C87,instructions!$N$3:$O$5,2,false),"")</f>
        <v>2</v>
      </c>
      <c r="F87" s="60" t="str">
        <f>IFERROR(VLOOKUP($D87,instructions!$N$3:$O$5,2,false),"")</f>
        <v/>
      </c>
      <c r="G87" s="60" t="str">
        <f t="array" ref="G87">IFERROR(INDEX('testmo-export-repository'!$B$2:$X$1000,MATCH($B87,'testmo-export-repository'!$A$2:$A$1000,false),MATCH(G$2,'testmo-export-repository'!$B$1:$X$1,false)),"")</f>
        <v/>
      </c>
      <c r="H87" s="60" t="str">
        <f t="array" ref="H87">IFERROR(INDEX('testmo-export-repository'!$B$2:$X$1000,MATCH($B87,'testmo-export-repository'!$A$2:$A$1000,false),MATCH(H$2,'testmo-export-repository'!$B$1:$X$1,false)),"")</f>
        <v/>
      </c>
      <c r="I87" s="60" t="str">
        <f t="array" ref="I87">IFERROR(INDEX('testmo-export-repository'!$B$2:$X$1000,MATCH($B87,'testmo-export-repository'!$A$2:$A$1000,false),MATCH(I$2,'testmo-export-repository'!$B$1:$X$1,false)),"")</f>
        <v>Passed</v>
      </c>
      <c r="J87" s="60" t="str">
        <f t="array" ref="J87">IFERROR(INDEX('testmo-export-repository'!$B$2:$Y$1000,MATCH($B87,'testmo-export-repository'!$A$2:$A$1000,false),MATCH(J$2,'testmo-export-repository'!$B$1:$Y$1,false)),"")</f>
        <v/>
      </c>
      <c r="K87" s="60" t="str">
        <f t="array" ref="K87">IFERROR(INDEX('testmo-export-repository'!$B$2:$Y$1000,MATCH($B87,'testmo-export-repository'!$A$2:$A$1000,false),MATCH(K$2,'testmo-export-repository'!$B$1:$Y$1,false)),"")</f>
        <v>BAS-489</v>
      </c>
    </row>
    <row r="88">
      <c r="B88" s="60">
        <f>'testmo-export-repository'!A87</f>
        <v>1124</v>
      </c>
      <c r="C88" s="60" t="str">
        <f t="array" ref="C88">IFERROR(INDEX('testmo-export-repository'!$B$2:$X$1000,MATCH($B88,'testmo-export-repository'!$A$2:$A$1000,false),MATCH(C$2,'testmo-export-repository'!$B$1:$X$1,false)),"")</f>
        <v>High</v>
      </c>
      <c r="D88" s="60" t="str">
        <f t="array" ref="D88">IFERROR(INDEX('testmo-export-repository'!$B$2:$X$1000,MATCH($B88,'testmo-export-repository'!$A$2:$A$1000,false),MATCH(D$2,'testmo-export-repository'!$B$1:$X$1,false)),"")</f>
        <v>High</v>
      </c>
      <c r="E88" s="60">
        <f>IFERROR(VLOOKUP($C88,instructions!$N$3:$O$5,2,false),"")</f>
        <v>1</v>
      </c>
      <c r="F88" s="60">
        <f>IFERROR(VLOOKUP($D88,instructions!$N$3:$O$5,2,false),"")</f>
        <v>1</v>
      </c>
      <c r="G88" s="60" t="str">
        <f t="array" ref="G88">IFERROR(INDEX('testmo-export-repository'!$B$2:$X$1000,MATCH($B88,'testmo-export-repository'!$A$2:$A$1000,false),MATCH(G$2,'testmo-export-repository'!$B$1:$X$1,false)),"")</f>
        <v>Yes</v>
      </c>
      <c r="H88" s="60" t="str">
        <f t="array" ref="H88">IFERROR(INDEX('testmo-export-repository'!$B$2:$X$1000,MATCH($B88,'testmo-export-repository'!$A$2:$A$1000,false),MATCH(H$2,'testmo-export-repository'!$B$1:$X$1,false)),"")</f>
        <v>Yes</v>
      </c>
      <c r="I88" s="60" t="str">
        <f t="array" ref="I88">IFERROR(INDEX('testmo-export-repository'!$B$2:$X$1000,MATCH($B88,'testmo-export-repository'!$A$2:$A$1000,false),MATCH(I$2,'testmo-export-repository'!$B$1:$X$1,false)),"")</f>
        <v/>
      </c>
      <c r="J88" s="60" t="str">
        <f t="array" ref="J88">IFERROR(INDEX('testmo-export-repository'!$B$2:$Y$1000,MATCH($B88,'testmo-export-repository'!$A$2:$A$1000,false),MATCH(J$2,'testmo-export-repository'!$B$1:$Y$1,false)),"")</f>
        <v/>
      </c>
      <c r="K88" s="60" t="str">
        <f t="array" ref="K88">IFERROR(INDEX('testmo-export-repository'!$B$2:$Y$1000,MATCH($B88,'testmo-export-repository'!$A$2:$A$1000,false),MATCH(K$2,'testmo-export-repository'!$B$1:$Y$1,false)),"")</f>
        <v>BAS-552</v>
      </c>
    </row>
    <row r="89">
      <c r="B89" s="60">
        <f>'testmo-export-repository'!A88</f>
        <v>1125</v>
      </c>
      <c r="C89" s="60" t="str">
        <f t="array" ref="C89">IFERROR(INDEX('testmo-export-repository'!$B$2:$X$1000,MATCH($B89,'testmo-export-repository'!$A$2:$A$1000,false),MATCH(C$2,'testmo-export-repository'!$B$1:$X$1,false)),"")</f>
        <v>Normal</v>
      </c>
      <c r="D89" s="60" t="str">
        <f t="array" ref="D89">IFERROR(INDEX('testmo-export-repository'!$B$2:$X$1000,MATCH($B89,'testmo-export-repository'!$A$2:$A$1000,false),MATCH(D$2,'testmo-export-repository'!$B$1:$X$1,false)),"")</f>
        <v/>
      </c>
      <c r="E89" s="60">
        <f>IFERROR(VLOOKUP($C89,instructions!$N$3:$O$5,2,false),"")</f>
        <v>2</v>
      </c>
      <c r="F89" s="60" t="str">
        <f>IFERROR(VLOOKUP($D89,instructions!$N$3:$O$5,2,false),"")</f>
        <v/>
      </c>
      <c r="G89" s="60" t="str">
        <f t="array" ref="G89">IFERROR(INDEX('testmo-export-repository'!$B$2:$X$1000,MATCH($B89,'testmo-export-repository'!$A$2:$A$1000,false),MATCH(G$2,'testmo-export-repository'!$B$1:$X$1,false)),"")</f>
        <v/>
      </c>
      <c r="H89" s="60" t="str">
        <f t="array" ref="H89">IFERROR(INDEX('testmo-export-repository'!$B$2:$X$1000,MATCH($B89,'testmo-export-repository'!$A$2:$A$1000,false),MATCH(H$2,'testmo-export-repository'!$B$1:$X$1,false)),"")</f>
        <v/>
      </c>
      <c r="I89" s="60" t="str">
        <f t="array" ref="I89">IFERROR(INDEX('testmo-export-repository'!$B$2:$X$1000,MATCH($B89,'testmo-export-repository'!$A$2:$A$1000,false),MATCH(I$2,'testmo-export-repository'!$B$1:$X$1,false)),"")</f>
        <v/>
      </c>
      <c r="J89" s="60" t="str">
        <f t="array" ref="J89">IFERROR(INDEX('testmo-export-repository'!$B$2:$Y$1000,MATCH($B89,'testmo-export-repository'!$A$2:$A$1000,false),MATCH(J$2,'testmo-export-repository'!$B$1:$Y$1,false)),"")</f>
        <v/>
      </c>
      <c r="K89" s="60" t="str">
        <f t="array" ref="K89">IFERROR(INDEX('testmo-export-repository'!$B$2:$Y$1000,MATCH($B89,'testmo-export-repository'!$A$2:$A$1000,false),MATCH(K$2,'testmo-export-repository'!$B$1:$Y$1,false)),"")</f>
        <v>BAS-559</v>
      </c>
    </row>
    <row r="90">
      <c r="B90" s="60">
        <f>'testmo-export-repository'!A89</f>
        <v>1126</v>
      </c>
      <c r="C90" s="60" t="str">
        <f t="array" ref="C90">IFERROR(INDEX('testmo-export-repository'!$B$2:$X$1000,MATCH($B90,'testmo-export-repository'!$A$2:$A$1000,false),MATCH(C$2,'testmo-export-repository'!$B$1:$X$1,false)),"")</f>
        <v>Normal</v>
      </c>
      <c r="D90" s="60" t="str">
        <f t="array" ref="D90">IFERROR(INDEX('testmo-export-repository'!$B$2:$X$1000,MATCH($B90,'testmo-export-repository'!$A$2:$A$1000,false),MATCH(D$2,'testmo-export-repository'!$B$1:$X$1,false)),"")</f>
        <v/>
      </c>
      <c r="E90" s="60">
        <f>IFERROR(VLOOKUP($C90,instructions!$N$3:$O$5,2,false),"")</f>
        <v>2</v>
      </c>
      <c r="F90" s="60" t="str">
        <f>IFERROR(VLOOKUP($D90,instructions!$N$3:$O$5,2,false),"")</f>
        <v/>
      </c>
      <c r="G90" s="60" t="str">
        <f t="array" ref="G90">IFERROR(INDEX('testmo-export-repository'!$B$2:$X$1000,MATCH($B90,'testmo-export-repository'!$A$2:$A$1000,false),MATCH(G$2,'testmo-export-repository'!$B$1:$X$1,false)),"")</f>
        <v/>
      </c>
      <c r="H90" s="60" t="str">
        <f t="array" ref="H90">IFERROR(INDEX('testmo-export-repository'!$B$2:$X$1000,MATCH($B90,'testmo-export-repository'!$A$2:$A$1000,false),MATCH(H$2,'testmo-export-repository'!$B$1:$X$1,false)),"")</f>
        <v/>
      </c>
      <c r="I90" s="60" t="str">
        <f t="array" ref="I90">IFERROR(INDEX('testmo-export-repository'!$B$2:$X$1000,MATCH($B90,'testmo-export-repository'!$A$2:$A$1000,false),MATCH(I$2,'testmo-export-repository'!$B$1:$X$1,false)),"")</f>
        <v/>
      </c>
      <c r="J90" s="60" t="str">
        <f t="array" ref="J90">IFERROR(INDEX('testmo-export-repository'!$B$2:$Y$1000,MATCH($B90,'testmo-export-repository'!$A$2:$A$1000,false),MATCH(J$2,'testmo-export-repository'!$B$1:$Y$1,false)),"")</f>
        <v/>
      </c>
      <c r="K90" s="60" t="str">
        <f t="array" ref="K90">IFERROR(INDEX('testmo-export-repository'!$B$2:$Y$1000,MATCH($B90,'testmo-export-repository'!$A$2:$A$1000,false),MATCH(K$2,'testmo-export-repository'!$B$1:$Y$1,false)),"")</f>
        <v>BAS-559</v>
      </c>
    </row>
    <row r="91">
      <c r="B91" s="60">
        <f>'testmo-export-repository'!A90</f>
        <v>1127</v>
      </c>
      <c r="C91" s="60" t="str">
        <f t="array" ref="C91">IFERROR(INDEX('testmo-export-repository'!$B$2:$X$1000,MATCH($B91,'testmo-export-repository'!$A$2:$A$1000,false),MATCH(C$2,'testmo-export-repository'!$B$1:$X$1,false)),"")</f>
        <v>Normal</v>
      </c>
      <c r="D91" s="60" t="str">
        <f t="array" ref="D91">IFERROR(INDEX('testmo-export-repository'!$B$2:$X$1000,MATCH($B91,'testmo-export-repository'!$A$2:$A$1000,false),MATCH(D$2,'testmo-export-repository'!$B$1:$X$1,false)),"")</f>
        <v/>
      </c>
      <c r="E91" s="60">
        <f>IFERROR(VLOOKUP($C91,instructions!$N$3:$O$5,2,false),"")</f>
        <v>2</v>
      </c>
      <c r="F91" s="60" t="str">
        <f>IFERROR(VLOOKUP($D91,instructions!$N$3:$O$5,2,false),"")</f>
        <v/>
      </c>
      <c r="G91" s="60" t="str">
        <f t="array" ref="G91">IFERROR(INDEX('testmo-export-repository'!$B$2:$X$1000,MATCH($B91,'testmo-export-repository'!$A$2:$A$1000,false),MATCH(G$2,'testmo-export-repository'!$B$1:$X$1,false)),"")</f>
        <v/>
      </c>
      <c r="H91" s="60" t="str">
        <f t="array" ref="H91">IFERROR(INDEX('testmo-export-repository'!$B$2:$X$1000,MATCH($B91,'testmo-export-repository'!$A$2:$A$1000,false),MATCH(H$2,'testmo-export-repository'!$B$1:$X$1,false)),"")</f>
        <v/>
      </c>
      <c r="I91" s="60" t="str">
        <f t="array" ref="I91">IFERROR(INDEX('testmo-export-repository'!$B$2:$X$1000,MATCH($B91,'testmo-export-repository'!$A$2:$A$1000,false),MATCH(I$2,'testmo-export-repository'!$B$1:$X$1,false)),"")</f>
        <v/>
      </c>
      <c r="J91" s="60" t="str">
        <f t="array" ref="J91">IFERROR(INDEX('testmo-export-repository'!$B$2:$Y$1000,MATCH($B91,'testmo-export-repository'!$A$2:$A$1000,false),MATCH(J$2,'testmo-export-repository'!$B$1:$Y$1,false)),"")</f>
        <v/>
      </c>
      <c r="K91" s="60" t="str">
        <f t="array" ref="K91">IFERROR(INDEX('testmo-export-repository'!$B$2:$Y$1000,MATCH($B91,'testmo-export-repository'!$A$2:$A$1000,false),MATCH(K$2,'testmo-export-repository'!$B$1:$Y$1,false)),"")</f>
        <v>BAS-559</v>
      </c>
    </row>
    <row r="92">
      <c r="B92" s="60">
        <f>'testmo-export-repository'!A91</f>
        <v>1128</v>
      </c>
      <c r="C92" s="60" t="str">
        <f t="array" ref="C92">IFERROR(INDEX('testmo-export-repository'!$B$2:$X$1000,MATCH($B92,'testmo-export-repository'!$A$2:$A$1000,false),MATCH(C$2,'testmo-export-repository'!$B$1:$X$1,false)),"")</f>
        <v>Normal</v>
      </c>
      <c r="D92" s="60" t="str">
        <f t="array" ref="D92">IFERROR(INDEX('testmo-export-repository'!$B$2:$X$1000,MATCH($B92,'testmo-export-repository'!$A$2:$A$1000,false),MATCH(D$2,'testmo-export-repository'!$B$1:$X$1,false)),"")</f>
        <v/>
      </c>
      <c r="E92" s="60">
        <f>IFERROR(VLOOKUP($C92,instructions!$N$3:$O$5,2,false),"")</f>
        <v>2</v>
      </c>
      <c r="F92" s="60" t="str">
        <f>IFERROR(VLOOKUP($D92,instructions!$N$3:$O$5,2,false),"")</f>
        <v/>
      </c>
      <c r="G92" s="60" t="str">
        <f t="array" ref="G92">IFERROR(INDEX('testmo-export-repository'!$B$2:$X$1000,MATCH($B92,'testmo-export-repository'!$A$2:$A$1000,false),MATCH(G$2,'testmo-export-repository'!$B$1:$X$1,false)),"")</f>
        <v/>
      </c>
      <c r="H92" s="60" t="str">
        <f t="array" ref="H92">IFERROR(INDEX('testmo-export-repository'!$B$2:$X$1000,MATCH($B92,'testmo-export-repository'!$A$2:$A$1000,false),MATCH(H$2,'testmo-export-repository'!$B$1:$X$1,false)),"")</f>
        <v/>
      </c>
      <c r="I92" s="60" t="str">
        <f t="array" ref="I92">IFERROR(INDEX('testmo-export-repository'!$B$2:$X$1000,MATCH($B92,'testmo-export-repository'!$A$2:$A$1000,false),MATCH(I$2,'testmo-export-repository'!$B$1:$X$1,false)),"")</f>
        <v/>
      </c>
      <c r="J92" s="60" t="str">
        <f t="array" ref="J92">IFERROR(INDEX('testmo-export-repository'!$B$2:$Y$1000,MATCH($B92,'testmo-export-repository'!$A$2:$A$1000,false),MATCH(J$2,'testmo-export-repository'!$B$1:$Y$1,false)),"")</f>
        <v/>
      </c>
      <c r="K92" s="60" t="str">
        <f t="array" ref="K92">IFERROR(INDEX('testmo-export-repository'!$B$2:$Y$1000,MATCH($B92,'testmo-export-repository'!$A$2:$A$1000,false),MATCH(K$2,'testmo-export-repository'!$B$1:$Y$1,false)),"")</f>
        <v>BAS-559</v>
      </c>
    </row>
    <row r="93">
      <c r="B93" s="60">
        <f>'testmo-export-repository'!A92</f>
        <v>1129</v>
      </c>
      <c r="C93" s="60" t="str">
        <f t="array" ref="C93">IFERROR(INDEX('testmo-export-repository'!$B$2:$X$1000,MATCH($B93,'testmo-export-repository'!$A$2:$A$1000,false),MATCH(C$2,'testmo-export-repository'!$B$1:$X$1,false)),"")</f>
        <v>Normal</v>
      </c>
      <c r="D93" s="60" t="str">
        <f t="array" ref="D93">IFERROR(INDEX('testmo-export-repository'!$B$2:$X$1000,MATCH($B93,'testmo-export-repository'!$A$2:$A$1000,false),MATCH(D$2,'testmo-export-repository'!$B$1:$X$1,false)),"")</f>
        <v/>
      </c>
      <c r="E93" s="60">
        <f>IFERROR(VLOOKUP($C93,instructions!$N$3:$O$5,2,false),"")</f>
        <v>2</v>
      </c>
      <c r="F93" s="60" t="str">
        <f>IFERROR(VLOOKUP($D93,instructions!$N$3:$O$5,2,false),"")</f>
        <v/>
      </c>
      <c r="G93" s="60" t="str">
        <f t="array" ref="G93">IFERROR(INDEX('testmo-export-repository'!$B$2:$X$1000,MATCH($B93,'testmo-export-repository'!$A$2:$A$1000,false),MATCH(G$2,'testmo-export-repository'!$B$1:$X$1,false)),"")</f>
        <v/>
      </c>
      <c r="H93" s="60" t="str">
        <f t="array" ref="H93">IFERROR(INDEX('testmo-export-repository'!$B$2:$X$1000,MATCH($B93,'testmo-export-repository'!$A$2:$A$1000,false),MATCH(H$2,'testmo-export-repository'!$B$1:$X$1,false)),"")</f>
        <v/>
      </c>
      <c r="I93" s="60" t="str">
        <f t="array" ref="I93">IFERROR(INDEX('testmo-export-repository'!$B$2:$X$1000,MATCH($B93,'testmo-export-repository'!$A$2:$A$1000,false),MATCH(I$2,'testmo-export-repository'!$B$1:$X$1,false)),"")</f>
        <v/>
      </c>
      <c r="J93" s="60" t="str">
        <f t="array" ref="J93">IFERROR(INDEX('testmo-export-repository'!$B$2:$Y$1000,MATCH($B93,'testmo-export-repository'!$A$2:$A$1000,false),MATCH(J$2,'testmo-export-repository'!$B$1:$Y$1,false)),"")</f>
        <v/>
      </c>
      <c r="K93" s="60" t="str">
        <f t="array" ref="K93">IFERROR(INDEX('testmo-export-repository'!$B$2:$Y$1000,MATCH($B93,'testmo-export-repository'!$A$2:$A$1000,false),MATCH(K$2,'testmo-export-repository'!$B$1:$Y$1,false)),"")</f>
        <v>BAS-559</v>
      </c>
    </row>
    <row r="94">
      <c r="B94" s="60">
        <f>'testmo-export-repository'!A93</f>
        <v>1130</v>
      </c>
      <c r="C94" s="60" t="str">
        <f t="array" ref="C94">IFERROR(INDEX('testmo-export-repository'!$B$2:$X$1000,MATCH($B94,'testmo-export-repository'!$A$2:$A$1000,false),MATCH(C$2,'testmo-export-repository'!$B$1:$X$1,false)),"")</f>
        <v>Normal</v>
      </c>
      <c r="D94" s="60" t="str">
        <f t="array" ref="D94">IFERROR(INDEX('testmo-export-repository'!$B$2:$X$1000,MATCH($B94,'testmo-export-repository'!$A$2:$A$1000,false),MATCH(D$2,'testmo-export-repository'!$B$1:$X$1,false)),"")</f>
        <v/>
      </c>
      <c r="E94" s="60">
        <f>IFERROR(VLOOKUP($C94,instructions!$N$3:$O$5,2,false),"")</f>
        <v>2</v>
      </c>
      <c r="F94" s="60" t="str">
        <f>IFERROR(VLOOKUP($D94,instructions!$N$3:$O$5,2,false),"")</f>
        <v/>
      </c>
      <c r="G94" s="60" t="str">
        <f t="array" ref="G94">IFERROR(INDEX('testmo-export-repository'!$B$2:$X$1000,MATCH($B94,'testmo-export-repository'!$A$2:$A$1000,false),MATCH(G$2,'testmo-export-repository'!$B$1:$X$1,false)),"")</f>
        <v/>
      </c>
      <c r="H94" s="60" t="str">
        <f t="array" ref="H94">IFERROR(INDEX('testmo-export-repository'!$B$2:$X$1000,MATCH($B94,'testmo-export-repository'!$A$2:$A$1000,false),MATCH(H$2,'testmo-export-repository'!$B$1:$X$1,false)),"")</f>
        <v/>
      </c>
      <c r="I94" s="60" t="str">
        <f t="array" ref="I94">IFERROR(INDEX('testmo-export-repository'!$B$2:$X$1000,MATCH($B94,'testmo-export-repository'!$A$2:$A$1000,false),MATCH(I$2,'testmo-export-repository'!$B$1:$X$1,false)),"")</f>
        <v/>
      </c>
      <c r="J94" s="60" t="str">
        <f t="array" ref="J94">IFERROR(INDEX('testmo-export-repository'!$B$2:$Y$1000,MATCH($B94,'testmo-export-repository'!$A$2:$A$1000,false),MATCH(J$2,'testmo-export-repository'!$B$1:$Y$1,false)),"")</f>
        <v/>
      </c>
      <c r="K94" s="60" t="str">
        <f t="array" ref="K94">IFERROR(INDEX('testmo-export-repository'!$B$2:$Y$1000,MATCH($B94,'testmo-export-repository'!$A$2:$A$1000,false),MATCH(K$2,'testmo-export-repository'!$B$1:$Y$1,false)),"")</f>
        <v>BAS-559</v>
      </c>
    </row>
    <row r="95">
      <c r="B95" s="60">
        <f>'testmo-export-repository'!A94</f>
        <v>1131</v>
      </c>
      <c r="C95" s="60" t="str">
        <f t="array" ref="C95">IFERROR(INDEX('testmo-export-repository'!$B$2:$X$1000,MATCH($B95,'testmo-export-repository'!$A$2:$A$1000,false),MATCH(C$2,'testmo-export-repository'!$B$1:$X$1,false)),"")</f>
        <v>Normal</v>
      </c>
      <c r="D95" s="60" t="str">
        <f t="array" ref="D95">IFERROR(INDEX('testmo-export-repository'!$B$2:$X$1000,MATCH($B95,'testmo-export-repository'!$A$2:$A$1000,false),MATCH(D$2,'testmo-export-repository'!$B$1:$X$1,false)),"")</f>
        <v/>
      </c>
      <c r="E95" s="60">
        <f>IFERROR(VLOOKUP($C95,instructions!$N$3:$O$5,2,false),"")</f>
        <v>2</v>
      </c>
      <c r="F95" s="60" t="str">
        <f>IFERROR(VLOOKUP($D95,instructions!$N$3:$O$5,2,false),"")</f>
        <v/>
      </c>
      <c r="G95" s="60" t="str">
        <f t="array" ref="G95">IFERROR(INDEX('testmo-export-repository'!$B$2:$X$1000,MATCH($B95,'testmo-export-repository'!$A$2:$A$1000,false),MATCH(G$2,'testmo-export-repository'!$B$1:$X$1,false)),"")</f>
        <v/>
      </c>
      <c r="H95" s="60" t="str">
        <f t="array" ref="H95">IFERROR(INDEX('testmo-export-repository'!$B$2:$X$1000,MATCH($B95,'testmo-export-repository'!$A$2:$A$1000,false),MATCH(H$2,'testmo-export-repository'!$B$1:$X$1,false)),"")</f>
        <v/>
      </c>
      <c r="I95" s="60" t="str">
        <f t="array" ref="I95">IFERROR(INDEX('testmo-export-repository'!$B$2:$X$1000,MATCH($B95,'testmo-export-repository'!$A$2:$A$1000,false),MATCH(I$2,'testmo-export-repository'!$B$1:$X$1,false)),"")</f>
        <v/>
      </c>
      <c r="J95" s="60" t="str">
        <f t="array" ref="J95">IFERROR(INDEX('testmo-export-repository'!$B$2:$Y$1000,MATCH($B95,'testmo-export-repository'!$A$2:$A$1000,false),MATCH(J$2,'testmo-export-repository'!$B$1:$Y$1,false)),"")</f>
        <v/>
      </c>
      <c r="K95" s="60" t="str">
        <f t="array" ref="K95">IFERROR(INDEX('testmo-export-repository'!$B$2:$Y$1000,MATCH($B95,'testmo-export-repository'!$A$2:$A$1000,false),MATCH(K$2,'testmo-export-repository'!$B$1:$Y$1,false)),"")</f>
        <v>BAS-559</v>
      </c>
    </row>
    <row r="96">
      <c r="B96" s="60">
        <f>'testmo-export-repository'!A95</f>
        <v>1132</v>
      </c>
      <c r="C96" s="60" t="str">
        <f t="array" ref="C96">IFERROR(INDEX('testmo-export-repository'!$B$2:$X$1000,MATCH($B96,'testmo-export-repository'!$A$2:$A$1000,false),MATCH(C$2,'testmo-export-repository'!$B$1:$X$1,false)),"")</f>
        <v>Normal</v>
      </c>
      <c r="D96" s="60" t="str">
        <f t="array" ref="D96">IFERROR(INDEX('testmo-export-repository'!$B$2:$X$1000,MATCH($B96,'testmo-export-repository'!$A$2:$A$1000,false),MATCH(D$2,'testmo-export-repository'!$B$1:$X$1,false)),"")</f>
        <v/>
      </c>
      <c r="E96" s="60">
        <f>IFERROR(VLOOKUP($C96,instructions!$N$3:$O$5,2,false),"")</f>
        <v>2</v>
      </c>
      <c r="F96" s="60" t="str">
        <f>IFERROR(VLOOKUP($D96,instructions!$N$3:$O$5,2,false),"")</f>
        <v/>
      </c>
      <c r="G96" s="60" t="str">
        <f t="array" ref="G96">IFERROR(INDEX('testmo-export-repository'!$B$2:$X$1000,MATCH($B96,'testmo-export-repository'!$A$2:$A$1000,false),MATCH(G$2,'testmo-export-repository'!$B$1:$X$1,false)),"")</f>
        <v/>
      </c>
      <c r="H96" s="60" t="str">
        <f t="array" ref="H96">IFERROR(INDEX('testmo-export-repository'!$B$2:$X$1000,MATCH($B96,'testmo-export-repository'!$A$2:$A$1000,false),MATCH(H$2,'testmo-export-repository'!$B$1:$X$1,false)),"")</f>
        <v/>
      </c>
      <c r="I96" s="60" t="str">
        <f t="array" ref="I96">IFERROR(INDEX('testmo-export-repository'!$B$2:$X$1000,MATCH($B96,'testmo-export-repository'!$A$2:$A$1000,false),MATCH(I$2,'testmo-export-repository'!$B$1:$X$1,false)),"")</f>
        <v/>
      </c>
      <c r="J96" s="60" t="str">
        <f t="array" ref="J96">IFERROR(INDEX('testmo-export-repository'!$B$2:$Y$1000,MATCH($B96,'testmo-export-repository'!$A$2:$A$1000,false),MATCH(J$2,'testmo-export-repository'!$B$1:$Y$1,false)),"")</f>
        <v/>
      </c>
      <c r="K96" s="60" t="str">
        <f t="array" ref="K96">IFERROR(INDEX('testmo-export-repository'!$B$2:$Y$1000,MATCH($B96,'testmo-export-repository'!$A$2:$A$1000,false),MATCH(K$2,'testmo-export-repository'!$B$1:$Y$1,false)),"")</f>
        <v>BAS-559</v>
      </c>
    </row>
    <row r="97">
      <c r="B97" s="60">
        <f>'testmo-export-repository'!A96</f>
        <v>1123</v>
      </c>
      <c r="C97" s="60" t="str">
        <f t="array" ref="C97">IFERROR(INDEX('testmo-export-repository'!$B$2:$X$1000,MATCH($B97,'testmo-export-repository'!$A$2:$A$1000,false),MATCH(C$2,'testmo-export-repository'!$B$1:$X$1,false)),"")</f>
        <v>Normal</v>
      </c>
      <c r="D97" s="60" t="str">
        <f t="array" ref="D97">IFERROR(INDEX('testmo-export-repository'!$B$2:$X$1000,MATCH($B97,'testmo-export-repository'!$A$2:$A$1000,false),MATCH(D$2,'testmo-export-repository'!$B$1:$X$1,false)),"")</f>
        <v/>
      </c>
      <c r="E97" s="60">
        <f>IFERROR(VLOOKUP($C97,instructions!$N$3:$O$5,2,false),"")</f>
        <v>2</v>
      </c>
      <c r="F97" s="60" t="str">
        <f>IFERROR(VLOOKUP($D97,instructions!$N$3:$O$5,2,false),"")</f>
        <v/>
      </c>
      <c r="G97" s="60" t="str">
        <f t="array" ref="G97">IFERROR(INDEX('testmo-export-repository'!$B$2:$X$1000,MATCH($B97,'testmo-export-repository'!$A$2:$A$1000,false),MATCH(G$2,'testmo-export-repository'!$B$1:$X$1,false)),"")</f>
        <v/>
      </c>
      <c r="H97" s="60" t="str">
        <f t="array" ref="H97">IFERROR(INDEX('testmo-export-repository'!$B$2:$X$1000,MATCH($B97,'testmo-export-repository'!$A$2:$A$1000,false),MATCH(H$2,'testmo-export-repository'!$B$1:$X$1,false)),"")</f>
        <v/>
      </c>
      <c r="I97" s="60" t="str">
        <f t="array" ref="I97">IFERROR(INDEX('testmo-export-repository'!$B$2:$X$1000,MATCH($B97,'testmo-export-repository'!$A$2:$A$1000,false),MATCH(I$2,'testmo-export-repository'!$B$1:$X$1,false)),"")</f>
        <v/>
      </c>
      <c r="J97" s="60" t="str">
        <f t="array" ref="J97">IFERROR(INDEX('testmo-export-repository'!$B$2:$Y$1000,MATCH($B97,'testmo-export-repository'!$A$2:$A$1000,false),MATCH(J$2,'testmo-export-repository'!$B$1:$Y$1,false)),"")</f>
        <v/>
      </c>
      <c r="K97" s="60" t="str">
        <f t="array" ref="K97">IFERROR(INDEX('testmo-export-repository'!$B$2:$Y$1000,MATCH($B97,'testmo-export-repository'!$A$2:$A$1000,false),MATCH(K$2,'testmo-export-repository'!$B$1:$Y$1,false)),"")</f>
        <v>BAS-538</v>
      </c>
    </row>
    <row r="98">
      <c r="B98" s="60">
        <f>'testmo-export-repository'!A97</f>
        <v>1111</v>
      </c>
      <c r="C98" s="60" t="str">
        <f t="array" ref="C98">IFERROR(INDEX('testmo-export-repository'!$B$2:$X$1000,MATCH($B98,'testmo-export-repository'!$A$2:$A$1000,false),MATCH(C$2,'testmo-export-repository'!$B$1:$X$1,false)),"")</f>
        <v>Normal</v>
      </c>
      <c r="D98" s="60" t="str">
        <f t="array" ref="D98">IFERROR(INDEX('testmo-export-repository'!$B$2:$X$1000,MATCH($B98,'testmo-export-repository'!$A$2:$A$1000,false),MATCH(D$2,'testmo-export-repository'!$B$1:$X$1,false)),"")</f>
        <v/>
      </c>
      <c r="E98" s="60">
        <f>IFERROR(VLOOKUP($C98,instructions!$N$3:$O$5,2,false),"")</f>
        <v>2</v>
      </c>
      <c r="F98" s="60" t="str">
        <f>IFERROR(VLOOKUP($D98,instructions!$N$3:$O$5,2,false),"")</f>
        <v/>
      </c>
      <c r="G98" s="60" t="str">
        <f t="array" ref="G98">IFERROR(INDEX('testmo-export-repository'!$B$2:$X$1000,MATCH($B98,'testmo-export-repository'!$A$2:$A$1000,false),MATCH(G$2,'testmo-export-repository'!$B$1:$X$1,false)),"")</f>
        <v/>
      </c>
      <c r="H98" s="60" t="str">
        <f t="array" ref="H98">IFERROR(INDEX('testmo-export-repository'!$B$2:$X$1000,MATCH($B98,'testmo-export-repository'!$A$2:$A$1000,false),MATCH(H$2,'testmo-export-repository'!$B$1:$X$1,false)),"")</f>
        <v/>
      </c>
      <c r="I98" s="60" t="str">
        <f t="array" ref="I98">IFERROR(INDEX('testmo-export-repository'!$B$2:$X$1000,MATCH($B98,'testmo-export-repository'!$A$2:$A$1000,false),MATCH(I$2,'testmo-export-repository'!$B$1:$X$1,false)),"")</f>
        <v/>
      </c>
      <c r="J98" s="60" t="str">
        <f t="array" ref="J98">IFERROR(INDEX('testmo-export-repository'!$B$2:$Y$1000,MATCH($B98,'testmo-export-repository'!$A$2:$A$1000,false),MATCH(J$2,'testmo-export-repository'!$B$1:$Y$1,false)),"")</f>
        <v/>
      </c>
      <c r="K98" s="60" t="str">
        <f t="array" ref="K98">IFERROR(INDEX('testmo-export-repository'!$B$2:$Y$1000,MATCH($B98,'testmo-export-repository'!$A$2:$A$1000,false),MATCH(K$2,'testmo-export-repository'!$B$1:$Y$1,false)),"")</f>
        <v>BAS-523</v>
      </c>
    </row>
    <row r="99">
      <c r="B99" s="60">
        <f>'testmo-export-repository'!A98</f>
        <v>1112</v>
      </c>
      <c r="C99" s="60" t="str">
        <f t="array" ref="C99">IFERROR(INDEX('testmo-export-repository'!$B$2:$X$1000,MATCH($B99,'testmo-export-repository'!$A$2:$A$1000,false),MATCH(C$2,'testmo-export-repository'!$B$1:$X$1,false)),"")</f>
        <v>Normal</v>
      </c>
      <c r="D99" s="60" t="str">
        <f t="array" ref="D99">IFERROR(INDEX('testmo-export-repository'!$B$2:$X$1000,MATCH($B99,'testmo-export-repository'!$A$2:$A$1000,false),MATCH(D$2,'testmo-export-repository'!$B$1:$X$1,false)),"")</f>
        <v/>
      </c>
      <c r="E99" s="60">
        <f>IFERROR(VLOOKUP($C99,instructions!$N$3:$O$5,2,false),"")</f>
        <v>2</v>
      </c>
      <c r="F99" s="60" t="str">
        <f>IFERROR(VLOOKUP($D99,instructions!$N$3:$O$5,2,false),"")</f>
        <v/>
      </c>
      <c r="G99" s="60" t="str">
        <f t="array" ref="G99">IFERROR(INDEX('testmo-export-repository'!$B$2:$X$1000,MATCH($B99,'testmo-export-repository'!$A$2:$A$1000,false),MATCH(G$2,'testmo-export-repository'!$B$1:$X$1,false)),"")</f>
        <v/>
      </c>
      <c r="H99" s="60" t="str">
        <f t="array" ref="H99">IFERROR(INDEX('testmo-export-repository'!$B$2:$X$1000,MATCH($B99,'testmo-export-repository'!$A$2:$A$1000,false),MATCH(H$2,'testmo-export-repository'!$B$1:$X$1,false)),"")</f>
        <v/>
      </c>
      <c r="I99" s="60" t="str">
        <f t="array" ref="I99">IFERROR(INDEX('testmo-export-repository'!$B$2:$X$1000,MATCH($B99,'testmo-export-repository'!$A$2:$A$1000,false),MATCH(I$2,'testmo-export-repository'!$B$1:$X$1,false)),"")</f>
        <v/>
      </c>
      <c r="J99" s="60" t="str">
        <f t="array" ref="J99">IFERROR(INDEX('testmo-export-repository'!$B$2:$Y$1000,MATCH($B99,'testmo-export-repository'!$A$2:$A$1000,false),MATCH(J$2,'testmo-export-repository'!$B$1:$Y$1,false)),"")</f>
        <v/>
      </c>
      <c r="K99" s="60" t="str">
        <f t="array" ref="K99">IFERROR(INDEX('testmo-export-repository'!$B$2:$Y$1000,MATCH($B99,'testmo-export-repository'!$A$2:$A$1000,false),MATCH(K$2,'testmo-export-repository'!$B$1:$Y$1,false)),"")</f>
        <v>BAS-523</v>
      </c>
    </row>
    <row r="100">
      <c r="B100" s="60">
        <f>'testmo-export-repository'!A99</f>
        <v>1113</v>
      </c>
      <c r="C100" s="60" t="str">
        <f t="array" ref="C100">IFERROR(INDEX('testmo-export-repository'!$B$2:$X$1000,MATCH($B100,'testmo-export-repository'!$A$2:$A$1000,false),MATCH(C$2,'testmo-export-repository'!$B$1:$X$1,false)),"")</f>
        <v>Normal</v>
      </c>
      <c r="D100" s="60" t="str">
        <f t="array" ref="D100">IFERROR(INDEX('testmo-export-repository'!$B$2:$X$1000,MATCH($B100,'testmo-export-repository'!$A$2:$A$1000,false),MATCH(D$2,'testmo-export-repository'!$B$1:$X$1,false)),"")</f>
        <v/>
      </c>
      <c r="E100" s="60">
        <f>IFERROR(VLOOKUP($C100,instructions!$N$3:$O$5,2,false),"")</f>
        <v>2</v>
      </c>
      <c r="F100" s="60" t="str">
        <f>IFERROR(VLOOKUP($D100,instructions!$N$3:$O$5,2,false),"")</f>
        <v/>
      </c>
      <c r="G100" s="60" t="str">
        <f t="array" ref="G100">IFERROR(INDEX('testmo-export-repository'!$B$2:$X$1000,MATCH($B100,'testmo-export-repository'!$A$2:$A$1000,false),MATCH(G$2,'testmo-export-repository'!$B$1:$X$1,false)),"")</f>
        <v/>
      </c>
      <c r="H100" s="60" t="str">
        <f t="array" ref="H100">IFERROR(INDEX('testmo-export-repository'!$B$2:$X$1000,MATCH($B100,'testmo-export-repository'!$A$2:$A$1000,false),MATCH(H$2,'testmo-export-repository'!$B$1:$X$1,false)),"")</f>
        <v/>
      </c>
      <c r="I100" s="60" t="str">
        <f t="array" ref="I100">IFERROR(INDEX('testmo-export-repository'!$B$2:$X$1000,MATCH($B100,'testmo-export-repository'!$A$2:$A$1000,false),MATCH(I$2,'testmo-export-repository'!$B$1:$X$1,false)),"")</f>
        <v/>
      </c>
      <c r="J100" s="60" t="str">
        <f t="array" ref="J100">IFERROR(INDEX('testmo-export-repository'!$B$2:$Y$1000,MATCH($B100,'testmo-export-repository'!$A$2:$A$1000,false),MATCH(J$2,'testmo-export-repository'!$B$1:$Y$1,false)),"")</f>
        <v/>
      </c>
      <c r="K100" s="60" t="str">
        <f t="array" ref="K100">IFERROR(INDEX('testmo-export-repository'!$B$2:$Y$1000,MATCH($B100,'testmo-export-repository'!$A$2:$A$1000,false),MATCH(K$2,'testmo-export-repository'!$B$1:$Y$1,false)),"")</f>
        <v>BAS-523</v>
      </c>
    </row>
    <row r="101">
      <c r="B101" s="60">
        <f>'testmo-export-repository'!A100</f>
        <v>1114</v>
      </c>
      <c r="C101" s="60" t="str">
        <f t="array" ref="C101">IFERROR(INDEX('testmo-export-repository'!$B$2:$X$1000,MATCH($B101,'testmo-export-repository'!$A$2:$A$1000,false),MATCH(C$2,'testmo-export-repository'!$B$1:$X$1,false)),"")</f>
        <v>Normal</v>
      </c>
      <c r="D101" s="60" t="str">
        <f t="array" ref="D101">IFERROR(INDEX('testmo-export-repository'!$B$2:$X$1000,MATCH($B101,'testmo-export-repository'!$A$2:$A$1000,false),MATCH(D$2,'testmo-export-repository'!$B$1:$X$1,false)),"")</f>
        <v/>
      </c>
      <c r="E101" s="60">
        <f>IFERROR(VLOOKUP($C101,instructions!$N$3:$O$5,2,false),"")</f>
        <v>2</v>
      </c>
      <c r="F101" s="60" t="str">
        <f>IFERROR(VLOOKUP($D101,instructions!$N$3:$O$5,2,false),"")</f>
        <v/>
      </c>
      <c r="G101" s="60" t="str">
        <f t="array" ref="G101">IFERROR(INDEX('testmo-export-repository'!$B$2:$X$1000,MATCH($B101,'testmo-export-repository'!$A$2:$A$1000,false),MATCH(G$2,'testmo-export-repository'!$B$1:$X$1,false)),"")</f>
        <v/>
      </c>
      <c r="H101" s="60" t="str">
        <f t="array" ref="H101">IFERROR(INDEX('testmo-export-repository'!$B$2:$X$1000,MATCH($B101,'testmo-export-repository'!$A$2:$A$1000,false),MATCH(H$2,'testmo-export-repository'!$B$1:$X$1,false)),"")</f>
        <v/>
      </c>
      <c r="I101" s="60" t="str">
        <f t="array" ref="I101">IFERROR(INDEX('testmo-export-repository'!$B$2:$X$1000,MATCH($B101,'testmo-export-repository'!$A$2:$A$1000,false),MATCH(I$2,'testmo-export-repository'!$B$1:$X$1,false)),"")</f>
        <v/>
      </c>
      <c r="J101" s="60" t="str">
        <f t="array" ref="J101">IFERROR(INDEX('testmo-export-repository'!$B$2:$Y$1000,MATCH($B101,'testmo-export-repository'!$A$2:$A$1000,false),MATCH(J$2,'testmo-export-repository'!$B$1:$Y$1,false)),"")</f>
        <v/>
      </c>
      <c r="K101" s="60" t="str">
        <f t="array" ref="K101">IFERROR(INDEX('testmo-export-repository'!$B$2:$Y$1000,MATCH($B101,'testmo-export-repository'!$A$2:$A$1000,false),MATCH(K$2,'testmo-export-repository'!$B$1:$Y$1,false)),"")</f>
        <v/>
      </c>
    </row>
    <row r="102">
      <c r="B102" s="60">
        <f>'testmo-export-repository'!A101</f>
        <v>1115</v>
      </c>
      <c r="C102" s="60" t="str">
        <f t="array" ref="C102">IFERROR(INDEX('testmo-export-repository'!$B$2:$X$1000,MATCH($B102,'testmo-export-repository'!$A$2:$A$1000,false),MATCH(C$2,'testmo-export-repository'!$B$1:$X$1,false)),"")</f>
        <v>Normal</v>
      </c>
      <c r="D102" s="60" t="str">
        <f t="array" ref="D102">IFERROR(INDEX('testmo-export-repository'!$B$2:$X$1000,MATCH($B102,'testmo-export-repository'!$A$2:$A$1000,false),MATCH(D$2,'testmo-export-repository'!$B$1:$X$1,false)),"")</f>
        <v/>
      </c>
      <c r="E102" s="60">
        <f>IFERROR(VLOOKUP($C102,instructions!$N$3:$O$5,2,false),"")</f>
        <v>2</v>
      </c>
      <c r="F102" s="60" t="str">
        <f>IFERROR(VLOOKUP($D102,instructions!$N$3:$O$5,2,false),"")</f>
        <v/>
      </c>
      <c r="G102" s="60" t="str">
        <f t="array" ref="G102">IFERROR(INDEX('testmo-export-repository'!$B$2:$X$1000,MATCH($B102,'testmo-export-repository'!$A$2:$A$1000,false),MATCH(G$2,'testmo-export-repository'!$B$1:$X$1,false)),"")</f>
        <v/>
      </c>
      <c r="H102" s="60" t="str">
        <f t="array" ref="H102">IFERROR(INDEX('testmo-export-repository'!$B$2:$X$1000,MATCH($B102,'testmo-export-repository'!$A$2:$A$1000,false),MATCH(H$2,'testmo-export-repository'!$B$1:$X$1,false)),"")</f>
        <v/>
      </c>
      <c r="I102" s="60" t="str">
        <f t="array" ref="I102">IFERROR(INDEX('testmo-export-repository'!$B$2:$X$1000,MATCH($B102,'testmo-export-repository'!$A$2:$A$1000,false),MATCH(I$2,'testmo-export-repository'!$B$1:$X$1,false)),"")</f>
        <v/>
      </c>
      <c r="J102" s="60" t="str">
        <f t="array" ref="J102">IFERROR(INDEX('testmo-export-repository'!$B$2:$Y$1000,MATCH($B102,'testmo-export-repository'!$A$2:$A$1000,false),MATCH(J$2,'testmo-export-repository'!$B$1:$Y$1,false)),"")</f>
        <v/>
      </c>
      <c r="K102" s="60" t="str">
        <f t="array" ref="K102">IFERROR(INDEX('testmo-export-repository'!$B$2:$Y$1000,MATCH($B102,'testmo-export-repository'!$A$2:$A$1000,false),MATCH(K$2,'testmo-export-repository'!$B$1:$Y$1,false)),"")</f>
        <v>BAS-523</v>
      </c>
    </row>
    <row r="103">
      <c r="B103" s="60">
        <f>'testmo-export-repository'!A102</f>
        <v>1116</v>
      </c>
      <c r="C103" s="60" t="str">
        <f t="array" ref="C103">IFERROR(INDEX('testmo-export-repository'!$B$2:$X$1000,MATCH($B103,'testmo-export-repository'!$A$2:$A$1000,false),MATCH(C$2,'testmo-export-repository'!$B$1:$X$1,false)),"")</f>
        <v>Normal</v>
      </c>
      <c r="D103" s="60" t="str">
        <f t="array" ref="D103">IFERROR(INDEX('testmo-export-repository'!$B$2:$X$1000,MATCH($B103,'testmo-export-repository'!$A$2:$A$1000,false),MATCH(D$2,'testmo-export-repository'!$B$1:$X$1,false)),"")</f>
        <v/>
      </c>
      <c r="E103" s="60">
        <f>IFERROR(VLOOKUP($C103,instructions!$N$3:$O$5,2,false),"")</f>
        <v>2</v>
      </c>
      <c r="F103" s="60" t="str">
        <f>IFERROR(VLOOKUP($D103,instructions!$N$3:$O$5,2,false),"")</f>
        <v/>
      </c>
      <c r="G103" s="60" t="str">
        <f t="array" ref="G103">IFERROR(INDEX('testmo-export-repository'!$B$2:$X$1000,MATCH($B103,'testmo-export-repository'!$A$2:$A$1000,false),MATCH(G$2,'testmo-export-repository'!$B$1:$X$1,false)),"")</f>
        <v/>
      </c>
      <c r="H103" s="60" t="str">
        <f t="array" ref="H103">IFERROR(INDEX('testmo-export-repository'!$B$2:$X$1000,MATCH($B103,'testmo-export-repository'!$A$2:$A$1000,false),MATCH(H$2,'testmo-export-repository'!$B$1:$X$1,false)),"")</f>
        <v/>
      </c>
      <c r="I103" s="60" t="str">
        <f t="array" ref="I103">IFERROR(INDEX('testmo-export-repository'!$B$2:$X$1000,MATCH($B103,'testmo-export-repository'!$A$2:$A$1000,false),MATCH(I$2,'testmo-export-repository'!$B$1:$X$1,false)),"")</f>
        <v/>
      </c>
      <c r="J103" s="60" t="str">
        <f t="array" ref="J103">IFERROR(INDEX('testmo-export-repository'!$B$2:$Y$1000,MATCH($B103,'testmo-export-repository'!$A$2:$A$1000,false),MATCH(J$2,'testmo-export-repository'!$B$1:$Y$1,false)),"")</f>
        <v/>
      </c>
      <c r="K103" s="60" t="str">
        <f t="array" ref="K103">IFERROR(INDEX('testmo-export-repository'!$B$2:$Y$1000,MATCH($B103,'testmo-export-repository'!$A$2:$A$1000,false),MATCH(K$2,'testmo-export-repository'!$B$1:$Y$1,false)),"")</f>
        <v>BAS-523</v>
      </c>
    </row>
    <row r="104">
      <c r="B104" s="60">
        <f>'testmo-export-repository'!A103</f>
        <v>1117</v>
      </c>
      <c r="C104" s="60" t="str">
        <f t="array" ref="C104">IFERROR(INDEX('testmo-export-repository'!$B$2:$X$1000,MATCH($B104,'testmo-export-repository'!$A$2:$A$1000,false),MATCH(C$2,'testmo-export-repository'!$B$1:$X$1,false)),"")</f>
        <v>Normal</v>
      </c>
      <c r="D104" s="60" t="str">
        <f t="array" ref="D104">IFERROR(INDEX('testmo-export-repository'!$B$2:$X$1000,MATCH($B104,'testmo-export-repository'!$A$2:$A$1000,false),MATCH(D$2,'testmo-export-repository'!$B$1:$X$1,false)),"")</f>
        <v/>
      </c>
      <c r="E104" s="60">
        <f>IFERROR(VLOOKUP($C104,instructions!$N$3:$O$5,2,false),"")</f>
        <v>2</v>
      </c>
      <c r="F104" s="60" t="str">
        <f>IFERROR(VLOOKUP($D104,instructions!$N$3:$O$5,2,false),"")</f>
        <v/>
      </c>
      <c r="G104" s="60" t="str">
        <f t="array" ref="G104">IFERROR(INDEX('testmo-export-repository'!$B$2:$X$1000,MATCH($B104,'testmo-export-repository'!$A$2:$A$1000,false),MATCH(G$2,'testmo-export-repository'!$B$1:$X$1,false)),"")</f>
        <v/>
      </c>
      <c r="H104" s="60" t="str">
        <f t="array" ref="H104">IFERROR(INDEX('testmo-export-repository'!$B$2:$X$1000,MATCH($B104,'testmo-export-repository'!$A$2:$A$1000,false),MATCH(H$2,'testmo-export-repository'!$B$1:$X$1,false)),"")</f>
        <v/>
      </c>
      <c r="I104" s="60" t="str">
        <f t="array" ref="I104">IFERROR(INDEX('testmo-export-repository'!$B$2:$X$1000,MATCH($B104,'testmo-export-repository'!$A$2:$A$1000,false),MATCH(I$2,'testmo-export-repository'!$B$1:$X$1,false)),"")</f>
        <v/>
      </c>
      <c r="J104" s="60" t="str">
        <f t="array" ref="J104">IFERROR(INDEX('testmo-export-repository'!$B$2:$Y$1000,MATCH($B104,'testmo-export-repository'!$A$2:$A$1000,false),MATCH(J$2,'testmo-export-repository'!$B$1:$Y$1,false)),"")</f>
        <v/>
      </c>
      <c r="K104" s="60" t="str">
        <f t="array" ref="K104">IFERROR(INDEX('testmo-export-repository'!$B$2:$Y$1000,MATCH($B104,'testmo-export-repository'!$A$2:$A$1000,false),MATCH(K$2,'testmo-export-repository'!$B$1:$Y$1,false)),"")</f>
        <v>BAS-523</v>
      </c>
    </row>
    <row r="105">
      <c r="B105" s="60">
        <f>'testmo-export-repository'!A104</f>
        <v>1118</v>
      </c>
      <c r="C105" s="60" t="str">
        <f t="array" ref="C105">IFERROR(INDEX('testmo-export-repository'!$B$2:$X$1000,MATCH($B105,'testmo-export-repository'!$A$2:$A$1000,false),MATCH(C$2,'testmo-export-repository'!$B$1:$X$1,false)),"")</f>
        <v>Normal</v>
      </c>
      <c r="D105" s="60" t="str">
        <f t="array" ref="D105">IFERROR(INDEX('testmo-export-repository'!$B$2:$X$1000,MATCH($B105,'testmo-export-repository'!$A$2:$A$1000,false),MATCH(D$2,'testmo-export-repository'!$B$1:$X$1,false)),"")</f>
        <v/>
      </c>
      <c r="E105" s="60">
        <f>IFERROR(VLOOKUP($C105,instructions!$N$3:$O$5,2,false),"")</f>
        <v>2</v>
      </c>
      <c r="F105" s="60" t="str">
        <f>IFERROR(VLOOKUP($D105,instructions!$N$3:$O$5,2,false),"")</f>
        <v/>
      </c>
      <c r="G105" s="60" t="str">
        <f t="array" ref="G105">IFERROR(INDEX('testmo-export-repository'!$B$2:$X$1000,MATCH($B105,'testmo-export-repository'!$A$2:$A$1000,false),MATCH(G$2,'testmo-export-repository'!$B$1:$X$1,false)),"")</f>
        <v/>
      </c>
      <c r="H105" s="60" t="str">
        <f t="array" ref="H105">IFERROR(INDEX('testmo-export-repository'!$B$2:$X$1000,MATCH($B105,'testmo-export-repository'!$A$2:$A$1000,false),MATCH(H$2,'testmo-export-repository'!$B$1:$X$1,false)),"")</f>
        <v/>
      </c>
      <c r="I105" s="60" t="str">
        <f t="array" ref="I105">IFERROR(INDEX('testmo-export-repository'!$B$2:$X$1000,MATCH($B105,'testmo-export-repository'!$A$2:$A$1000,false),MATCH(I$2,'testmo-export-repository'!$B$1:$X$1,false)),"")</f>
        <v/>
      </c>
      <c r="J105" s="60" t="str">
        <f t="array" ref="J105">IFERROR(INDEX('testmo-export-repository'!$B$2:$Y$1000,MATCH($B105,'testmo-export-repository'!$A$2:$A$1000,false),MATCH(J$2,'testmo-export-repository'!$B$1:$Y$1,false)),"")</f>
        <v/>
      </c>
      <c r="K105" s="60" t="str">
        <f t="array" ref="K105">IFERROR(INDEX('testmo-export-repository'!$B$2:$Y$1000,MATCH($B105,'testmo-export-repository'!$A$2:$A$1000,false),MATCH(K$2,'testmo-export-repository'!$B$1:$Y$1,false)),"")</f>
        <v>BAS-523</v>
      </c>
    </row>
    <row r="106">
      <c r="B106" s="60">
        <f>'testmo-export-repository'!A105</f>
        <v>1119</v>
      </c>
      <c r="C106" s="60" t="str">
        <f t="array" ref="C106">IFERROR(INDEX('testmo-export-repository'!$B$2:$X$1000,MATCH($B106,'testmo-export-repository'!$A$2:$A$1000,false),MATCH(C$2,'testmo-export-repository'!$B$1:$X$1,false)),"")</f>
        <v>Normal</v>
      </c>
      <c r="D106" s="60" t="str">
        <f t="array" ref="D106">IFERROR(INDEX('testmo-export-repository'!$B$2:$X$1000,MATCH($B106,'testmo-export-repository'!$A$2:$A$1000,false),MATCH(D$2,'testmo-export-repository'!$B$1:$X$1,false)),"")</f>
        <v/>
      </c>
      <c r="E106" s="60">
        <f>IFERROR(VLOOKUP($C106,instructions!$N$3:$O$5,2,false),"")</f>
        <v>2</v>
      </c>
      <c r="F106" s="60" t="str">
        <f>IFERROR(VLOOKUP($D106,instructions!$N$3:$O$5,2,false),"")</f>
        <v/>
      </c>
      <c r="G106" s="60" t="str">
        <f t="array" ref="G106">IFERROR(INDEX('testmo-export-repository'!$B$2:$X$1000,MATCH($B106,'testmo-export-repository'!$A$2:$A$1000,false),MATCH(G$2,'testmo-export-repository'!$B$1:$X$1,false)),"")</f>
        <v/>
      </c>
      <c r="H106" s="60" t="str">
        <f t="array" ref="H106">IFERROR(INDEX('testmo-export-repository'!$B$2:$X$1000,MATCH($B106,'testmo-export-repository'!$A$2:$A$1000,false),MATCH(H$2,'testmo-export-repository'!$B$1:$X$1,false)),"")</f>
        <v/>
      </c>
      <c r="I106" s="60" t="str">
        <f t="array" ref="I106">IFERROR(INDEX('testmo-export-repository'!$B$2:$X$1000,MATCH($B106,'testmo-export-repository'!$A$2:$A$1000,false),MATCH(I$2,'testmo-export-repository'!$B$1:$X$1,false)),"")</f>
        <v/>
      </c>
      <c r="J106" s="60" t="str">
        <f t="array" ref="J106">IFERROR(INDEX('testmo-export-repository'!$B$2:$Y$1000,MATCH($B106,'testmo-export-repository'!$A$2:$A$1000,false),MATCH(J$2,'testmo-export-repository'!$B$1:$Y$1,false)),"")</f>
        <v/>
      </c>
      <c r="K106" s="60" t="str">
        <f t="array" ref="K106">IFERROR(INDEX('testmo-export-repository'!$B$2:$Y$1000,MATCH($B106,'testmo-export-repository'!$A$2:$A$1000,false),MATCH(K$2,'testmo-export-repository'!$B$1:$Y$1,false)),"")</f>
        <v>BAS-523</v>
      </c>
    </row>
    <row r="107">
      <c r="B107" s="60">
        <f>'testmo-export-repository'!A106</f>
        <v>1120</v>
      </c>
      <c r="C107" s="60" t="str">
        <f t="array" ref="C107">IFERROR(INDEX('testmo-export-repository'!$B$2:$X$1000,MATCH($B107,'testmo-export-repository'!$A$2:$A$1000,false),MATCH(C$2,'testmo-export-repository'!$B$1:$X$1,false)),"")</f>
        <v>Normal</v>
      </c>
      <c r="D107" s="60" t="str">
        <f t="array" ref="D107">IFERROR(INDEX('testmo-export-repository'!$B$2:$X$1000,MATCH($B107,'testmo-export-repository'!$A$2:$A$1000,false),MATCH(D$2,'testmo-export-repository'!$B$1:$X$1,false)),"")</f>
        <v/>
      </c>
      <c r="E107" s="60">
        <f>IFERROR(VLOOKUP($C107,instructions!$N$3:$O$5,2,false),"")</f>
        <v>2</v>
      </c>
      <c r="F107" s="60" t="str">
        <f>IFERROR(VLOOKUP($D107,instructions!$N$3:$O$5,2,false),"")</f>
        <v/>
      </c>
      <c r="G107" s="60" t="str">
        <f t="array" ref="G107">IFERROR(INDEX('testmo-export-repository'!$B$2:$X$1000,MATCH($B107,'testmo-export-repository'!$A$2:$A$1000,false),MATCH(G$2,'testmo-export-repository'!$B$1:$X$1,false)),"")</f>
        <v/>
      </c>
      <c r="H107" s="60" t="str">
        <f t="array" ref="H107">IFERROR(INDEX('testmo-export-repository'!$B$2:$X$1000,MATCH($B107,'testmo-export-repository'!$A$2:$A$1000,false),MATCH(H$2,'testmo-export-repository'!$B$1:$X$1,false)),"")</f>
        <v/>
      </c>
      <c r="I107" s="60" t="str">
        <f t="array" ref="I107">IFERROR(INDEX('testmo-export-repository'!$B$2:$X$1000,MATCH($B107,'testmo-export-repository'!$A$2:$A$1000,false),MATCH(I$2,'testmo-export-repository'!$B$1:$X$1,false)),"")</f>
        <v/>
      </c>
      <c r="J107" s="60" t="str">
        <f t="array" ref="J107">IFERROR(INDEX('testmo-export-repository'!$B$2:$Y$1000,MATCH($B107,'testmo-export-repository'!$A$2:$A$1000,false),MATCH(J$2,'testmo-export-repository'!$B$1:$Y$1,false)),"")</f>
        <v/>
      </c>
      <c r="K107" s="60" t="str">
        <f t="array" ref="K107">IFERROR(INDEX('testmo-export-repository'!$B$2:$Y$1000,MATCH($B107,'testmo-export-repository'!$A$2:$A$1000,false),MATCH(K$2,'testmo-export-repository'!$B$1:$Y$1,false)),"")</f>
        <v>BAS-523</v>
      </c>
    </row>
    <row r="108">
      <c r="B108" s="60">
        <f>'testmo-export-repository'!A107</f>
        <v>1121</v>
      </c>
      <c r="C108" s="60" t="str">
        <f t="array" ref="C108">IFERROR(INDEX('testmo-export-repository'!$B$2:$X$1000,MATCH($B108,'testmo-export-repository'!$A$2:$A$1000,false),MATCH(C$2,'testmo-export-repository'!$B$1:$X$1,false)),"")</f>
        <v>Normal</v>
      </c>
      <c r="D108" s="60" t="str">
        <f t="array" ref="D108">IFERROR(INDEX('testmo-export-repository'!$B$2:$X$1000,MATCH($B108,'testmo-export-repository'!$A$2:$A$1000,false),MATCH(D$2,'testmo-export-repository'!$B$1:$X$1,false)),"")</f>
        <v/>
      </c>
      <c r="E108" s="60">
        <f>IFERROR(VLOOKUP($C108,instructions!$N$3:$O$5,2,false),"")</f>
        <v>2</v>
      </c>
      <c r="F108" s="60" t="str">
        <f>IFERROR(VLOOKUP($D108,instructions!$N$3:$O$5,2,false),"")</f>
        <v/>
      </c>
      <c r="G108" s="60" t="str">
        <f t="array" ref="G108">IFERROR(INDEX('testmo-export-repository'!$B$2:$X$1000,MATCH($B108,'testmo-export-repository'!$A$2:$A$1000,false),MATCH(G$2,'testmo-export-repository'!$B$1:$X$1,false)),"")</f>
        <v/>
      </c>
      <c r="H108" s="60" t="str">
        <f t="array" ref="H108">IFERROR(INDEX('testmo-export-repository'!$B$2:$X$1000,MATCH($B108,'testmo-export-repository'!$A$2:$A$1000,false),MATCH(H$2,'testmo-export-repository'!$B$1:$X$1,false)),"")</f>
        <v/>
      </c>
      <c r="I108" s="60" t="str">
        <f t="array" ref="I108">IFERROR(INDEX('testmo-export-repository'!$B$2:$X$1000,MATCH($B108,'testmo-export-repository'!$A$2:$A$1000,false),MATCH(I$2,'testmo-export-repository'!$B$1:$X$1,false)),"")</f>
        <v/>
      </c>
      <c r="J108" s="60" t="str">
        <f t="array" ref="J108">IFERROR(INDEX('testmo-export-repository'!$B$2:$Y$1000,MATCH($B108,'testmo-export-repository'!$A$2:$A$1000,false),MATCH(J$2,'testmo-export-repository'!$B$1:$Y$1,false)),"")</f>
        <v/>
      </c>
      <c r="K108" s="60" t="str">
        <f t="array" ref="K108">IFERROR(INDEX('testmo-export-repository'!$B$2:$Y$1000,MATCH($B108,'testmo-export-repository'!$A$2:$A$1000,false),MATCH(K$2,'testmo-export-repository'!$B$1:$Y$1,false)),"")</f>
        <v>BAS-523</v>
      </c>
    </row>
    <row r="109">
      <c r="B109" s="60">
        <f>'testmo-export-repository'!A108</f>
        <v>1122</v>
      </c>
      <c r="C109" s="60" t="str">
        <f t="array" ref="C109">IFERROR(INDEX('testmo-export-repository'!$B$2:$X$1000,MATCH($B109,'testmo-export-repository'!$A$2:$A$1000,false),MATCH(C$2,'testmo-export-repository'!$B$1:$X$1,false)),"")</f>
        <v>Normal</v>
      </c>
      <c r="D109" s="60" t="str">
        <f t="array" ref="D109">IFERROR(INDEX('testmo-export-repository'!$B$2:$X$1000,MATCH($B109,'testmo-export-repository'!$A$2:$A$1000,false),MATCH(D$2,'testmo-export-repository'!$B$1:$X$1,false)),"")</f>
        <v/>
      </c>
      <c r="E109" s="60">
        <f>IFERROR(VLOOKUP($C109,instructions!$N$3:$O$5,2,false),"")</f>
        <v>2</v>
      </c>
      <c r="F109" s="60" t="str">
        <f>IFERROR(VLOOKUP($D109,instructions!$N$3:$O$5,2,false),"")</f>
        <v/>
      </c>
      <c r="G109" s="60" t="str">
        <f t="array" ref="G109">IFERROR(INDEX('testmo-export-repository'!$B$2:$X$1000,MATCH($B109,'testmo-export-repository'!$A$2:$A$1000,false),MATCH(G$2,'testmo-export-repository'!$B$1:$X$1,false)),"")</f>
        <v/>
      </c>
      <c r="H109" s="60" t="str">
        <f t="array" ref="H109">IFERROR(INDEX('testmo-export-repository'!$B$2:$X$1000,MATCH($B109,'testmo-export-repository'!$A$2:$A$1000,false),MATCH(H$2,'testmo-export-repository'!$B$1:$X$1,false)),"")</f>
        <v/>
      </c>
      <c r="I109" s="60" t="str">
        <f t="array" ref="I109">IFERROR(INDEX('testmo-export-repository'!$B$2:$X$1000,MATCH($B109,'testmo-export-repository'!$A$2:$A$1000,false),MATCH(I$2,'testmo-export-repository'!$B$1:$X$1,false)),"")</f>
        <v/>
      </c>
      <c r="J109" s="60" t="str">
        <f t="array" ref="J109">IFERROR(INDEX('testmo-export-repository'!$B$2:$Y$1000,MATCH($B109,'testmo-export-repository'!$A$2:$A$1000,false),MATCH(J$2,'testmo-export-repository'!$B$1:$Y$1,false)),"")</f>
        <v/>
      </c>
      <c r="K109" s="60" t="str">
        <f t="array" ref="K109">IFERROR(INDEX('testmo-export-repository'!$B$2:$Y$1000,MATCH($B109,'testmo-export-repository'!$A$2:$A$1000,false),MATCH(K$2,'testmo-export-repository'!$B$1:$Y$1,false)),"")</f>
        <v>BAS-523</v>
      </c>
    </row>
    <row r="110">
      <c r="B110" s="60">
        <f>'testmo-export-repository'!A109</f>
        <v>110</v>
      </c>
      <c r="C110" s="60" t="str">
        <f t="array" ref="C110">IFERROR(INDEX('testmo-export-repository'!$B$2:$X$1000,MATCH($B110,'testmo-export-repository'!$A$2:$A$1000,false),MATCH(C$2,'testmo-export-repository'!$B$1:$X$1,false)),"")</f>
        <v>Normal</v>
      </c>
      <c r="D110" s="60" t="str">
        <f t="array" ref="D110">IFERROR(INDEX('testmo-export-repository'!$B$2:$X$1000,MATCH($B110,'testmo-export-repository'!$A$2:$A$1000,false),MATCH(D$2,'testmo-export-repository'!$B$1:$X$1,false)),"")</f>
        <v/>
      </c>
      <c r="E110" s="60">
        <f>IFERROR(VLOOKUP($C110,instructions!$N$3:$O$5,2,false),"")</f>
        <v>2</v>
      </c>
      <c r="F110" s="60" t="str">
        <f>IFERROR(VLOOKUP($D110,instructions!$N$3:$O$5,2,false),"")</f>
        <v/>
      </c>
      <c r="G110" s="60" t="str">
        <f t="array" ref="G110">IFERROR(INDEX('testmo-export-repository'!$B$2:$X$1000,MATCH($B110,'testmo-export-repository'!$A$2:$A$1000,false),MATCH(G$2,'testmo-export-repository'!$B$1:$X$1,false)),"")</f>
        <v/>
      </c>
      <c r="H110" s="60" t="str">
        <f t="array" ref="H110">IFERROR(INDEX('testmo-export-repository'!$B$2:$X$1000,MATCH($B110,'testmo-export-repository'!$A$2:$A$1000,false),MATCH(H$2,'testmo-export-repository'!$B$1:$X$1,false)),"")</f>
        <v/>
      </c>
      <c r="I110" s="60" t="str">
        <f t="array" ref="I110">IFERROR(INDEX('testmo-export-repository'!$B$2:$X$1000,MATCH($B110,'testmo-export-repository'!$A$2:$A$1000,false),MATCH(I$2,'testmo-export-repository'!$B$1:$X$1,false)),"")</f>
        <v/>
      </c>
      <c r="J110" s="60" t="str">
        <f t="array" ref="J110">IFERROR(INDEX('testmo-export-repository'!$B$2:$Y$1000,MATCH($B110,'testmo-export-repository'!$A$2:$A$1000,false),MATCH(J$2,'testmo-export-repository'!$B$1:$Y$1,false)),"")</f>
        <v/>
      </c>
      <c r="K110" s="60" t="str">
        <f t="array" ref="K110">IFERROR(INDEX('testmo-export-repository'!$B$2:$Y$1000,MATCH($B110,'testmo-export-repository'!$A$2:$A$1000,false),MATCH(K$2,'testmo-export-repository'!$B$1:$Y$1,false)),"")</f>
        <v>BAS-498</v>
      </c>
    </row>
    <row r="111">
      <c r="B111" s="60">
        <f>'testmo-export-repository'!A110</f>
        <v>2318</v>
      </c>
      <c r="C111" s="60" t="str">
        <f t="array" ref="C111">IFERROR(INDEX('testmo-export-repository'!$B$2:$X$1000,MATCH($B111,'testmo-export-repository'!$A$2:$A$1000,false),MATCH(C$2,'testmo-export-repository'!$B$1:$X$1,false)),"")</f>
        <v>Normal</v>
      </c>
      <c r="D111" s="60" t="str">
        <f t="array" ref="D111">IFERROR(INDEX('testmo-export-repository'!$B$2:$X$1000,MATCH($B111,'testmo-export-repository'!$A$2:$A$1000,false),MATCH(D$2,'testmo-export-repository'!$B$1:$X$1,false)),"")</f>
        <v/>
      </c>
      <c r="E111" s="60">
        <f>IFERROR(VLOOKUP($C111,instructions!$N$3:$O$5,2,false),"")</f>
        <v>2</v>
      </c>
      <c r="F111" s="60" t="str">
        <f>IFERROR(VLOOKUP($D111,instructions!$N$3:$O$5,2,false),"")</f>
        <v/>
      </c>
      <c r="G111" s="60" t="str">
        <f t="array" ref="G111">IFERROR(INDEX('testmo-export-repository'!$B$2:$X$1000,MATCH($B111,'testmo-export-repository'!$A$2:$A$1000,false),MATCH(G$2,'testmo-export-repository'!$B$1:$X$1,false)),"")</f>
        <v/>
      </c>
      <c r="H111" s="60" t="str">
        <f t="array" ref="H111">IFERROR(INDEX('testmo-export-repository'!$B$2:$X$1000,MATCH($B111,'testmo-export-repository'!$A$2:$A$1000,false),MATCH(H$2,'testmo-export-repository'!$B$1:$X$1,false)),"")</f>
        <v/>
      </c>
      <c r="I111" s="60" t="str">
        <f t="array" ref="I111">IFERROR(INDEX('testmo-export-repository'!$B$2:$X$1000,MATCH($B111,'testmo-export-repository'!$A$2:$A$1000,false),MATCH(I$2,'testmo-export-repository'!$B$1:$X$1,false)),"")</f>
        <v/>
      </c>
      <c r="J111" s="60" t="str">
        <f t="array" ref="J111">IFERROR(INDEX('testmo-export-repository'!$B$2:$Y$1000,MATCH($B111,'testmo-export-repository'!$A$2:$A$1000,false),MATCH(J$2,'testmo-export-repository'!$B$1:$Y$1,false)),"")</f>
        <v/>
      </c>
      <c r="K111" s="60" t="str">
        <f t="array" ref="K111">IFERROR(INDEX('testmo-export-repository'!$B$2:$Y$1000,MATCH($B111,'testmo-export-repository'!$A$2:$A$1000,false),MATCH(K$2,'testmo-export-repository'!$B$1:$Y$1,false)),"")</f>
        <v/>
      </c>
    </row>
    <row r="112">
      <c r="B112" s="60">
        <f>'testmo-export-repository'!A111</f>
        <v>2319</v>
      </c>
      <c r="C112" s="60" t="str">
        <f t="array" ref="C112">IFERROR(INDEX('testmo-export-repository'!$B$2:$X$1000,MATCH($B112,'testmo-export-repository'!$A$2:$A$1000,false),MATCH(C$2,'testmo-export-repository'!$B$1:$X$1,false)),"")</f>
        <v>Normal</v>
      </c>
      <c r="D112" s="60" t="str">
        <f t="array" ref="D112">IFERROR(INDEX('testmo-export-repository'!$B$2:$X$1000,MATCH($B112,'testmo-export-repository'!$A$2:$A$1000,false),MATCH(D$2,'testmo-export-repository'!$B$1:$X$1,false)),"")</f>
        <v/>
      </c>
      <c r="E112" s="60">
        <f>IFERROR(VLOOKUP($C112,instructions!$N$3:$O$5,2,false),"")</f>
        <v>2</v>
      </c>
      <c r="F112" s="60" t="str">
        <f>IFERROR(VLOOKUP($D112,instructions!$N$3:$O$5,2,false),"")</f>
        <v/>
      </c>
      <c r="G112" s="60" t="str">
        <f t="array" ref="G112">IFERROR(INDEX('testmo-export-repository'!$B$2:$X$1000,MATCH($B112,'testmo-export-repository'!$A$2:$A$1000,false),MATCH(G$2,'testmo-export-repository'!$B$1:$X$1,false)),"")</f>
        <v/>
      </c>
      <c r="H112" s="60" t="str">
        <f t="array" ref="H112">IFERROR(INDEX('testmo-export-repository'!$B$2:$X$1000,MATCH($B112,'testmo-export-repository'!$A$2:$A$1000,false),MATCH(H$2,'testmo-export-repository'!$B$1:$X$1,false)),"")</f>
        <v/>
      </c>
      <c r="I112" s="60" t="str">
        <f t="array" ref="I112">IFERROR(INDEX('testmo-export-repository'!$B$2:$X$1000,MATCH($B112,'testmo-export-repository'!$A$2:$A$1000,false),MATCH(I$2,'testmo-export-repository'!$B$1:$X$1,false)),"")</f>
        <v/>
      </c>
      <c r="J112" s="60" t="str">
        <f t="array" ref="J112">IFERROR(INDEX('testmo-export-repository'!$B$2:$Y$1000,MATCH($B112,'testmo-export-repository'!$A$2:$A$1000,false),MATCH(J$2,'testmo-export-repository'!$B$1:$Y$1,false)),"")</f>
        <v/>
      </c>
      <c r="K112" s="60" t="str">
        <f t="array" ref="K112">IFERROR(INDEX('testmo-export-repository'!$B$2:$Y$1000,MATCH($B112,'testmo-export-repository'!$A$2:$A$1000,false),MATCH(K$2,'testmo-export-repository'!$B$1:$Y$1,false)),"")</f>
        <v/>
      </c>
    </row>
    <row r="113">
      <c r="B113" s="60">
        <f>'testmo-export-repository'!A112</f>
        <v>2320</v>
      </c>
      <c r="C113" s="60" t="str">
        <f t="array" ref="C113">IFERROR(INDEX('testmo-export-repository'!$B$2:$X$1000,MATCH($B113,'testmo-export-repository'!$A$2:$A$1000,false),MATCH(C$2,'testmo-export-repository'!$B$1:$X$1,false)),"")</f>
        <v>Normal</v>
      </c>
      <c r="D113" s="60" t="str">
        <f t="array" ref="D113">IFERROR(INDEX('testmo-export-repository'!$B$2:$X$1000,MATCH($B113,'testmo-export-repository'!$A$2:$A$1000,false),MATCH(D$2,'testmo-export-repository'!$B$1:$X$1,false)),"")</f>
        <v/>
      </c>
      <c r="E113" s="60">
        <f>IFERROR(VLOOKUP($C113,instructions!$N$3:$O$5,2,false),"")</f>
        <v>2</v>
      </c>
      <c r="F113" s="60" t="str">
        <f>IFERROR(VLOOKUP($D113,instructions!$N$3:$O$5,2,false),"")</f>
        <v/>
      </c>
      <c r="G113" s="60" t="str">
        <f t="array" ref="G113">IFERROR(INDEX('testmo-export-repository'!$B$2:$X$1000,MATCH($B113,'testmo-export-repository'!$A$2:$A$1000,false),MATCH(G$2,'testmo-export-repository'!$B$1:$X$1,false)),"")</f>
        <v/>
      </c>
      <c r="H113" s="60" t="str">
        <f t="array" ref="H113">IFERROR(INDEX('testmo-export-repository'!$B$2:$X$1000,MATCH($B113,'testmo-export-repository'!$A$2:$A$1000,false),MATCH(H$2,'testmo-export-repository'!$B$1:$X$1,false)),"")</f>
        <v/>
      </c>
      <c r="I113" s="60" t="str">
        <f t="array" ref="I113">IFERROR(INDEX('testmo-export-repository'!$B$2:$X$1000,MATCH($B113,'testmo-export-repository'!$A$2:$A$1000,false),MATCH(I$2,'testmo-export-repository'!$B$1:$X$1,false)),"")</f>
        <v/>
      </c>
      <c r="J113" s="60" t="str">
        <f t="array" ref="J113">IFERROR(INDEX('testmo-export-repository'!$B$2:$Y$1000,MATCH($B113,'testmo-export-repository'!$A$2:$A$1000,false),MATCH(J$2,'testmo-export-repository'!$B$1:$Y$1,false)),"")</f>
        <v/>
      </c>
      <c r="K113" s="60" t="str">
        <f t="array" ref="K113">IFERROR(INDEX('testmo-export-repository'!$B$2:$Y$1000,MATCH($B113,'testmo-export-repository'!$A$2:$A$1000,false),MATCH(K$2,'testmo-export-repository'!$B$1:$Y$1,false)),"")</f>
        <v/>
      </c>
    </row>
    <row r="114">
      <c r="B114" s="60">
        <f>'testmo-export-repository'!A113</f>
        <v>2321</v>
      </c>
      <c r="C114" s="60" t="str">
        <f t="array" ref="C114">IFERROR(INDEX('testmo-export-repository'!$B$2:$X$1000,MATCH($B114,'testmo-export-repository'!$A$2:$A$1000,false),MATCH(C$2,'testmo-export-repository'!$B$1:$X$1,false)),"")</f>
        <v>Normal</v>
      </c>
      <c r="D114" s="60" t="str">
        <f t="array" ref="D114">IFERROR(INDEX('testmo-export-repository'!$B$2:$X$1000,MATCH($B114,'testmo-export-repository'!$A$2:$A$1000,false),MATCH(D$2,'testmo-export-repository'!$B$1:$X$1,false)),"")</f>
        <v/>
      </c>
      <c r="E114" s="60">
        <f>IFERROR(VLOOKUP($C114,instructions!$N$3:$O$5,2,false),"")</f>
        <v>2</v>
      </c>
      <c r="F114" s="60" t="str">
        <f>IFERROR(VLOOKUP($D114,instructions!$N$3:$O$5,2,false),"")</f>
        <v/>
      </c>
      <c r="G114" s="60" t="str">
        <f t="array" ref="G114">IFERROR(INDEX('testmo-export-repository'!$B$2:$X$1000,MATCH($B114,'testmo-export-repository'!$A$2:$A$1000,false),MATCH(G$2,'testmo-export-repository'!$B$1:$X$1,false)),"")</f>
        <v/>
      </c>
      <c r="H114" s="60" t="str">
        <f t="array" ref="H114">IFERROR(INDEX('testmo-export-repository'!$B$2:$X$1000,MATCH($B114,'testmo-export-repository'!$A$2:$A$1000,false),MATCH(H$2,'testmo-export-repository'!$B$1:$X$1,false)),"")</f>
        <v/>
      </c>
      <c r="I114" s="60" t="str">
        <f t="array" ref="I114">IFERROR(INDEX('testmo-export-repository'!$B$2:$X$1000,MATCH($B114,'testmo-export-repository'!$A$2:$A$1000,false),MATCH(I$2,'testmo-export-repository'!$B$1:$X$1,false)),"")</f>
        <v/>
      </c>
      <c r="J114" s="60" t="str">
        <f t="array" ref="J114">IFERROR(INDEX('testmo-export-repository'!$B$2:$Y$1000,MATCH($B114,'testmo-export-repository'!$A$2:$A$1000,false),MATCH(J$2,'testmo-export-repository'!$B$1:$Y$1,false)),"")</f>
        <v/>
      </c>
      <c r="K114" s="60" t="str">
        <f t="array" ref="K114">IFERROR(INDEX('testmo-export-repository'!$B$2:$Y$1000,MATCH($B114,'testmo-export-repository'!$A$2:$A$1000,false),MATCH(K$2,'testmo-export-repository'!$B$1:$Y$1,false)),"")</f>
        <v/>
      </c>
    </row>
    <row r="115">
      <c r="B115" s="60">
        <f>'testmo-export-repository'!A114</f>
        <v>7127</v>
      </c>
      <c r="C115" s="60" t="str">
        <f t="array" ref="C115">IFERROR(INDEX('testmo-export-repository'!$B$2:$X$1000,MATCH($B115,'testmo-export-repository'!$A$2:$A$1000,false),MATCH(C$2,'testmo-export-repository'!$B$1:$X$1,false)),"")</f>
        <v>Normal</v>
      </c>
      <c r="D115" s="60" t="str">
        <f t="array" ref="D115">IFERROR(INDEX('testmo-export-repository'!$B$2:$X$1000,MATCH($B115,'testmo-export-repository'!$A$2:$A$1000,false),MATCH(D$2,'testmo-export-repository'!$B$1:$X$1,false)),"")</f>
        <v>Low</v>
      </c>
      <c r="E115" s="60">
        <f>IFERROR(VLOOKUP($C115,instructions!$N$3:$O$5,2,false),"")</f>
        <v>2</v>
      </c>
      <c r="F115" s="60">
        <f>IFERROR(VLOOKUP($D115,instructions!$N$3:$O$5,2,false),"")</f>
        <v>3</v>
      </c>
      <c r="G115" s="60" t="str">
        <f t="array" ref="G115">IFERROR(INDEX('testmo-export-repository'!$B$2:$X$1000,MATCH($B115,'testmo-export-repository'!$A$2:$A$1000,false),MATCH(G$2,'testmo-export-repository'!$B$1:$X$1,false)),"")</f>
        <v>Yes</v>
      </c>
      <c r="H115" s="60" t="str">
        <f t="array" ref="H115">IFERROR(INDEX('testmo-export-repository'!$B$2:$X$1000,MATCH($B115,'testmo-export-repository'!$A$2:$A$1000,false),MATCH(H$2,'testmo-export-repository'!$B$1:$X$1,false)),"")</f>
        <v>No</v>
      </c>
      <c r="I115" s="60" t="str">
        <f t="array" ref="I115">IFERROR(INDEX('testmo-export-repository'!$B$2:$X$1000,MATCH($B115,'testmo-export-repository'!$A$2:$A$1000,false),MATCH(I$2,'testmo-export-repository'!$B$1:$X$1,false)),"")</f>
        <v>Passed</v>
      </c>
      <c r="J115" s="60" t="str">
        <f t="array" ref="J115">IFERROR(INDEX('testmo-export-repository'!$B$2:$Y$1000,MATCH($B115,'testmo-export-repository'!$A$2:$A$1000,false),MATCH(J$2,'testmo-export-repository'!$B$1:$Y$1,false)),"")</f>
        <v>2.37</v>
      </c>
      <c r="K115" s="60" t="str">
        <f t="array" ref="K115">IFERROR(INDEX('testmo-export-repository'!$B$2:$Y$1000,MATCH($B115,'testmo-export-repository'!$A$2:$A$1000,false),MATCH(K$2,'testmo-export-repository'!$B$1:$Y$1,false)),"")</f>
        <v>BAS-957</v>
      </c>
    </row>
    <row r="116">
      <c r="B116" s="60">
        <f>'testmo-export-repository'!A115</f>
        <v>7128</v>
      </c>
      <c r="C116" s="60" t="str">
        <f t="array" ref="C116">IFERROR(INDEX('testmo-export-repository'!$B$2:$X$1000,MATCH($B116,'testmo-export-repository'!$A$2:$A$1000,false),MATCH(C$2,'testmo-export-repository'!$B$1:$X$1,false)),"")</f>
        <v>Normal</v>
      </c>
      <c r="D116" s="60" t="str">
        <f t="array" ref="D116">IFERROR(INDEX('testmo-export-repository'!$B$2:$X$1000,MATCH($B116,'testmo-export-repository'!$A$2:$A$1000,false),MATCH(D$2,'testmo-export-repository'!$B$1:$X$1,false)),"")</f>
        <v>Low</v>
      </c>
      <c r="E116" s="60">
        <f>IFERROR(VLOOKUP($C116,instructions!$N$3:$O$5,2,false),"")</f>
        <v>2</v>
      </c>
      <c r="F116" s="60">
        <f>IFERROR(VLOOKUP($D116,instructions!$N$3:$O$5,2,false),"")</f>
        <v>3</v>
      </c>
      <c r="G116" s="60" t="str">
        <f t="array" ref="G116">IFERROR(INDEX('testmo-export-repository'!$B$2:$X$1000,MATCH($B116,'testmo-export-repository'!$A$2:$A$1000,false),MATCH(G$2,'testmo-export-repository'!$B$1:$X$1,false)),"")</f>
        <v>Yes</v>
      </c>
      <c r="H116" s="60" t="str">
        <f t="array" ref="H116">IFERROR(INDEX('testmo-export-repository'!$B$2:$X$1000,MATCH($B116,'testmo-export-repository'!$A$2:$A$1000,false),MATCH(H$2,'testmo-export-repository'!$B$1:$X$1,false)),"")</f>
        <v>No</v>
      </c>
      <c r="I116" s="60" t="str">
        <f t="array" ref="I116">IFERROR(INDEX('testmo-export-repository'!$B$2:$X$1000,MATCH($B116,'testmo-export-repository'!$A$2:$A$1000,false),MATCH(I$2,'testmo-export-repository'!$B$1:$X$1,false)),"")</f>
        <v>Passed</v>
      </c>
      <c r="J116" s="60" t="str">
        <f t="array" ref="J116">IFERROR(INDEX('testmo-export-repository'!$B$2:$Y$1000,MATCH($B116,'testmo-export-repository'!$A$2:$A$1000,false),MATCH(J$2,'testmo-export-repository'!$B$1:$Y$1,false)),"")</f>
        <v>2.37</v>
      </c>
      <c r="K116" s="60" t="str">
        <f t="array" ref="K116">IFERROR(INDEX('testmo-export-repository'!$B$2:$Y$1000,MATCH($B116,'testmo-export-repository'!$A$2:$A$1000,false),MATCH(K$2,'testmo-export-repository'!$B$1:$Y$1,false)),"")</f>
        <v>BAS-957</v>
      </c>
    </row>
    <row r="117">
      <c r="B117" s="60">
        <f>'testmo-export-repository'!A116</f>
        <v>7129</v>
      </c>
      <c r="C117" s="60" t="str">
        <f t="array" ref="C117">IFERROR(INDEX('testmo-export-repository'!$B$2:$X$1000,MATCH($B117,'testmo-export-repository'!$A$2:$A$1000,false),MATCH(C$2,'testmo-export-repository'!$B$1:$X$1,false)),"")</f>
        <v>Normal</v>
      </c>
      <c r="D117" s="60" t="str">
        <f t="array" ref="D117">IFERROR(INDEX('testmo-export-repository'!$B$2:$X$1000,MATCH($B117,'testmo-export-repository'!$A$2:$A$1000,false),MATCH(D$2,'testmo-export-repository'!$B$1:$X$1,false)),"")</f>
        <v>Low</v>
      </c>
      <c r="E117" s="60">
        <f>IFERROR(VLOOKUP($C117,instructions!$N$3:$O$5,2,false),"")</f>
        <v>2</v>
      </c>
      <c r="F117" s="60">
        <f>IFERROR(VLOOKUP($D117,instructions!$N$3:$O$5,2,false),"")</f>
        <v>3</v>
      </c>
      <c r="G117" s="60" t="str">
        <f t="array" ref="G117">IFERROR(INDEX('testmo-export-repository'!$B$2:$X$1000,MATCH($B117,'testmo-export-repository'!$A$2:$A$1000,false),MATCH(G$2,'testmo-export-repository'!$B$1:$X$1,false)),"")</f>
        <v>Yes</v>
      </c>
      <c r="H117" s="60" t="str">
        <f t="array" ref="H117">IFERROR(INDEX('testmo-export-repository'!$B$2:$X$1000,MATCH($B117,'testmo-export-repository'!$A$2:$A$1000,false),MATCH(H$2,'testmo-export-repository'!$B$1:$X$1,false)),"")</f>
        <v>No</v>
      </c>
      <c r="I117" s="60" t="str">
        <f t="array" ref="I117">IFERROR(INDEX('testmo-export-repository'!$B$2:$X$1000,MATCH($B117,'testmo-export-repository'!$A$2:$A$1000,false),MATCH(I$2,'testmo-export-repository'!$B$1:$X$1,false)),"")</f>
        <v>Passed</v>
      </c>
      <c r="J117" s="60" t="str">
        <f t="array" ref="J117">IFERROR(INDEX('testmo-export-repository'!$B$2:$Y$1000,MATCH($B117,'testmo-export-repository'!$A$2:$A$1000,false),MATCH(J$2,'testmo-export-repository'!$B$1:$Y$1,false)),"")</f>
        <v>2.37</v>
      </c>
      <c r="K117" s="60" t="str">
        <f t="array" ref="K117">IFERROR(INDEX('testmo-export-repository'!$B$2:$Y$1000,MATCH($B117,'testmo-export-repository'!$A$2:$A$1000,false),MATCH(K$2,'testmo-export-repository'!$B$1:$Y$1,false)),"")</f>
        <v>BAS-957</v>
      </c>
    </row>
    <row r="118">
      <c r="B118" s="60">
        <f>'testmo-export-repository'!A117</f>
        <v>7130</v>
      </c>
      <c r="C118" s="60" t="str">
        <f t="array" ref="C118">IFERROR(INDEX('testmo-export-repository'!$B$2:$X$1000,MATCH($B118,'testmo-export-repository'!$A$2:$A$1000,false),MATCH(C$2,'testmo-export-repository'!$B$1:$X$1,false)),"")</f>
        <v>Normal</v>
      </c>
      <c r="D118" s="60" t="str">
        <f t="array" ref="D118">IFERROR(INDEX('testmo-export-repository'!$B$2:$X$1000,MATCH($B118,'testmo-export-repository'!$A$2:$A$1000,false),MATCH(D$2,'testmo-export-repository'!$B$1:$X$1,false)),"")</f>
        <v>Low</v>
      </c>
      <c r="E118" s="60">
        <f>IFERROR(VLOOKUP($C118,instructions!$N$3:$O$5,2,false),"")</f>
        <v>2</v>
      </c>
      <c r="F118" s="60">
        <f>IFERROR(VLOOKUP($D118,instructions!$N$3:$O$5,2,false),"")</f>
        <v>3</v>
      </c>
      <c r="G118" s="60" t="str">
        <f t="array" ref="G118">IFERROR(INDEX('testmo-export-repository'!$B$2:$X$1000,MATCH($B118,'testmo-export-repository'!$A$2:$A$1000,false),MATCH(G$2,'testmo-export-repository'!$B$1:$X$1,false)),"")</f>
        <v>Yes</v>
      </c>
      <c r="H118" s="60" t="str">
        <f t="array" ref="H118">IFERROR(INDEX('testmo-export-repository'!$B$2:$X$1000,MATCH($B118,'testmo-export-repository'!$A$2:$A$1000,false),MATCH(H$2,'testmo-export-repository'!$B$1:$X$1,false)),"")</f>
        <v>No</v>
      </c>
      <c r="I118" s="60" t="str">
        <f t="array" ref="I118">IFERROR(INDEX('testmo-export-repository'!$B$2:$X$1000,MATCH($B118,'testmo-export-repository'!$A$2:$A$1000,false),MATCH(I$2,'testmo-export-repository'!$B$1:$X$1,false)),"")</f>
        <v>Passed</v>
      </c>
      <c r="J118" s="60" t="str">
        <f t="array" ref="J118">IFERROR(INDEX('testmo-export-repository'!$B$2:$Y$1000,MATCH($B118,'testmo-export-repository'!$A$2:$A$1000,false),MATCH(J$2,'testmo-export-repository'!$B$1:$Y$1,false)),"")</f>
        <v>2.37</v>
      </c>
      <c r="K118" s="60" t="str">
        <f t="array" ref="K118">IFERROR(INDEX('testmo-export-repository'!$B$2:$Y$1000,MATCH($B118,'testmo-export-repository'!$A$2:$A$1000,false),MATCH(K$2,'testmo-export-repository'!$B$1:$Y$1,false)),"")</f>
        <v>BAS-957</v>
      </c>
    </row>
    <row r="119">
      <c r="B119" s="60">
        <f>'testmo-export-repository'!A118</f>
        <v>9379</v>
      </c>
      <c r="C119" s="60" t="str">
        <f t="array" ref="C119">IFERROR(INDEX('testmo-export-repository'!$B$2:$X$1000,MATCH($B119,'testmo-export-repository'!$A$2:$A$1000,false),MATCH(C$2,'testmo-export-repository'!$B$1:$X$1,false)),"")</f>
        <v>High</v>
      </c>
      <c r="D119" s="60" t="str">
        <f t="array" ref="D119">IFERROR(INDEX('testmo-export-repository'!$B$2:$X$1000,MATCH($B119,'testmo-export-repository'!$A$2:$A$1000,false),MATCH(D$2,'testmo-export-repository'!$B$1:$X$1,false)),"")</f>
        <v>Normal</v>
      </c>
      <c r="E119" s="60">
        <f>IFERROR(VLOOKUP($C119,instructions!$N$3:$O$5,2,false),"")</f>
        <v>1</v>
      </c>
      <c r="F119" s="60">
        <f>IFERROR(VLOOKUP($D119,instructions!$N$3:$O$5,2,false),"")</f>
        <v>2</v>
      </c>
      <c r="G119" s="60" t="str">
        <f t="array" ref="G119">IFERROR(INDEX('testmo-export-repository'!$B$2:$X$1000,MATCH($B119,'testmo-export-repository'!$A$2:$A$1000,false),MATCH(G$2,'testmo-export-repository'!$B$1:$X$1,false)),"")</f>
        <v>Yes</v>
      </c>
      <c r="H119" s="60" t="str">
        <f t="array" ref="H119">IFERROR(INDEX('testmo-export-repository'!$B$2:$X$1000,MATCH($B119,'testmo-export-repository'!$A$2:$A$1000,false),MATCH(H$2,'testmo-export-repository'!$B$1:$X$1,false)),"")</f>
        <v>No</v>
      </c>
      <c r="I119" s="60" t="str">
        <f t="array" ref="I119">IFERROR(INDEX('testmo-export-repository'!$B$2:$X$1000,MATCH($B119,'testmo-export-repository'!$A$2:$A$1000,false),MATCH(I$2,'testmo-export-repository'!$B$1:$X$1,false)),"")</f>
        <v>Passed</v>
      </c>
      <c r="J119" s="60" t="str">
        <f t="array" ref="J119">IFERROR(INDEX('testmo-export-repository'!$B$2:$Y$1000,MATCH($B119,'testmo-export-repository'!$A$2:$A$1000,false),MATCH(J$2,'testmo-export-repository'!$B$1:$Y$1,false)),"")</f>
        <v>2.38</v>
      </c>
      <c r="K119" s="60" t="str">
        <f t="array" ref="K119">IFERROR(INDEX('testmo-export-repository'!$B$2:$Y$1000,MATCH($B119,'testmo-export-repository'!$A$2:$A$1000,false),MATCH(K$2,'testmo-export-repository'!$B$1:$Y$1,false)),"")</f>
        <v>BAS-807</v>
      </c>
    </row>
    <row r="120">
      <c r="B120" s="60">
        <f>'testmo-export-repository'!A119</f>
        <v>9380</v>
      </c>
      <c r="C120" s="60" t="str">
        <f t="array" ref="C120">IFERROR(INDEX('testmo-export-repository'!$B$2:$X$1000,MATCH($B120,'testmo-export-repository'!$A$2:$A$1000,false),MATCH(C$2,'testmo-export-repository'!$B$1:$X$1,false)),"")</f>
        <v>High</v>
      </c>
      <c r="D120" s="60" t="str">
        <f t="array" ref="D120">IFERROR(INDEX('testmo-export-repository'!$B$2:$X$1000,MATCH($B120,'testmo-export-repository'!$A$2:$A$1000,false),MATCH(D$2,'testmo-export-repository'!$B$1:$X$1,false)),"")</f>
        <v>Normal</v>
      </c>
      <c r="E120" s="60">
        <f>IFERROR(VLOOKUP($C120,instructions!$N$3:$O$5,2,false),"")</f>
        <v>1</v>
      </c>
      <c r="F120" s="60">
        <f>IFERROR(VLOOKUP($D120,instructions!$N$3:$O$5,2,false),"")</f>
        <v>2</v>
      </c>
      <c r="G120" s="60" t="str">
        <f t="array" ref="G120">IFERROR(INDEX('testmo-export-repository'!$B$2:$X$1000,MATCH($B120,'testmo-export-repository'!$A$2:$A$1000,false),MATCH(G$2,'testmo-export-repository'!$B$1:$X$1,false)),"")</f>
        <v>Yes</v>
      </c>
      <c r="H120" s="60" t="str">
        <f t="array" ref="H120">IFERROR(INDEX('testmo-export-repository'!$B$2:$X$1000,MATCH($B120,'testmo-export-repository'!$A$2:$A$1000,false),MATCH(H$2,'testmo-export-repository'!$B$1:$X$1,false)),"")</f>
        <v>No</v>
      </c>
      <c r="I120" s="60" t="str">
        <f t="array" ref="I120">IFERROR(INDEX('testmo-export-repository'!$B$2:$X$1000,MATCH($B120,'testmo-export-repository'!$A$2:$A$1000,false),MATCH(I$2,'testmo-export-repository'!$B$1:$X$1,false)),"")</f>
        <v>Passed</v>
      </c>
      <c r="J120" s="60" t="str">
        <f t="array" ref="J120">IFERROR(INDEX('testmo-export-repository'!$B$2:$Y$1000,MATCH($B120,'testmo-export-repository'!$A$2:$A$1000,false),MATCH(J$2,'testmo-export-repository'!$B$1:$Y$1,false)),"")</f>
        <v>2.38</v>
      </c>
      <c r="K120" s="60" t="str">
        <f t="array" ref="K120">IFERROR(INDEX('testmo-export-repository'!$B$2:$Y$1000,MATCH($B120,'testmo-export-repository'!$A$2:$A$1000,false),MATCH(K$2,'testmo-export-repository'!$B$1:$Y$1,false)),"")</f>
        <v>BAS-807</v>
      </c>
    </row>
    <row r="121">
      <c r="B121" s="60">
        <f>'testmo-export-repository'!A120</f>
        <v>9381</v>
      </c>
      <c r="C121" s="60" t="str">
        <f t="array" ref="C121">IFERROR(INDEX('testmo-export-repository'!$B$2:$X$1000,MATCH($B121,'testmo-export-repository'!$A$2:$A$1000,false),MATCH(C$2,'testmo-export-repository'!$B$1:$X$1,false)),"")</f>
        <v>High</v>
      </c>
      <c r="D121" s="60" t="str">
        <f t="array" ref="D121">IFERROR(INDEX('testmo-export-repository'!$B$2:$X$1000,MATCH($B121,'testmo-export-repository'!$A$2:$A$1000,false),MATCH(D$2,'testmo-export-repository'!$B$1:$X$1,false)),"")</f>
        <v>Normal</v>
      </c>
      <c r="E121" s="60">
        <f>IFERROR(VLOOKUP($C121,instructions!$N$3:$O$5,2,false),"")</f>
        <v>1</v>
      </c>
      <c r="F121" s="60">
        <f>IFERROR(VLOOKUP($D121,instructions!$N$3:$O$5,2,false),"")</f>
        <v>2</v>
      </c>
      <c r="G121" s="60" t="str">
        <f t="array" ref="G121">IFERROR(INDEX('testmo-export-repository'!$B$2:$X$1000,MATCH($B121,'testmo-export-repository'!$A$2:$A$1000,false),MATCH(G$2,'testmo-export-repository'!$B$1:$X$1,false)),"")</f>
        <v>Yes</v>
      </c>
      <c r="H121" s="60" t="str">
        <f t="array" ref="H121">IFERROR(INDEX('testmo-export-repository'!$B$2:$X$1000,MATCH($B121,'testmo-export-repository'!$A$2:$A$1000,false),MATCH(H$2,'testmo-export-repository'!$B$1:$X$1,false)),"")</f>
        <v>No</v>
      </c>
      <c r="I121" s="60" t="str">
        <f t="array" ref="I121">IFERROR(INDEX('testmo-export-repository'!$B$2:$X$1000,MATCH($B121,'testmo-export-repository'!$A$2:$A$1000,false),MATCH(I$2,'testmo-export-repository'!$B$1:$X$1,false)),"")</f>
        <v>Passed</v>
      </c>
      <c r="J121" s="60" t="str">
        <f t="array" ref="J121">IFERROR(INDEX('testmo-export-repository'!$B$2:$Y$1000,MATCH($B121,'testmo-export-repository'!$A$2:$A$1000,false),MATCH(J$2,'testmo-export-repository'!$B$1:$Y$1,false)),"")</f>
        <v>2.38</v>
      </c>
      <c r="K121" s="60" t="str">
        <f t="array" ref="K121">IFERROR(INDEX('testmo-export-repository'!$B$2:$Y$1000,MATCH($B121,'testmo-export-repository'!$A$2:$A$1000,false),MATCH(K$2,'testmo-export-repository'!$B$1:$Y$1,false)),"")</f>
        <v>BAS-807</v>
      </c>
    </row>
    <row r="122">
      <c r="B122" s="60">
        <f>'testmo-export-repository'!A121</f>
        <v>9385</v>
      </c>
      <c r="C122" s="60" t="str">
        <f t="array" ref="C122">IFERROR(INDEX('testmo-export-repository'!$B$2:$X$1000,MATCH($B122,'testmo-export-repository'!$A$2:$A$1000,false),MATCH(C$2,'testmo-export-repository'!$B$1:$X$1,false)),"")</f>
        <v>Normal</v>
      </c>
      <c r="D122" s="60" t="str">
        <f t="array" ref="D122">IFERROR(INDEX('testmo-export-repository'!$B$2:$X$1000,MATCH($B122,'testmo-export-repository'!$A$2:$A$1000,false),MATCH(D$2,'testmo-export-repository'!$B$1:$X$1,false)),"")</f>
        <v>High</v>
      </c>
      <c r="E122" s="60">
        <f>IFERROR(VLOOKUP($C122,instructions!$N$3:$O$5,2,false),"")</f>
        <v>2</v>
      </c>
      <c r="F122" s="60">
        <f>IFERROR(VLOOKUP($D122,instructions!$N$3:$O$5,2,false),"")</f>
        <v>1</v>
      </c>
      <c r="G122" s="60" t="str">
        <f t="array" ref="G122">IFERROR(INDEX('testmo-export-repository'!$B$2:$X$1000,MATCH($B122,'testmo-export-repository'!$A$2:$A$1000,false),MATCH(G$2,'testmo-export-repository'!$B$1:$X$1,false)),"")</f>
        <v>Yes</v>
      </c>
      <c r="H122" s="60" t="str">
        <f t="array" ref="H122">IFERROR(INDEX('testmo-export-repository'!$B$2:$X$1000,MATCH($B122,'testmo-export-repository'!$A$2:$A$1000,false),MATCH(H$2,'testmo-export-repository'!$B$1:$X$1,false)),"")</f>
        <v>No</v>
      </c>
      <c r="I122" s="60" t="str">
        <f t="array" ref="I122">IFERROR(INDEX('testmo-export-repository'!$B$2:$X$1000,MATCH($B122,'testmo-export-repository'!$A$2:$A$1000,false),MATCH(I$2,'testmo-export-repository'!$B$1:$X$1,false)),"")</f>
        <v>Passed</v>
      </c>
      <c r="J122" s="60" t="str">
        <f t="array" ref="J122">IFERROR(INDEX('testmo-export-repository'!$B$2:$Y$1000,MATCH($B122,'testmo-export-repository'!$A$2:$A$1000,false),MATCH(J$2,'testmo-export-repository'!$B$1:$Y$1,false)),"")</f>
        <v>2.38</v>
      </c>
      <c r="K122" s="60" t="str">
        <f t="array" ref="K122">IFERROR(INDEX('testmo-export-repository'!$B$2:$Y$1000,MATCH($B122,'testmo-export-repository'!$A$2:$A$1000,false),MATCH(K$2,'testmo-export-repository'!$B$1:$Y$1,false)),"")</f>
        <v>BAS-808</v>
      </c>
    </row>
    <row r="123">
      <c r="B123" s="60">
        <f>'testmo-export-repository'!A122</f>
        <v>9386</v>
      </c>
      <c r="C123" s="60" t="str">
        <f t="array" ref="C123">IFERROR(INDEX('testmo-export-repository'!$B$2:$X$1000,MATCH($B123,'testmo-export-repository'!$A$2:$A$1000,false),MATCH(C$2,'testmo-export-repository'!$B$1:$X$1,false)),"")</f>
        <v>Normal</v>
      </c>
      <c r="D123" s="60" t="str">
        <f t="array" ref="D123">IFERROR(INDEX('testmo-export-repository'!$B$2:$X$1000,MATCH($B123,'testmo-export-repository'!$A$2:$A$1000,false),MATCH(D$2,'testmo-export-repository'!$B$1:$X$1,false)),"")</f>
        <v>Normal</v>
      </c>
      <c r="E123" s="60">
        <f>IFERROR(VLOOKUP($C123,instructions!$N$3:$O$5,2,false),"")</f>
        <v>2</v>
      </c>
      <c r="F123" s="60">
        <f>IFERROR(VLOOKUP($D123,instructions!$N$3:$O$5,2,false),"")</f>
        <v>2</v>
      </c>
      <c r="G123" s="60" t="str">
        <f t="array" ref="G123">IFERROR(INDEX('testmo-export-repository'!$B$2:$X$1000,MATCH($B123,'testmo-export-repository'!$A$2:$A$1000,false),MATCH(G$2,'testmo-export-repository'!$B$1:$X$1,false)),"")</f>
        <v>Yes</v>
      </c>
      <c r="H123" s="60" t="str">
        <f t="array" ref="H123">IFERROR(INDEX('testmo-export-repository'!$B$2:$X$1000,MATCH($B123,'testmo-export-repository'!$A$2:$A$1000,false),MATCH(H$2,'testmo-export-repository'!$B$1:$X$1,false)),"")</f>
        <v>No</v>
      </c>
      <c r="I123" s="60" t="str">
        <f t="array" ref="I123">IFERROR(INDEX('testmo-export-repository'!$B$2:$X$1000,MATCH($B123,'testmo-export-repository'!$A$2:$A$1000,false),MATCH(I$2,'testmo-export-repository'!$B$1:$X$1,false)),"")</f>
        <v>Passed</v>
      </c>
      <c r="J123" s="60" t="str">
        <f t="array" ref="J123">IFERROR(INDEX('testmo-export-repository'!$B$2:$Y$1000,MATCH($B123,'testmo-export-repository'!$A$2:$A$1000,false),MATCH(J$2,'testmo-export-repository'!$B$1:$Y$1,false)),"")</f>
        <v>2.38</v>
      </c>
      <c r="K123" s="60" t="str">
        <f t="array" ref="K123">IFERROR(INDEX('testmo-export-repository'!$B$2:$Y$1000,MATCH($B123,'testmo-export-repository'!$A$2:$A$1000,false),MATCH(K$2,'testmo-export-repository'!$B$1:$Y$1,false)),"")</f>
        <v>BAS-808</v>
      </c>
    </row>
    <row r="124">
      <c r="B124" s="60">
        <f>'testmo-export-repository'!A123</f>
        <v>9392</v>
      </c>
      <c r="C124" s="60" t="str">
        <f t="array" ref="C124">IFERROR(INDEX('testmo-export-repository'!$B$2:$X$1000,MATCH($B124,'testmo-export-repository'!$A$2:$A$1000,false),MATCH(C$2,'testmo-export-repository'!$B$1:$X$1,false)),"")</f>
        <v>High</v>
      </c>
      <c r="D124" s="60" t="str">
        <f t="array" ref="D124">IFERROR(INDEX('testmo-export-repository'!$B$2:$X$1000,MATCH($B124,'testmo-export-repository'!$A$2:$A$1000,false),MATCH(D$2,'testmo-export-repository'!$B$1:$X$1,false)),"")</f>
        <v>Normal</v>
      </c>
      <c r="E124" s="60">
        <f>IFERROR(VLOOKUP($C124,instructions!$N$3:$O$5,2,false),"")</f>
        <v>1</v>
      </c>
      <c r="F124" s="60">
        <f>IFERROR(VLOOKUP($D124,instructions!$N$3:$O$5,2,false),"")</f>
        <v>2</v>
      </c>
      <c r="G124" s="60" t="str">
        <f t="array" ref="G124">IFERROR(INDEX('testmo-export-repository'!$B$2:$X$1000,MATCH($B124,'testmo-export-repository'!$A$2:$A$1000,false),MATCH(G$2,'testmo-export-repository'!$B$1:$X$1,false)),"")</f>
        <v>Yes</v>
      </c>
      <c r="H124" s="60" t="str">
        <f t="array" ref="H124">IFERROR(INDEX('testmo-export-repository'!$B$2:$X$1000,MATCH($B124,'testmo-export-repository'!$A$2:$A$1000,false),MATCH(H$2,'testmo-export-repository'!$B$1:$X$1,false)),"")</f>
        <v>No</v>
      </c>
      <c r="I124" s="60" t="str">
        <f t="array" ref="I124">IFERROR(INDEX('testmo-export-repository'!$B$2:$X$1000,MATCH($B124,'testmo-export-repository'!$A$2:$A$1000,false),MATCH(I$2,'testmo-export-repository'!$B$1:$X$1,false)),"")</f>
        <v>Passed</v>
      </c>
      <c r="J124" s="60" t="str">
        <f t="array" ref="J124">IFERROR(INDEX('testmo-export-repository'!$B$2:$Y$1000,MATCH($B124,'testmo-export-repository'!$A$2:$A$1000,false),MATCH(J$2,'testmo-export-repository'!$B$1:$Y$1,false)),"")</f>
        <v>2.38</v>
      </c>
      <c r="K124" s="60" t="str">
        <f t="array" ref="K124">IFERROR(INDEX('testmo-export-repository'!$B$2:$Y$1000,MATCH($B124,'testmo-export-repository'!$A$2:$A$1000,false),MATCH(K$2,'testmo-export-repository'!$B$1:$Y$1,false)),"")</f>
        <v/>
      </c>
    </row>
    <row r="125">
      <c r="B125" s="60">
        <f>'testmo-export-repository'!A124</f>
        <v>20375</v>
      </c>
      <c r="C125" s="60" t="str">
        <f t="array" ref="C125">IFERROR(INDEX('testmo-export-repository'!$B$2:$X$1000,MATCH($B125,'testmo-export-repository'!$A$2:$A$1000,false),MATCH(C$2,'testmo-export-repository'!$B$1:$X$1,false)),"")</f>
        <v>Low</v>
      </c>
      <c r="D125" s="60" t="str">
        <f t="array" ref="D125">IFERROR(INDEX('testmo-export-repository'!$B$2:$X$1000,MATCH($B125,'testmo-export-repository'!$A$2:$A$1000,false),MATCH(D$2,'testmo-export-repository'!$B$1:$X$1,false)),"")</f>
        <v>Low</v>
      </c>
      <c r="E125" s="60">
        <f>IFERROR(VLOOKUP($C125,instructions!$N$3:$O$5,2,false),"")</f>
        <v>3</v>
      </c>
      <c r="F125" s="60">
        <f>IFERROR(VLOOKUP($D125,instructions!$N$3:$O$5,2,false),"")</f>
        <v>3</v>
      </c>
      <c r="G125" s="60" t="str">
        <f t="array" ref="G125">IFERROR(INDEX('testmo-export-repository'!$B$2:$X$1000,MATCH($B125,'testmo-export-repository'!$A$2:$A$1000,false),MATCH(G$2,'testmo-export-repository'!$B$1:$X$1,false)),"")</f>
        <v>Yes</v>
      </c>
      <c r="H125" s="60" t="str">
        <f t="array" ref="H125">IFERROR(INDEX('testmo-export-repository'!$B$2:$X$1000,MATCH($B125,'testmo-export-repository'!$A$2:$A$1000,false),MATCH(H$2,'testmo-export-repository'!$B$1:$X$1,false)),"")</f>
        <v>No</v>
      </c>
      <c r="I125" s="60" t="str">
        <f t="array" ref="I125">IFERROR(INDEX('testmo-export-repository'!$B$2:$X$1000,MATCH($B125,'testmo-export-repository'!$A$2:$A$1000,false),MATCH(I$2,'testmo-export-repository'!$B$1:$X$1,false)),"")</f>
        <v>Passed</v>
      </c>
      <c r="J125" s="60" t="str">
        <f t="array" ref="J125">IFERROR(INDEX('testmo-export-repository'!$B$2:$Y$1000,MATCH($B125,'testmo-export-repository'!$A$2:$A$1000,false),MATCH(J$2,'testmo-export-repository'!$B$1:$Y$1,false)),"")</f>
        <v>2.39</v>
      </c>
      <c r="K125" s="60" t="str">
        <f t="array" ref="K125">IFERROR(INDEX('testmo-export-repository'!$B$2:$Y$1000,MATCH($B125,'testmo-export-repository'!$A$2:$A$1000,false),MATCH(K$2,'testmo-export-repository'!$B$1:$Y$1,false)),"")</f>
        <v>BAS-836</v>
      </c>
    </row>
    <row r="126">
      <c r="B126" s="60">
        <f>'testmo-export-repository'!A125</f>
        <v>20384</v>
      </c>
      <c r="C126" s="60" t="str">
        <f t="array" ref="C126">IFERROR(INDEX('testmo-export-repository'!$B$2:$X$1000,MATCH($B126,'testmo-export-repository'!$A$2:$A$1000,false),MATCH(C$2,'testmo-export-repository'!$B$1:$X$1,false)),"")</f>
        <v>Normal</v>
      </c>
      <c r="D126" s="60" t="str">
        <f t="array" ref="D126">IFERROR(INDEX('testmo-export-repository'!$B$2:$X$1000,MATCH($B126,'testmo-export-repository'!$A$2:$A$1000,false),MATCH(D$2,'testmo-export-repository'!$B$1:$X$1,false)),"")</f>
        <v>High</v>
      </c>
      <c r="E126" s="60">
        <f>IFERROR(VLOOKUP($C126,instructions!$N$3:$O$5,2,false),"")</f>
        <v>2</v>
      </c>
      <c r="F126" s="60">
        <f>IFERROR(VLOOKUP($D126,instructions!$N$3:$O$5,2,false),"")</f>
        <v>1</v>
      </c>
      <c r="G126" s="60" t="str">
        <f t="array" ref="G126">IFERROR(INDEX('testmo-export-repository'!$B$2:$X$1000,MATCH($B126,'testmo-export-repository'!$A$2:$A$1000,false),MATCH(G$2,'testmo-export-repository'!$B$1:$X$1,false)),"")</f>
        <v>No</v>
      </c>
      <c r="H126" s="60" t="str">
        <f t="array" ref="H126">IFERROR(INDEX('testmo-export-repository'!$B$2:$X$1000,MATCH($B126,'testmo-export-repository'!$A$2:$A$1000,false),MATCH(H$2,'testmo-export-repository'!$B$1:$X$1,false)),"")</f>
        <v>No</v>
      </c>
      <c r="I126" s="60" t="str">
        <f t="array" ref="I126">IFERROR(INDEX('testmo-export-repository'!$B$2:$X$1000,MATCH($B126,'testmo-export-repository'!$A$2:$A$1000,false),MATCH(I$2,'testmo-export-repository'!$B$1:$X$1,false)),"")</f>
        <v>Passed</v>
      </c>
      <c r="J126" s="60" t="str">
        <f t="array" ref="J126">IFERROR(INDEX('testmo-export-repository'!$B$2:$Y$1000,MATCH($B126,'testmo-export-repository'!$A$2:$A$1000,false),MATCH(J$2,'testmo-export-repository'!$B$1:$Y$1,false)),"")</f>
        <v>2.39</v>
      </c>
      <c r="K126" s="60" t="str">
        <f t="array" ref="K126">IFERROR(INDEX('testmo-export-repository'!$B$2:$Y$1000,MATCH($B126,'testmo-export-repository'!$A$2:$A$1000,false),MATCH(K$2,'testmo-export-repository'!$B$1:$Y$1,false)),"")</f>
        <v>BAS-1073</v>
      </c>
    </row>
    <row r="127">
      <c r="B127" s="60">
        <f>'testmo-export-repository'!A126</f>
        <v>21430</v>
      </c>
      <c r="C127" s="60" t="str">
        <f t="array" ref="C127">IFERROR(INDEX('testmo-export-repository'!$B$2:$X$1000,MATCH($B127,'testmo-export-repository'!$A$2:$A$1000,false),MATCH(C$2,'testmo-export-repository'!$B$1:$X$1,false)),"")</f>
        <v>High</v>
      </c>
      <c r="D127" s="60" t="str">
        <f t="array" ref="D127">IFERROR(INDEX('testmo-export-repository'!$B$2:$X$1000,MATCH($B127,'testmo-export-repository'!$A$2:$A$1000,false),MATCH(D$2,'testmo-export-repository'!$B$1:$X$1,false)),"")</f>
        <v>High</v>
      </c>
      <c r="E127" s="60">
        <f>IFERROR(VLOOKUP($C127,instructions!$N$3:$O$5,2,false),"")</f>
        <v>1</v>
      </c>
      <c r="F127" s="60">
        <f>IFERROR(VLOOKUP($D127,instructions!$N$3:$O$5,2,false),"")</f>
        <v>1</v>
      </c>
      <c r="G127" s="60" t="str">
        <f t="array" ref="G127">IFERROR(INDEX('testmo-export-repository'!$B$2:$X$1000,MATCH($B127,'testmo-export-repository'!$A$2:$A$1000,false),MATCH(G$2,'testmo-export-repository'!$B$1:$X$1,false)),"")</f>
        <v>Yes</v>
      </c>
      <c r="H127" s="60" t="str">
        <f t="array" ref="H127">IFERROR(INDEX('testmo-export-repository'!$B$2:$X$1000,MATCH($B127,'testmo-export-repository'!$A$2:$A$1000,false),MATCH(H$2,'testmo-export-repository'!$B$1:$X$1,false)),"")</f>
        <v>No</v>
      </c>
      <c r="I127" s="60" t="str">
        <f t="array" ref="I127">IFERROR(INDEX('testmo-export-repository'!$B$2:$X$1000,MATCH($B127,'testmo-export-repository'!$A$2:$A$1000,false),MATCH(I$2,'testmo-export-repository'!$B$1:$X$1,false)),"")</f>
        <v>Passed</v>
      </c>
      <c r="J127" s="60" t="str">
        <f t="array" ref="J127">IFERROR(INDEX('testmo-export-repository'!$B$2:$Y$1000,MATCH($B127,'testmo-export-repository'!$A$2:$A$1000,false),MATCH(J$2,'testmo-export-repository'!$B$1:$Y$1,false)),"")</f>
        <v>2.39</v>
      </c>
      <c r="K127" s="60" t="str">
        <f t="array" ref="K127">IFERROR(INDEX('testmo-export-repository'!$B$2:$Y$1000,MATCH($B127,'testmo-export-repository'!$A$2:$A$1000,false),MATCH(K$2,'testmo-export-repository'!$B$1:$Y$1,false)),"")</f>
        <v>BAS-1075</v>
      </c>
    </row>
    <row r="128">
      <c r="B128" s="60">
        <f>'testmo-export-repository'!A127</f>
        <v>25802</v>
      </c>
      <c r="C128" s="60" t="str">
        <f t="array" ref="C128">IFERROR(INDEX('testmo-export-repository'!$B$2:$X$1000,MATCH($B128,'testmo-export-repository'!$A$2:$A$1000,false),MATCH(C$2,'testmo-export-repository'!$B$1:$X$1,false)),"")</f>
        <v>Normal</v>
      </c>
      <c r="D128" s="60" t="str">
        <f t="array" ref="D128">IFERROR(INDEX('testmo-export-repository'!$B$2:$X$1000,MATCH($B128,'testmo-export-repository'!$A$2:$A$1000,false),MATCH(D$2,'testmo-export-repository'!$B$1:$X$1,false)),"")</f>
        <v>Normal</v>
      </c>
      <c r="E128" s="60">
        <f>IFERROR(VLOOKUP($C128,instructions!$N$3:$O$5,2,false),"")</f>
        <v>2</v>
      </c>
      <c r="F128" s="60">
        <f>IFERROR(VLOOKUP($D128,instructions!$N$3:$O$5,2,false),"")</f>
        <v>2</v>
      </c>
      <c r="G128" s="60" t="str">
        <f t="array" ref="G128">IFERROR(INDEX('testmo-export-repository'!$B$2:$X$1000,MATCH($B128,'testmo-export-repository'!$A$2:$A$1000,false),MATCH(G$2,'testmo-export-repository'!$B$1:$X$1,false)),"")</f>
        <v>Yes</v>
      </c>
      <c r="H128" s="60" t="str">
        <f t="array" ref="H128">IFERROR(INDEX('testmo-export-repository'!$B$2:$X$1000,MATCH($B128,'testmo-export-repository'!$A$2:$A$1000,false),MATCH(H$2,'testmo-export-repository'!$B$1:$X$1,false)),"")</f>
        <v>No</v>
      </c>
      <c r="I128" s="60" t="str">
        <f t="array" ref="I128">IFERROR(INDEX('testmo-export-repository'!$B$2:$X$1000,MATCH($B128,'testmo-export-repository'!$A$2:$A$1000,false),MATCH(I$2,'testmo-export-repository'!$B$1:$X$1,false)),"")</f>
        <v/>
      </c>
      <c r="J128" s="60" t="str">
        <f t="array" ref="J128">IFERROR(INDEX('testmo-export-repository'!$B$2:$Y$1000,MATCH($B128,'testmo-export-repository'!$A$2:$A$1000,false),MATCH(J$2,'testmo-export-repository'!$B$1:$Y$1,false)),"")</f>
        <v/>
      </c>
      <c r="K128" s="60" t="str">
        <f t="array" ref="K128">IFERROR(INDEX('testmo-export-repository'!$B$2:$Y$1000,MATCH($B128,'testmo-export-repository'!$A$2:$A$1000,false),MATCH(K$2,'testmo-export-repository'!$B$1:$Y$1,false)),"")</f>
        <v>BAS-742</v>
      </c>
    </row>
    <row r="129">
      <c r="B129" s="60">
        <f>'testmo-export-repository'!A128</f>
        <v>28628</v>
      </c>
      <c r="C129" s="60" t="str">
        <f t="array" ref="C129">IFERROR(INDEX('testmo-export-repository'!$B$2:$X$1000,MATCH($B129,'testmo-export-repository'!$A$2:$A$1000,false),MATCH(C$2,'testmo-export-repository'!$B$1:$X$1,false)),"")</f>
        <v>Normal</v>
      </c>
      <c r="D129" s="60" t="str">
        <f t="array" ref="D129">IFERROR(INDEX('testmo-export-repository'!$B$2:$X$1000,MATCH($B129,'testmo-export-repository'!$A$2:$A$1000,false),MATCH(D$2,'testmo-export-repository'!$B$1:$X$1,false)),"")</f>
        <v/>
      </c>
      <c r="E129" s="60">
        <f>IFERROR(VLOOKUP($C129,instructions!$N$3:$O$5,2,false),"")</f>
        <v>2</v>
      </c>
      <c r="F129" s="60" t="str">
        <f>IFERROR(VLOOKUP($D129,instructions!$N$3:$O$5,2,false),"")</f>
        <v/>
      </c>
      <c r="G129" s="60" t="str">
        <f t="array" ref="G129">IFERROR(INDEX('testmo-export-repository'!$B$2:$X$1000,MATCH($B129,'testmo-export-repository'!$A$2:$A$1000,false),MATCH(G$2,'testmo-export-repository'!$B$1:$X$1,false)),"")</f>
        <v/>
      </c>
      <c r="H129" s="60" t="str">
        <f t="array" ref="H129">IFERROR(INDEX('testmo-export-repository'!$B$2:$X$1000,MATCH($B129,'testmo-export-repository'!$A$2:$A$1000,false),MATCH(H$2,'testmo-export-repository'!$B$1:$X$1,false)),"")</f>
        <v/>
      </c>
      <c r="I129" s="60" t="str">
        <f t="array" ref="I129">IFERROR(INDEX('testmo-export-repository'!$B$2:$X$1000,MATCH($B129,'testmo-export-repository'!$A$2:$A$1000,false),MATCH(I$2,'testmo-export-repository'!$B$1:$X$1,false)),"")</f>
        <v/>
      </c>
      <c r="J129" s="60" t="str">
        <f t="array" ref="J129">IFERROR(INDEX('testmo-export-repository'!$B$2:$Y$1000,MATCH($B129,'testmo-export-repository'!$A$2:$A$1000,false),MATCH(J$2,'testmo-export-repository'!$B$1:$Y$1,false)),"")</f>
        <v/>
      </c>
      <c r="K129" s="60" t="str">
        <f t="array" ref="K129">IFERROR(INDEX('testmo-export-repository'!$B$2:$Y$1000,MATCH($B129,'testmo-export-repository'!$A$2:$A$1000,false),MATCH(K$2,'testmo-export-repository'!$B$1:$Y$1,false)),"")</f>
        <v/>
      </c>
    </row>
    <row r="130">
      <c r="B130" s="60">
        <f>'testmo-export-repository'!A129</f>
        <v>28629</v>
      </c>
      <c r="C130" s="60" t="str">
        <f t="array" ref="C130">IFERROR(INDEX('testmo-export-repository'!$B$2:$X$1000,MATCH($B130,'testmo-export-repository'!$A$2:$A$1000,false),MATCH(C$2,'testmo-export-repository'!$B$1:$X$1,false)),"")</f>
        <v>High</v>
      </c>
      <c r="D130" s="60" t="str">
        <f t="array" ref="D130">IFERROR(INDEX('testmo-export-repository'!$B$2:$X$1000,MATCH($B130,'testmo-export-repository'!$A$2:$A$1000,false),MATCH(D$2,'testmo-export-repository'!$B$1:$X$1,false)),"")</f>
        <v>High</v>
      </c>
      <c r="E130" s="60">
        <f>IFERROR(VLOOKUP($C130,instructions!$N$3:$O$5,2,false),"")</f>
        <v>1</v>
      </c>
      <c r="F130" s="60">
        <f>IFERROR(VLOOKUP($D130,instructions!$N$3:$O$5,2,false),"")</f>
        <v>1</v>
      </c>
      <c r="G130" s="60" t="str">
        <f t="array" ref="G130">IFERROR(INDEX('testmo-export-repository'!$B$2:$X$1000,MATCH($B130,'testmo-export-repository'!$A$2:$A$1000,false),MATCH(G$2,'testmo-export-repository'!$B$1:$X$1,false)),"")</f>
        <v>Yes</v>
      </c>
      <c r="H130" s="60" t="str">
        <f t="array" ref="H130">IFERROR(INDEX('testmo-export-repository'!$B$2:$X$1000,MATCH($B130,'testmo-export-repository'!$A$2:$A$1000,false),MATCH(H$2,'testmo-export-repository'!$B$1:$X$1,false)),"")</f>
        <v>No</v>
      </c>
      <c r="I130" s="60" t="str">
        <f t="array" ref="I130">IFERROR(INDEX('testmo-export-repository'!$B$2:$X$1000,MATCH($B130,'testmo-export-repository'!$A$2:$A$1000,false),MATCH(I$2,'testmo-export-repository'!$B$1:$X$1,false)),"")</f>
        <v/>
      </c>
      <c r="J130" s="60" t="str">
        <f t="array" ref="J130">IFERROR(INDEX('testmo-export-repository'!$B$2:$Y$1000,MATCH($B130,'testmo-export-repository'!$A$2:$A$1000,false),MATCH(J$2,'testmo-export-repository'!$B$1:$Y$1,false)),"")</f>
        <v/>
      </c>
      <c r="K130" s="60" t="str">
        <f t="array" ref="K130">IFERROR(INDEX('testmo-export-repository'!$B$2:$Y$1000,MATCH($B130,'testmo-export-repository'!$A$2:$A$1000,false),MATCH(K$2,'testmo-export-repository'!$B$1:$Y$1,false)),"")</f>
        <v>BAS-1316</v>
      </c>
    </row>
    <row r="131">
      <c r="B131" s="60">
        <f>'testmo-export-repository'!A130</f>
        <v>26628</v>
      </c>
      <c r="C131" s="60" t="str">
        <f t="array" ref="C131">IFERROR(INDEX('testmo-export-repository'!$B$2:$X$1000,MATCH($B131,'testmo-export-repository'!$A$2:$A$1000,false),MATCH(C$2,'testmo-export-repository'!$B$1:$X$1,false)),"")</f>
        <v>Normal</v>
      </c>
      <c r="D131" s="60" t="str">
        <f t="array" ref="D131">IFERROR(INDEX('testmo-export-repository'!$B$2:$X$1000,MATCH($B131,'testmo-export-repository'!$A$2:$A$1000,false),MATCH(D$2,'testmo-export-repository'!$B$1:$X$1,false)),"")</f>
        <v/>
      </c>
      <c r="E131" s="60">
        <f>IFERROR(VLOOKUP($C131,instructions!$N$3:$O$5,2,false),"")</f>
        <v>2</v>
      </c>
      <c r="F131" s="60" t="str">
        <f>IFERROR(VLOOKUP($D131,instructions!$N$3:$O$5,2,false),"")</f>
        <v/>
      </c>
      <c r="G131" s="60" t="str">
        <f t="array" ref="G131">IFERROR(INDEX('testmo-export-repository'!$B$2:$X$1000,MATCH($B131,'testmo-export-repository'!$A$2:$A$1000,false),MATCH(G$2,'testmo-export-repository'!$B$1:$X$1,false)),"")</f>
        <v/>
      </c>
      <c r="H131" s="60" t="str">
        <f t="array" ref="H131">IFERROR(INDEX('testmo-export-repository'!$B$2:$X$1000,MATCH($B131,'testmo-export-repository'!$A$2:$A$1000,false),MATCH(H$2,'testmo-export-repository'!$B$1:$X$1,false)),"")</f>
        <v/>
      </c>
      <c r="I131" s="60" t="str">
        <f t="array" ref="I131">IFERROR(INDEX('testmo-export-repository'!$B$2:$X$1000,MATCH($B131,'testmo-export-repository'!$A$2:$A$1000,false),MATCH(I$2,'testmo-export-repository'!$B$1:$X$1,false)),"")</f>
        <v/>
      </c>
      <c r="J131" s="60" t="str">
        <f t="array" ref="J131">IFERROR(INDEX('testmo-export-repository'!$B$2:$Y$1000,MATCH($B131,'testmo-export-repository'!$A$2:$A$1000,false),MATCH(J$2,'testmo-export-repository'!$B$1:$Y$1,false)),"")</f>
        <v/>
      </c>
      <c r="K131" s="60" t="str">
        <f t="array" ref="K131">IFERROR(INDEX('testmo-export-repository'!$B$2:$Y$1000,MATCH($B131,'testmo-export-repository'!$A$2:$A$1000,false),MATCH(K$2,'testmo-export-repository'!$B$1:$Y$1,false)),"")</f>
        <v/>
      </c>
    </row>
    <row r="132">
      <c r="B132" s="60">
        <f>'testmo-export-repository'!A131</f>
        <v>28624</v>
      </c>
      <c r="C132" s="60" t="str">
        <f t="array" ref="C132">IFERROR(INDEX('testmo-export-repository'!$B$2:$X$1000,MATCH($B132,'testmo-export-repository'!$A$2:$A$1000,false),MATCH(C$2,'testmo-export-repository'!$B$1:$X$1,false)),"")</f>
        <v>Normal</v>
      </c>
      <c r="D132" s="60" t="str">
        <f t="array" ref="D132">IFERROR(INDEX('testmo-export-repository'!$B$2:$X$1000,MATCH($B132,'testmo-export-repository'!$A$2:$A$1000,false),MATCH(D$2,'testmo-export-repository'!$B$1:$X$1,false)),"")</f>
        <v>Normal</v>
      </c>
      <c r="E132" s="60">
        <f>IFERROR(VLOOKUP($C132,instructions!$N$3:$O$5,2,false),"")</f>
        <v>2</v>
      </c>
      <c r="F132" s="60">
        <f>IFERROR(VLOOKUP($D132,instructions!$N$3:$O$5,2,false),"")</f>
        <v>2</v>
      </c>
      <c r="G132" s="60" t="str">
        <f t="array" ref="G132">IFERROR(INDEX('testmo-export-repository'!$B$2:$X$1000,MATCH($B132,'testmo-export-repository'!$A$2:$A$1000,false),MATCH(G$2,'testmo-export-repository'!$B$1:$X$1,false)),"")</f>
        <v>Yes</v>
      </c>
      <c r="H132" s="60" t="str">
        <f t="array" ref="H132">IFERROR(INDEX('testmo-export-repository'!$B$2:$X$1000,MATCH($B132,'testmo-export-repository'!$A$2:$A$1000,false),MATCH(H$2,'testmo-export-repository'!$B$1:$X$1,false)),"")</f>
        <v>No</v>
      </c>
      <c r="I132" s="60" t="str">
        <f t="array" ref="I132">IFERROR(INDEX('testmo-export-repository'!$B$2:$X$1000,MATCH($B132,'testmo-export-repository'!$A$2:$A$1000,false),MATCH(I$2,'testmo-export-repository'!$B$1:$X$1,false)),"")</f>
        <v/>
      </c>
      <c r="J132" s="60" t="str">
        <f t="array" ref="J132">IFERROR(INDEX('testmo-export-repository'!$B$2:$Y$1000,MATCH($B132,'testmo-export-repository'!$A$2:$A$1000,false),MATCH(J$2,'testmo-export-repository'!$B$1:$Y$1,false)),"")</f>
        <v>"2.41"</v>
      </c>
      <c r="K132" s="60" t="str">
        <f t="array" ref="K132">IFERROR(INDEX('testmo-export-repository'!$B$2:$Y$1000,MATCH($B132,'testmo-export-repository'!$A$2:$A$1000,false),MATCH(K$2,'testmo-export-repository'!$B$1:$Y$1,false)),"")</f>
        <v>BAS-1175</v>
      </c>
    </row>
    <row r="133">
      <c r="B133" s="60">
        <f>'testmo-export-repository'!A132</f>
        <v>28625</v>
      </c>
      <c r="C133" s="60" t="str">
        <f t="array" ref="C133">IFERROR(INDEX('testmo-export-repository'!$B$2:$X$1000,MATCH($B133,'testmo-export-repository'!$A$2:$A$1000,false),MATCH(C$2,'testmo-export-repository'!$B$1:$X$1,false)),"")</f>
        <v>Normal</v>
      </c>
      <c r="D133" s="60" t="str">
        <f t="array" ref="D133">IFERROR(INDEX('testmo-export-repository'!$B$2:$X$1000,MATCH($B133,'testmo-export-repository'!$A$2:$A$1000,false),MATCH(D$2,'testmo-export-repository'!$B$1:$X$1,false)),"")</f>
        <v>Normal</v>
      </c>
      <c r="E133" s="60">
        <f>IFERROR(VLOOKUP($C133,instructions!$N$3:$O$5,2,false),"")</f>
        <v>2</v>
      </c>
      <c r="F133" s="60">
        <f>IFERROR(VLOOKUP($D133,instructions!$N$3:$O$5,2,false),"")</f>
        <v>2</v>
      </c>
      <c r="G133" s="60" t="str">
        <f t="array" ref="G133">IFERROR(INDEX('testmo-export-repository'!$B$2:$X$1000,MATCH($B133,'testmo-export-repository'!$A$2:$A$1000,false),MATCH(G$2,'testmo-export-repository'!$B$1:$X$1,false)),"")</f>
        <v>Yes</v>
      </c>
      <c r="H133" s="60" t="str">
        <f t="array" ref="H133">IFERROR(INDEX('testmo-export-repository'!$B$2:$X$1000,MATCH($B133,'testmo-export-repository'!$A$2:$A$1000,false),MATCH(H$2,'testmo-export-repository'!$B$1:$X$1,false)),"")</f>
        <v>No</v>
      </c>
      <c r="I133" s="60" t="str">
        <f t="array" ref="I133">IFERROR(INDEX('testmo-export-repository'!$B$2:$X$1000,MATCH($B133,'testmo-export-repository'!$A$2:$A$1000,false),MATCH(I$2,'testmo-export-repository'!$B$1:$X$1,false)),"")</f>
        <v/>
      </c>
      <c r="J133" s="60" t="str">
        <f t="array" ref="J133">IFERROR(INDEX('testmo-export-repository'!$B$2:$Y$1000,MATCH($B133,'testmo-export-repository'!$A$2:$A$1000,false),MATCH(J$2,'testmo-export-repository'!$B$1:$Y$1,false)),"")</f>
        <v>"2.41"</v>
      </c>
      <c r="K133" s="60" t="str">
        <f t="array" ref="K133">IFERROR(INDEX('testmo-export-repository'!$B$2:$Y$1000,MATCH($B133,'testmo-export-repository'!$A$2:$A$1000,false),MATCH(K$2,'testmo-export-repository'!$B$1:$Y$1,false)),"")</f>
        <v>BAS-1175</v>
      </c>
    </row>
    <row r="134">
      <c r="B134" s="60">
        <f>'testmo-export-repository'!A133</f>
        <v>28626</v>
      </c>
      <c r="C134" s="60" t="str">
        <f t="array" ref="C134">IFERROR(INDEX('testmo-export-repository'!$B$2:$X$1000,MATCH($B134,'testmo-export-repository'!$A$2:$A$1000,false),MATCH(C$2,'testmo-export-repository'!$B$1:$X$1,false)),"")</f>
        <v>Normal</v>
      </c>
      <c r="D134" s="60" t="str">
        <f t="array" ref="D134">IFERROR(INDEX('testmo-export-repository'!$B$2:$X$1000,MATCH($B134,'testmo-export-repository'!$A$2:$A$1000,false),MATCH(D$2,'testmo-export-repository'!$B$1:$X$1,false)),"")</f>
        <v>Low</v>
      </c>
      <c r="E134" s="60">
        <f>IFERROR(VLOOKUP($C134,instructions!$N$3:$O$5,2,false),"")</f>
        <v>2</v>
      </c>
      <c r="F134" s="60">
        <f>IFERROR(VLOOKUP($D134,instructions!$N$3:$O$5,2,false),"")</f>
        <v>3</v>
      </c>
      <c r="G134" s="60" t="str">
        <f t="array" ref="G134">IFERROR(INDEX('testmo-export-repository'!$B$2:$X$1000,MATCH($B134,'testmo-export-repository'!$A$2:$A$1000,false),MATCH(G$2,'testmo-export-repository'!$B$1:$X$1,false)),"")</f>
        <v>Yes</v>
      </c>
      <c r="H134" s="60" t="str">
        <f t="array" ref="H134">IFERROR(INDEX('testmo-export-repository'!$B$2:$X$1000,MATCH($B134,'testmo-export-repository'!$A$2:$A$1000,false),MATCH(H$2,'testmo-export-repository'!$B$1:$X$1,false)),"")</f>
        <v>No</v>
      </c>
      <c r="I134" s="60" t="str">
        <f t="array" ref="I134">IFERROR(INDEX('testmo-export-repository'!$B$2:$X$1000,MATCH($B134,'testmo-export-repository'!$A$2:$A$1000,false),MATCH(I$2,'testmo-export-repository'!$B$1:$X$1,false)),"")</f>
        <v/>
      </c>
      <c r="J134" s="60" t="str">
        <f t="array" ref="J134">IFERROR(INDEX('testmo-export-repository'!$B$2:$Y$1000,MATCH($B134,'testmo-export-repository'!$A$2:$A$1000,false),MATCH(J$2,'testmo-export-repository'!$B$1:$Y$1,false)),"")</f>
        <v>"2.41"</v>
      </c>
      <c r="K134" s="60" t="str">
        <f t="array" ref="K134">IFERROR(INDEX('testmo-export-repository'!$B$2:$Y$1000,MATCH($B134,'testmo-export-repository'!$A$2:$A$1000,false),MATCH(K$2,'testmo-export-repository'!$B$1:$Y$1,false)),"")</f>
        <v>BAS-1337</v>
      </c>
    </row>
    <row r="135">
      <c r="B135" s="60">
        <f>'testmo-export-repository'!A134</f>
        <v>28627</v>
      </c>
      <c r="C135" s="60" t="str">
        <f t="array" ref="C135">IFERROR(INDEX('testmo-export-repository'!$B$2:$X$1000,MATCH($B135,'testmo-export-repository'!$A$2:$A$1000,false),MATCH(C$2,'testmo-export-repository'!$B$1:$X$1,false)),"")</f>
        <v>Normal</v>
      </c>
      <c r="D135" s="60" t="str">
        <f t="array" ref="D135">IFERROR(INDEX('testmo-export-repository'!$B$2:$X$1000,MATCH($B135,'testmo-export-repository'!$A$2:$A$1000,false),MATCH(D$2,'testmo-export-repository'!$B$1:$X$1,false)),"")</f>
        <v>Low</v>
      </c>
      <c r="E135" s="60">
        <f>IFERROR(VLOOKUP($C135,instructions!$N$3:$O$5,2,false),"")</f>
        <v>2</v>
      </c>
      <c r="F135" s="60">
        <f>IFERROR(VLOOKUP($D135,instructions!$N$3:$O$5,2,false),"")</f>
        <v>3</v>
      </c>
      <c r="G135" s="60" t="str">
        <f t="array" ref="G135">IFERROR(INDEX('testmo-export-repository'!$B$2:$X$1000,MATCH($B135,'testmo-export-repository'!$A$2:$A$1000,false),MATCH(G$2,'testmo-export-repository'!$B$1:$X$1,false)),"")</f>
        <v>Yes</v>
      </c>
      <c r="H135" s="60" t="str">
        <f t="array" ref="H135">IFERROR(INDEX('testmo-export-repository'!$B$2:$X$1000,MATCH($B135,'testmo-export-repository'!$A$2:$A$1000,false),MATCH(H$2,'testmo-export-repository'!$B$1:$X$1,false)),"")</f>
        <v>No</v>
      </c>
      <c r="I135" s="60" t="str">
        <f t="array" ref="I135">IFERROR(INDEX('testmo-export-repository'!$B$2:$X$1000,MATCH($B135,'testmo-export-repository'!$A$2:$A$1000,false),MATCH(I$2,'testmo-export-repository'!$B$1:$X$1,false)),"")</f>
        <v/>
      </c>
      <c r="J135" s="60" t="str">
        <f t="array" ref="J135">IFERROR(INDEX('testmo-export-repository'!$B$2:$Y$1000,MATCH($B135,'testmo-export-repository'!$A$2:$A$1000,false),MATCH(J$2,'testmo-export-repository'!$B$1:$Y$1,false)),"")</f>
        <v>"2.41"</v>
      </c>
      <c r="K135" s="60" t="str">
        <f t="array" ref="K135">IFERROR(INDEX('testmo-export-repository'!$B$2:$Y$1000,MATCH($B135,'testmo-export-repository'!$A$2:$A$1000,false),MATCH(K$2,'testmo-export-repository'!$B$1:$Y$1,false)),"")</f>
        <v>BAS-1337</v>
      </c>
    </row>
    <row r="136">
      <c r="B136" s="60">
        <f>'testmo-export-repository'!A135</f>
        <v>28756</v>
      </c>
      <c r="C136" s="60" t="str">
        <f t="array" ref="C136">IFERROR(INDEX('testmo-export-repository'!$B$2:$X$1000,MATCH($B136,'testmo-export-repository'!$A$2:$A$1000,false),MATCH(C$2,'testmo-export-repository'!$B$1:$X$1,false)),"")</f>
        <v>Normal</v>
      </c>
      <c r="D136" s="60" t="str">
        <f t="array" ref="D136">IFERROR(INDEX('testmo-export-repository'!$B$2:$X$1000,MATCH($B136,'testmo-export-repository'!$A$2:$A$1000,false),MATCH(D$2,'testmo-export-repository'!$B$1:$X$1,false)),"")</f>
        <v/>
      </c>
      <c r="E136" s="60">
        <f>IFERROR(VLOOKUP($C136,instructions!$N$3:$O$5,2,false),"")</f>
        <v>2</v>
      </c>
      <c r="F136" s="60" t="str">
        <f>IFERROR(VLOOKUP($D136,instructions!$N$3:$O$5,2,false),"")</f>
        <v/>
      </c>
      <c r="G136" s="60" t="str">
        <f t="array" ref="G136">IFERROR(INDEX('testmo-export-repository'!$B$2:$X$1000,MATCH($B136,'testmo-export-repository'!$A$2:$A$1000,false),MATCH(G$2,'testmo-export-repository'!$B$1:$X$1,false)),"")</f>
        <v/>
      </c>
      <c r="H136" s="60" t="str">
        <f t="array" ref="H136">IFERROR(INDEX('testmo-export-repository'!$B$2:$X$1000,MATCH($B136,'testmo-export-repository'!$A$2:$A$1000,false),MATCH(H$2,'testmo-export-repository'!$B$1:$X$1,false)),"")</f>
        <v/>
      </c>
      <c r="I136" s="60" t="str">
        <f t="array" ref="I136">IFERROR(INDEX('testmo-export-repository'!$B$2:$X$1000,MATCH($B136,'testmo-export-repository'!$A$2:$A$1000,false),MATCH(I$2,'testmo-export-repository'!$B$1:$X$1,false)),"")</f>
        <v/>
      </c>
      <c r="J136" s="60" t="str">
        <f t="array" ref="J136">IFERROR(INDEX('testmo-export-repository'!$B$2:$Y$1000,MATCH($B136,'testmo-export-repository'!$A$2:$A$1000,false),MATCH(J$2,'testmo-export-repository'!$B$1:$Y$1,false)),"")</f>
        <v/>
      </c>
      <c r="K136" s="60" t="str">
        <f t="array" ref="K136">IFERROR(INDEX('testmo-export-repository'!$B$2:$Y$1000,MATCH($B136,'testmo-export-repository'!$A$2:$A$1000,false),MATCH(K$2,'testmo-export-repository'!$B$1:$Y$1,false)),"")</f>
        <v/>
      </c>
    </row>
    <row r="137">
      <c r="B137" s="60">
        <f>'testmo-export-repository'!A136</f>
        <v>28757</v>
      </c>
      <c r="C137" s="60" t="str">
        <f t="array" ref="C137">IFERROR(INDEX('testmo-export-repository'!$B$2:$X$1000,MATCH($B137,'testmo-export-repository'!$A$2:$A$1000,false),MATCH(C$2,'testmo-export-repository'!$B$1:$X$1,false)),"")</f>
        <v>Normal</v>
      </c>
      <c r="D137" s="60" t="str">
        <f t="array" ref="D137">IFERROR(INDEX('testmo-export-repository'!$B$2:$X$1000,MATCH($B137,'testmo-export-repository'!$A$2:$A$1000,false),MATCH(D$2,'testmo-export-repository'!$B$1:$X$1,false)),"")</f>
        <v/>
      </c>
      <c r="E137" s="60">
        <f>IFERROR(VLOOKUP($C137,instructions!$N$3:$O$5,2,false),"")</f>
        <v>2</v>
      </c>
      <c r="F137" s="60" t="str">
        <f>IFERROR(VLOOKUP($D137,instructions!$N$3:$O$5,2,false),"")</f>
        <v/>
      </c>
      <c r="G137" s="60" t="str">
        <f t="array" ref="G137">IFERROR(INDEX('testmo-export-repository'!$B$2:$X$1000,MATCH($B137,'testmo-export-repository'!$A$2:$A$1000,false),MATCH(G$2,'testmo-export-repository'!$B$1:$X$1,false)),"")</f>
        <v/>
      </c>
      <c r="H137" s="60" t="str">
        <f t="array" ref="H137">IFERROR(INDEX('testmo-export-repository'!$B$2:$X$1000,MATCH($B137,'testmo-export-repository'!$A$2:$A$1000,false),MATCH(H$2,'testmo-export-repository'!$B$1:$X$1,false)),"")</f>
        <v/>
      </c>
      <c r="I137" s="60" t="str">
        <f t="array" ref="I137">IFERROR(INDEX('testmo-export-repository'!$B$2:$X$1000,MATCH($B137,'testmo-export-repository'!$A$2:$A$1000,false),MATCH(I$2,'testmo-export-repository'!$B$1:$X$1,false)),"")</f>
        <v/>
      </c>
      <c r="J137" s="60" t="str">
        <f t="array" ref="J137">IFERROR(INDEX('testmo-export-repository'!$B$2:$Y$1000,MATCH($B137,'testmo-export-repository'!$A$2:$A$1000,false),MATCH(J$2,'testmo-export-repository'!$B$1:$Y$1,false)),"")</f>
        <v/>
      </c>
      <c r="K137" s="60" t="str">
        <f t="array" ref="K137">IFERROR(INDEX('testmo-export-repository'!$B$2:$Y$1000,MATCH($B137,'testmo-export-repository'!$A$2:$A$1000,false),MATCH(K$2,'testmo-export-repository'!$B$1:$Y$1,false)),"")</f>
        <v/>
      </c>
    </row>
    <row r="138">
      <c r="B138" s="60">
        <f>'testmo-export-repository'!A137</f>
        <v>28758</v>
      </c>
      <c r="C138" s="60" t="str">
        <f t="array" ref="C138">IFERROR(INDEX('testmo-export-repository'!$B$2:$X$1000,MATCH($B138,'testmo-export-repository'!$A$2:$A$1000,false),MATCH(C$2,'testmo-export-repository'!$B$1:$X$1,false)),"")</f>
        <v>Normal</v>
      </c>
      <c r="D138" s="60" t="str">
        <f t="array" ref="D138">IFERROR(INDEX('testmo-export-repository'!$B$2:$X$1000,MATCH($B138,'testmo-export-repository'!$A$2:$A$1000,false),MATCH(D$2,'testmo-export-repository'!$B$1:$X$1,false)),"")</f>
        <v/>
      </c>
      <c r="E138" s="60">
        <f>IFERROR(VLOOKUP($C138,instructions!$N$3:$O$5,2,false),"")</f>
        <v>2</v>
      </c>
      <c r="F138" s="60" t="str">
        <f>IFERROR(VLOOKUP($D138,instructions!$N$3:$O$5,2,false),"")</f>
        <v/>
      </c>
      <c r="G138" s="60" t="str">
        <f t="array" ref="G138">IFERROR(INDEX('testmo-export-repository'!$B$2:$X$1000,MATCH($B138,'testmo-export-repository'!$A$2:$A$1000,false),MATCH(G$2,'testmo-export-repository'!$B$1:$X$1,false)),"")</f>
        <v/>
      </c>
      <c r="H138" s="60" t="str">
        <f t="array" ref="H138">IFERROR(INDEX('testmo-export-repository'!$B$2:$X$1000,MATCH($B138,'testmo-export-repository'!$A$2:$A$1000,false),MATCH(H$2,'testmo-export-repository'!$B$1:$X$1,false)),"")</f>
        <v/>
      </c>
      <c r="I138" s="60" t="str">
        <f t="array" ref="I138">IFERROR(INDEX('testmo-export-repository'!$B$2:$X$1000,MATCH($B138,'testmo-export-repository'!$A$2:$A$1000,false),MATCH(I$2,'testmo-export-repository'!$B$1:$X$1,false)),"")</f>
        <v/>
      </c>
      <c r="J138" s="60" t="str">
        <f t="array" ref="J138">IFERROR(INDEX('testmo-export-repository'!$B$2:$Y$1000,MATCH($B138,'testmo-export-repository'!$A$2:$A$1000,false),MATCH(J$2,'testmo-export-repository'!$B$1:$Y$1,false)),"")</f>
        <v/>
      </c>
      <c r="K138" s="60" t="str">
        <f t="array" ref="K138">IFERROR(INDEX('testmo-export-repository'!$B$2:$Y$1000,MATCH($B138,'testmo-export-repository'!$A$2:$A$1000,false),MATCH(K$2,'testmo-export-repository'!$B$1:$Y$1,false)),"")</f>
        <v/>
      </c>
    </row>
    <row r="139">
      <c r="B139" s="60">
        <f>'testmo-export-repository'!A138</f>
        <v>28759</v>
      </c>
      <c r="C139" s="60" t="str">
        <f t="array" ref="C139">IFERROR(INDEX('testmo-export-repository'!$B$2:$X$1000,MATCH($B139,'testmo-export-repository'!$A$2:$A$1000,false),MATCH(C$2,'testmo-export-repository'!$B$1:$X$1,false)),"")</f>
        <v>Normal</v>
      </c>
      <c r="D139" s="60" t="str">
        <f t="array" ref="D139">IFERROR(INDEX('testmo-export-repository'!$B$2:$X$1000,MATCH($B139,'testmo-export-repository'!$A$2:$A$1000,false),MATCH(D$2,'testmo-export-repository'!$B$1:$X$1,false)),"")</f>
        <v/>
      </c>
      <c r="E139" s="60">
        <f>IFERROR(VLOOKUP($C139,instructions!$N$3:$O$5,2,false),"")</f>
        <v>2</v>
      </c>
      <c r="F139" s="60" t="str">
        <f>IFERROR(VLOOKUP($D139,instructions!$N$3:$O$5,2,false),"")</f>
        <v/>
      </c>
      <c r="G139" s="60" t="str">
        <f t="array" ref="G139">IFERROR(INDEX('testmo-export-repository'!$B$2:$X$1000,MATCH($B139,'testmo-export-repository'!$A$2:$A$1000,false),MATCH(G$2,'testmo-export-repository'!$B$1:$X$1,false)),"")</f>
        <v/>
      </c>
      <c r="H139" s="60" t="str">
        <f t="array" ref="H139">IFERROR(INDEX('testmo-export-repository'!$B$2:$X$1000,MATCH($B139,'testmo-export-repository'!$A$2:$A$1000,false),MATCH(H$2,'testmo-export-repository'!$B$1:$X$1,false)),"")</f>
        <v/>
      </c>
      <c r="I139" s="60" t="str">
        <f t="array" ref="I139">IFERROR(INDEX('testmo-export-repository'!$B$2:$X$1000,MATCH($B139,'testmo-export-repository'!$A$2:$A$1000,false),MATCH(I$2,'testmo-export-repository'!$B$1:$X$1,false)),"")</f>
        <v/>
      </c>
      <c r="J139" s="60" t="str">
        <f t="array" ref="J139">IFERROR(INDEX('testmo-export-repository'!$B$2:$Y$1000,MATCH($B139,'testmo-export-repository'!$A$2:$A$1000,false),MATCH(J$2,'testmo-export-repository'!$B$1:$Y$1,false)),"")</f>
        <v/>
      </c>
      <c r="K139" s="60" t="str">
        <f t="array" ref="K139">IFERROR(INDEX('testmo-export-repository'!$B$2:$Y$1000,MATCH($B139,'testmo-export-repository'!$A$2:$A$1000,false),MATCH(K$2,'testmo-export-repository'!$B$1:$Y$1,false)),"")</f>
        <v/>
      </c>
    </row>
    <row r="140">
      <c r="B140" s="60">
        <f>'testmo-export-repository'!A139</f>
        <v>1101</v>
      </c>
      <c r="C140" s="60" t="str">
        <f t="array" ref="C140">IFERROR(INDEX('testmo-export-repository'!$B$2:$X$1000,MATCH($B140,'testmo-export-repository'!$A$2:$A$1000,false),MATCH(C$2,'testmo-export-repository'!$B$1:$X$1,false)),"")</f>
        <v>Normal</v>
      </c>
      <c r="D140" s="60" t="str">
        <f t="array" ref="D140">IFERROR(INDEX('testmo-export-repository'!$B$2:$X$1000,MATCH($B140,'testmo-export-repository'!$A$2:$A$1000,false),MATCH(D$2,'testmo-export-repository'!$B$1:$X$1,false)),"")</f>
        <v/>
      </c>
      <c r="E140" s="60">
        <f>IFERROR(VLOOKUP($C140,instructions!$N$3:$O$5,2,false),"")</f>
        <v>2</v>
      </c>
      <c r="F140" s="60" t="str">
        <f>IFERROR(VLOOKUP($D140,instructions!$N$3:$O$5,2,false),"")</f>
        <v/>
      </c>
      <c r="G140" s="60" t="str">
        <f t="array" ref="G140">IFERROR(INDEX('testmo-export-repository'!$B$2:$X$1000,MATCH($B140,'testmo-export-repository'!$A$2:$A$1000,false),MATCH(G$2,'testmo-export-repository'!$B$1:$X$1,false)),"")</f>
        <v/>
      </c>
      <c r="H140" s="60" t="str">
        <f t="array" ref="H140">IFERROR(INDEX('testmo-export-repository'!$B$2:$X$1000,MATCH($B140,'testmo-export-repository'!$A$2:$A$1000,false),MATCH(H$2,'testmo-export-repository'!$B$1:$X$1,false)),"")</f>
        <v/>
      </c>
      <c r="I140" s="60" t="str">
        <f t="array" ref="I140">IFERROR(INDEX('testmo-export-repository'!$B$2:$X$1000,MATCH($B140,'testmo-export-repository'!$A$2:$A$1000,false),MATCH(I$2,'testmo-export-repository'!$B$1:$X$1,false)),"")</f>
        <v/>
      </c>
      <c r="J140" s="60" t="str">
        <f t="array" ref="J140">IFERROR(INDEX('testmo-export-repository'!$B$2:$Y$1000,MATCH($B140,'testmo-export-repository'!$A$2:$A$1000,false),MATCH(J$2,'testmo-export-repository'!$B$1:$Y$1,false)),"")</f>
        <v/>
      </c>
      <c r="K140" s="60" t="str">
        <f t="array" ref="K140">IFERROR(INDEX('testmo-export-repository'!$B$2:$Y$1000,MATCH($B140,'testmo-export-repository'!$A$2:$A$1000,false),MATCH(K$2,'testmo-export-repository'!$B$1:$Y$1,false)),"")</f>
        <v>BAS-421</v>
      </c>
    </row>
    <row r="141">
      <c r="B141" s="60">
        <f>'testmo-export-repository'!A140</f>
        <v>1102</v>
      </c>
      <c r="C141" s="60" t="str">
        <f t="array" ref="C141">IFERROR(INDEX('testmo-export-repository'!$B$2:$X$1000,MATCH($B141,'testmo-export-repository'!$A$2:$A$1000,false),MATCH(C$2,'testmo-export-repository'!$B$1:$X$1,false)),"")</f>
        <v>Normal</v>
      </c>
      <c r="D141" s="60" t="str">
        <f t="array" ref="D141">IFERROR(INDEX('testmo-export-repository'!$B$2:$X$1000,MATCH($B141,'testmo-export-repository'!$A$2:$A$1000,false),MATCH(D$2,'testmo-export-repository'!$B$1:$X$1,false)),"")</f>
        <v/>
      </c>
      <c r="E141" s="60">
        <f>IFERROR(VLOOKUP($C141,instructions!$N$3:$O$5,2,false),"")</f>
        <v>2</v>
      </c>
      <c r="F141" s="60" t="str">
        <f>IFERROR(VLOOKUP($D141,instructions!$N$3:$O$5,2,false),"")</f>
        <v/>
      </c>
      <c r="G141" s="60" t="str">
        <f t="array" ref="G141">IFERROR(INDEX('testmo-export-repository'!$B$2:$X$1000,MATCH($B141,'testmo-export-repository'!$A$2:$A$1000,false),MATCH(G$2,'testmo-export-repository'!$B$1:$X$1,false)),"")</f>
        <v/>
      </c>
      <c r="H141" s="60" t="str">
        <f t="array" ref="H141">IFERROR(INDEX('testmo-export-repository'!$B$2:$X$1000,MATCH($B141,'testmo-export-repository'!$A$2:$A$1000,false),MATCH(H$2,'testmo-export-repository'!$B$1:$X$1,false)),"")</f>
        <v/>
      </c>
      <c r="I141" s="60" t="str">
        <f t="array" ref="I141">IFERROR(INDEX('testmo-export-repository'!$B$2:$X$1000,MATCH($B141,'testmo-export-repository'!$A$2:$A$1000,false),MATCH(I$2,'testmo-export-repository'!$B$1:$X$1,false)),"")</f>
        <v/>
      </c>
      <c r="J141" s="60" t="str">
        <f t="array" ref="J141">IFERROR(INDEX('testmo-export-repository'!$B$2:$Y$1000,MATCH($B141,'testmo-export-repository'!$A$2:$A$1000,false),MATCH(J$2,'testmo-export-repository'!$B$1:$Y$1,false)),"")</f>
        <v/>
      </c>
      <c r="K141" s="60" t="str">
        <f t="array" ref="K141">IFERROR(INDEX('testmo-export-repository'!$B$2:$Y$1000,MATCH($B141,'testmo-export-repository'!$A$2:$A$1000,false),MATCH(K$2,'testmo-export-repository'!$B$1:$Y$1,false)),"")</f>
        <v>BAS-421</v>
      </c>
    </row>
    <row r="142">
      <c r="B142" s="60">
        <f>'testmo-export-repository'!A141</f>
        <v>1103</v>
      </c>
      <c r="C142" s="60" t="str">
        <f t="array" ref="C142">IFERROR(INDEX('testmo-export-repository'!$B$2:$X$1000,MATCH($B142,'testmo-export-repository'!$A$2:$A$1000,false),MATCH(C$2,'testmo-export-repository'!$B$1:$X$1,false)),"")</f>
        <v>Normal</v>
      </c>
      <c r="D142" s="60" t="str">
        <f t="array" ref="D142">IFERROR(INDEX('testmo-export-repository'!$B$2:$X$1000,MATCH($B142,'testmo-export-repository'!$A$2:$A$1000,false),MATCH(D$2,'testmo-export-repository'!$B$1:$X$1,false)),"")</f>
        <v/>
      </c>
      <c r="E142" s="60">
        <f>IFERROR(VLOOKUP($C142,instructions!$N$3:$O$5,2,false),"")</f>
        <v>2</v>
      </c>
      <c r="F142" s="60" t="str">
        <f>IFERROR(VLOOKUP($D142,instructions!$N$3:$O$5,2,false),"")</f>
        <v/>
      </c>
      <c r="G142" s="60" t="str">
        <f t="array" ref="G142">IFERROR(INDEX('testmo-export-repository'!$B$2:$X$1000,MATCH($B142,'testmo-export-repository'!$A$2:$A$1000,false),MATCH(G$2,'testmo-export-repository'!$B$1:$X$1,false)),"")</f>
        <v/>
      </c>
      <c r="H142" s="60" t="str">
        <f t="array" ref="H142">IFERROR(INDEX('testmo-export-repository'!$B$2:$X$1000,MATCH($B142,'testmo-export-repository'!$A$2:$A$1000,false),MATCH(H$2,'testmo-export-repository'!$B$1:$X$1,false)),"")</f>
        <v/>
      </c>
      <c r="I142" s="60" t="str">
        <f t="array" ref="I142">IFERROR(INDEX('testmo-export-repository'!$B$2:$X$1000,MATCH($B142,'testmo-export-repository'!$A$2:$A$1000,false),MATCH(I$2,'testmo-export-repository'!$B$1:$X$1,false)),"")</f>
        <v/>
      </c>
      <c r="J142" s="60" t="str">
        <f t="array" ref="J142">IFERROR(INDEX('testmo-export-repository'!$B$2:$Y$1000,MATCH($B142,'testmo-export-repository'!$A$2:$A$1000,false),MATCH(J$2,'testmo-export-repository'!$B$1:$Y$1,false)),"")</f>
        <v/>
      </c>
      <c r="K142" s="60" t="str">
        <f t="array" ref="K142">IFERROR(INDEX('testmo-export-repository'!$B$2:$Y$1000,MATCH($B142,'testmo-export-repository'!$A$2:$A$1000,false),MATCH(K$2,'testmo-export-repository'!$B$1:$Y$1,false)),"")</f>
        <v>BAS-421</v>
      </c>
    </row>
    <row r="143">
      <c r="B143" s="60">
        <f>'testmo-export-repository'!A142</f>
        <v>1104</v>
      </c>
      <c r="C143" s="60" t="str">
        <f t="array" ref="C143">IFERROR(INDEX('testmo-export-repository'!$B$2:$X$1000,MATCH($B143,'testmo-export-repository'!$A$2:$A$1000,false),MATCH(C$2,'testmo-export-repository'!$B$1:$X$1,false)),"")</f>
        <v>Normal</v>
      </c>
      <c r="D143" s="60" t="str">
        <f t="array" ref="D143">IFERROR(INDEX('testmo-export-repository'!$B$2:$X$1000,MATCH($B143,'testmo-export-repository'!$A$2:$A$1000,false),MATCH(D$2,'testmo-export-repository'!$B$1:$X$1,false)),"")</f>
        <v/>
      </c>
      <c r="E143" s="60">
        <f>IFERROR(VLOOKUP($C143,instructions!$N$3:$O$5,2,false),"")</f>
        <v>2</v>
      </c>
      <c r="F143" s="60" t="str">
        <f>IFERROR(VLOOKUP($D143,instructions!$N$3:$O$5,2,false),"")</f>
        <v/>
      </c>
      <c r="G143" s="60" t="str">
        <f t="array" ref="G143">IFERROR(INDEX('testmo-export-repository'!$B$2:$X$1000,MATCH($B143,'testmo-export-repository'!$A$2:$A$1000,false),MATCH(G$2,'testmo-export-repository'!$B$1:$X$1,false)),"")</f>
        <v/>
      </c>
      <c r="H143" s="60" t="str">
        <f t="array" ref="H143">IFERROR(INDEX('testmo-export-repository'!$B$2:$X$1000,MATCH($B143,'testmo-export-repository'!$A$2:$A$1000,false),MATCH(H$2,'testmo-export-repository'!$B$1:$X$1,false)),"")</f>
        <v/>
      </c>
      <c r="I143" s="60" t="str">
        <f t="array" ref="I143">IFERROR(INDEX('testmo-export-repository'!$B$2:$X$1000,MATCH($B143,'testmo-export-repository'!$A$2:$A$1000,false),MATCH(I$2,'testmo-export-repository'!$B$1:$X$1,false)),"")</f>
        <v/>
      </c>
      <c r="J143" s="60" t="str">
        <f t="array" ref="J143">IFERROR(INDEX('testmo-export-repository'!$B$2:$Y$1000,MATCH($B143,'testmo-export-repository'!$A$2:$A$1000,false),MATCH(J$2,'testmo-export-repository'!$B$1:$Y$1,false)),"")</f>
        <v/>
      </c>
      <c r="K143" s="60" t="str">
        <f t="array" ref="K143">IFERROR(INDEX('testmo-export-repository'!$B$2:$Y$1000,MATCH($B143,'testmo-export-repository'!$A$2:$A$1000,false),MATCH(K$2,'testmo-export-repository'!$B$1:$Y$1,false)),"")</f>
        <v>BAS-421</v>
      </c>
    </row>
    <row r="144">
      <c r="B144" s="60">
        <f>'testmo-export-repository'!A143</f>
        <v>1105</v>
      </c>
      <c r="C144" s="60" t="str">
        <f t="array" ref="C144">IFERROR(INDEX('testmo-export-repository'!$B$2:$X$1000,MATCH($B144,'testmo-export-repository'!$A$2:$A$1000,false),MATCH(C$2,'testmo-export-repository'!$B$1:$X$1,false)),"")</f>
        <v>Normal</v>
      </c>
      <c r="D144" s="60" t="str">
        <f t="array" ref="D144">IFERROR(INDEX('testmo-export-repository'!$B$2:$X$1000,MATCH($B144,'testmo-export-repository'!$A$2:$A$1000,false),MATCH(D$2,'testmo-export-repository'!$B$1:$X$1,false)),"")</f>
        <v/>
      </c>
      <c r="E144" s="60">
        <f>IFERROR(VLOOKUP($C144,instructions!$N$3:$O$5,2,false),"")</f>
        <v>2</v>
      </c>
      <c r="F144" s="60" t="str">
        <f>IFERROR(VLOOKUP($D144,instructions!$N$3:$O$5,2,false),"")</f>
        <v/>
      </c>
      <c r="G144" s="60" t="str">
        <f t="array" ref="G144">IFERROR(INDEX('testmo-export-repository'!$B$2:$X$1000,MATCH($B144,'testmo-export-repository'!$A$2:$A$1000,false),MATCH(G$2,'testmo-export-repository'!$B$1:$X$1,false)),"")</f>
        <v/>
      </c>
      <c r="H144" s="60" t="str">
        <f t="array" ref="H144">IFERROR(INDEX('testmo-export-repository'!$B$2:$X$1000,MATCH($B144,'testmo-export-repository'!$A$2:$A$1000,false),MATCH(H$2,'testmo-export-repository'!$B$1:$X$1,false)),"")</f>
        <v/>
      </c>
      <c r="I144" s="60" t="str">
        <f t="array" ref="I144">IFERROR(INDEX('testmo-export-repository'!$B$2:$X$1000,MATCH($B144,'testmo-export-repository'!$A$2:$A$1000,false),MATCH(I$2,'testmo-export-repository'!$B$1:$X$1,false)),"")</f>
        <v/>
      </c>
      <c r="J144" s="60" t="str">
        <f t="array" ref="J144">IFERROR(INDEX('testmo-export-repository'!$B$2:$Y$1000,MATCH($B144,'testmo-export-repository'!$A$2:$A$1000,false),MATCH(J$2,'testmo-export-repository'!$B$1:$Y$1,false)),"")</f>
        <v/>
      </c>
      <c r="K144" s="60" t="str">
        <f t="array" ref="K144">IFERROR(INDEX('testmo-export-repository'!$B$2:$Y$1000,MATCH($B144,'testmo-export-repository'!$A$2:$A$1000,false),MATCH(K$2,'testmo-export-repository'!$B$1:$Y$1,false)),"")</f>
        <v>BAS-421</v>
      </c>
    </row>
    <row r="145">
      <c r="B145" s="60">
        <f>'testmo-export-repository'!A144</f>
        <v>1106</v>
      </c>
      <c r="C145" s="60" t="str">
        <f t="array" ref="C145">IFERROR(INDEX('testmo-export-repository'!$B$2:$X$1000,MATCH($B145,'testmo-export-repository'!$A$2:$A$1000,false),MATCH(C$2,'testmo-export-repository'!$B$1:$X$1,false)),"")</f>
        <v>Normal</v>
      </c>
      <c r="D145" s="60" t="str">
        <f t="array" ref="D145">IFERROR(INDEX('testmo-export-repository'!$B$2:$X$1000,MATCH($B145,'testmo-export-repository'!$A$2:$A$1000,false),MATCH(D$2,'testmo-export-repository'!$B$1:$X$1,false)),"")</f>
        <v/>
      </c>
      <c r="E145" s="60">
        <f>IFERROR(VLOOKUP($C145,instructions!$N$3:$O$5,2,false),"")</f>
        <v>2</v>
      </c>
      <c r="F145" s="60" t="str">
        <f>IFERROR(VLOOKUP($D145,instructions!$N$3:$O$5,2,false),"")</f>
        <v/>
      </c>
      <c r="G145" s="60" t="str">
        <f t="array" ref="G145">IFERROR(INDEX('testmo-export-repository'!$B$2:$X$1000,MATCH($B145,'testmo-export-repository'!$A$2:$A$1000,false),MATCH(G$2,'testmo-export-repository'!$B$1:$X$1,false)),"")</f>
        <v/>
      </c>
      <c r="H145" s="60" t="str">
        <f t="array" ref="H145">IFERROR(INDEX('testmo-export-repository'!$B$2:$X$1000,MATCH($B145,'testmo-export-repository'!$A$2:$A$1000,false),MATCH(H$2,'testmo-export-repository'!$B$1:$X$1,false)),"")</f>
        <v/>
      </c>
      <c r="I145" s="60" t="str">
        <f t="array" ref="I145">IFERROR(INDEX('testmo-export-repository'!$B$2:$X$1000,MATCH($B145,'testmo-export-repository'!$A$2:$A$1000,false),MATCH(I$2,'testmo-export-repository'!$B$1:$X$1,false)),"")</f>
        <v/>
      </c>
      <c r="J145" s="60" t="str">
        <f t="array" ref="J145">IFERROR(INDEX('testmo-export-repository'!$B$2:$Y$1000,MATCH($B145,'testmo-export-repository'!$A$2:$A$1000,false),MATCH(J$2,'testmo-export-repository'!$B$1:$Y$1,false)),"")</f>
        <v/>
      </c>
      <c r="K145" s="60" t="str">
        <f t="array" ref="K145">IFERROR(INDEX('testmo-export-repository'!$B$2:$Y$1000,MATCH($B145,'testmo-export-repository'!$A$2:$A$1000,false),MATCH(K$2,'testmo-export-repository'!$B$1:$Y$1,false)),"")</f>
        <v>BAS-421</v>
      </c>
    </row>
    <row r="146">
      <c r="B146" s="60">
        <f>'testmo-export-repository'!A145</f>
        <v>1107</v>
      </c>
      <c r="C146" s="60" t="str">
        <f t="array" ref="C146">IFERROR(INDEX('testmo-export-repository'!$B$2:$X$1000,MATCH($B146,'testmo-export-repository'!$A$2:$A$1000,false),MATCH(C$2,'testmo-export-repository'!$B$1:$X$1,false)),"")</f>
        <v>Normal</v>
      </c>
      <c r="D146" s="60" t="str">
        <f t="array" ref="D146">IFERROR(INDEX('testmo-export-repository'!$B$2:$X$1000,MATCH($B146,'testmo-export-repository'!$A$2:$A$1000,false),MATCH(D$2,'testmo-export-repository'!$B$1:$X$1,false)),"")</f>
        <v/>
      </c>
      <c r="E146" s="60">
        <f>IFERROR(VLOOKUP($C146,instructions!$N$3:$O$5,2,false),"")</f>
        <v>2</v>
      </c>
      <c r="F146" s="60" t="str">
        <f>IFERROR(VLOOKUP($D146,instructions!$N$3:$O$5,2,false),"")</f>
        <v/>
      </c>
      <c r="G146" s="60" t="str">
        <f t="array" ref="G146">IFERROR(INDEX('testmo-export-repository'!$B$2:$X$1000,MATCH($B146,'testmo-export-repository'!$A$2:$A$1000,false),MATCH(G$2,'testmo-export-repository'!$B$1:$X$1,false)),"")</f>
        <v/>
      </c>
      <c r="H146" s="60" t="str">
        <f t="array" ref="H146">IFERROR(INDEX('testmo-export-repository'!$B$2:$X$1000,MATCH($B146,'testmo-export-repository'!$A$2:$A$1000,false),MATCH(H$2,'testmo-export-repository'!$B$1:$X$1,false)),"")</f>
        <v/>
      </c>
      <c r="I146" s="60" t="str">
        <f t="array" ref="I146">IFERROR(INDEX('testmo-export-repository'!$B$2:$X$1000,MATCH($B146,'testmo-export-repository'!$A$2:$A$1000,false),MATCH(I$2,'testmo-export-repository'!$B$1:$X$1,false)),"")</f>
        <v/>
      </c>
      <c r="J146" s="60" t="str">
        <f t="array" ref="J146">IFERROR(INDEX('testmo-export-repository'!$B$2:$Y$1000,MATCH($B146,'testmo-export-repository'!$A$2:$A$1000,false),MATCH(J$2,'testmo-export-repository'!$B$1:$Y$1,false)),"")</f>
        <v/>
      </c>
      <c r="K146" s="60" t="str">
        <f t="array" ref="K146">IFERROR(INDEX('testmo-export-repository'!$B$2:$Y$1000,MATCH($B146,'testmo-export-repository'!$A$2:$A$1000,false),MATCH(K$2,'testmo-export-repository'!$B$1:$Y$1,false)),"")</f>
        <v>BAS-423</v>
      </c>
    </row>
    <row r="147">
      <c r="B147" s="60">
        <f>'testmo-export-repository'!A146</f>
        <v>1108</v>
      </c>
      <c r="C147" s="60" t="str">
        <f t="array" ref="C147">IFERROR(INDEX('testmo-export-repository'!$B$2:$X$1000,MATCH($B147,'testmo-export-repository'!$A$2:$A$1000,false),MATCH(C$2,'testmo-export-repository'!$B$1:$X$1,false)),"")</f>
        <v>Normal</v>
      </c>
      <c r="D147" s="60" t="str">
        <f t="array" ref="D147">IFERROR(INDEX('testmo-export-repository'!$B$2:$X$1000,MATCH($B147,'testmo-export-repository'!$A$2:$A$1000,false),MATCH(D$2,'testmo-export-repository'!$B$1:$X$1,false)),"")</f>
        <v/>
      </c>
      <c r="E147" s="60">
        <f>IFERROR(VLOOKUP($C147,instructions!$N$3:$O$5,2,false),"")</f>
        <v>2</v>
      </c>
      <c r="F147" s="60" t="str">
        <f>IFERROR(VLOOKUP($D147,instructions!$N$3:$O$5,2,false),"")</f>
        <v/>
      </c>
      <c r="G147" s="60" t="str">
        <f t="array" ref="G147">IFERROR(INDEX('testmo-export-repository'!$B$2:$X$1000,MATCH($B147,'testmo-export-repository'!$A$2:$A$1000,false),MATCH(G$2,'testmo-export-repository'!$B$1:$X$1,false)),"")</f>
        <v/>
      </c>
      <c r="H147" s="60" t="str">
        <f t="array" ref="H147">IFERROR(INDEX('testmo-export-repository'!$B$2:$X$1000,MATCH($B147,'testmo-export-repository'!$A$2:$A$1000,false),MATCH(H$2,'testmo-export-repository'!$B$1:$X$1,false)),"")</f>
        <v/>
      </c>
      <c r="I147" s="60" t="str">
        <f t="array" ref="I147">IFERROR(INDEX('testmo-export-repository'!$B$2:$X$1000,MATCH($B147,'testmo-export-repository'!$A$2:$A$1000,false),MATCH(I$2,'testmo-export-repository'!$B$1:$X$1,false)),"")</f>
        <v/>
      </c>
      <c r="J147" s="60" t="str">
        <f t="array" ref="J147">IFERROR(INDEX('testmo-export-repository'!$B$2:$Y$1000,MATCH($B147,'testmo-export-repository'!$A$2:$A$1000,false),MATCH(J$2,'testmo-export-repository'!$B$1:$Y$1,false)),"")</f>
        <v/>
      </c>
      <c r="K147" s="60" t="str">
        <f t="array" ref="K147">IFERROR(INDEX('testmo-export-repository'!$B$2:$Y$1000,MATCH($B147,'testmo-export-repository'!$A$2:$A$1000,false),MATCH(K$2,'testmo-export-repository'!$B$1:$Y$1,false)),"")</f>
        <v>BAS-423</v>
      </c>
    </row>
    <row r="148">
      <c r="B148" s="60">
        <f>'testmo-export-repository'!A147</f>
        <v>9395</v>
      </c>
      <c r="C148" s="60" t="str">
        <f t="array" ref="C148">IFERROR(INDEX('testmo-export-repository'!$B$2:$X$1000,MATCH($B148,'testmo-export-repository'!$A$2:$A$1000,false),MATCH(C$2,'testmo-export-repository'!$B$1:$X$1,false)),"")</f>
        <v>Low</v>
      </c>
      <c r="D148" s="60" t="str">
        <f t="array" ref="D148">IFERROR(INDEX('testmo-export-repository'!$B$2:$X$1000,MATCH($B148,'testmo-export-repository'!$A$2:$A$1000,false),MATCH(D$2,'testmo-export-repository'!$B$1:$X$1,false)),"")</f>
        <v>Low</v>
      </c>
      <c r="E148" s="60">
        <f>IFERROR(VLOOKUP($C148,instructions!$N$3:$O$5,2,false),"")</f>
        <v>3</v>
      </c>
      <c r="F148" s="60">
        <f>IFERROR(VLOOKUP($D148,instructions!$N$3:$O$5,2,false),"")</f>
        <v>3</v>
      </c>
      <c r="G148" s="60" t="str">
        <f t="array" ref="G148">IFERROR(INDEX('testmo-export-repository'!$B$2:$X$1000,MATCH($B148,'testmo-export-repository'!$A$2:$A$1000,false),MATCH(G$2,'testmo-export-repository'!$B$1:$X$1,false)),"")</f>
        <v>Yes</v>
      </c>
      <c r="H148" s="60" t="str">
        <f t="array" ref="H148">IFERROR(INDEX('testmo-export-repository'!$B$2:$X$1000,MATCH($B148,'testmo-export-repository'!$A$2:$A$1000,false),MATCH(H$2,'testmo-export-repository'!$B$1:$X$1,false)),"")</f>
        <v>No</v>
      </c>
      <c r="I148" s="60" t="str">
        <f t="array" ref="I148">IFERROR(INDEX('testmo-export-repository'!$B$2:$X$1000,MATCH($B148,'testmo-export-repository'!$A$2:$A$1000,false),MATCH(I$2,'testmo-export-repository'!$B$1:$X$1,false)),"")</f>
        <v/>
      </c>
      <c r="J148" s="60" t="str">
        <f t="array" ref="J148">IFERROR(INDEX('testmo-export-repository'!$B$2:$Y$1000,MATCH($B148,'testmo-export-repository'!$A$2:$A$1000,false),MATCH(J$2,'testmo-export-repository'!$B$1:$Y$1,false)),"")</f>
        <v>2.28</v>
      </c>
      <c r="K148" s="60" t="str">
        <f t="array" ref="K148">IFERROR(INDEX('testmo-export-repository'!$B$2:$Y$1000,MATCH($B148,'testmo-export-repository'!$A$2:$A$1000,false),MATCH(K$2,'testmo-export-repository'!$B$1:$Y$1,false)),"")</f>
        <v>BAS-1004</v>
      </c>
    </row>
    <row r="149">
      <c r="B149" s="60">
        <f>'testmo-export-repository'!A148</f>
        <v>9382</v>
      </c>
      <c r="C149" s="60" t="str">
        <f t="array" ref="C149">IFERROR(INDEX('testmo-export-repository'!$B$2:$X$1000,MATCH($B149,'testmo-export-repository'!$A$2:$A$1000,false),MATCH(C$2,'testmo-export-repository'!$B$1:$X$1,false)),"")</f>
        <v>High</v>
      </c>
      <c r="D149" s="60" t="str">
        <f t="array" ref="D149">IFERROR(INDEX('testmo-export-repository'!$B$2:$X$1000,MATCH($B149,'testmo-export-repository'!$A$2:$A$1000,false),MATCH(D$2,'testmo-export-repository'!$B$1:$X$1,false)),"")</f>
        <v>Normal</v>
      </c>
      <c r="E149" s="60">
        <f>IFERROR(VLOOKUP($C149,instructions!$N$3:$O$5,2,false),"")</f>
        <v>1</v>
      </c>
      <c r="F149" s="60">
        <f>IFERROR(VLOOKUP($D149,instructions!$N$3:$O$5,2,false),"")</f>
        <v>2</v>
      </c>
      <c r="G149" s="60" t="str">
        <f t="array" ref="G149">IFERROR(INDEX('testmo-export-repository'!$B$2:$X$1000,MATCH($B149,'testmo-export-repository'!$A$2:$A$1000,false),MATCH(G$2,'testmo-export-repository'!$B$1:$X$1,false)),"")</f>
        <v>Yes</v>
      </c>
      <c r="H149" s="60" t="str">
        <f t="array" ref="H149">IFERROR(INDEX('testmo-export-repository'!$B$2:$X$1000,MATCH($B149,'testmo-export-repository'!$A$2:$A$1000,false),MATCH(H$2,'testmo-export-repository'!$B$1:$X$1,false)),"")</f>
        <v>No</v>
      </c>
      <c r="I149" s="60" t="str">
        <f t="array" ref="I149">IFERROR(INDEX('testmo-export-repository'!$B$2:$X$1000,MATCH($B149,'testmo-export-repository'!$A$2:$A$1000,false),MATCH(I$2,'testmo-export-repository'!$B$1:$X$1,false)),"")</f>
        <v>Passed</v>
      </c>
      <c r="J149" s="60" t="str">
        <f t="array" ref="J149">IFERROR(INDEX('testmo-export-repository'!$B$2:$Y$1000,MATCH($B149,'testmo-export-repository'!$A$2:$A$1000,false),MATCH(J$2,'testmo-export-repository'!$B$1:$Y$1,false)),"")</f>
        <v>2.38</v>
      </c>
      <c r="K149" s="60" t="str">
        <f t="array" ref="K149">IFERROR(INDEX('testmo-export-repository'!$B$2:$Y$1000,MATCH($B149,'testmo-export-repository'!$A$2:$A$1000,false),MATCH(K$2,'testmo-export-repository'!$B$1:$Y$1,false)),"")</f>
        <v>BAS-807</v>
      </c>
    </row>
    <row r="150">
      <c r="B150" s="60">
        <f>'testmo-export-repository'!A149</f>
        <v>9383</v>
      </c>
      <c r="C150" s="60" t="str">
        <f t="array" ref="C150">IFERROR(INDEX('testmo-export-repository'!$B$2:$X$1000,MATCH($B150,'testmo-export-repository'!$A$2:$A$1000,false),MATCH(C$2,'testmo-export-repository'!$B$1:$X$1,false)),"")</f>
        <v>High</v>
      </c>
      <c r="D150" s="60" t="str">
        <f t="array" ref="D150">IFERROR(INDEX('testmo-export-repository'!$B$2:$X$1000,MATCH($B150,'testmo-export-repository'!$A$2:$A$1000,false),MATCH(D$2,'testmo-export-repository'!$B$1:$X$1,false)),"")</f>
        <v>Normal</v>
      </c>
      <c r="E150" s="60">
        <f>IFERROR(VLOOKUP($C150,instructions!$N$3:$O$5,2,false),"")</f>
        <v>1</v>
      </c>
      <c r="F150" s="60">
        <f>IFERROR(VLOOKUP($D150,instructions!$N$3:$O$5,2,false),"")</f>
        <v>2</v>
      </c>
      <c r="G150" s="60" t="str">
        <f t="array" ref="G150">IFERROR(INDEX('testmo-export-repository'!$B$2:$X$1000,MATCH($B150,'testmo-export-repository'!$A$2:$A$1000,false),MATCH(G$2,'testmo-export-repository'!$B$1:$X$1,false)),"")</f>
        <v>Yes</v>
      </c>
      <c r="H150" s="60" t="str">
        <f t="array" ref="H150">IFERROR(INDEX('testmo-export-repository'!$B$2:$X$1000,MATCH($B150,'testmo-export-repository'!$A$2:$A$1000,false),MATCH(H$2,'testmo-export-repository'!$B$1:$X$1,false)),"")</f>
        <v>No</v>
      </c>
      <c r="I150" s="60" t="str">
        <f t="array" ref="I150">IFERROR(INDEX('testmo-export-repository'!$B$2:$X$1000,MATCH($B150,'testmo-export-repository'!$A$2:$A$1000,false),MATCH(I$2,'testmo-export-repository'!$B$1:$X$1,false)),"")</f>
        <v>Passed</v>
      </c>
      <c r="J150" s="60" t="str">
        <f t="array" ref="J150">IFERROR(INDEX('testmo-export-repository'!$B$2:$Y$1000,MATCH($B150,'testmo-export-repository'!$A$2:$A$1000,false),MATCH(J$2,'testmo-export-repository'!$B$1:$Y$1,false)),"")</f>
        <v>2.38</v>
      </c>
      <c r="K150" s="60" t="str">
        <f t="array" ref="K150">IFERROR(INDEX('testmo-export-repository'!$B$2:$Y$1000,MATCH($B150,'testmo-export-repository'!$A$2:$A$1000,false),MATCH(K$2,'testmo-export-repository'!$B$1:$Y$1,false)),"")</f>
        <v>BAS-807</v>
      </c>
    </row>
    <row r="151">
      <c r="B151" s="60">
        <f>'testmo-export-repository'!A150</f>
        <v>9384</v>
      </c>
      <c r="C151" s="60" t="str">
        <f t="array" ref="C151">IFERROR(INDEX('testmo-export-repository'!$B$2:$X$1000,MATCH($B151,'testmo-export-repository'!$A$2:$A$1000,false),MATCH(C$2,'testmo-export-repository'!$B$1:$X$1,false)),"")</f>
        <v>High</v>
      </c>
      <c r="D151" s="60" t="str">
        <f t="array" ref="D151">IFERROR(INDEX('testmo-export-repository'!$B$2:$X$1000,MATCH($B151,'testmo-export-repository'!$A$2:$A$1000,false),MATCH(D$2,'testmo-export-repository'!$B$1:$X$1,false)),"")</f>
        <v>Normal</v>
      </c>
      <c r="E151" s="60">
        <f>IFERROR(VLOOKUP($C151,instructions!$N$3:$O$5,2,false),"")</f>
        <v>1</v>
      </c>
      <c r="F151" s="60">
        <f>IFERROR(VLOOKUP($D151,instructions!$N$3:$O$5,2,false),"")</f>
        <v>2</v>
      </c>
      <c r="G151" s="60" t="str">
        <f t="array" ref="G151">IFERROR(INDEX('testmo-export-repository'!$B$2:$X$1000,MATCH($B151,'testmo-export-repository'!$A$2:$A$1000,false),MATCH(G$2,'testmo-export-repository'!$B$1:$X$1,false)),"")</f>
        <v>Yes</v>
      </c>
      <c r="H151" s="60" t="str">
        <f t="array" ref="H151">IFERROR(INDEX('testmo-export-repository'!$B$2:$X$1000,MATCH($B151,'testmo-export-repository'!$A$2:$A$1000,false),MATCH(H$2,'testmo-export-repository'!$B$1:$X$1,false)),"")</f>
        <v>No</v>
      </c>
      <c r="I151" s="60" t="str">
        <f t="array" ref="I151">IFERROR(INDEX('testmo-export-repository'!$B$2:$X$1000,MATCH($B151,'testmo-export-repository'!$A$2:$A$1000,false),MATCH(I$2,'testmo-export-repository'!$B$1:$X$1,false)),"")</f>
        <v>Passed</v>
      </c>
      <c r="J151" s="60" t="str">
        <f t="array" ref="J151">IFERROR(INDEX('testmo-export-repository'!$B$2:$Y$1000,MATCH($B151,'testmo-export-repository'!$A$2:$A$1000,false),MATCH(J$2,'testmo-export-repository'!$B$1:$Y$1,false)),"")</f>
        <v>2.38</v>
      </c>
      <c r="K151" s="60" t="str">
        <f t="array" ref="K151">IFERROR(INDEX('testmo-export-repository'!$B$2:$Y$1000,MATCH($B151,'testmo-export-repository'!$A$2:$A$1000,false),MATCH(K$2,'testmo-export-repository'!$B$1:$Y$1,false)),"")</f>
        <v>BAS-807</v>
      </c>
    </row>
    <row r="152">
      <c r="B152" s="60">
        <f>'testmo-export-repository'!A151</f>
        <v>9387</v>
      </c>
      <c r="C152" s="60" t="str">
        <f t="array" ref="C152">IFERROR(INDEX('testmo-export-repository'!$B$2:$X$1000,MATCH($B152,'testmo-export-repository'!$A$2:$A$1000,false),MATCH(C$2,'testmo-export-repository'!$B$1:$X$1,false)),"")</f>
        <v>High</v>
      </c>
      <c r="D152" s="60" t="str">
        <f t="array" ref="D152">IFERROR(INDEX('testmo-export-repository'!$B$2:$X$1000,MATCH($B152,'testmo-export-repository'!$A$2:$A$1000,false),MATCH(D$2,'testmo-export-repository'!$B$1:$X$1,false)),"")</f>
        <v>Low</v>
      </c>
      <c r="E152" s="60">
        <f>IFERROR(VLOOKUP($C152,instructions!$N$3:$O$5,2,false),"")</f>
        <v>1</v>
      </c>
      <c r="F152" s="60">
        <f>IFERROR(VLOOKUP($D152,instructions!$N$3:$O$5,2,false),"")</f>
        <v>3</v>
      </c>
      <c r="G152" s="60" t="str">
        <f t="array" ref="G152">IFERROR(INDEX('testmo-export-repository'!$B$2:$X$1000,MATCH($B152,'testmo-export-repository'!$A$2:$A$1000,false),MATCH(G$2,'testmo-export-repository'!$B$1:$X$1,false)),"")</f>
        <v>Yes</v>
      </c>
      <c r="H152" s="60" t="str">
        <f t="array" ref="H152">IFERROR(INDEX('testmo-export-repository'!$B$2:$X$1000,MATCH($B152,'testmo-export-repository'!$A$2:$A$1000,false),MATCH(H$2,'testmo-export-repository'!$B$1:$X$1,false)),"")</f>
        <v>No</v>
      </c>
      <c r="I152" s="60" t="str">
        <f t="array" ref="I152">IFERROR(INDEX('testmo-export-repository'!$B$2:$X$1000,MATCH($B152,'testmo-export-repository'!$A$2:$A$1000,false),MATCH(I$2,'testmo-export-repository'!$B$1:$X$1,false)),"")</f>
        <v>Passed</v>
      </c>
      <c r="J152" s="60" t="str">
        <f t="array" ref="J152">IFERROR(INDEX('testmo-export-repository'!$B$2:$Y$1000,MATCH($B152,'testmo-export-repository'!$A$2:$A$1000,false),MATCH(J$2,'testmo-export-repository'!$B$1:$Y$1,false)),"")</f>
        <v>2.38</v>
      </c>
      <c r="K152" s="60" t="str">
        <f t="array" ref="K152">IFERROR(INDEX('testmo-export-repository'!$B$2:$Y$1000,MATCH($B152,'testmo-export-repository'!$A$2:$A$1000,false),MATCH(K$2,'testmo-export-repository'!$B$1:$Y$1,false)),"")</f>
        <v>BAS-821</v>
      </c>
    </row>
    <row r="153">
      <c r="B153" s="60">
        <f>'testmo-export-repository'!A152</f>
        <v>9388</v>
      </c>
      <c r="C153" s="60" t="str">
        <f t="array" ref="C153">IFERROR(INDEX('testmo-export-repository'!$B$2:$X$1000,MATCH($B153,'testmo-export-repository'!$A$2:$A$1000,false),MATCH(C$2,'testmo-export-repository'!$B$1:$X$1,false)),"")</f>
        <v>High</v>
      </c>
      <c r="D153" s="60" t="str">
        <f t="array" ref="D153">IFERROR(INDEX('testmo-export-repository'!$B$2:$X$1000,MATCH($B153,'testmo-export-repository'!$A$2:$A$1000,false),MATCH(D$2,'testmo-export-repository'!$B$1:$X$1,false)),"")</f>
        <v>Low</v>
      </c>
      <c r="E153" s="60">
        <f>IFERROR(VLOOKUP($C153,instructions!$N$3:$O$5,2,false),"")</f>
        <v>1</v>
      </c>
      <c r="F153" s="60">
        <f>IFERROR(VLOOKUP($D153,instructions!$N$3:$O$5,2,false),"")</f>
        <v>3</v>
      </c>
      <c r="G153" s="60" t="str">
        <f t="array" ref="G153">IFERROR(INDEX('testmo-export-repository'!$B$2:$X$1000,MATCH($B153,'testmo-export-repository'!$A$2:$A$1000,false),MATCH(G$2,'testmo-export-repository'!$B$1:$X$1,false)),"")</f>
        <v>Yes</v>
      </c>
      <c r="H153" s="60" t="str">
        <f t="array" ref="H153">IFERROR(INDEX('testmo-export-repository'!$B$2:$X$1000,MATCH($B153,'testmo-export-repository'!$A$2:$A$1000,false),MATCH(H$2,'testmo-export-repository'!$B$1:$X$1,false)),"")</f>
        <v>No</v>
      </c>
      <c r="I153" s="60" t="str">
        <f t="array" ref="I153">IFERROR(INDEX('testmo-export-repository'!$B$2:$X$1000,MATCH($B153,'testmo-export-repository'!$A$2:$A$1000,false),MATCH(I$2,'testmo-export-repository'!$B$1:$X$1,false)),"")</f>
        <v>Passed</v>
      </c>
      <c r="J153" s="60" t="str">
        <f t="array" ref="J153">IFERROR(INDEX('testmo-export-repository'!$B$2:$Y$1000,MATCH($B153,'testmo-export-repository'!$A$2:$A$1000,false),MATCH(J$2,'testmo-export-repository'!$B$1:$Y$1,false)),"")</f>
        <v>2.38</v>
      </c>
      <c r="K153" s="60" t="str">
        <f t="array" ref="K153">IFERROR(INDEX('testmo-export-repository'!$B$2:$Y$1000,MATCH($B153,'testmo-export-repository'!$A$2:$A$1000,false),MATCH(K$2,'testmo-export-repository'!$B$1:$Y$1,false)),"")</f>
        <v>BAS-821</v>
      </c>
    </row>
    <row r="154">
      <c r="B154" s="60">
        <f>'testmo-export-repository'!A153</f>
        <v>9389</v>
      </c>
      <c r="C154" s="60" t="str">
        <f t="array" ref="C154">IFERROR(INDEX('testmo-export-repository'!$B$2:$X$1000,MATCH($B154,'testmo-export-repository'!$A$2:$A$1000,false),MATCH(C$2,'testmo-export-repository'!$B$1:$X$1,false)),"")</f>
        <v>High</v>
      </c>
      <c r="D154" s="60" t="str">
        <f t="array" ref="D154">IFERROR(INDEX('testmo-export-repository'!$B$2:$X$1000,MATCH($B154,'testmo-export-repository'!$A$2:$A$1000,false),MATCH(D$2,'testmo-export-repository'!$B$1:$X$1,false)),"")</f>
        <v>Low</v>
      </c>
      <c r="E154" s="60">
        <f>IFERROR(VLOOKUP($C154,instructions!$N$3:$O$5,2,false),"")</f>
        <v>1</v>
      </c>
      <c r="F154" s="60">
        <f>IFERROR(VLOOKUP($D154,instructions!$N$3:$O$5,2,false),"")</f>
        <v>3</v>
      </c>
      <c r="G154" s="60" t="str">
        <f t="array" ref="G154">IFERROR(INDEX('testmo-export-repository'!$B$2:$X$1000,MATCH($B154,'testmo-export-repository'!$A$2:$A$1000,false),MATCH(G$2,'testmo-export-repository'!$B$1:$X$1,false)),"")</f>
        <v>Yes</v>
      </c>
      <c r="H154" s="60" t="str">
        <f t="array" ref="H154">IFERROR(INDEX('testmo-export-repository'!$B$2:$X$1000,MATCH($B154,'testmo-export-repository'!$A$2:$A$1000,false),MATCH(H$2,'testmo-export-repository'!$B$1:$X$1,false)),"")</f>
        <v>No</v>
      </c>
      <c r="I154" s="60" t="str">
        <f t="array" ref="I154">IFERROR(INDEX('testmo-export-repository'!$B$2:$X$1000,MATCH($B154,'testmo-export-repository'!$A$2:$A$1000,false),MATCH(I$2,'testmo-export-repository'!$B$1:$X$1,false)),"")</f>
        <v>Passed</v>
      </c>
      <c r="J154" s="60" t="str">
        <f t="array" ref="J154">IFERROR(INDEX('testmo-export-repository'!$B$2:$Y$1000,MATCH($B154,'testmo-export-repository'!$A$2:$A$1000,false),MATCH(J$2,'testmo-export-repository'!$B$1:$Y$1,false)),"")</f>
        <v>2.38</v>
      </c>
      <c r="K154" s="60" t="str">
        <f t="array" ref="K154">IFERROR(INDEX('testmo-export-repository'!$B$2:$Y$1000,MATCH($B154,'testmo-export-repository'!$A$2:$A$1000,false),MATCH(K$2,'testmo-export-repository'!$B$1:$Y$1,false)),"")</f>
        <v>BAS-821</v>
      </c>
    </row>
    <row r="155">
      <c r="B155" s="60">
        <f>'testmo-export-repository'!A154</f>
        <v>9390</v>
      </c>
      <c r="C155" s="60" t="str">
        <f t="array" ref="C155">IFERROR(INDEX('testmo-export-repository'!$B$2:$X$1000,MATCH($B155,'testmo-export-repository'!$A$2:$A$1000,false),MATCH(C$2,'testmo-export-repository'!$B$1:$X$1,false)),"")</f>
        <v>High</v>
      </c>
      <c r="D155" s="60" t="str">
        <f t="array" ref="D155">IFERROR(INDEX('testmo-export-repository'!$B$2:$X$1000,MATCH($B155,'testmo-export-repository'!$A$2:$A$1000,false),MATCH(D$2,'testmo-export-repository'!$B$1:$X$1,false)),"")</f>
        <v>Low</v>
      </c>
      <c r="E155" s="60">
        <f>IFERROR(VLOOKUP($C155,instructions!$N$3:$O$5,2,false),"")</f>
        <v>1</v>
      </c>
      <c r="F155" s="60">
        <f>IFERROR(VLOOKUP($D155,instructions!$N$3:$O$5,2,false),"")</f>
        <v>3</v>
      </c>
      <c r="G155" s="60" t="str">
        <f t="array" ref="G155">IFERROR(INDEX('testmo-export-repository'!$B$2:$X$1000,MATCH($B155,'testmo-export-repository'!$A$2:$A$1000,false),MATCH(G$2,'testmo-export-repository'!$B$1:$X$1,false)),"")</f>
        <v>Yes</v>
      </c>
      <c r="H155" s="60" t="str">
        <f t="array" ref="H155">IFERROR(INDEX('testmo-export-repository'!$B$2:$X$1000,MATCH($B155,'testmo-export-repository'!$A$2:$A$1000,false),MATCH(H$2,'testmo-export-repository'!$B$1:$X$1,false)),"")</f>
        <v>No</v>
      </c>
      <c r="I155" s="60" t="str">
        <f t="array" ref="I155">IFERROR(INDEX('testmo-export-repository'!$B$2:$X$1000,MATCH($B155,'testmo-export-repository'!$A$2:$A$1000,false),MATCH(I$2,'testmo-export-repository'!$B$1:$X$1,false)),"")</f>
        <v>Passed</v>
      </c>
      <c r="J155" s="60" t="str">
        <f t="array" ref="J155">IFERROR(INDEX('testmo-export-repository'!$B$2:$Y$1000,MATCH($B155,'testmo-export-repository'!$A$2:$A$1000,false),MATCH(J$2,'testmo-export-repository'!$B$1:$Y$1,false)),"")</f>
        <v>2.38</v>
      </c>
      <c r="K155" s="60" t="str">
        <f t="array" ref="K155">IFERROR(INDEX('testmo-export-repository'!$B$2:$Y$1000,MATCH($B155,'testmo-export-repository'!$A$2:$A$1000,false),MATCH(K$2,'testmo-export-repository'!$B$1:$Y$1,false)),"")</f>
        <v>BAS-821</v>
      </c>
    </row>
    <row r="156">
      <c r="B156" s="60">
        <f>'testmo-export-repository'!A155</f>
        <v>9391</v>
      </c>
      <c r="C156" s="60" t="str">
        <f t="array" ref="C156">IFERROR(INDEX('testmo-export-repository'!$B$2:$X$1000,MATCH($B156,'testmo-export-repository'!$A$2:$A$1000,false),MATCH(C$2,'testmo-export-repository'!$B$1:$X$1,false)),"")</f>
        <v>High</v>
      </c>
      <c r="D156" s="60" t="str">
        <f t="array" ref="D156">IFERROR(INDEX('testmo-export-repository'!$B$2:$X$1000,MATCH($B156,'testmo-export-repository'!$A$2:$A$1000,false),MATCH(D$2,'testmo-export-repository'!$B$1:$X$1,false)),"")</f>
        <v>Low</v>
      </c>
      <c r="E156" s="60">
        <f>IFERROR(VLOOKUP($C156,instructions!$N$3:$O$5,2,false),"")</f>
        <v>1</v>
      </c>
      <c r="F156" s="60">
        <f>IFERROR(VLOOKUP($D156,instructions!$N$3:$O$5,2,false),"")</f>
        <v>3</v>
      </c>
      <c r="G156" s="60" t="str">
        <f t="array" ref="G156">IFERROR(INDEX('testmo-export-repository'!$B$2:$X$1000,MATCH($B156,'testmo-export-repository'!$A$2:$A$1000,false),MATCH(G$2,'testmo-export-repository'!$B$1:$X$1,false)),"")</f>
        <v>Yes</v>
      </c>
      <c r="H156" s="60" t="str">
        <f t="array" ref="H156">IFERROR(INDEX('testmo-export-repository'!$B$2:$X$1000,MATCH($B156,'testmo-export-repository'!$A$2:$A$1000,false),MATCH(H$2,'testmo-export-repository'!$B$1:$X$1,false)),"")</f>
        <v>No</v>
      </c>
      <c r="I156" s="60" t="str">
        <f t="array" ref="I156">IFERROR(INDEX('testmo-export-repository'!$B$2:$X$1000,MATCH($B156,'testmo-export-repository'!$A$2:$A$1000,false),MATCH(I$2,'testmo-export-repository'!$B$1:$X$1,false)),"")</f>
        <v>Passed</v>
      </c>
      <c r="J156" s="60" t="str">
        <f t="array" ref="J156">IFERROR(INDEX('testmo-export-repository'!$B$2:$Y$1000,MATCH($B156,'testmo-export-repository'!$A$2:$A$1000,false),MATCH(J$2,'testmo-export-repository'!$B$1:$Y$1,false)),"")</f>
        <v>2.38</v>
      </c>
      <c r="K156" s="60" t="str">
        <f t="array" ref="K156">IFERROR(INDEX('testmo-export-repository'!$B$2:$Y$1000,MATCH($B156,'testmo-export-repository'!$A$2:$A$1000,false),MATCH(K$2,'testmo-export-repository'!$B$1:$Y$1,false)),"")</f>
        <v>BAS-821</v>
      </c>
    </row>
    <row r="157">
      <c r="B157" s="60">
        <f>'testmo-export-repository'!A156</f>
        <v>9394</v>
      </c>
      <c r="C157" s="60" t="str">
        <f t="array" ref="C157">IFERROR(INDEX('testmo-export-repository'!$B$2:$X$1000,MATCH($B157,'testmo-export-repository'!$A$2:$A$1000,false),MATCH(C$2,'testmo-export-repository'!$B$1:$X$1,false)),"")</f>
        <v>Normal</v>
      </c>
      <c r="D157" s="60" t="str">
        <f t="array" ref="D157">IFERROR(INDEX('testmo-export-repository'!$B$2:$X$1000,MATCH($B157,'testmo-export-repository'!$A$2:$A$1000,false),MATCH(D$2,'testmo-export-repository'!$B$1:$X$1,false)),"")</f>
        <v>Low</v>
      </c>
      <c r="E157" s="60">
        <f>IFERROR(VLOOKUP($C157,instructions!$N$3:$O$5,2,false),"")</f>
        <v>2</v>
      </c>
      <c r="F157" s="60">
        <f>IFERROR(VLOOKUP($D157,instructions!$N$3:$O$5,2,false),"")</f>
        <v>3</v>
      </c>
      <c r="G157" s="60" t="str">
        <f t="array" ref="G157">IFERROR(INDEX('testmo-export-repository'!$B$2:$X$1000,MATCH($B157,'testmo-export-repository'!$A$2:$A$1000,false),MATCH(G$2,'testmo-export-repository'!$B$1:$X$1,false)),"")</f>
        <v>Yes</v>
      </c>
      <c r="H157" s="60" t="str">
        <f t="array" ref="H157">IFERROR(INDEX('testmo-export-repository'!$B$2:$X$1000,MATCH($B157,'testmo-export-repository'!$A$2:$A$1000,false),MATCH(H$2,'testmo-export-repository'!$B$1:$X$1,false)),"")</f>
        <v>No</v>
      </c>
      <c r="I157" s="60" t="str">
        <f t="array" ref="I157">IFERROR(INDEX('testmo-export-repository'!$B$2:$X$1000,MATCH($B157,'testmo-export-repository'!$A$2:$A$1000,false),MATCH(I$2,'testmo-export-repository'!$B$1:$X$1,false)),"")</f>
        <v>Passed</v>
      </c>
      <c r="J157" s="60" t="str">
        <f t="array" ref="J157">IFERROR(INDEX('testmo-export-repository'!$B$2:$Y$1000,MATCH($B157,'testmo-export-repository'!$A$2:$A$1000,false),MATCH(J$2,'testmo-export-repository'!$B$1:$Y$1,false)),"")</f>
        <v>2.38</v>
      </c>
      <c r="K157" s="60" t="str">
        <f t="array" ref="K157">IFERROR(INDEX('testmo-export-repository'!$B$2:$Y$1000,MATCH($B157,'testmo-export-repository'!$A$2:$A$1000,false),MATCH(K$2,'testmo-export-repository'!$B$1:$Y$1,false)),"")</f>
        <v>BAS-959</v>
      </c>
    </row>
    <row r="158">
      <c r="B158" s="60">
        <f>'testmo-export-repository'!A157</f>
        <v>9402</v>
      </c>
      <c r="C158" s="60" t="str">
        <f t="array" ref="C158">IFERROR(INDEX('testmo-export-repository'!$B$2:$X$1000,MATCH($B158,'testmo-export-repository'!$A$2:$A$1000,false),MATCH(C$2,'testmo-export-repository'!$B$1:$X$1,false)),"")</f>
        <v>Normal</v>
      </c>
      <c r="D158" s="60" t="str">
        <f t="array" ref="D158">IFERROR(INDEX('testmo-export-repository'!$B$2:$X$1000,MATCH($B158,'testmo-export-repository'!$A$2:$A$1000,false),MATCH(D$2,'testmo-export-repository'!$B$1:$X$1,false)),"")</f>
        <v>Low</v>
      </c>
      <c r="E158" s="60">
        <f>IFERROR(VLOOKUP($C158,instructions!$N$3:$O$5,2,false),"")</f>
        <v>2</v>
      </c>
      <c r="F158" s="60">
        <f>IFERROR(VLOOKUP($D158,instructions!$N$3:$O$5,2,false),"")</f>
        <v>3</v>
      </c>
      <c r="G158" s="60" t="str">
        <f t="array" ref="G158">IFERROR(INDEX('testmo-export-repository'!$B$2:$X$1000,MATCH($B158,'testmo-export-repository'!$A$2:$A$1000,false),MATCH(G$2,'testmo-export-repository'!$B$1:$X$1,false)),"")</f>
        <v>Yes</v>
      </c>
      <c r="H158" s="60" t="str">
        <f t="array" ref="H158">IFERROR(INDEX('testmo-export-repository'!$B$2:$X$1000,MATCH($B158,'testmo-export-repository'!$A$2:$A$1000,false),MATCH(H$2,'testmo-export-repository'!$B$1:$X$1,false)),"")</f>
        <v>No</v>
      </c>
      <c r="I158" s="60" t="str">
        <f t="array" ref="I158">IFERROR(INDEX('testmo-export-repository'!$B$2:$X$1000,MATCH($B158,'testmo-export-repository'!$A$2:$A$1000,false),MATCH(I$2,'testmo-export-repository'!$B$1:$X$1,false)),"")</f>
        <v/>
      </c>
      <c r="J158" s="60" t="str">
        <f t="array" ref="J158">IFERROR(INDEX('testmo-export-repository'!$B$2:$Y$1000,MATCH($B158,'testmo-export-repository'!$A$2:$A$1000,false),MATCH(J$2,'testmo-export-repository'!$B$1:$Y$1,false)),"")</f>
        <v>2.38</v>
      </c>
      <c r="K158" s="60" t="str">
        <f t="array" ref="K158">IFERROR(INDEX('testmo-export-repository'!$B$2:$Y$1000,MATCH($B158,'testmo-export-repository'!$A$2:$A$1000,false),MATCH(K$2,'testmo-export-repository'!$B$1:$Y$1,false)),"")</f>
        <v>BAS-959</v>
      </c>
    </row>
    <row r="159">
      <c r="B159" s="60">
        <f>'testmo-export-repository'!A158</f>
        <v>9396</v>
      </c>
      <c r="C159" s="60" t="str">
        <f t="array" ref="C159">IFERROR(INDEX('testmo-export-repository'!$B$2:$X$1000,MATCH($B159,'testmo-export-repository'!$A$2:$A$1000,false),MATCH(C$2,'testmo-export-repository'!$B$1:$X$1,false)),"")</f>
        <v>Normal</v>
      </c>
      <c r="D159" s="60" t="str">
        <f t="array" ref="D159">IFERROR(INDEX('testmo-export-repository'!$B$2:$X$1000,MATCH($B159,'testmo-export-repository'!$A$2:$A$1000,false),MATCH(D$2,'testmo-export-repository'!$B$1:$X$1,false)),"")</f>
        <v>Normal</v>
      </c>
      <c r="E159" s="60">
        <f>IFERROR(VLOOKUP($C159,instructions!$N$3:$O$5,2,false),"")</f>
        <v>2</v>
      </c>
      <c r="F159" s="60">
        <f>IFERROR(VLOOKUP($D159,instructions!$N$3:$O$5,2,false),"")</f>
        <v>2</v>
      </c>
      <c r="G159" s="60" t="str">
        <f t="array" ref="G159">IFERROR(INDEX('testmo-export-repository'!$B$2:$X$1000,MATCH($B159,'testmo-export-repository'!$A$2:$A$1000,false),MATCH(G$2,'testmo-export-repository'!$B$1:$X$1,false)),"")</f>
        <v>Yes</v>
      </c>
      <c r="H159" s="60" t="str">
        <f t="array" ref="H159">IFERROR(INDEX('testmo-export-repository'!$B$2:$X$1000,MATCH($B159,'testmo-export-repository'!$A$2:$A$1000,false),MATCH(H$2,'testmo-export-repository'!$B$1:$X$1,false)),"")</f>
        <v>No</v>
      </c>
      <c r="I159" s="60" t="str">
        <f t="array" ref="I159">IFERROR(INDEX('testmo-export-repository'!$B$2:$X$1000,MATCH($B159,'testmo-export-repository'!$A$2:$A$1000,false),MATCH(I$2,'testmo-export-repository'!$B$1:$X$1,false)),"")</f>
        <v>Passed</v>
      </c>
      <c r="J159" s="60" t="str">
        <f t="array" ref="J159">IFERROR(INDEX('testmo-export-repository'!$B$2:$Y$1000,MATCH($B159,'testmo-export-repository'!$A$2:$A$1000,false),MATCH(J$2,'testmo-export-repository'!$B$1:$Y$1,false)),"")</f>
        <v>2.38</v>
      </c>
      <c r="K159" s="60" t="str">
        <f t="array" ref="K159">IFERROR(INDEX('testmo-export-repository'!$B$2:$Y$1000,MATCH($B159,'testmo-export-repository'!$A$2:$A$1000,false),MATCH(K$2,'testmo-export-repository'!$B$1:$Y$1,false)),"")</f>
        <v>BAS-1004</v>
      </c>
    </row>
    <row r="160">
      <c r="B160" s="60">
        <f>'testmo-export-repository'!A159</f>
        <v>20386</v>
      </c>
      <c r="C160" s="60" t="str">
        <f t="array" ref="C160">IFERROR(INDEX('testmo-export-repository'!$B$2:$X$1000,MATCH($B160,'testmo-export-repository'!$A$2:$A$1000,false),MATCH(C$2,'testmo-export-repository'!$B$1:$X$1,false)),"")</f>
        <v>Normal</v>
      </c>
      <c r="D160" s="60" t="str">
        <f t="array" ref="D160">IFERROR(INDEX('testmo-export-repository'!$B$2:$X$1000,MATCH($B160,'testmo-export-repository'!$A$2:$A$1000,false),MATCH(D$2,'testmo-export-repository'!$B$1:$X$1,false)),"")</f>
        <v>High</v>
      </c>
      <c r="E160" s="60">
        <f>IFERROR(VLOOKUP($C160,instructions!$N$3:$O$5,2,false),"")</f>
        <v>2</v>
      </c>
      <c r="F160" s="60">
        <f>IFERROR(VLOOKUP($D160,instructions!$N$3:$O$5,2,false),"")</f>
        <v>1</v>
      </c>
      <c r="G160" s="60" t="str">
        <f t="array" ref="G160">IFERROR(INDEX('testmo-export-repository'!$B$2:$X$1000,MATCH($B160,'testmo-export-repository'!$A$2:$A$1000,false),MATCH(G$2,'testmo-export-repository'!$B$1:$X$1,false)),"")</f>
        <v>No</v>
      </c>
      <c r="H160" s="60" t="str">
        <f t="array" ref="H160">IFERROR(INDEX('testmo-export-repository'!$B$2:$X$1000,MATCH($B160,'testmo-export-repository'!$A$2:$A$1000,false),MATCH(H$2,'testmo-export-repository'!$B$1:$X$1,false)),"")</f>
        <v>No</v>
      </c>
      <c r="I160" s="60" t="str">
        <f t="array" ref="I160">IFERROR(INDEX('testmo-export-repository'!$B$2:$X$1000,MATCH($B160,'testmo-export-repository'!$A$2:$A$1000,false),MATCH(I$2,'testmo-export-repository'!$B$1:$X$1,false)),"")</f>
        <v>Passed</v>
      </c>
      <c r="J160" s="60" t="str">
        <f t="array" ref="J160">IFERROR(INDEX('testmo-export-repository'!$B$2:$Y$1000,MATCH($B160,'testmo-export-repository'!$A$2:$A$1000,false),MATCH(J$2,'testmo-export-repository'!$B$1:$Y$1,false)),"")</f>
        <v>2.39</v>
      </c>
      <c r="K160" s="60" t="str">
        <f t="array" ref="K160">IFERROR(INDEX('testmo-export-repository'!$B$2:$Y$1000,MATCH($B160,'testmo-export-repository'!$A$2:$A$1000,false),MATCH(K$2,'testmo-export-repository'!$B$1:$Y$1,false)),"")</f>
        <v>BAS-1073</v>
      </c>
    </row>
    <row r="161">
      <c r="B161" s="60">
        <f>'testmo-export-repository'!A160</f>
        <v>826</v>
      </c>
      <c r="C161" s="60" t="str">
        <f t="array" ref="C161">IFERROR(INDEX('testmo-export-repository'!$B$2:$X$1000,MATCH($B161,'testmo-export-repository'!$A$2:$A$1000,false),MATCH(C$2,'testmo-export-repository'!$B$1:$X$1,false)),"")</f>
        <v>Normal</v>
      </c>
      <c r="D161" s="60" t="str">
        <f t="array" ref="D161">IFERROR(INDEX('testmo-export-repository'!$B$2:$X$1000,MATCH($B161,'testmo-export-repository'!$A$2:$A$1000,false),MATCH(D$2,'testmo-export-repository'!$B$1:$X$1,false)),"")</f>
        <v/>
      </c>
      <c r="E161" s="60">
        <f>IFERROR(VLOOKUP($C161,instructions!$N$3:$O$5,2,false),"")</f>
        <v>2</v>
      </c>
      <c r="F161" s="60" t="str">
        <f>IFERROR(VLOOKUP($D161,instructions!$N$3:$O$5,2,false),"")</f>
        <v/>
      </c>
      <c r="G161" s="60" t="str">
        <f t="array" ref="G161">IFERROR(INDEX('testmo-export-repository'!$B$2:$X$1000,MATCH($B161,'testmo-export-repository'!$A$2:$A$1000,false),MATCH(G$2,'testmo-export-repository'!$B$1:$X$1,false)),"")</f>
        <v/>
      </c>
      <c r="H161" s="60" t="str">
        <f t="array" ref="H161">IFERROR(INDEX('testmo-export-repository'!$B$2:$X$1000,MATCH($B161,'testmo-export-repository'!$A$2:$A$1000,false),MATCH(H$2,'testmo-export-repository'!$B$1:$X$1,false)),"")</f>
        <v/>
      </c>
      <c r="I161" s="60" t="str">
        <f t="array" ref="I161">IFERROR(INDEX('testmo-export-repository'!$B$2:$X$1000,MATCH($B161,'testmo-export-repository'!$A$2:$A$1000,false),MATCH(I$2,'testmo-export-repository'!$B$1:$X$1,false)),"")</f>
        <v>Passed</v>
      </c>
      <c r="J161" s="60" t="str">
        <f t="array" ref="J161">IFERROR(INDEX('testmo-export-repository'!$B$2:$Y$1000,MATCH($B161,'testmo-export-repository'!$A$2:$A$1000,false),MATCH(J$2,'testmo-export-repository'!$B$1:$Y$1,false)),"")</f>
        <v/>
      </c>
      <c r="K161" s="60" t="str">
        <f t="array" ref="K161">IFERROR(INDEX('testmo-export-repository'!$B$2:$Y$1000,MATCH($B161,'testmo-export-repository'!$A$2:$A$1000,false),MATCH(K$2,'testmo-export-repository'!$B$1:$Y$1,false)),"")</f>
        <v/>
      </c>
    </row>
    <row r="162">
      <c r="B162" s="60">
        <f>'testmo-export-repository'!A161</f>
        <v>827</v>
      </c>
      <c r="C162" s="60" t="str">
        <f t="array" ref="C162">IFERROR(INDEX('testmo-export-repository'!$B$2:$X$1000,MATCH($B162,'testmo-export-repository'!$A$2:$A$1000,false),MATCH(C$2,'testmo-export-repository'!$B$1:$X$1,false)),"")</f>
        <v>Normal</v>
      </c>
      <c r="D162" s="60" t="str">
        <f t="array" ref="D162">IFERROR(INDEX('testmo-export-repository'!$B$2:$X$1000,MATCH($B162,'testmo-export-repository'!$A$2:$A$1000,false),MATCH(D$2,'testmo-export-repository'!$B$1:$X$1,false)),"")</f>
        <v/>
      </c>
      <c r="E162" s="60">
        <f>IFERROR(VLOOKUP($C162,instructions!$N$3:$O$5,2,false),"")</f>
        <v>2</v>
      </c>
      <c r="F162" s="60" t="str">
        <f>IFERROR(VLOOKUP($D162,instructions!$N$3:$O$5,2,false),"")</f>
        <v/>
      </c>
      <c r="G162" s="60" t="str">
        <f t="array" ref="G162">IFERROR(INDEX('testmo-export-repository'!$B$2:$X$1000,MATCH($B162,'testmo-export-repository'!$A$2:$A$1000,false),MATCH(G$2,'testmo-export-repository'!$B$1:$X$1,false)),"")</f>
        <v/>
      </c>
      <c r="H162" s="60" t="str">
        <f t="array" ref="H162">IFERROR(INDEX('testmo-export-repository'!$B$2:$X$1000,MATCH($B162,'testmo-export-repository'!$A$2:$A$1000,false),MATCH(H$2,'testmo-export-repository'!$B$1:$X$1,false)),"")</f>
        <v/>
      </c>
      <c r="I162" s="60" t="str">
        <f t="array" ref="I162">IFERROR(INDEX('testmo-export-repository'!$B$2:$X$1000,MATCH($B162,'testmo-export-repository'!$A$2:$A$1000,false),MATCH(I$2,'testmo-export-repository'!$B$1:$X$1,false)),"")</f>
        <v>Passed</v>
      </c>
      <c r="J162" s="60" t="str">
        <f t="array" ref="J162">IFERROR(INDEX('testmo-export-repository'!$B$2:$Y$1000,MATCH($B162,'testmo-export-repository'!$A$2:$A$1000,false),MATCH(J$2,'testmo-export-repository'!$B$1:$Y$1,false)),"")</f>
        <v/>
      </c>
      <c r="K162" s="60" t="str">
        <f t="array" ref="K162">IFERROR(INDEX('testmo-export-repository'!$B$2:$Y$1000,MATCH($B162,'testmo-export-repository'!$A$2:$A$1000,false),MATCH(K$2,'testmo-export-repository'!$B$1:$Y$1,false)),"")</f>
        <v/>
      </c>
    </row>
    <row r="163">
      <c r="B163" s="60">
        <f>'testmo-export-repository'!A162</f>
        <v>828</v>
      </c>
      <c r="C163" s="60" t="str">
        <f t="array" ref="C163">IFERROR(INDEX('testmo-export-repository'!$B$2:$X$1000,MATCH($B163,'testmo-export-repository'!$A$2:$A$1000,false),MATCH(C$2,'testmo-export-repository'!$B$1:$X$1,false)),"")</f>
        <v>Normal</v>
      </c>
      <c r="D163" s="60" t="str">
        <f t="array" ref="D163">IFERROR(INDEX('testmo-export-repository'!$B$2:$X$1000,MATCH($B163,'testmo-export-repository'!$A$2:$A$1000,false),MATCH(D$2,'testmo-export-repository'!$B$1:$X$1,false)),"")</f>
        <v/>
      </c>
      <c r="E163" s="60">
        <f>IFERROR(VLOOKUP($C163,instructions!$N$3:$O$5,2,false),"")</f>
        <v>2</v>
      </c>
      <c r="F163" s="60" t="str">
        <f>IFERROR(VLOOKUP($D163,instructions!$N$3:$O$5,2,false),"")</f>
        <v/>
      </c>
      <c r="G163" s="60" t="str">
        <f t="array" ref="G163">IFERROR(INDEX('testmo-export-repository'!$B$2:$X$1000,MATCH($B163,'testmo-export-repository'!$A$2:$A$1000,false),MATCH(G$2,'testmo-export-repository'!$B$1:$X$1,false)),"")</f>
        <v/>
      </c>
      <c r="H163" s="60" t="str">
        <f t="array" ref="H163">IFERROR(INDEX('testmo-export-repository'!$B$2:$X$1000,MATCH($B163,'testmo-export-repository'!$A$2:$A$1000,false),MATCH(H$2,'testmo-export-repository'!$B$1:$X$1,false)),"")</f>
        <v/>
      </c>
      <c r="I163" s="60" t="str">
        <f t="array" ref="I163">IFERROR(INDEX('testmo-export-repository'!$B$2:$X$1000,MATCH($B163,'testmo-export-repository'!$A$2:$A$1000,false),MATCH(I$2,'testmo-export-repository'!$B$1:$X$1,false)),"")</f>
        <v>Passed</v>
      </c>
      <c r="J163" s="60" t="str">
        <f t="array" ref="J163">IFERROR(INDEX('testmo-export-repository'!$B$2:$Y$1000,MATCH($B163,'testmo-export-repository'!$A$2:$A$1000,false),MATCH(J$2,'testmo-export-repository'!$B$1:$Y$1,false)),"")</f>
        <v/>
      </c>
      <c r="K163" s="60" t="str">
        <f t="array" ref="K163">IFERROR(INDEX('testmo-export-repository'!$B$2:$Y$1000,MATCH($B163,'testmo-export-repository'!$A$2:$A$1000,false),MATCH(K$2,'testmo-export-repository'!$B$1:$Y$1,false)),"")</f>
        <v/>
      </c>
    </row>
    <row r="164">
      <c r="B164" s="60">
        <f>'testmo-export-repository'!A163</f>
        <v>829</v>
      </c>
      <c r="C164" s="60" t="str">
        <f t="array" ref="C164">IFERROR(INDEX('testmo-export-repository'!$B$2:$X$1000,MATCH($B164,'testmo-export-repository'!$A$2:$A$1000,false),MATCH(C$2,'testmo-export-repository'!$B$1:$X$1,false)),"")</f>
        <v>Normal</v>
      </c>
      <c r="D164" s="60" t="str">
        <f t="array" ref="D164">IFERROR(INDEX('testmo-export-repository'!$B$2:$X$1000,MATCH($B164,'testmo-export-repository'!$A$2:$A$1000,false),MATCH(D$2,'testmo-export-repository'!$B$1:$X$1,false)),"")</f>
        <v/>
      </c>
      <c r="E164" s="60">
        <f>IFERROR(VLOOKUP($C164,instructions!$N$3:$O$5,2,false),"")</f>
        <v>2</v>
      </c>
      <c r="F164" s="60" t="str">
        <f>IFERROR(VLOOKUP($D164,instructions!$N$3:$O$5,2,false),"")</f>
        <v/>
      </c>
      <c r="G164" s="60" t="str">
        <f t="array" ref="G164">IFERROR(INDEX('testmo-export-repository'!$B$2:$X$1000,MATCH($B164,'testmo-export-repository'!$A$2:$A$1000,false),MATCH(G$2,'testmo-export-repository'!$B$1:$X$1,false)),"")</f>
        <v/>
      </c>
      <c r="H164" s="60" t="str">
        <f t="array" ref="H164">IFERROR(INDEX('testmo-export-repository'!$B$2:$X$1000,MATCH($B164,'testmo-export-repository'!$A$2:$A$1000,false),MATCH(H$2,'testmo-export-repository'!$B$1:$X$1,false)),"")</f>
        <v/>
      </c>
      <c r="I164" s="60" t="str">
        <f t="array" ref="I164">IFERROR(INDEX('testmo-export-repository'!$B$2:$X$1000,MATCH($B164,'testmo-export-repository'!$A$2:$A$1000,false),MATCH(I$2,'testmo-export-repository'!$B$1:$X$1,false)),"")</f>
        <v>Passed</v>
      </c>
      <c r="J164" s="60" t="str">
        <f t="array" ref="J164">IFERROR(INDEX('testmo-export-repository'!$B$2:$Y$1000,MATCH($B164,'testmo-export-repository'!$A$2:$A$1000,false),MATCH(J$2,'testmo-export-repository'!$B$1:$Y$1,false)),"")</f>
        <v/>
      </c>
      <c r="K164" s="60" t="str">
        <f t="array" ref="K164">IFERROR(INDEX('testmo-export-repository'!$B$2:$Y$1000,MATCH($B164,'testmo-export-repository'!$A$2:$A$1000,false),MATCH(K$2,'testmo-export-repository'!$B$1:$Y$1,false)),"")</f>
        <v/>
      </c>
    </row>
    <row r="165">
      <c r="B165" s="60">
        <f>'testmo-export-repository'!A164</f>
        <v>830</v>
      </c>
      <c r="C165" s="60" t="str">
        <f t="array" ref="C165">IFERROR(INDEX('testmo-export-repository'!$B$2:$X$1000,MATCH($B165,'testmo-export-repository'!$A$2:$A$1000,false),MATCH(C$2,'testmo-export-repository'!$B$1:$X$1,false)),"")</f>
        <v>Normal</v>
      </c>
      <c r="D165" s="60" t="str">
        <f t="array" ref="D165">IFERROR(INDEX('testmo-export-repository'!$B$2:$X$1000,MATCH($B165,'testmo-export-repository'!$A$2:$A$1000,false),MATCH(D$2,'testmo-export-repository'!$B$1:$X$1,false)),"")</f>
        <v/>
      </c>
      <c r="E165" s="60">
        <f>IFERROR(VLOOKUP($C165,instructions!$N$3:$O$5,2,false),"")</f>
        <v>2</v>
      </c>
      <c r="F165" s="60" t="str">
        <f>IFERROR(VLOOKUP($D165,instructions!$N$3:$O$5,2,false),"")</f>
        <v/>
      </c>
      <c r="G165" s="60" t="str">
        <f t="array" ref="G165">IFERROR(INDEX('testmo-export-repository'!$B$2:$X$1000,MATCH($B165,'testmo-export-repository'!$A$2:$A$1000,false),MATCH(G$2,'testmo-export-repository'!$B$1:$X$1,false)),"")</f>
        <v/>
      </c>
      <c r="H165" s="60" t="str">
        <f t="array" ref="H165">IFERROR(INDEX('testmo-export-repository'!$B$2:$X$1000,MATCH($B165,'testmo-export-repository'!$A$2:$A$1000,false),MATCH(H$2,'testmo-export-repository'!$B$1:$X$1,false)),"")</f>
        <v/>
      </c>
      <c r="I165" s="60" t="str">
        <f t="array" ref="I165">IFERROR(INDEX('testmo-export-repository'!$B$2:$X$1000,MATCH($B165,'testmo-export-repository'!$A$2:$A$1000,false),MATCH(I$2,'testmo-export-repository'!$B$1:$X$1,false)),"")</f>
        <v>Passed</v>
      </c>
      <c r="J165" s="60" t="str">
        <f t="array" ref="J165">IFERROR(INDEX('testmo-export-repository'!$B$2:$Y$1000,MATCH($B165,'testmo-export-repository'!$A$2:$A$1000,false),MATCH(J$2,'testmo-export-repository'!$B$1:$Y$1,false)),"")</f>
        <v/>
      </c>
      <c r="K165" s="60" t="str">
        <f t="array" ref="K165">IFERROR(INDEX('testmo-export-repository'!$B$2:$Y$1000,MATCH($B165,'testmo-export-repository'!$A$2:$A$1000,false),MATCH(K$2,'testmo-export-repository'!$B$1:$Y$1,false)),"")</f>
        <v/>
      </c>
    </row>
    <row r="166">
      <c r="B166" s="60">
        <f>'testmo-export-repository'!A165</f>
        <v>831</v>
      </c>
      <c r="C166" s="60" t="str">
        <f t="array" ref="C166">IFERROR(INDEX('testmo-export-repository'!$B$2:$X$1000,MATCH($B166,'testmo-export-repository'!$A$2:$A$1000,false),MATCH(C$2,'testmo-export-repository'!$B$1:$X$1,false)),"")</f>
        <v>Normal</v>
      </c>
      <c r="D166" s="60" t="str">
        <f t="array" ref="D166">IFERROR(INDEX('testmo-export-repository'!$B$2:$X$1000,MATCH($B166,'testmo-export-repository'!$A$2:$A$1000,false),MATCH(D$2,'testmo-export-repository'!$B$1:$X$1,false)),"")</f>
        <v/>
      </c>
      <c r="E166" s="60">
        <f>IFERROR(VLOOKUP($C166,instructions!$N$3:$O$5,2,false),"")</f>
        <v>2</v>
      </c>
      <c r="F166" s="60" t="str">
        <f>IFERROR(VLOOKUP($D166,instructions!$N$3:$O$5,2,false),"")</f>
        <v/>
      </c>
      <c r="G166" s="60" t="str">
        <f t="array" ref="G166">IFERROR(INDEX('testmo-export-repository'!$B$2:$X$1000,MATCH($B166,'testmo-export-repository'!$A$2:$A$1000,false),MATCH(G$2,'testmo-export-repository'!$B$1:$X$1,false)),"")</f>
        <v/>
      </c>
      <c r="H166" s="60" t="str">
        <f t="array" ref="H166">IFERROR(INDEX('testmo-export-repository'!$B$2:$X$1000,MATCH($B166,'testmo-export-repository'!$A$2:$A$1000,false),MATCH(H$2,'testmo-export-repository'!$B$1:$X$1,false)),"")</f>
        <v/>
      </c>
      <c r="I166" s="60" t="str">
        <f t="array" ref="I166">IFERROR(INDEX('testmo-export-repository'!$B$2:$X$1000,MATCH($B166,'testmo-export-repository'!$A$2:$A$1000,false),MATCH(I$2,'testmo-export-repository'!$B$1:$X$1,false)),"")</f>
        <v>Passed</v>
      </c>
      <c r="J166" s="60" t="str">
        <f t="array" ref="J166">IFERROR(INDEX('testmo-export-repository'!$B$2:$Y$1000,MATCH($B166,'testmo-export-repository'!$A$2:$A$1000,false),MATCH(J$2,'testmo-export-repository'!$B$1:$Y$1,false)),"")</f>
        <v/>
      </c>
      <c r="K166" s="60" t="str">
        <f t="array" ref="K166">IFERROR(INDEX('testmo-export-repository'!$B$2:$Y$1000,MATCH($B166,'testmo-export-repository'!$A$2:$A$1000,false),MATCH(K$2,'testmo-export-repository'!$B$1:$Y$1,false)),"")</f>
        <v/>
      </c>
    </row>
    <row r="167">
      <c r="B167" s="60">
        <f>'testmo-export-repository'!A166</f>
        <v>838</v>
      </c>
      <c r="C167" s="60" t="str">
        <f t="array" ref="C167">IFERROR(INDEX('testmo-export-repository'!$B$2:$X$1000,MATCH($B167,'testmo-export-repository'!$A$2:$A$1000,false),MATCH(C$2,'testmo-export-repository'!$B$1:$X$1,false)),"")</f>
        <v>Normal</v>
      </c>
      <c r="D167" s="60" t="str">
        <f t="array" ref="D167">IFERROR(INDEX('testmo-export-repository'!$B$2:$X$1000,MATCH($B167,'testmo-export-repository'!$A$2:$A$1000,false),MATCH(D$2,'testmo-export-repository'!$B$1:$X$1,false)),"")</f>
        <v/>
      </c>
      <c r="E167" s="60">
        <f>IFERROR(VLOOKUP($C167,instructions!$N$3:$O$5,2,false),"")</f>
        <v>2</v>
      </c>
      <c r="F167" s="60" t="str">
        <f>IFERROR(VLOOKUP($D167,instructions!$N$3:$O$5,2,false),"")</f>
        <v/>
      </c>
      <c r="G167" s="60" t="str">
        <f t="array" ref="G167">IFERROR(INDEX('testmo-export-repository'!$B$2:$X$1000,MATCH($B167,'testmo-export-repository'!$A$2:$A$1000,false),MATCH(G$2,'testmo-export-repository'!$B$1:$X$1,false)),"")</f>
        <v/>
      </c>
      <c r="H167" s="60" t="str">
        <f t="array" ref="H167">IFERROR(INDEX('testmo-export-repository'!$B$2:$X$1000,MATCH($B167,'testmo-export-repository'!$A$2:$A$1000,false),MATCH(H$2,'testmo-export-repository'!$B$1:$X$1,false)),"")</f>
        <v/>
      </c>
      <c r="I167" s="60" t="str">
        <f t="array" ref="I167">IFERROR(INDEX('testmo-export-repository'!$B$2:$X$1000,MATCH($B167,'testmo-export-repository'!$A$2:$A$1000,false),MATCH(I$2,'testmo-export-repository'!$B$1:$X$1,false)),"")</f>
        <v>Passed</v>
      </c>
      <c r="J167" s="60" t="str">
        <f t="array" ref="J167">IFERROR(INDEX('testmo-export-repository'!$B$2:$Y$1000,MATCH($B167,'testmo-export-repository'!$A$2:$A$1000,false),MATCH(J$2,'testmo-export-repository'!$B$1:$Y$1,false)),"")</f>
        <v/>
      </c>
      <c r="K167" s="60" t="str">
        <f t="array" ref="K167">IFERROR(INDEX('testmo-export-repository'!$B$2:$Y$1000,MATCH($B167,'testmo-export-repository'!$A$2:$A$1000,false),MATCH(K$2,'testmo-export-repository'!$B$1:$Y$1,false)),"")</f>
        <v/>
      </c>
    </row>
    <row r="168">
      <c r="B168" s="60">
        <f>'testmo-export-repository'!A167</f>
        <v>833</v>
      </c>
      <c r="C168" s="60" t="str">
        <f t="array" ref="C168">IFERROR(INDEX('testmo-export-repository'!$B$2:$X$1000,MATCH($B168,'testmo-export-repository'!$A$2:$A$1000,false),MATCH(C$2,'testmo-export-repository'!$B$1:$X$1,false)),"")</f>
        <v>Normal</v>
      </c>
      <c r="D168" s="60" t="str">
        <f t="array" ref="D168">IFERROR(INDEX('testmo-export-repository'!$B$2:$X$1000,MATCH($B168,'testmo-export-repository'!$A$2:$A$1000,false),MATCH(D$2,'testmo-export-repository'!$B$1:$X$1,false)),"")</f>
        <v/>
      </c>
      <c r="E168" s="60">
        <f>IFERROR(VLOOKUP($C168,instructions!$N$3:$O$5,2,false),"")</f>
        <v>2</v>
      </c>
      <c r="F168" s="60" t="str">
        <f>IFERROR(VLOOKUP($D168,instructions!$N$3:$O$5,2,false),"")</f>
        <v/>
      </c>
      <c r="G168" s="60" t="str">
        <f t="array" ref="G168">IFERROR(INDEX('testmo-export-repository'!$B$2:$X$1000,MATCH($B168,'testmo-export-repository'!$A$2:$A$1000,false),MATCH(G$2,'testmo-export-repository'!$B$1:$X$1,false)),"")</f>
        <v/>
      </c>
      <c r="H168" s="60" t="str">
        <f t="array" ref="H168">IFERROR(INDEX('testmo-export-repository'!$B$2:$X$1000,MATCH($B168,'testmo-export-repository'!$A$2:$A$1000,false),MATCH(H$2,'testmo-export-repository'!$B$1:$X$1,false)),"")</f>
        <v/>
      </c>
      <c r="I168" s="60" t="str">
        <f t="array" ref="I168">IFERROR(INDEX('testmo-export-repository'!$B$2:$X$1000,MATCH($B168,'testmo-export-repository'!$A$2:$A$1000,false),MATCH(I$2,'testmo-export-repository'!$B$1:$X$1,false)),"")</f>
        <v>Passed</v>
      </c>
      <c r="J168" s="60" t="str">
        <f t="array" ref="J168">IFERROR(INDEX('testmo-export-repository'!$B$2:$Y$1000,MATCH($B168,'testmo-export-repository'!$A$2:$A$1000,false),MATCH(J$2,'testmo-export-repository'!$B$1:$Y$1,false)),"")</f>
        <v/>
      </c>
      <c r="K168" s="60" t="str">
        <f t="array" ref="K168">IFERROR(INDEX('testmo-export-repository'!$B$2:$Y$1000,MATCH($B168,'testmo-export-repository'!$A$2:$A$1000,false),MATCH(K$2,'testmo-export-repository'!$B$1:$Y$1,false)),"")</f>
        <v/>
      </c>
    </row>
    <row r="169">
      <c r="B169" s="60">
        <f>'testmo-export-repository'!A168</f>
        <v>834</v>
      </c>
      <c r="C169" s="60" t="str">
        <f t="array" ref="C169">IFERROR(INDEX('testmo-export-repository'!$B$2:$X$1000,MATCH($B169,'testmo-export-repository'!$A$2:$A$1000,false),MATCH(C$2,'testmo-export-repository'!$B$1:$X$1,false)),"")</f>
        <v>Normal</v>
      </c>
      <c r="D169" s="60" t="str">
        <f t="array" ref="D169">IFERROR(INDEX('testmo-export-repository'!$B$2:$X$1000,MATCH($B169,'testmo-export-repository'!$A$2:$A$1000,false),MATCH(D$2,'testmo-export-repository'!$B$1:$X$1,false)),"")</f>
        <v/>
      </c>
      <c r="E169" s="60">
        <f>IFERROR(VLOOKUP($C169,instructions!$N$3:$O$5,2,false),"")</f>
        <v>2</v>
      </c>
      <c r="F169" s="60" t="str">
        <f>IFERROR(VLOOKUP($D169,instructions!$N$3:$O$5,2,false),"")</f>
        <v/>
      </c>
      <c r="G169" s="60" t="str">
        <f t="array" ref="G169">IFERROR(INDEX('testmo-export-repository'!$B$2:$X$1000,MATCH($B169,'testmo-export-repository'!$A$2:$A$1000,false),MATCH(G$2,'testmo-export-repository'!$B$1:$X$1,false)),"")</f>
        <v/>
      </c>
      <c r="H169" s="60" t="str">
        <f t="array" ref="H169">IFERROR(INDEX('testmo-export-repository'!$B$2:$X$1000,MATCH($B169,'testmo-export-repository'!$A$2:$A$1000,false),MATCH(H$2,'testmo-export-repository'!$B$1:$X$1,false)),"")</f>
        <v/>
      </c>
      <c r="I169" s="60" t="str">
        <f t="array" ref="I169">IFERROR(INDEX('testmo-export-repository'!$B$2:$X$1000,MATCH($B169,'testmo-export-repository'!$A$2:$A$1000,false),MATCH(I$2,'testmo-export-repository'!$B$1:$X$1,false)),"")</f>
        <v>Passed</v>
      </c>
      <c r="J169" s="60" t="str">
        <f t="array" ref="J169">IFERROR(INDEX('testmo-export-repository'!$B$2:$Y$1000,MATCH($B169,'testmo-export-repository'!$A$2:$A$1000,false),MATCH(J$2,'testmo-export-repository'!$B$1:$Y$1,false)),"")</f>
        <v/>
      </c>
      <c r="K169" s="60" t="str">
        <f t="array" ref="K169">IFERROR(INDEX('testmo-export-repository'!$B$2:$Y$1000,MATCH($B169,'testmo-export-repository'!$A$2:$A$1000,false),MATCH(K$2,'testmo-export-repository'!$B$1:$Y$1,false)),"")</f>
        <v/>
      </c>
    </row>
    <row r="170">
      <c r="B170" s="60">
        <f>'testmo-export-repository'!A169</f>
        <v>835</v>
      </c>
      <c r="C170" s="60" t="str">
        <f t="array" ref="C170">IFERROR(INDEX('testmo-export-repository'!$B$2:$X$1000,MATCH($B170,'testmo-export-repository'!$A$2:$A$1000,false),MATCH(C$2,'testmo-export-repository'!$B$1:$X$1,false)),"")</f>
        <v>Normal</v>
      </c>
      <c r="D170" s="60" t="str">
        <f t="array" ref="D170">IFERROR(INDEX('testmo-export-repository'!$B$2:$X$1000,MATCH($B170,'testmo-export-repository'!$A$2:$A$1000,false),MATCH(D$2,'testmo-export-repository'!$B$1:$X$1,false)),"")</f>
        <v/>
      </c>
      <c r="E170" s="60">
        <f>IFERROR(VLOOKUP($C170,instructions!$N$3:$O$5,2,false),"")</f>
        <v>2</v>
      </c>
      <c r="F170" s="60" t="str">
        <f>IFERROR(VLOOKUP($D170,instructions!$N$3:$O$5,2,false),"")</f>
        <v/>
      </c>
      <c r="G170" s="60" t="str">
        <f t="array" ref="G170">IFERROR(INDEX('testmo-export-repository'!$B$2:$X$1000,MATCH($B170,'testmo-export-repository'!$A$2:$A$1000,false),MATCH(G$2,'testmo-export-repository'!$B$1:$X$1,false)),"")</f>
        <v/>
      </c>
      <c r="H170" s="60" t="str">
        <f t="array" ref="H170">IFERROR(INDEX('testmo-export-repository'!$B$2:$X$1000,MATCH($B170,'testmo-export-repository'!$A$2:$A$1000,false),MATCH(H$2,'testmo-export-repository'!$B$1:$X$1,false)),"")</f>
        <v/>
      </c>
      <c r="I170" s="60" t="str">
        <f t="array" ref="I170">IFERROR(INDEX('testmo-export-repository'!$B$2:$X$1000,MATCH($B170,'testmo-export-repository'!$A$2:$A$1000,false),MATCH(I$2,'testmo-export-repository'!$B$1:$X$1,false)),"")</f>
        <v>Passed</v>
      </c>
      <c r="J170" s="60" t="str">
        <f t="array" ref="J170">IFERROR(INDEX('testmo-export-repository'!$B$2:$Y$1000,MATCH($B170,'testmo-export-repository'!$A$2:$A$1000,false),MATCH(J$2,'testmo-export-repository'!$B$1:$Y$1,false)),"")</f>
        <v/>
      </c>
      <c r="K170" s="60" t="str">
        <f t="array" ref="K170">IFERROR(INDEX('testmo-export-repository'!$B$2:$Y$1000,MATCH($B170,'testmo-export-repository'!$A$2:$A$1000,false),MATCH(K$2,'testmo-export-repository'!$B$1:$Y$1,false)),"")</f>
        <v/>
      </c>
    </row>
    <row r="171">
      <c r="B171" s="60">
        <f>'testmo-export-repository'!A170</f>
        <v>836</v>
      </c>
      <c r="C171" s="60" t="str">
        <f t="array" ref="C171">IFERROR(INDEX('testmo-export-repository'!$B$2:$X$1000,MATCH($B171,'testmo-export-repository'!$A$2:$A$1000,false),MATCH(C$2,'testmo-export-repository'!$B$1:$X$1,false)),"")</f>
        <v>Normal</v>
      </c>
      <c r="D171" s="60" t="str">
        <f t="array" ref="D171">IFERROR(INDEX('testmo-export-repository'!$B$2:$X$1000,MATCH($B171,'testmo-export-repository'!$A$2:$A$1000,false),MATCH(D$2,'testmo-export-repository'!$B$1:$X$1,false)),"")</f>
        <v/>
      </c>
      <c r="E171" s="60">
        <f>IFERROR(VLOOKUP($C171,instructions!$N$3:$O$5,2,false),"")</f>
        <v>2</v>
      </c>
      <c r="F171" s="60" t="str">
        <f>IFERROR(VLOOKUP($D171,instructions!$N$3:$O$5,2,false),"")</f>
        <v/>
      </c>
      <c r="G171" s="60" t="str">
        <f t="array" ref="G171">IFERROR(INDEX('testmo-export-repository'!$B$2:$X$1000,MATCH($B171,'testmo-export-repository'!$A$2:$A$1000,false),MATCH(G$2,'testmo-export-repository'!$B$1:$X$1,false)),"")</f>
        <v/>
      </c>
      <c r="H171" s="60" t="str">
        <f t="array" ref="H171">IFERROR(INDEX('testmo-export-repository'!$B$2:$X$1000,MATCH($B171,'testmo-export-repository'!$A$2:$A$1000,false),MATCH(H$2,'testmo-export-repository'!$B$1:$X$1,false)),"")</f>
        <v/>
      </c>
      <c r="I171" s="60" t="str">
        <f t="array" ref="I171">IFERROR(INDEX('testmo-export-repository'!$B$2:$X$1000,MATCH($B171,'testmo-export-repository'!$A$2:$A$1000,false),MATCH(I$2,'testmo-export-repository'!$B$1:$X$1,false)),"")</f>
        <v>Passed</v>
      </c>
      <c r="J171" s="60" t="str">
        <f t="array" ref="J171">IFERROR(INDEX('testmo-export-repository'!$B$2:$Y$1000,MATCH($B171,'testmo-export-repository'!$A$2:$A$1000,false),MATCH(J$2,'testmo-export-repository'!$B$1:$Y$1,false)),"")</f>
        <v/>
      </c>
      <c r="K171" s="60" t="str">
        <f t="array" ref="K171">IFERROR(INDEX('testmo-export-repository'!$B$2:$Y$1000,MATCH($B171,'testmo-export-repository'!$A$2:$A$1000,false),MATCH(K$2,'testmo-export-repository'!$B$1:$Y$1,false)),"")</f>
        <v/>
      </c>
    </row>
    <row r="172">
      <c r="B172" s="60">
        <f>'testmo-export-repository'!A171</f>
        <v>837</v>
      </c>
      <c r="C172" s="60" t="str">
        <f t="array" ref="C172">IFERROR(INDEX('testmo-export-repository'!$B$2:$X$1000,MATCH($B172,'testmo-export-repository'!$A$2:$A$1000,false),MATCH(C$2,'testmo-export-repository'!$B$1:$X$1,false)),"")</f>
        <v>Normal</v>
      </c>
      <c r="D172" s="60" t="str">
        <f t="array" ref="D172">IFERROR(INDEX('testmo-export-repository'!$B$2:$X$1000,MATCH($B172,'testmo-export-repository'!$A$2:$A$1000,false),MATCH(D$2,'testmo-export-repository'!$B$1:$X$1,false)),"")</f>
        <v/>
      </c>
      <c r="E172" s="60">
        <f>IFERROR(VLOOKUP($C172,instructions!$N$3:$O$5,2,false),"")</f>
        <v>2</v>
      </c>
      <c r="F172" s="60" t="str">
        <f>IFERROR(VLOOKUP($D172,instructions!$N$3:$O$5,2,false),"")</f>
        <v/>
      </c>
      <c r="G172" s="60" t="str">
        <f t="array" ref="G172">IFERROR(INDEX('testmo-export-repository'!$B$2:$X$1000,MATCH($B172,'testmo-export-repository'!$A$2:$A$1000,false),MATCH(G$2,'testmo-export-repository'!$B$1:$X$1,false)),"")</f>
        <v/>
      </c>
      <c r="H172" s="60" t="str">
        <f t="array" ref="H172">IFERROR(INDEX('testmo-export-repository'!$B$2:$X$1000,MATCH($B172,'testmo-export-repository'!$A$2:$A$1000,false),MATCH(H$2,'testmo-export-repository'!$B$1:$X$1,false)),"")</f>
        <v/>
      </c>
      <c r="I172" s="60" t="str">
        <f t="array" ref="I172">IFERROR(INDEX('testmo-export-repository'!$B$2:$X$1000,MATCH($B172,'testmo-export-repository'!$A$2:$A$1000,false),MATCH(I$2,'testmo-export-repository'!$B$1:$X$1,false)),"")</f>
        <v>Passed</v>
      </c>
      <c r="J172" s="60" t="str">
        <f t="array" ref="J172">IFERROR(INDEX('testmo-export-repository'!$B$2:$Y$1000,MATCH($B172,'testmo-export-repository'!$A$2:$A$1000,false),MATCH(J$2,'testmo-export-repository'!$B$1:$Y$1,false)),"")</f>
        <v/>
      </c>
      <c r="K172" s="60" t="str">
        <f t="array" ref="K172">IFERROR(INDEX('testmo-export-repository'!$B$2:$Y$1000,MATCH($B172,'testmo-export-repository'!$A$2:$A$1000,false),MATCH(K$2,'testmo-export-repository'!$B$1:$Y$1,false)),"")</f>
        <v/>
      </c>
    </row>
    <row r="173">
      <c r="B173" s="60">
        <f>'testmo-export-repository'!A172</f>
        <v>839</v>
      </c>
      <c r="C173" s="60" t="str">
        <f t="array" ref="C173">IFERROR(INDEX('testmo-export-repository'!$B$2:$X$1000,MATCH($B173,'testmo-export-repository'!$A$2:$A$1000,false),MATCH(C$2,'testmo-export-repository'!$B$1:$X$1,false)),"")</f>
        <v>Normal</v>
      </c>
      <c r="D173" s="60" t="str">
        <f t="array" ref="D173">IFERROR(INDEX('testmo-export-repository'!$B$2:$X$1000,MATCH($B173,'testmo-export-repository'!$A$2:$A$1000,false),MATCH(D$2,'testmo-export-repository'!$B$1:$X$1,false)),"")</f>
        <v/>
      </c>
      <c r="E173" s="60">
        <f>IFERROR(VLOOKUP($C173,instructions!$N$3:$O$5,2,false),"")</f>
        <v>2</v>
      </c>
      <c r="F173" s="60" t="str">
        <f>IFERROR(VLOOKUP($D173,instructions!$N$3:$O$5,2,false),"")</f>
        <v/>
      </c>
      <c r="G173" s="60" t="str">
        <f t="array" ref="G173">IFERROR(INDEX('testmo-export-repository'!$B$2:$X$1000,MATCH($B173,'testmo-export-repository'!$A$2:$A$1000,false),MATCH(G$2,'testmo-export-repository'!$B$1:$X$1,false)),"")</f>
        <v/>
      </c>
      <c r="H173" s="60" t="str">
        <f t="array" ref="H173">IFERROR(INDEX('testmo-export-repository'!$B$2:$X$1000,MATCH($B173,'testmo-export-repository'!$A$2:$A$1000,false),MATCH(H$2,'testmo-export-repository'!$B$1:$X$1,false)),"")</f>
        <v/>
      </c>
      <c r="I173" s="60" t="str">
        <f t="array" ref="I173">IFERROR(INDEX('testmo-export-repository'!$B$2:$X$1000,MATCH($B173,'testmo-export-repository'!$A$2:$A$1000,false),MATCH(I$2,'testmo-export-repository'!$B$1:$X$1,false)),"")</f>
        <v>Passed</v>
      </c>
      <c r="J173" s="60" t="str">
        <f t="array" ref="J173">IFERROR(INDEX('testmo-export-repository'!$B$2:$Y$1000,MATCH($B173,'testmo-export-repository'!$A$2:$A$1000,false),MATCH(J$2,'testmo-export-repository'!$B$1:$Y$1,false)),"")</f>
        <v/>
      </c>
      <c r="K173" s="60" t="str">
        <f t="array" ref="K173">IFERROR(INDEX('testmo-export-repository'!$B$2:$Y$1000,MATCH($B173,'testmo-export-repository'!$A$2:$A$1000,false),MATCH(K$2,'testmo-export-repository'!$B$1:$Y$1,false)),"")</f>
        <v/>
      </c>
    </row>
    <row r="174">
      <c r="B174" s="60">
        <f>'testmo-export-repository'!A173</f>
        <v>840</v>
      </c>
      <c r="C174" s="60" t="str">
        <f t="array" ref="C174">IFERROR(INDEX('testmo-export-repository'!$B$2:$X$1000,MATCH($B174,'testmo-export-repository'!$A$2:$A$1000,false),MATCH(C$2,'testmo-export-repository'!$B$1:$X$1,false)),"")</f>
        <v>Normal</v>
      </c>
      <c r="D174" s="60" t="str">
        <f t="array" ref="D174">IFERROR(INDEX('testmo-export-repository'!$B$2:$X$1000,MATCH($B174,'testmo-export-repository'!$A$2:$A$1000,false),MATCH(D$2,'testmo-export-repository'!$B$1:$X$1,false)),"")</f>
        <v/>
      </c>
      <c r="E174" s="60">
        <f>IFERROR(VLOOKUP($C174,instructions!$N$3:$O$5,2,false),"")</f>
        <v>2</v>
      </c>
      <c r="F174" s="60" t="str">
        <f>IFERROR(VLOOKUP($D174,instructions!$N$3:$O$5,2,false),"")</f>
        <v/>
      </c>
      <c r="G174" s="60" t="str">
        <f t="array" ref="G174">IFERROR(INDEX('testmo-export-repository'!$B$2:$X$1000,MATCH($B174,'testmo-export-repository'!$A$2:$A$1000,false),MATCH(G$2,'testmo-export-repository'!$B$1:$X$1,false)),"")</f>
        <v/>
      </c>
      <c r="H174" s="60" t="str">
        <f t="array" ref="H174">IFERROR(INDEX('testmo-export-repository'!$B$2:$X$1000,MATCH($B174,'testmo-export-repository'!$A$2:$A$1000,false),MATCH(H$2,'testmo-export-repository'!$B$1:$X$1,false)),"")</f>
        <v/>
      </c>
      <c r="I174" s="60" t="str">
        <f t="array" ref="I174">IFERROR(INDEX('testmo-export-repository'!$B$2:$X$1000,MATCH($B174,'testmo-export-repository'!$A$2:$A$1000,false),MATCH(I$2,'testmo-export-repository'!$B$1:$X$1,false)),"")</f>
        <v>Passed</v>
      </c>
      <c r="J174" s="60" t="str">
        <f t="array" ref="J174">IFERROR(INDEX('testmo-export-repository'!$B$2:$Y$1000,MATCH($B174,'testmo-export-repository'!$A$2:$A$1000,false),MATCH(J$2,'testmo-export-repository'!$B$1:$Y$1,false)),"")</f>
        <v/>
      </c>
      <c r="K174" s="60" t="str">
        <f t="array" ref="K174">IFERROR(INDEX('testmo-export-repository'!$B$2:$Y$1000,MATCH($B174,'testmo-export-repository'!$A$2:$A$1000,false),MATCH(K$2,'testmo-export-repository'!$B$1:$Y$1,false)),"")</f>
        <v/>
      </c>
    </row>
    <row r="175">
      <c r="B175" s="60">
        <f>'testmo-export-repository'!A174</f>
        <v>841</v>
      </c>
      <c r="C175" s="60" t="str">
        <f t="array" ref="C175">IFERROR(INDEX('testmo-export-repository'!$B$2:$X$1000,MATCH($B175,'testmo-export-repository'!$A$2:$A$1000,false),MATCH(C$2,'testmo-export-repository'!$B$1:$X$1,false)),"")</f>
        <v>Normal</v>
      </c>
      <c r="D175" s="60" t="str">
        <f t="array" ref="D175">IFERROR(INDEX('testmo-export-repository'!$B$2:$X$1000,MATCH($B175,'testmo-export-repository'!$A$2:$A$1000,false),MATCH(D$2,'testmo-export-repository'!$B$1:$X$1,false)),"")</f>
        <v/>
      </c>
      <c r="E175" s="60">
        <f>IFERROR(VLOOKUP($C175,instructions!$N$3:$O$5,2,false),"")</f>
        <v>2</v>
      </c>
      <c r="F175" s="60" t="str">
        <f>IFERROR(VLOOKUP($D175,instructions!$N$3:$O$5,2,false),"")</f>
        <v/>
      </c>
      <c r="G175" s="60" t="str">
        <f t="array" ref="G175">IFERROR(INDEX('testmo-export-repository'!$B$2:$X$1000,MATCH($B175,'testmo-export-repository'!$A$2:$A$1000,false),MATCH(G$2,'testmo-export-repository'!$B$1:$X$1,false)),"")</f>
        <v/>
      </c>
      <c r="H175" s="60" t="str">
        <f t="array" ref="H175">IFERROR(INDEX('testmo-export-repository'!$B$2:$X$1000,MATCH($B175,'testmo-export-repository'!$A$2:$A$1000,false),MATCH(H$2,'testmo-export-repository'!$B$1:$X$1,false)),"")</f>
        <v/>
      </c>
      <c r="I175" s="60" t="str">
        <f t="array" ref="I175">IFERROR(INDEX('testmo-export-repository'!$B$2:$X$1000,MATCH($B175,'testmo-export-repository'!$A$2:$A$1000,false),MATCH(I$2,'testmo-export-repository'!$B$1:$X$1,false)),"")</f>
        <v>Passed</v>
      </c>
      <c r="J175" s="60" t="str">
        <f t="array" ref="J175">IFERROR(INDEX('testmo-export-repository'!$B$2:$Y$1000,MATCH($B175,'testmo-export-repository'!$A$2:$A$1000,false),MATCH(J$2,'testmo-export-repository'!$B$1:$Y$1,false)),"")</f>
        <v/>
      </c>
      <c r="K175" s="60" t="str">
        <f t="array" ref="K175">IFERROR(INDEX('testmo-export-repository'!$B$2:$Y$1000,MATCH($B175,'testmo-export-repository'!$A$2:$A$1000,false),MATCH(K$2,'testmo-export-repository'!$B$1:$Y$1,false)),"")</f>
        <v/>
      </c>
    </row>
    <row r="176">
      <c r="B176" s="60">
        <f>'testmo-export-repository'!A175</f>
        <v>842</v>
      </c>
      <c r="C176" s="60" t="str">
        <f t="array" ref="C176">IFERROR(INDEX('testmo-export-repository'!$B$2:$X$1000,MATCH($B176,'testmo-export-repository'!$A$2:$A$1000,false),MATCH(C$2,'testmo-export-repository'!$B$1:$X$1,false)),"")</f>
        <v>Normal</v>
      </c>
      <c r="D176" s="60" t="str">
        <f t="array" ref="D176">IFERROR(INDEX('testmo-export-repository'!$B$2:$X$1000,MATCH($B176,'testmo-export-repository'!$A$2:$A$1000,false),MATCH(D$2,'testmo-export-repository'!$B$1:$X$1,false)),"")</f>
        <v/>
      </c>
      <c r="E176" s="60">
        <f>IFERROR(VLOOKUP($C176,instructions!$N$3:$O$5,2,false),"")</f>
        <v>2</v>
      </c>
      <c r="F176" s="60" t="str">
        <f>IFERROR(VLOOKUP($D176,instructions!$N$3:$O$5,2,false),"")</f>
        <v/>
      </c>
      <c r="G176" s="60" t="str">
        <f t="array" ref="G176">IFERROR(INDEX('testmo-export-repository'!$B$2:$X$1000,MATCH($B176,'testmo-export-repository'!$A$2:$A$1000,false),MATCH(G$2,'testmo-export-repository'!$B$1:$X$1,false)),"")</f>
        <v/>
      </c>
      <c r="H176" s="60" t="str">
        <f t="array" ref="H176">IFERROR(INDEX('testmo-export-repository'!$B$2:$X$1000,MATCH($B176,'testmo-export-repository'!$A$2:$A$1000,false),MATCH(H$2,'testmo-export-repository'!$B$1:$X$1,false)),"")</f>
        <v/>
      </c>
      <c r="I176" s="60" t="str">
        <f t="array" ref="I176">IFERROR(INDEX('testmo-export-repository'!$B$2:$X$1000,MATCH($B176,'testmo-export-repository'!$A$2:$A$1000,false),MATCH(I$2,'testmo-export-repository'!$B$1:$X$1,false)),"")</f>
        <v>Passed</v>
      </c>
      <c r="J176" s="60" t="str">
        <f t="array" ref="J176">IFERROR(INDEX('testmo-export-repository'!$B$2:$Y$1000,MATCH($B176,'testmo-export-repository'!$A$2:$A$1000,false),MATCH(J$2,'testmo-export-repository'!$B$1:$Y$1,false)),"")</f>
        <v/>
      </c>
      <c r="K176" s="60" t="str">
        <f t="array" ref="K176">IFERROR(INDEX('testmo-export-repository'!$B$2:$Y$1000,MATCH($B176,'testmo-export-repository'!$A$2:$A$1000,false),MATCH(K$2,'testmo-export-repository'!$B$1:$Y$1,false)),"")</f>
        <v/>
      </c>
    </row>
    <row r="177">
      <c r="B177" s="60">
        <f>'testmo-export-repository'!A176</f>
        <v>25790</v>
      </c>
      <c r="C177" s="60" t="str">
        <f t="array" ref="C177">IFERROR(INDEX('testmo-export-repository'!$B$2:$X$1000,MATCH($B177,'testmo-export-repository'!$A$2:$A$1000,false),MATCH(C$2,'testmo-export-repository'!$B$1:$X$1,false)),"")</f>
        <v>Normal</v>
      </c>
      <c r="D177" s="60" t="str">
        <f t="array" ref="D177">IFERROR(INDEX('testmo-export-repository'!$B$2:$X$1000,MATCH($B177,'testmo-export-repository'!$A$2:$A$1000,false),MATCH(D$2,'testmo-export-repository'!$B$1:$X$1,false)),"")</f>
        <v/>
      </c>
      <c r="E177" s="60">
        <f>IFERROR(VLOOKUP($C177,instructions!$N$3:$O$5,2,false),"")</f>
        <v>2</v>
      </c>
      <c r="F177" s="60" t="str">
        <f>IFERROR(VLOOKUP($D177,instructions!$N$3:$O$5,2,false),"")</f>
        <v/>
      </c>
      <c r="G177" s="60" t="str">
        <f t="array" ref="G177">IFERROR(INDEX('testmo-export-repository'!$B$2:$X$1000,MATCH($B177,'testmo-export-repository'!$A$2:$A$1000,false),MATCH(G$2,'testmo-export-repository'!$B$1:$X$1,false)),"")</f>
        <v/>
      </c>
      <c r="H177" s="60" t="str">
        <f t="array" ref="H177">IFERROR(INDEX('testmo-export-repository'!$B$2:$X$1000,MATCH($B177,'testmo-export-repository'!$A$2:$A$1000,false),MATCH(H$2,'testmo-export-repository'!$B$1:$X$1,false)),"")</f>
        <v/>
      </c>
      <c r="I177" s="60" t="str">
        <f t="array" ref="I177">IFERROR(INDEX('testmo-export-repository'!$B$2:$X$1000,MATCH($B177,'testmo-export-repository'!$A$2:$A$1000,false),MATCH(I$2,'testmo-export-repository'!$B$1:$X$1,false)),"")</f>
        <v/>
      </c>
      <c r="J177" s="60" t="str">
        <f t="array" ref="J177">IFERROR(INDEX('testmo-export-repository'!$B$2:$Y$1000,MATCH($B177,'testmo-export-repository'!$A$2:$A$1000,false),MATCH(J$2,'testmo-export-repository'!$B$1:$Y$1,false)),"")</f>
        <v/>
      </c>
      <c r="K177" s="60" t="str">
        <f t="array" ref="K177">IFERROR(INDEX('testmo-export-repository'!$B$2:$Y$1000,MATCH($B177,'testmo-export-repository'!$A$2:$A$1000,false),MATCH(K$2,'testmo-export-repository'!$B$1:$Y$1,false)),"")</f>
        <v/>
      </c>
    </row>
    <row r="178">
      <c r="B178" s="60">
        <f>'testmo-export-repository'!A177</f>
        <v>25791</v>
      </c>
      <c r="C178" s="60" t="str">
        <f t="array" ref="C178">IFERROR(INDEX('testmo-export-repository'!$B$2:$X$1000,MATCH($B178,'testmo-export-repository'!$A$2:$A$1000,false),MATCH(C$2,'testmo-export-repository'!$B$1:$X$1,false)),"")</f>
        <v>Normal</v>
      </c>
      <c r="D178" s="60" t="str">
        <f t="array" ref="D178">IFERROR(INDEX('testmo-export-repository'!$B$2:$X$1000,MATCH($B178,'testmo-export-repository'!$A$2:$A$1000,false),MATCH(D$2,'testmo-export-repository'!$B$1:$X$1,false)),"")</f>
        <v/>
      </c>
      <c r="E178" s="60">
        <f>IFERROR(VLOOKUP($C178,instructions!$N$3:$O$5,2,false),"")</f>
        <v>2</v>
      </c>
      <c r="F178" s="60" t="str">
        <f>IFERROR(VLOOKUP($D178,instructions!$N$3:$O$5,2,false),"")</f>
        <v/>
      </c>
      <c r="G178" s="60" t="str">
        <f t="array" ref="G178">IFERROR(INDEX('testmo-export-repository'!$B$2:$X$1000,MATCH($B178,'testmo-export-repository'!$A$2:$A$1000,false),MATCH(G$2,'testmo-export-repository'!$B$1:$X$1,false)),"")</f>
        <v/>
      </c>
      <c r="H178" s="60" t="str">
        <f t="array" ref="H178">IFERROR(INDEX('testmo-export-repository'!$B$2:$X$1000,MATCH($B178,'testmo-export-repository'!$A$2:$A$1000,false),MATCH(H$2,'testmo-export-repository'!$B$1:$X$1,false)),"")</f>
        <v/>
      </c>
      <c r="I178" s="60" t="str">
        <f t="array" ref="I178">IFERROR(INDEX('testmo-export-repository'!$B$2:$X$1000,MATCH($B178,'testmo-export-repository'!$A$2:$A$1000,false),MATCH(I$2,'testmo-export-repository'!$B$1:$X$1,false)),"")</f>
        <v/>
      </c>
      <c r="J178" s="60" t="str">
        <f t="array" ref="J178">IFERROR(INDEX('testmo-export-repository'!$B$2:$Y$1000,MATCH($B178,'testmo-export-repository'!$A$2:$A$1000,false),MATCH(J$2,'testmo-export-repository'!$B$1:$Y$1,false)),"")</f>
        <v/>
      </c>
      <c r="K178" s="60" t="str">
        <f t="array" ref="K178">IFERROR(INDEX('testmo-export-repository'!$B$2:$Y$1000,MATCH($B178,'testmo-export-repository'!$A$2:$A$1000,false),MATCH(K$2,'testmo-export-repository'!$B$1:$Y$1,false)),"")</f>
        <v/>
      </c>
    </row>
    <row r="179">
      <c r="B179" s="60">
        <f>'testmo-export-repository'!A178</f>
        <v>5149</v>
      </c>
      <c r="C179" s="60" t="str">
        <f t="array" ref="C179">IFERROR(INDEX('testmo-export-repository'!$B$2:$X$1000,MATCH($B179,'testmo-export-repository'!$A$2:$A$1000,false),MATCH(C$2,'testmo-export-repository'!$B$1:$X$1,false)),"")</f>
        <v>Normal</v>
      </c>
      <c r="D179" s="60" t="str">
        <f t="array" ref="D179">IFERROR(INDEX('testmo-export-repository'!$B$2:$X$1000,MATCH($B179,'testmo-export-repository'!$A$2:$A$1000,false),MATCH(D$2,'testmo-export-repository'!$B$1:$X$1,false)),"")</f>
        <v/>
      </c>
      <c r="E179" s="60">
        <f>IFERROR(VLOOKUP($C179,instructions!$N$3:$O$5,2,false),"")</f>
        <v>2</v>
      </c>
      <c r="F179" s="60" t="str">
        <f>IFERROR(VLOOKUP($D179,instructions!$N$3:$O$5,2,false),"")</f>
        <v/>
      </c>
      <c r="G179" s="60" t="str">
        <f t="array" ref="G179">IFERROR(INDEX('testmo-export-repository'!$B$2:$X$1000,MATCH($B179,'testmo-export-repository'!$A$2:$A$1000,false),MATCH(G$2,'testmo-export-repository'!$B$1:$X$1,false)),"")</f>
        <v/>
      </c>
      <c r="H179" s="60" t="str">
        <f t="array" ref="H179">IFERROR(INDEX('testmo-export-repository'!$B$2:$X$1000,MATCH($B179,'testmo-export-repository'!$A$2:$A$1000,false),MATCH(H$2,'testmo-export-repository'!$B$1:$X$1,false)),"")</f>
        <v/>
      </c>
      <c r="I179" s="60" t="str">
        <f t="array" ref="I179">IFERROR(INDEX('testmo-export-repository'!$B$2:$X$1000,MATCH($B179,'testmo-export-repository'!$A$2:$A$1000,false),MATCH(I$2,'testmo-export-repository'!$B$1:$X$1,false)),"")</f>
        <v>Passed</v>
      </c>
      <c r="J179" s="60" t="str">
        <f t="array" ref="J179">IFERROR(INDEX('testmo-export-repository'!$B$2:$Y$1000,MATCH($B179,'testmo-export-repository'!$A$2:$A$1000,false),MATCH(J$2,'testmo-export-repository'!$B$1:$Y$1,false)),"")</f>
        <v/>
      </c>
      <c r="K179" s="60" t="str">
        <f t="array" ref="K179">IFERROR(INDEX('testmo-export-repository'!$B$2:$Y$1000,MATCH($B179,'testmo-export-repository'!$A$2:$A$1000,false),MATCH(K$2,'testmo-export-repository'!$B$1:$Y$1,false)),"")</f>
        <v>BAS-706</v>
      </c>
    </row>
    <row r="180">
      <c r="B180" s="60">
        <f>'testmo-export-repository'!A179</f>
        <v>5150</v>
      </c>
      <c r="C180" s="60" t="str">
        <f t="array" ref="C180">IFERROR(INDEX('testmo-export-repository'!$B$2:$X$1000,MATCH($B180,'testmo-export-repository'!$A$2:$A$1000,false),MATCH(C$2,'testmo-export-repository'!$B$1:$X$1,false)),"")</f>
        <v>Normal</v>
      </c>
      <c r="D180" s="60" t="str">
        <f t="array" ref="D180">IFERROR(INDEX('testmo-export-repository'!$B$2:$X$1000,MATCH($B180,'testmo-export-repository'!$A$2:$A$1000,false),MATCH(D$2,'testmo-export-repository'!$B$1:$X$1,false)),"")</f>
        <v/>
      </c>
      <c r="E180" s="60">
        <f>IFERROR(VLOOKUP($C180,instructions!$N$3:$O$5,2,false),"")</f>
        <v>2</v>
      </c>
      <c r="F180" s="60" t="str">
        <f>IFERROR(VLOOKUP($D180,instructions!$N$3:$O$5,2,false),"")</f>
        <v/>
      </c>
      <c r="G180" s="60" t="str">
        <f t="array" ref="G180">IFERROR(INDEX('testmo-export-repository'!$B$2:$X$1000,MATCH($B180,'testmo-export-repository'!$A$2:$A$1000,false),MATCH(G$2,'testmo-export-repository'!$B$1:$X$1,false)),"")</f>
        <v/>
      </c>
      <c r="H180" s="60" t="str">
        <f t="array" ref="H180">IFERROR(INDEX('testmo-export-repository'!$B$2:$X$1000,MATCH($B180,'testmo-export-repository'!$A$2:$A$1000,false),MATCH(H$2,'testmo-export-repository'!$B$1:$X$1,false)),"")</f>
        <v/>
      </c>
      <c r="I180" s="60" t="str">
        <f t="array" ref="I180">IFERROR(INDEX('testmo-export-repository'!$B$2:$X$1000,MATCH($B180,'testmo-export-repository'!$A$2:$A$1000,false),MATCH(I$2,'testmo-export-repository'!$B$1:$X$1,false)),"")</f>
        <v>Passed</v>
      </c>
      <c r="J180" s="60" t="str">
        <f t="array" ref="J180">IFERROR(INDEX('testmo-export-repository'!$B$2:$Y$1000,MATCH($B180,'testmo-export-repository'!$A$2:$A$1000,false),MATCH(J$2,'testmo-export-repository'!$B$1:$Y$1,false)),"")</f>
        <v/>
      </c>
      <c r="K180" s="60" t="str">
        <f t="array" ref="K180">IFERROR(INDEX('testmo-export-repository'!$B$2:$Y$1000,MATCH($B180,'testmo-export-repository'!$A$2:$A$1000,false),MATCH(K$2,'testmo-export-repository'!$B$1:$Y$1,false)),"")</f>
        <v/>
      </c>
    </row>
    <row r="181">
      <c r="B181" s="60">
        <f>'testmo-export-repository'!A180</f>
        <v>5286</v>
      </c>
      <c r="C181" s="60" t="str">
        <f t="array" ref="C181">IFERROR(INDEX('testmo-export-repository'!$B$2:$X$1000,MATCH($B181,'testmo-export-repository'!$A$2:$A$1000,false),MATCH(C$2,'testmo-export-repository'!$B$1:$X$1,false)),"")</f>
        <v>Normal</v>
      </c>
      <c r="D181" s="60" t="str">
        <f t="array" ref="D181">IFERROR(INDEX('testmo-export-repository'!$B$2:$X$1000,MATCH($B181,'testmo-export-repository'!$A$2:$A$1000,false),MATCH(D$2,'testmo-export-repository'!$B$1:$X$1,false)),"")</f>
        <v/>
      </c>
      <c r="E181" s="60">
        <f>IFERROR(VLOOKUP($C181,instructions!$N$3:$O$5,2,false),"")</f>
        <v>2</v>
      </c>
      <c r="F181" s="60" t="str">
        <f>IFERROR(VLOOKUP($D181,instructions!$N$3:$O$5,2,false),"")</f>
        <v/>
      </c>
      <c r="G181" s="60" t="str">
        <f t="array" ref="G181">IFERROR(INDEX('testmo-export-repository'!$B$2:$X$1000,MATCH($B181,'testmo-export-repository'!$A$2:$A$1000,false),MATCH(G$2,'testmo-export-repository'!$B$1:$X$1,false)),"")</f>
        <v/>
      </c>
      <c r="H181" s="60" t="str">
        <f t="array" ref="H181">IFERROR(INDEX('testmo-export-repository'!$B$2:$X$1000,MATCH($B181,'testmo-export-repository'!$A$2:$A$1000,false),MATCH(H$2,'testmo-export-repository'!$B$1:$X$1,false)),"")</f>
        <v/>
      </c>
      <c r="I181" s="60" t="str">
        <f t="array" ref="I181">IFERROR(INDEX('testmo-export-repository'!$B$2:$X$1000,MATCH($B181,'testmo-export-repository'!$A$2:$A$1000,false),MATCH(I$2,'testmo-export-repository'!$B$1:$X$1,false)),"")</f>
        <v>Passed</v>
      </c>
      <c r="J181" s="60" t="str">
        <f t="array" ref="J181">IFERROR(INDEX('testmo-export-repository'!$B$2:$Y$1000,MATCH($B181,'testmo-export-repository'!$A$2:$A$1000,false),MATCH(J$2,'testmo-export-repository'!$B$1:$Y$1,false)),"")</f>
        <v/>
      </c>
      <c r="K181" s="60" t="str">
        <f t="array" ref="K181">IFERROR(INDEX('testmo-export-repository'!$B$2:$Y$1000,MATCH($B181,'testmo-export-repository'!$A$2:$A$1000,false),MATCH(K$2,'testmo-export-repository'!$B$1:$Y$1,false)),"")</f>
        <v>BAS-707</v>
      </c>
    </row>
    <row r="182">
      <c r="B182" s="60">
        <f>'testmo-export-repository'!A181</f>
        <v>1914</v>
      </c>
      <c r="C182" s="60" t="str">
        <f t="array" ref="C182">IFERROR(INDEX('testmo-export-repository'!$B$2:$X$1000,MATCH($B182,'testmo-export-repository'!$A$2:$A$1000,false),MATCH(C$2,'testmo-export-repository'!$B$1:$X$1,false)),"")</f>
        <v>Normal</v>
      </c>
      <c r="D182" s="60" t="str">
        <f t="array" ref="D182">IFERROR(INDEX('testmo-export-repository'!$B$2:$X$1000,MATCH($B182,'testmo-export-repository'!$A$2:$A$1000,false),MATCH(D$2,'testmo-export-repository'!$B$1:$X$1,false)),"")</f>
        <v/>
      </c>
      <c r="E182" s="60">
        <f>IFERROR(VLOOKUP($C182,instructions!$N$3:$O$5,2,false),"")</f>
        <v>2</v>
      </c>
      <c r="F182" s="60" t="str">
        <f>IFERROR(VLOOKUP($D182,instructions!$N$3:$O$5,2,false),"")</f>
        <v/>
      </c>
      <c r="G182" s="60" t="str">
        <f t="array" ref="G182">IFERROR(INDEX('testmo-export-repository'!$B$2:$X$1000,MATCH($B182,'testmo-export-repository'!$A$2:$A$1000,false),MATCH(G$2,'testmo-export-repository'!$B$1:$X$1,false)),"")</f>
        <v/>
      </c>
      <c r="H182" s="60" t="str">
        <f t="array" ref="H182">IFERROR(INDEX('testmo-export-repository'!$B$2:$X$1000,MATCH($B182,'testmo-export-repository'!$A$2:$A$1000,false),MATCH(H$2,'testmo-export-repository'!$B$1:$X$1,false)),"")</f>
        <v/>
      </c>
      <c r="I182" s="60" t="str">
        <f t="array" ref="I182">IFERROR(INDEX('testmo-export-repository'!$B$2:$X$1000,MATCH($B182,'testmo-export-repository'!$A$2:$A$1000,false),MATCH(I$2,'testmo-export-repository'!$B$1:$X$1,false)),"")</f>
        <v>Passed</v>
      </c>
      <c r="J182" s="60" t="str">
        <f t="array" ref="J182">IFERROR(INDEX('testmo-export-repository'!$B$2:$Y$1000,MATCH($B182,'testmo-export-repository'!$A$2:$A$1000,false),MATCH(J$2,'testmo-export-repository'!$B$1:$Y$1,false)),"")</f>
        <v/>
      </c>
      <c r="K182" s="60" t="str">
        <f t="array" ref="K182">IFERROR(INDEX('testmo-export-repository'!$B$2:$Y$1000,MATCH($B182,'testmo-export-repository'!$A$2:$A$1000,false),MATCH(K$2,'testmo-export-repository'!$B$1:$Y$1,false)),"")</f>
        <v>BAS-625</v>
      </c>
    </row>
    <row r="183">
      <c r="B183" s="60">
        <f>'testmo-export-repository'!A182</f>
        <v>5269</v>
      </c>
      <c r="C183" s="60" t="str">
        <f t="array" ref="C183">IFERROR(INDEX('testmo-export-repository'!$B$2:$X$1000,MATCH($B183,'testmo-export-repository'!$A$2:$A$1000,false),MATCH(C$2,'testmo-export-repository'!$B$1:$X$1,false)),"")</f>
        <v>Normal</v>
      </c>
      <c r="D183" s="60" t="str">
        <f t="array" ref="D183">IFERROR(INDEX('testmo-export-repository'!$B$2:$X$1000,MATCH($B183,'testmo-export-repository'!$A$2:$A$1000,false),MATCH(D$2,'testmo-export-repository'!$B$1:$X$1,false)),"")</f>
        <v/>
      </c>
      <c r="E183" s="60">
        <f>IFERROR(VLOOKUP($C183,instructions!$N$3:$O$5,2,false),"")</f>
        <v>2</v>
      </c>
      <c r="F183" s="60" t="str">
        <f>IFERROR(VLOOKUP($D183,instructions!$N$3:$O$5,2,false),"")</f>
        <v/>
      </c>
      <c r="G183" s="60" t="str">
        <f t="array" ref="G183">IFERROR(INDEX('testmo-export-repository'!$B$2:$X$1000,MATCH($B183,'testmo-export-repository'!$A$2:$A$1000,false),MATCH(G$2,'testmo-export-repository'!$B$1:$X$1,false)),"")</f>
        <v/>
      </c>
      <c r="H183" s="60" t="str">
        <f t="array" ref="H183">IFERROR(INDEX('testmo-export-repository'!$B$2:$X$1000,MATCH($B183,'testmo-export-repository'!$A$2:$A$1000,false),MATCH(H$2,'testmo-export-repository'!$B$1:$X$1,false)),"")</f>
        <v/>
      </c>
      <c r="I183" s="60" t="str">
        <f t="array" ref="I183">IFERROR(INDEX('testmo-export-repository'!$B$2:$X$1000,MATCH($B183,'testmo-export-repository'!$A$2:$A$1000,false),MATCH(I$2,'testmo-export-repository'!$B$1:$X$1,false)),"")</f>
        <v>Passed</v>
      </c>
      <c r="J183" s="60" t="str">
        <f t="array" ref="J183">IFERROR(INDEX('testmo-export-repository'!$B$2:$Y$1000,MATCH($B183,'testmo-export-repository'!$A$2:$A$1000,false),MATCH(J$2,'testmo-export-repository'!$B$1:$Y$1,false)),"")</f>
        <v/>
      </c>
      <c r="K183" s="60" t="str">
        <f t="array" ref="K183">IFERROR(INDEX('testmo-export-repository'!$B$2:$Y$1000,MATCH($B183,'testmo-export-repository'!$A$2:$A$1000,false),MATCH(K$2,'testmo-export-repository'!$B$1:$Y$1,false)),"")</f>
        <v>BAS-760</v>
      </c>
    </row>
    <row r="184">
      <c r="B184" s="60">
        <f>'testmo-export-repository'!A183</f>
        <v>820</v>
      </c>
      <c r="C184" s="60" t="str">
        <f t="array" ref="C184">IFERROR(INDEX('testmo-export-repository'!$B$2:$X$1000,MATCH($B184,'testmo-export-repository'!$A$2:$A$1000,false),MATCH(C$2,'testmo-export-repository'!$B$1:$X$1,false)),"")</f>
        <v>High</v>
      </c>
      <c r="D184" s="60" t="str">
        <f t="array" ref="D184">IFERROR(INDEX('testmo-export-repository'!$B$2:$X$1000,MATCH($B184,'testmo-export-repository'!$A$2:$A$1000,false),MATCH(D$2,'testmo-export-repository'!$B$1:$X$1,false)),"")</f>
        <v>Low</v>
      </c>
      <c r="E184" s="60">
        <f>IFERROR(VLOOKUP($C184,instructions!$N$3:$O$5,2,false),"")</f>
        <v>1</v>
      </c>
      <c r="F184" s="60">
        <f>IFERROR(VLOOKUP($D184,instructions!$N$3:$O$5,2,false),"")</f>
        <v>3</v>
      </c>
      <c r="G184" s="60" t="str">
        <f t="array" ref="G184">IFERROR(INDEX('testmo-export-repository'!$B$2:$X$1000,MATCH($B184,'testmo-export-repository'!$A$2:$A$1000,false),MATCH(G$2,'testmo-export-repository'!$B$1:$X$1,false)),"")</f>
        <v>Yes</v>
      </c>
      <c r="H184" s="60" t="str">
        <f t="array" ref="H184">IFERROR(INDEX('testmo-export-repository'!$B$2:$X$1000,MATCH($B184,'testmo-export-repository'!$A$2:$A$1000,false),MATCH(H$2,'testmo-export-repository'!$B$1:$X$1,false)),"")</f>
        <v>No</v>
      </c>
      <c r="I184" s="60" t="str">
        <f t="array" ref="I184">IFERROR(INDEX('testmo-export-repository'!$B$2:$X$1000,MATCH($B184,'testmo-export-repository'!$A$2:$A$1000,false),MATCH(I$2,'testmo-export-repository'!$B$1:$X$1,false)),"")</f>
        <v>Passed</v>
      </c>
      <c r="J184" s="60" t="str">
        <f t="array" ref="J184">IFERROR(INDEX('testmo-export-repository'!$B$2:$Y$1000,MATCH($B184,'testmo-export-repository'!$A$2:$A$1000,false),MATCH(J$2,'testmo-export-repository'!$B$1:$Y$1,false)),"")</f>
        <v>Reprocessing</v>
      </c>
      <c r="K184" s="60" t="str">
        <f t="array" ref="K184">IFERROR(INDEX('testmo-export-repository'!$B$2:$Y$1000,MATCH($B184,'testmo-export-repository'!$A$2:$A$1000,false),MATCH(K$2,'testmo-export-repository'!$B$1:$Y$1,false)),"")</f>
        <v/>
      </c>
    </row>
    <row r="185">
      <c r="B185" s="60">
        <f>'testmo-export-repository'!A184</f>
        <v>821</v>
      </c>
      <c r="C185" s="60" t="str">
        <f t="array" ref="C185">IFERROR(INDEX('testmo-export-repository'!$B$2:$X$1000,MATCH($B185,'testmo-export-repository'!$A$2:$A$1000,false),MATCH(C$2,'testmo-export-repository'!$B$1:$X$1,false)),"")</f>
        <v>High</v>
      </c>
      <c r="D185" s="60" t="str">
        <f t="array" ref="D185">IFERROR(INDEX('testmo-export-repository'!$B$2:$X$1000,MATCH($B185,'testmo-export-repository'!$A$2:$A$1000,false),MATCH(D$2,'testmo-export-repository'!$B$1:$X$1,false)),"")</f>
        <v>Normal</v>
      </c>
      <c r="E185" s="60">
        <f>IFERROR(VLOOKUP($C185,instructions!$N$3:$O$5,2,false),"")</f>
        <v>1</v>
      </c>
      <c r="F185" s="60">
        <f>IFERROR(VLOOKUP($D185,instructions!$N$3:$O$5,2,false),"")</f>
        <v>2</v>
      </c>
      <c r="G185" s="60" t="str">
        <f t="array" ref="G185">IFERROR(INDEX('testmo-export-repository'!$B$2:$X$1000,MATCH($B185,'testmo-export-repository'!$A$2:$A$1000,false),MATCH(G$2,'testmo-export-repository'!$B$1:$X$1,false)),"")</f>
        <v>Yes</v>
      </c>
      <c r="H185" s="60" t="str">
        <f t="array" ref="H185">IFERROR(INDEX('testmo-export-repository'!$B$2:$X$1000,MATCH($B185,'testmo-export-repository'!$A$2:$A$1000,false),MATCH(H$2,'testmo-export-repository'!$B$1:$X$1,false)),"")</f>
        <v>No</v>
      </c>
      <c r="I185" s="60" t="str">
        <f t="array" ref="I185">IFERROR(INDEX('testmo-export-repository'!$B$2:$X$1000,MATCH($B185,'testmo-export-repository'!$A$2:$A$1000,false),MATCH(I$2,'testmo-export-repository'!$B$1:$X$1,false)),"")</f>
        <v>Passed</v>
      </c>
      <c r="J185" s="60" t="str">
        <f t="array" ref="J185">IFERROR(INDEX('testmo-export-repository'!$B$2:$Y$1000,MATCH($B185,'testmo-export-repository'!$A$2:$A$1000,false),MATCH(J$2,'testmo-export-repository'!$B$1:$Y$1,false)),"")</f>
        <v>Reprocessing</v>
      </c>
      <c r="K185" s="60" t="str">
        <f t="array" ref="K185">IFERROR(INDEX('testmo-export-repository'!$B$2:$Y$1000,MATCH($B185,'testmo-export-repository'!$A$2:$A$1000,false),MATCH(K$2,'testmo-export-repository'!$B$1:$Y$1,false)),"")</f>
        <v/>
      </c>
    </row>
    <row r="186">
      <c r="B186" s="60">
        <f>'testmo-export-repository'!A185</f>
        <v>822</v>
      </c>
      <c r="C186" s="60" t="str">
        <f t="array" ref="C186">IFERROR(INDEX('testmo-export-repository'!$B$2:$X$1000,MATCH($B186,'testmo-export-repository'!$A$2:$A$1000,false),MATCH(C$2,'testmo-export-repository'!$B$1:$X$1,false)),"")</f>
        <v>High</v>
      </c>
      <c r="D186" s="60" t="str">
        <f t="array" ref="D186">IFERROR(INDEX('testmo-export-repository'!$B$2:$X$1000,MATCH($B186,'testmo-export-repository'!$A$2:$A$1000,false),MATCH(D$2,'testmo-export-repository'!$B$1:$X$1,false)),"")</f>
        <v>Normal</v>
      </c>
      <c r="E186" s="60">
        <f>IFERROR(VLOOKUP($C186,instructions!$N$3:$O$5,2,false),"")</f>
        <v>1</v>
      </c>
      <c r="F186" s="60">
        <f>IFERROR(VLOOKUP($D186,instructions!$N$3:$O$5,2,false),"")</f>
        <v>2</v>
      </c>
      <c r="G186" s="60" t="str">
        <f t="array" ref="G186">IFERROR(INDEX('testmo-export-repository'!$B$2:$X$1000,MATCH($B186,'testmo-export-repository'!$A$2:$A$1000,false),MATCH(G$2,'testmo-export-repository'!$B$1:$X$1,false)),"")</f>
        <v>No</v>
      </c>
      <c r="H186" s="60" t="str">
        <f t="array" ref="H186">IFERROR(INDEX('testmo-export-repository'!$B$2:$X$1000,MATCH($B186,'testmo-export-repository'!$A$2:$A$1000,false),MATCH(H$2,'testmo-export-repository'!$B$1:$X$1,false)),"")</f>
        <v>No</v>
      </c>
      <c r="I186" s="60" t="str">
        <f t="array" ref="I186">IFERROR(INDEX('testmo-export-repository'!$B$2:$X$1000,MATCH($B186,'testmo-export-repository'!$A$2:$A$1000,false),MATCH(I$2,'testmo-export-repository'!$B$1:$X$1,false)),"")</f>
        <v>Passed</v>
      </c>
      <c r="J186" s="60" t="str">
        <f t="array" ref="J186">IFERROR(INDEX('testmo-export-repository'!$B$2:$Y$1000,MATCH($B186,'testmo-export-repository'!$A$2:$A$1000,false),MATCH(J$2,'testmo-export-repository'!$B$1:$Y$1,false)),"")</f>
        <v/>
      </c>
      <c r="K186" s="60" t="str">
        <f t="array" ref="K186">IFERROR(INDEX('testmo-export-repository'!$B$2:$Y$1000,MATCH($B186,'testmo-export-repository'!$A$2:$A$1000,false),MATCH(K$2,'testmo-export-repository'!$B$1:$Y$1,false)),"")</f>
        <v/>
      </c>
    </row>
    <row r="187">
      <c r="B187" s="60">
        <f>'testmo-export-repository'!A186</f>
        <v>823</v>
      </c>
      <c r="C187" s="60" t="str">
        <f t="array" ref="C187">IFERROR(INDEX('testmo-export-repository'!$B$2:$X$1000,MATCH($B187,'testmo-export-repository'!$A$2:$A$1000,false),MATCH(C$2,'testmo-export-repository'!$B$1:$X$1,false)),"")</f>
        <v>Normal</v>
      </c>
      <c r="D187" s="60" t="str">
        <f t="array" ref="D187">IFERROR(INDEX('testmo-export-repository'!$B$2:$X$1000,MATCH($B187,'testmo-export-repository'!$A$2:$A$1000,false),MATCH(D$2,'testmo-export-repository'!$B$1:$X$1,false)),"")</f>
        <v>Normal</v>
      </c>
      <c r="E187" s="60">
        <f>IFERROR(VLOOKUP($C187,instructions!$N$3:$O$5,2,false),"")</f>
        <v>2</v>
      </c>
      <c r="F187" s="60">
        <f>IFERROR(VLOOKUP($D187,instructions!$N$3:$O$5,2,false),"")</f>
        <v>2</v>
      </c>
      <c r="G187" s="60" t="str">
        <f t="array" ref="G187">IFERROR(INDEX('testmo-export-repository'!$B$2:$X$1000,MATCH($B187,'testmo-export-repository'!$A$2:$A$1000,false),MATCH(G$2,'testmo-export-repository'!$B$1:$X$1,false)),"")</f>
        <v>Yes</v>
      </c>
      <c r="H187" s="60" t="str">
        <f t="array" ref="H187">IFERROR(INDEX('testmo-export-repository'!$B$2:$X$1000,MATCH($B187,'testmo-export-repository'!$A$2:$A$1000,false),MATCH(H$2,'testmo-export-repository'!$B$1:$X$1,false)),"")</f>
        <v>No</v>
      </c>
      <c r="I187" s="60" t="str">
        <f t="array" ref="I187">IFERROR(INDEX('testmo-export-repository'!$B$2:$X$1000,MATCH($B187,'testmo-export-repository'!$A$2:$A$1000,false),MATCH(I$2,'testmo-export-repository'!$B$1:$X$1,false)),"")</f>
        <v>Passed</v>
      </c>
      <c r="J187" s="60" t="str">
        <f t="array" ref="J187">IFERROR(INDEX('testmo-export-repository'!$B$2:$Y$1000,MATCH($B187,'testmo-export-repository'!$A$2:$A$1000,false),MATCH(J$2,'testmo-export-repository'!$B$1:$Y$1,false)),"")</f>
        <v>Reprocessing</v>
      </c>
      <c r="K187" s="60" t="str">
        <f t="array" ref="K187">IFERROR(INDEX('testmo-export-repository'!$B$2:$Y$1000,MATCH($B187,'testmo-export-repository'!$A$2:$A$1000,false),MATCH(K$2,'testmo-export-repository'!$B$1:$Y$1,false)),"")</f>
        <v/>
      </c>
    </row>
    <row r="188">
      <c r="B188" s="60">
        <f>'testmo-export-repository'!A187</f>
        <v>824</v>
      </c>
      <c r="C188" s="60" t="str">
        <f t="array" ref="C188">IFERROR(INDEX('testmo-export-repository'!$B$2:$X$1000,MATCH($B188,'testmo-export-repository'!$A$2:$A$1000,false),MATCH(C$2,'testmo-export-repository'!$B$1:$X$1,false)),"")</f>
        <v>High</v>
      </c>
      <c r="D188" s="60" t="str">
        <f t="array" ref="D188">IFERROR(INDEX('testmo-export-repository'!$B$2:$X$1000,MATCH($B188,'testmo-export-repository'!$A$2:$A$1000,false),MATCH(D$2,'testmo-export-repository'!$B$1:$X$1,false)),"")</f>
        <v>Normal</v>
      </c>
      <c r="E188" s="60">
        <f>IFERROR(VLOOKUP($C188,instructions!$N$3:$O$5,2,false),"")</f>
        <v>1</v>
      </c>
      <c r="F188" s="60">
        <f>IFERROR(VLOOKUP($D188,instructions!$N$3:$O$5,2,false),"")</f>
        <v>2</v>
      </c>
      <c r="G188" s="60" t="str">
        <f t="array" ref="G188">IFERROR(INDEX('testmo-export-repository'!$B$2:$X$1000,MATCH($B188,'testmo-export-repository'!$A$2:$A$1000,false),MATCH(G$2,'testmo-export-repository'!$B$1:$X$1,false)),"")</f>
        <v>Yes</v>
      </c>
      <c r="H188" s="60" t="str">
        <f t="array" ref="H188">IFERROR(INDEX('testmo-export-repository'!$B$2:$X$1000,MATCH($B188,'testmo-export-repository'!$A$2:$A$1000,false),MATCH(H$2,'testmo-export-repository'!$B$1:$X$1,false)),"")</f>
        <v>No</v>
      </c>
      <c r="I188" s="60" t="str">
        <f t="array" ref="I188">IFERROR(INDEX('testmo-export-repository'!$B$2:$X$1000,MATCH($B188,'testmo-export-repository'!$A$2:$A$1000,false),MATCH(I$2,'testmo-export-repository'!$B$1:$X$1,false)),"")</f>
        <v>Passed</v>
      </c>
      <c r="J188" s="60" t="str">
        <f t="array" ref="J188">IFERROR(INDEX('testmo-export-repository'!$B$2:$Y$1000,MATCH($B188,'testmo-export-repository'!$A$2:$A$1000,false),MATCH(J$2,'testmo-export-repository'!$B$1:$Y$1,false)),"")</f>
        <v>Reprocessing</v>
      </c>
      <c r="K188" s="60" t="str">
        <f t="array" ref="K188">IFERROR(INDEX('testmo-export-repository'!$B$2:$Y$1000,MATCH($B188,'testmo-export-repository'!$A$2:$A$1000,false),MATCH(K$2,'testmo-export-repository'!$B$1:$Y$1,false)),"")</f>
        <v/>
      </c>
    </row>
    <row r="189">
      <c r="B189" s="60">
        <f>'testmo-export-repository'!A188</f>
        <v>825</v>
      </c>
      <c r="C189" s="60" t="str">
        <f t="array" ref="C189">IFERROR(INDEX('testmo-export-repository'!$B$2:$X$1000,MATCH($B189,'testmo-export-repository'!$A$2:$A$1000,false),MATCH(C$2,'testmo-export-repository'!$B$1:$X$1,false)),"")</f>
        <v>Normal</v>
      </c>
      <c r="D189" s="60" t="str">
        <f t="array" ref="D189">IFERROR(INDEX('testmo-export-repository'!$B$2:$X$1000,MATCH($B189,'testmo-export-repository'!$A$2:$A$1000,false),MATCH(D$2,'testmo-export-repository'!$B$1:$X$1,false)),"")</f>
        <v>Normal</v>
      </c>
      <c r="E189" s="60">
        <f>IFERROR(VLOOKUP($C189,instructions!$N$3:$O$5,2,false),"")</f>
        <v>2</v>
      </c>
      <c r="F189" s="60">
        <f>IFERROR(VLOOKUP($D189,instructions!$N$3:$O$5,2,false),"")</f>
        <v>2</v>
      </c>
      <c r="G189" s="60" t="str">
        <f t="array" ref="G189">IFERROR(INDEX('testmo-export-repository'!$B$2:$X$1000,MATCH($B189,'testmo-export-repository'!$A$2:$A$1000,false),MATCH(G$2,'testmo-export-repository'!$B$1:$X$1,false)),"")</f>
        <v>Yes</v>
      </c>
      <c r="H189" s="60" t="str">
        <f t="array" ref="H189">IFERROR(INDEX('testmo-export-repository'!$B$2:$X$1000,MATCH($B189,'testmo-export-repository'!$A$2:$A$1000,false),MATCH(H$2,'testmo-export-repository'!$B$1:$X$1,false)),"")</f>
        <v>No</v>
      </c>
      <c r="I189" s="60" t="str">
        <f t="array" ref="I189">IFERROR(INDEX('testmo-export-repository'!$B$2:$X$1000,MATCH($B189,'testmo-export-repository'!$A$2:$A$1000,false),MATCH(I$2,'testmo-export-repository'!$B$1:$X$1,false)),"")</f>
        <v>Passed</v>
      </c>
      <c r="J189" s="60" t="str">
        <f t="array" ref="J189">IFERROR(INDEX('testmo-export-repository'!$B$2:$Y$1000,MATCH($B189,'testmo-export-repository'!$A$2:$A$1000,false),MATCH(J$2,'testmo-export-repository'!$B$1:$Y$1,false)),"")</f>
        <v/>
      </c>
      <c r="K189" s="60" t="str">
        <f t="array" ref="K189">IFERROR(INDEX('testmo-export-repository'!$B$2:$Y$1000,MATCH($B189,'testmo-export-repository'!$A$2:$A$1000,false),MATCH(K$2,'testmo-export-repository'!$B$1:$Y$1,false)),"")</f>
        <v/>
      </c>
    </row>
    <row r="190">
      <c r="B190" s="60">
        <f>'testmo-export-repository'!A189</f>
        <v>1915</v>
      </c>
      <c r="C190" s="60" t="str">
        <f t="array" ref="C190">IFERROR(INDEX('testmo-export-repository'!$B$2:$X$1000,MATCH($B190,'testmo-export-repository'!$A$2:$A$1000,false),MATCH(C$2,'testmo-export-repository'!$B$1:$X$1,false)),"")</f>
        <v>Normal</v>
      </c>
      <c r="D190" s="60" t="str">
        <f t="array" ref="D190">IFERROR(INDEX('testmo-export-repository'!$B$2:$X$1000,MATCH($B190,'testmo-export-repository'!$A$2:$A$1000,false),MATCH(D$2,'testmo-export-repository'!$B$1:$X$1,false)),"")</f>
        <v>Normal</v>
      </c>
      <c r="E190" s="60">
        <f>IFERROR(VLOOKUP($C190,instructions!$N$3:$O$5,2,false),"")</f>
        <v>2</v>
      </c>
      <c r="F190" s="60">
        <f>IFERROR(VLOOKUP($D190,instructions!$N$3:$O$5,2,false),"")</f>
        <v>2</v>
      </c>
      <c r="G190" s="60" t="str">
        <f t="array" ref="G190">IFERROR(INDEX('testmo-export-repository'!$B$2:$X$1000,MATCH($B190,'testmo-export-repository'!$A$2:$A$1000,false),MATCH(G$2,'testmo-export-repository'!$B$1:$X$1,false)),"")</f>
        <v>Yes</v>
      </c>
      <c r="H190" s="60" t="str">
        <f t="array" ref="H190">IFERROR(INDEX('testmo-export-repository'!$B$2:$X$1000,MATCH($B190,'testmo-export-repository'!$A$2:$A$1000,false),MATCH(H$2,'testmo-export-repository'!$B$1:$X$1,false)),"")</f>
        <v>No</v>
      </c>
      <c r="I190" s="60" t="str">
        <f t="array" ref="I190">IFERROR(INDEX('testmo-export-repository'!$B$2:$X$1000,MATCH($B190,'testmo-export-repository'!$A$2:$A$1000,false),MATCH(I$2,'testmo-export-repository'!$B$1:$X$1,false)),"")</f>
        <v>Passed</v>
      </c>
      <c r="J190" s="60" t="str">
        <f t="array" ref="J190">IFERROR(INDEX('testmo-export-repository'!$B$2:$Y$1000,MATCH($B190,'testmo-export-repository'!$A$2:$A$1000,false),MATCH(J$2,'testmo-export-repository'!$B$1:$Y$1,false)),"")</f>
        <v>Reprocessing</v>
      </c>
      <c r="K190" s="60" t="str">
        <f t="array" ref="K190">IFERROR(INDEX('testmo-export-repository'!$B$2:$Y$1000,MATCH($B190,'testmo-export-repository'!$A$2:$A$1000,false),MATCH(K$2,'testmo-export-repository'!$B$1:$Y$1,false)),"")</f>
        <v>BAS-586</v>
      </c>
    </row>
    <row r="191">
      <c r="B191" s="60">
        <f>'testmo-export-repository'!A190</f>
        <v>9393</v>
      </c>
      <c r="C191" s="60" t="str">
        <f t="array" ref="C191">IFERROR(INDEX('testmo-export-repository'!$B$2:$X$1000,MATCH($B191,'testmo-export-repository'!$A$2:$A$1000,false),MATCH(C$2,'testmo-export-repository'!$B$1:$X$1,false)),"")</f>
        <v>Low</v>
      </c>
      <c r="D191" s="60" t="str">
        <f t="array" ref="D191">IFERROR(INDEX('testmo-export-repository'!$B$2:$X$1000,MATCH($B191,'testmo-export-repository'!$A$2:$A$1000,false),MATCH(D$2,'testmo-export-repository'!$B$1:$X$1,false)),"")</f>
        <v>Normal</v>
      </c>
      <c r="E191" s="60">
        <f>IFERROR(VLOOKUP($C191,instructions!$N$3:$O$5,2,false),"")</f>
        <v>3</v>
      </c>
      <c r="F191" s="60">
        <f>IFERROR(VLOOKUP($D191,instructions!$N$3:$O$5,2,false),"")</f>
        <v>2</v>
      </c>
      <c r="G191" s="60" t="str">
        <f t="array" ref="G191">IFERROR(INDEX('testmo-export-repository'!$B$2:$X$1000,MATCH($B191,'testmo-export-repository'!$A$2:$A$1000,false),MATCH(G$2,'testmo-export-repository'!$B$1:$X$1,false)),"")</f>
        <v>Yes</v>
      </c>
      <c r="H191" s="60" t="str">
        <f t="array" ref="H191">IFERROR(INDEX('testmo-export-repository'!$B$2:$X$1000,MATCH($B191,'testmo-export-repository'!$A$2:$A$1000,false),MATCH(H$2,'testmo-export-repository'!$B$1:$X$1,false)),"")</f>
        <v>No</v>
      </c>
      <c r="I191" s="60" t="str">
        <f t="array" ref="I191">IFERROR(INDEX('testmo-export-repository'!$B$2:$X$1000,MATCH($B191,'testmo-export-repository'!$A$2:$A$1000,false),MATCH(I$2,'testmo-export-repository'!$B$1:$X$1,false)),"")</f>
        <v/>
      </c>
      <c r="J191" s="60" t="str">
        <f t="array" ref="J191">IFERROR(INDEX('testmo-export-repository'!$B$2:$Y$1000,MATCH($B191,'testmo-export-repository'!$A$2:$A$1000,false),MATCH(J$2,'testmo-export-repository'!$B$1:$Y$1,false)),"")</f>
        <v>2.38</v>
      </c>
      <c r="K191" s="60" t="str">
        <f t="array" ref="K191">IFERROR(INDEX('testmo-export-repository'!$B$2:$Y$1000,MATCH($B191,'testmo-export-repository'!$A$2:$A$1000,false),MATCH(K$2,'testmo-export-repository'!$B$1:$Y$1,false)),"")</f>
        <v>BAS-835</v>
      </c>
    </row>
    <row r="192">
      <c r="B192" s="60">
        <f>'testmo-export-repository'!A191</f>
        <v>20100</v>
      </c>
      <c r="C192" s="60" t="str">
        <f t="array" ref="C192">IFERROR(INDEX('testmo-export-repository'!$B$2:$X$1000,MATCH($B192,'testmo-export-repository'!$A$2:$A$1000,false),MATCH(C$2,'testmo-export-repository'!$B$1:$X$1,false)),"")</f>
        <v>Normal</v>
      </c>
      <c r="D192" s="60" t="str">
        <f t="array" ref="D192">IFERROR(INDEX('testmo-export-repository'!$B$2:$X$1000,MATCH($B192,'testmo-export-repository'!$A$2:$A$1000,false),MATCH(D$2,'testmo-export-repository'!$B$1:$X$1,false)),"")</f>
        <v/>
      </c>
      <c r="E192" s="60">
        <f>IFERROR(VLOOKUP($C192,instructions!$N$3:$O$5,2,false),"")</f>
        <v>2</v>
      </c>
      <c r="F192" s="60" t="str">
        <f>IFERROR(VLOOKUP($D192,instructions!$N$3:$O$5,2,false),"")</f>
        <v/>
      </c>
      <c r="G192" s="60" t="str">
        <f t="array" ref="G192">IFERROR(INDEX('testmo-export-repository'!$B$2:$X$1000,MATCH($B192,'testmo-export-repository'!$A$2:$A$1000,false),MATCH(G$2,'testmo-export-repository'!$B$1:$X$1,false)),"")</f>
        <v/>
      </c>
      <c r="H192" s="60" t="str">
        <f t="array" ref="H192">IFERROR(INDEX('testmo-export-repository'!$B$2:$X$1000,MATCH($B192,'testmo-export-repository'!$A$2:$A$1000,false),MATCH(H$2,'testmo-export-repository'!$B$1:$X$1,false)),"")</f>
        <v/>
      </c>
      <c r="I192" s="60" t="str">
        <f t="array" ref="I192">IFERROR(INDEX('testmo-export-repository'!$B$2:$X$1000,MATCH($B192,'testmo-export-repository'!$A$2:$A$1000,false),MATCH(I$2,'testmo-export-repository'!$B$1:$X$1,false)),"")</f>
        <v/>
      </c>
      <c r="J192" s="60" t="str">
        <f t="array" ref="J192">IFERROR(INDEX('testmo-export-repository'!$B$2:$Y$1000,MATCH($B192,'testmo-export-repository'!$A$2:$A$1000,false),MATCH(J$2,'testmo-export-repository'!$B$1:$Y$1,false)),"")</f>
        <v/>
      </c>
      <c r="K192" s="60" t="str">
        <f t="array" ref="K192">IFERROR(INDEX('testmo-export-repository'!$B$2:$Y$1000,MATCH($B192,'testmo-export-repository'!$A$2:$A$1000,false),MATCH(K$2,'testmo-export-repository'!$B$1:$Y$1,false)),"")</f>
        <v/>
      </c>
    </row>
    <row r="193">
      <c r="B193" s="60">
        <f>'testmo-export-repository'!A192</f>
        <v>24626</v>
      </c>
      <c r="C193" s="60" t="str">
        <f t="array" ref="C193">IFERROR(INDEX('testmo-export-repository'!$B$2:$X$1000,MATCH($B193,'testmo-export-repository'!$A$2:$A$1000,false),MATCH(C$2,'testmo-export-repository'!$B$1:$X$1,false)),"")</f>
        <v>Normal</v>
      </c>
      <c r="D193" s="60" t="str">
        <f t="array" ref="D193">IFERROR(INDEX('testmo-export-repository'!$B$2:$X$1000,MATCH($B193,'testmo-export-repository'!$A$2:$A$1000,false),MATCH(D$2,'testmo-export-repository'!$B$1:$X$1,false)),"")</f>
        <v>Low</v>
      </c>
      <c r="E193" s="60">
        <f>IFERROR(VLOOKUP($C193,instructions!$N$3:$O$5,2,false),"")</f>
        <v>2</v>
      </c>
      <c r="F193" s="60">
        <f>IFERROR(VLOOKUP($D193,instructions!$N$3:$O$5,2,false),"")</f>
        <v>3</v>
      </c>
      <c r="G193" s="60" t="str">
        <f t="array" ref="G193">IFERROR(INDEX('testmo-export-repository'!$B$2:$X$1000,MATCH($B193,'testmo-export-repository'!$A$2:$A$1000,false),MATCH(G$2,'testmo-export-repository'!$B$1:$X$1,false)),"")</f>
        <v>Yes</v>
      </c>
      <c r="H193" s="60" t="str">
        <f t="array" ref="H193">IFERROR(INDEX('testmo-export-repository'!$B$2:$X$1000,MATCH($B193,'testmo-export-repository'!$A$2:$A$1000,false),MATCH(H$2,'testmo-export-repository'!$B$1:$X$1,false)),"")</f>
        <v>No</v>
      </c>
      <c r="I193" s="60" t="str">
        <f t="array" ref="I193">IFERROR(INDEX('testmo-export-repository'!$B$2:$X$1000,MATCH($B193,'testmo-export-repository'!$A$2:$A$1000,false),MATCH(I$2,'testmo-export-repository'!$B$1:$X$1,false)),"")</f>
        <v/>
      </c>
      <c r="J193" s="60" t="str">
        <f t="array" ref="J193">IFERROR(INDEX('testmo-export-repository'!$B$2:$Y$1000,MATCH($B193,'testmo-export-repository'!$A$2:$A$1000,false),MATCH(J$2,'testmo-export-repository'!$B$1:$Y$1,false)),"")</f>
        <v/>
      </c>
      <c r="K193" s="60" t="str">
        <f t="array" ref="K193">IFERROR(INDEX('testmo-export-repository'!$B$2:$Y$1000,MATCH($B193,'testmo-export-repository'!$A$2:$A$1000,false),MATCH(K$2,'testmo-export-repository'!$B$1:$Y$1,false)),"")</f>
        <v/>
      </c>
    </row>
    <row r="194">
      <c r="B194" s="60">
        <f>'testmo-export-repository'!A193</f>
        <v>24535</v>
      </c>
      <c r="C194" s="60" t="str">
        <f t="array" ref="C194">IFERROR(INDEX('testmo-export-repository'!$B$2:$X$1000,MATCH($B194,'testmo-export-repository'!$A$2:$A$1000,false),MATCH(C$2,'testmo-export-repository'!$B$1:$X$1,false)),"")</f>
        <v>Normal</v>
      </c>
      <c r="D194" s="60" t="str">
        <f t="array" ref="D194">IFERROR(INDEX('testmo-export-repository'!$B$2:$X$1000,MATCH($B194,'testmo-export-repository'!$A$2:$A$1000,false),MATCH(D$2,'testmo-export-repository'!$B$1:$X$1,false)),"")</f>
        <v/>
      </c>
      <c r="E194" s="60">
        <f>IFERROR(VLOOKUP($C194,instructions!$N$3:$O$5,2,false),"")</f>
        <v>2</v>
      </c>
      <c r="F194" s="60" t="str">
        <f>IFERROR(VLOOKUP($D194,instructions!$N$3:$O$5,2,false),"")</f>
        <v/>
      </c>
      <c r="G194" s="60" t="str">
        <f t="array" ref="G194">IFERROR(INDEX('testmo-export-repository'!$B$2:$X$1000,MATCH($B194,'testmo-export-repository'!$A$2:$A$1000,false),MATCH(G$2,'testmo-export-repository'!$B$1:$X$1,false)),"")</f>
        <v/>
      </c>
      <c r="H194" s="60" t="str">
        <f t="array" ref="H194">IFERROR(INDEX('testmo-export-repository'!$B$2:$X$1000,MATCH($B194,'testmo-export-repository'!$A$2:$A$1000,false),MATCH(H$2,'testmo-export-repository'!$B$1:$X$1,false)),"")</f>
        <v/>
      </c>
      <c r="I194" s="60" t="str">
        <f t="array" ref="I194">IFERROR(INDEX('testmo-export-repository'!$B$2:$X$1000,MATCH($B194,'testmo-export-repository'!$A$2:$A$1000,false),MATCH(I$2,'testmo-export-repository'!$B$1:$X$1,false)),"")</f>
        <v/>
      </c>
      <c r="J194" s="60" t="str">
        <f t="array" ref="J194">IFERROR(INDEX('testmo-export-repository'!$B$2:$Y$1000,MATCH($B194,'testmo-export-repository'!$A$2:$A$1000,false),MATCH(J$2,'testmo-export-repository'!$B$1:$Y$1,false)),"")</f>
        <v/>
      </c>
      <c r="K194" s="60" t="str">
        <f t="array" ref="K194">IFERROR(INDEX('testmo-export-repository'!$B$2:$Y$1000,MATCH($B194,'testmo-export-repository'!$A$2:$A$1000,false),MATCH(K$2,'testmo-export-repository'!$B$1:$Y$1,false)),"")</f>
        <v/>
      </c>
    </row>
    <row r="195">
      <c r="B195" s="60">
        <f>'testmo-export-repository'!A194</f>
        <v>24536</v>
      </c>
      <c r="C195" s="60" t="str">
        <f t="array" ref="C195">IFERROR(INDEX('testmo-export-repository'!$B$2:$X$1000,MATCH($B195,'testmo-export-repository'!$A$2:$A$1000,false),MATCH(C$2,'testmo-export-repository'!$B$1:$X$1,false)),"")</f>
        <v>Normal</v>
      </c>
      <c r="D195" s="60" t="str">
        <f t="array" ref="D195">IFERROR(INDEX('testmo-export-repository'!$B$2:$X$1000,MATCH($B195,'testmo-export-repository'!$A$2:$A$1000,false),MATCH(D$2,'testmo-export-repository'!$B$1:$X$1,false)),"")</f>
        <v/>
      </c>
      <c r="E195" s="60">
        <f>IFERROR(VLOOKUP($C195,instructions!$N$3:$O$5,2,false),"")</f>
        <v>2</v>
      </c>
      <c r="F195" s="60" t="str">
        <f>IFERROR(VLOOKUP($D195,instructions!$N$3:$O$5,2,false),"")</f>
        <v/>
      </c>
      <c r="G195" s="60" t="str">
        <f t="array" ref="G195">IFERROR(INDEX('testmo-export-repository'!$B$2:$X$1000,MATCH($B195,'testmo-export-repository'!$A$2:$A$1000,false),MATCH(G$2,'testmo-export-repository'!$B$1:$X$1,false)),"")</f>
        <v/>
      </c>
      <c r="H195" s="60" t="str">
        <f t="array" ref="H195">IFERROR(INDEX('testmo-export-repository'!$B$2:$X$1000,MATCH($B195,'testmo-export-repository'!$A$2:$A$1000,false),MATCH(H$2,'testmo-export-repository'!$B$1:$X$1,false)),"")</f>
        <v/>
      </c>
      <c r="I195" s="60" t="str">
        <f t="array" ref="I195">IFERROR(INDEX('testmo-export-repository'!$B$2:$X$1000,MATCH($B195,'testmo-export-repository'!$A$2:$A$1000,false),MATCH(I$2,'testmo-export-repository'!$B$1:$X$1,false)),"")</f>
        <v/>
      </c>
      <c r="J195" s="60" t="str">
        <f t="array" ref="J195">IFERROR(INDEX('testmo-export-repository'!$B$2:$Y$1000,MATCH($B195,'testmo-export-repository'!$A$2:$A$1000,false),MATCH(J$2,'testmo-export-repository'!$B$1:$Y$1,false)),"")</f>
        <v/>
      </c>
      <c r="K195" s="60" t="str">
        <f t="array" ref="K195">IFERROR(INDEX('testmo-export-repository'!$B$2:$Y$1000,MATCH($B195,'testmo-export-repository'!$A$2:$A$1000,false),MATCH(K$2,'testmo-export-repository'!$B$1:$Y$1,false)),"")</f>
        <v/>
      </c>
    </row>
    <row r="196">
      <c r="B196" s="60">
        <f>'testmo-export-repository'!A195</f>
        <v>24537</v>
      </c>
      <c r="C196" s="60" t="str">
        <f t="array" ref="C196">IFERROR(INDEX('testmo-export-repository'!$B$2:$X$1000,MATCH($B196,'testmo-export-repository'!$A$2:$A$1000,false),MATCH(C$2,'testmo-export-repository'!$B$1:$X$1,false)),"")</f>
        <v>Normal</v>
      </c>
      <c r="D196" s="60" t="str">
        <f t="array" ref="D196">IFERROR(INDEX('testmo-export-repository'!$B$2:$X$1000,MATCH($B196,'testmo-export-repository'!$A$2:$A$1000,false),MATCH(D$2,'testmo-export-repository'!$B$1:$X$1,false)),"")</f>
        <v/>
      </c>
      <c r="E196" s="60">
        <f>IFERROR(VLOOKUP($C196,instructions!$N$3:$O$5,2,false),"")</f>
        <v>2</v>
      </c>
      <c r="F196" s="60" t="str">
        <f>IFERROR(VLOOKUP($D196,instructions!$N$3:$O$5,2,false),"")</f>
        <v/>
      </c>
      <c r="G196" s="60" t="str">
        <f t="array" ref="G196">IFERROR(INDEX('testmo-export-repository'!$B$2:$X$1000,MATCH($B196,'testmo-export-repository'!$A$2:$A$1000,false),MATCH(G$2,'testmo-export-repository'!$B$1:$X$1,false)),"")</f>
        <v/>
      </c>
      <c r="H196" s="60" t="str">
        <f t="array" ref="H196">IFERROR(INDEX('testmo-export-repository'!$B$2:$X$1000,MATCH($B196,'testmo-export-repository'!$A$2:$A$1000,false),MATCH(H$2,'testmo-export-repository'!$B$1:$X$1,false)),"")</f>
        <v/>
      </c>
      <c r="I196" s="60" t="str">
        <f t="array" ref="I196">IFERROR(INDEX('testmo-export-repository'!$B$2:$X$1000,MATCH($B196,'testmo-export-repository'!$A$2:$A$1000,false),MATCH(I$2,'testmo-export-repository'!$B$1:$X$1,false)),"")</f>
        <v/>
      </c>
      <c r="J196" s="60" t="str">
        <f t="array" ref="J196">IFERROR(INDEX('testmo-export-repository'!$B$2:$Y$1000,MATCH($B196,'testmo-export-repository'!$A$2:$A$1000,false),MATCH(J$2,'testmo-export-repository'!$B$1:$Y$1,false)),"")</f>
        <v/>
      </c>
      <c r="K196" s="60" t="str">
        <f t="array" ref="K196">IFERROR(INDEX('testmo-export-repository'!$B$2:$Y$1000,MATCH($B196,'testmo-export-repository'!$A$2:$A$1000,false),MATCH(K$2,'testmo-export-repository'!$B$1:$Y$1,false)),"")</f>
        <v/>
      </c>
    </row>
    <row r="197">
      <c r="B197" s="60" t="str">
        <f>'testmo-export-repository'!A196</f>
        <v/>
      </c>
      <c r="C197" s="60" t="str">
        <f t="array" ref="C197">IFERROR(INDEX('testmo-export-repository'!$B$2:$X$1000,MATCH($B197,'testmo-export-repository'!$A$2:$A$1000,false),MATCH(C$2,'testmo-export-repository'!$B$1:$X$1,false)),"")</f>
        <v/>
      </c>
      <c r="D197" s="60" t="str">
        <f t="array" ref="D197">IFERROR(INDEX('testmo-export-repository'!$B$2:$X$1000,MATCH($B197,'testmo-export-repository'!$A$2:$A$1000,false),MATCH(D$2,'testmo-export-repository'!$B$1:$X$1,false)),"")</f>
        <v/>
      </c>
      <c r="E197" s="60" t="str">
        <f>IFERROR(VLOOKUP($C197,instructions!$N$3:$O$5,2,false),"")</f>
        <v/>
      </c>
      <c r="F197" s="60" t="str">
        <f>IFERROR(VLOOKUP($D197,instructions!$N$3:$O$5,2,false),"")</f>
        <v/>
      </c>
      <c r="G197" s="60" t="str">
        <f t="array" ref="G197">IFERROR(INDEX('testmo-export-repository'!$B$2:$X$1000,MATCH($B197,'testmo-export-repository'!$A$2:$A$1000,false),MATCH(G$2,'testmo-export-repository'!$B$1:$X$1,false)),"")</f>
        <v/>
      </c>
      <c r="H197" s="60" t="str">
        <f t="array" ref="H197">IFERROR(INDEX('testmo-export-repository'!$B$2:$X$1000,MATCH($B197,'testmo-export-repository'!$A$2:$A$1000,false),MATCH(H$2,'testmo-export-repository'!$B$1:$X$1,false)),"")</f>
        <v/>
      </c>
      <c r="I197" s="60" t="str">
        <f t="array" ref="I197">IFERROR(INDEX('testmo-export-repository'!$B$2:$X$1000,MATCH($B197,'testmo-export-repository'!$A$2:$A$1000,false),MATCH(I$2,'testmo-export-repository'!$B$1:$X$1,false)),"")</f>
        <v/>
      </c>
      <c r="J197" s="60" t="str">
        <f t="array" ref="J197">IFERROR(INDEX('testmo-export-repository'!$B$2:$Y$1000,MATCH($B197,'testmo-export-repository'!$A$2:$A$1000,false),MATCH(J$2,'testmo-export-repository'!$B$1:$Y$1,false)),"")</f>
        <v/>
      </c>
      <c r="K197" s="60" t="str">
        <f t="array" ref="K197">IFERROR(INDEX('testmo-export-repository'!$B$2:$Y$1000,MATCH($B197,'testmo-export-repository'!$A$2:$A$1000,false),MATCH(K$2,'testmo-export-repository'!$B$1:$Y$1,false)),"")</f>
        <v/>
      </c>
    </row>
    <row r="198">
      <c r="B198" s="60" t="str">
        <f>'testmo-export-repository'!A197</f>
        <v/>
      </c>
      <c r="C198" s="60" t="str">
        <f t="array" ref="C198">IFERROR(INDEX('testmo-export-repository'!$B$2:$X$1000,MATCH($B198,'testmo-export-repository'!$A$2:$A$1000,false),MATCH(C$2,'testmo-export-repository'!$B$1:$X$1,false)),"")</f>
        <v/>
      </c>
      <c r="D198" s="60" t="str">
        <f t="array" ref="D198">IFERROR(INDEX('testmo-export-repository'!$B$2:$X$1000,MATCH($B198,'testmo-export-repository'!$A$2:$A$1000,false),MATCH(D$2,'testmo-export-repository'!$B$1:$X$1,false)),"")</f>
        <v/>
      </c>
      <c r="E198" s="60" t="str">
        <f>IFERROR(VLOOKUP($C198,instructions!$N$3:$O$5,2,false),"")</f>
        <v/>
      </c>
      <c r="F198" s="60" t="str">
        <f>IFERROR(VLOOKUP($D198,instructions!$N$3:$O$5,2,false),"")</f>
        <v/>
      </c>
      <c r="G198" s="60" t="str">
        <f t="array" ref="G198">IFERROR(INDEX('testmo-export-repository'!$B$2:$X$1000,MATCH($B198,'testmo-export-repository'!$A$2:$A$1000,false),MATCH(G$2,'testmo-export-repository'!$B$1:$X$1,false)),"")</f>
        <v/>
      </c>
      <c r="H198" s="60" t="str">
        <f t="array" ref="H198">IFERROR(INDEX('testmo-export-repository'!$B$2:$X$1000,MATCH($B198,'testmo-export-repository'!$A$2:$A$1000,false),MATCH(H$2,'testmo-export-repository'!$B$1:$X$1,false)),"")</f>
        <v/>
      </c>
      <c r="I198" s="60" t="str">
        <f t="array" ref="I198">IFERROR(INDEX('testmo-export-repository'!$B$2:$X$1000,MATCH($B198,'testmo-export-repository'!$A$2:$A$1000,false),MATCH(I$2,'testmo-export-repository'!$B$1:$X$1,false)),"")</f>
        <v/>
      </c>
      <c r="J198" s="60" t="str">
        <f t="array" ref="J198">IFERROR(INDEX('testmo-export-repository'!$B$2:$Y$1000,MATCH($B198,'testmo-export-repository'!$A$2:$A$1000,false),MATCH(J$2,'testmo-export-repository'!$B$1:$Y$1,false)),"")</f>
        <v/>
      </c>
      <c r="K198" s="60" t="str">
        <f t="array" ref="K198">IFERROR(INDEX('testmo-export-repository'!$B$2:$Y$1000,MATCH($B198,'testmo-export-repository'!$A$2:$A$1000,false),MATCH(K$2,'testmo-export-repository'!$B$1:$Y$1,false)),"")</f>
        <v/>
      </c>
    </row>
    <row r="199">
      <c r="B199" s="60" t="str">
        <f>'testmo-export-repository'!A198</f>
        <v/>
      </c>
      <c r="C199" s="60" t="str">
        <f t="array" ref="C199">IFERROR(INDEX('testmo-export-repository'!$B$2:$X$1000,MATCH($B199,'testmo-export-repository'!$A$2:$A$1000,false),MATCH(C$2,'testmo-export-repository'!$B$1:$X$1,false)),"")</f>
        <v/>
      </c>
      <c r="D199" s="60" t="str">
        <f t="array" ref="D199">IFERROR(INDEX('testmo-export-repository'!$B$2:$X$1000,MATCH($B199,'testmo-export-repository'!$A$2:$A$1000,false),MATCH(D$2,'testmo-export-repository'!$B$1:$X$1,false)),"")</f>
        <v/>
      </c>
      <c r="E199" s="60" t="str">
        <f>IFERROR(VLOOKUP($C199,instructions!$N$3:$O$5,2,false),"")</f>
        <v/>
      </c>
      <c r="F199" s="60" t="str">
        <f>IFERROR(VLOOKUP($D199,instructions!$N$3:$O$5,2,false),"")</f>
        <v/>
      </c>
      <c r="G199" s="60" t="str">
        <f t="array" ref="G199">IFERROR(INDEX('testmo-export-repository'!$B$2:$X$1000,MATCH($B199,'testmo-export-repository'!$A$2:$A$1000,false),MATCH(G$2,'testmo-export-repository'!$B$1:$X$1,false)),"")</f>
        <v/>
      </c>
      <c r="H199" s="60" t="str">
        <f t="array" ref="H199">IFERROR(INDEX('testmo-export-repository'!$B$2:$X$1000,MATCH($B199,'testmo-export-repository'!$A$2:$A$1000,false),MATCH(H$2,'testmo-export-repository'!$B$1:$X$1,false)),"")</f>
        <v/>
      </c>
      <c r="I199" s="60" t="str">
        <f t="array" ref="I199">IFERROR(INDEX('testmo-export-repository'!$B$2:$X$1000,MATCH($B199,'testmo-export-repository'!$A$2:$A$1000,false),MATCH(I$2,'testmo-export-repository'!$B$1:$X$1,false)),"")</f>
        <v/>
      </c>
      <c r="J199" s="60" t="str">
        <f t="array" ref="J199">IFERROR(INDEX('testmo-export-repository'!$B$2:$Y$1000,MATCH($B199,'testmo-export-repository'!$A$2:$A$1000,false),MATCH(J$2,'testmo-export-repository'!$B$1:$Y$1,false)),"")</f>
        <v/>
      </c>
      <c r="K199" s="60" t="str">
        <f t="array" ref="K199">IFERROR(INDEX('testmo-export-repository'!$B$2:$Y$1000,MATCH($B199,'testmo-export-repository'!$A$2:$A$1000,false),MATCH(K$2,'testmo-export-repository'!$B$1:$Y$1,false)),"")</f>
        <v/>
      </c>
    </row>
    <row r="200">
      <c r="B200" s="60" t="str">
        <f>'testmo-export-repository'!A199</f>
        <v/>
      </c>
      <c r="C200" s="60" t="str">
        <f t="array" ref="C200">IFERROR(INDEX('testmo-export-repository'!$B$2:$X$1000,MATCH($B200,'testmo-export-repository'!$A$2:$A$1000,false),MATCH(C$2,'testmo-export-repository'!$B$1:$X$1,false)),"")</f>
        <v/>
      </c>
      <c r="D200" s="60" t="str">
        <f t="array" ref="D200">IFERROR(INDEX('testmo-export-repository'!$B$2:$X$1000,MATCH($B200,'testmo-export-repository'!$A$2:$A$1000,false),MATCH(D$2,'testmo-export-repository'!$B$1:$X$1,false)),"")</f>
        <v/>
      </c>
      <c r="E200" s="60" t="str">
        <f>IFERROR(VLOOKUP($C200,instructions!$N$3:$O$5,2,false),"")</f>
        <v/>
      </c>
      <c r="F200" s="60" t="str">
        <f>IFERROR(VLOOKUP($D200,instructions!$N$3:$O$5,2,false),"")</f>
        <v/>
      </c>
      <c r="G200" s="60" t="str">
        <f t="array" ref="G200">IFERROR(INDEX('testmo-export-repository'!$B$2:$X$1000,MATCH($B200,'testmo-export-repository'!$A$2:$A$1000,false),MATCH(G$2,'testmo-export-repository'!$B$1:$X$1,false)),"")</f>
        <v/>
      </c>
      <c r="H200" s="60" t="str">
        <f t="array" ref="H200">IFERROR(INDEX('testmo-export-repository'!$B$2:$X$1000,MATCH($B200,'testmo-export-repository'!$A$2:$A$1000,false),MATCH(H$2,'testmo-export-repository'!$B$1:$X$1,false)),"")</f>
        <v/>
      </c>
      <c r="I200" s="60" t="str">
        <f t="array" ref="I200">IFERROR(INDEX('testmo-export-repository'!$B$2:$X$1000,MATCH($B200,'testmo-export-repository'!$A$2:$A$1000,false),MATCH(I$2,'testmo-export-repository'!$B$1:$X$1,false)),"")</f>
        <v/>
      </c>
      <c r="J200" s="60" t="str">
        <f t="array" ref="J200">IFERROR(INDEX('testmo-export-repository'!$B$2:$Y$1000,MATCH($B200,'testmo-export-repository'!$A$2:$A$1000,false),MATCH(J$2,'testmo-export-repository'!$B$1:$Y$1,false)),"")</f>
        <v/>
      </c>
      <c r="K200" s="60" t="str">
        <f t="array" ref="K200">IFERROR(INDEX('testmo-export-repository'!$B$2:$Y$1000,MATCH($B200,'testmo-export-repository'!$A$2:$A$1000,false),MATCH(K$2,'testmo-export-repository'!$B$1:$Y$1,false)),"")</f>
        <v/>
      </c>
    </row>
    <row r="201">
      <c r="B201" s="60" t="str">
        <f>'testmo-export-repository'!A200</f>
        <v/>
      </c>
      <c r="C201" s="60" t="str">
        <f t="array" ref="C201">IFERROR(INDEX('testmo-export-repository'!$B$2:$X$1000,MATCH($B201,'testmo-export-repository'!$A$2:$A$1000,false),MATCH(C$2,'testmo-export-repository'!$B$1:$X$1,false)),"")</f>
        <v/>
      </c>
      <c r="D201" s="60" t="str">
        <f t="array" ref="D201">IFERROR(INDEX('testmo-export-repository'!$B$2:$X$1000,MATCH($B201,'testmo-export-repository'!$A$2:$A$1000,false),MATCH(D$2,'testmo-export-repository'!$B$1:$X$1,false)),"")</f>
        <v/>
      </c>
      <c r="E201" s="60" t="str">
        <f>IFERROR(VLOOKUP($C201,instructions!$N$3:$O$5,2,false),"")</f>
        <v/>
      </c>
      <c r="F201" s="60" t="str">
        <f>IFERROR(VLOOKUP($D201,instructions!$N$3:$O$5,2,false),"")</f>
        <v/>
      </c>
      <c r="G201" s="60" t="str">
        <f t="array" ref="G201">IFERROR(INDEX('testmo-export-repository'!$B$2:$X$1000,MATCH($B201,'testmo-export-repository'!$A$2:$A$1000,false),MATCH(G$2,'testmo-export-repository'!$B$1:$X$1,false)),"")</f>
        <v/>
      </c>
      <c r="H201" s="60" t="str">
        <f t="array" ref="H201">IFERROR(INDEX('testmo-export-repository'!$B$2:$X$1000,MATCH($B201,'testmo-export-repository'!$A$2:$A$1000,false),MATCH(H$2,'testmo-export-repository'!$B$1:$X$1,false)),"")</f>
        <v/>
      </c>
      <c r="I201" s="60" t="str">
        <f t="array" ref="I201">IFERROR(INDEX('testmo-export-repository'!$B$2:$X$1000,MATCH($B201,'testmo-export-repository'!$A$2:$A$1000,false),MATCH(I$2,'testmo-export-repository'!$B$1:$X$1,false)),"")</f>
        <v/>
      </c>
      <c r="J201" s="60" t="str">
        <f t="array" ref="J201">IFERROR(INDEX('testmo-export-repository'!$B$2:$Y$1000,MATCH($B201,'testmo-export-repository'!$A$2:$A$1000,false),MATCH(J$2,'testmo-export-repository'!$B$1:$Y$1,false)),"")</f>
        <v/>
      </c>
      <c r="K201" s="60" t="str">
        <f t="array" ref="K201">IFERROR(INDEX('testmo-export-repository'!$B$2:$Y$1000,MATCH($B201,'testmo-export-repository'!$A$2:$A$1000,false),MATCH(K$2,'testmo-export-repository'!$B$1:$Y$1,false)),"")</f>
        <v/>
      </c>
    </row>
    <row r="202">
      <c r="B202" s="60" t="str">
        <f>'testmo-export-repository'!A201</f>
        <v/>
      </c>
      <c r="C202" s="60" t="str">
        <f t="array" ref="C202">IFERROR(INDEX('testmo-export-repository'!$B$2:$X$1000,MATCH($B202,'testmo-export-repository'!$A$2:$A$1000,false),MATCH(C$2,'testmo-export-repository'!$B$1:$X$1,false)),"")</f>
        <v/>
      </c>
      <c r="D202" s="60" t="str">
        <f t="array" ref="D202">IFERROR(INDEX('testmo-export-repository'!$B$2:$X$1000,MATCH($B202,'testmo-export-repository'!$A$2:$A$1000,false),MATCH(D$2,'testmo-export-repository'!$B$1:$X$1,false)),"")</f>
        <v/>
      </c>
      <c r="E202" s="60" t="str">
        <f>IFERROR(VLOOKUP($C202,instructions!$N$3:$O$5,2,false),"")</f>
        <v/>
      </c>
      <c r="F202" s="60" t="str">
        <f>IFERROR(VLOOKUP($D202,instructions!$N$3:$O$5,2,false),"")</f>
        <v/>
      </c>
      <c r="G202" s="60" t="str">
        <f t="array" ref="G202">IFERROR(INDEX('testmo-export-repository'!$B$2:$X$1000,MATCH($B202,'testmo-export-repository'!$A$2:$A$1000,false),MATCH(G$2,'testmo-export-repository'!$B$1:$X$1,false)),"")</f>
        <v/>
      </c>
      <c r="H202" s="60" t="str">
        <f t="array" ref="H202">IFERROR(INDEX('testmo-export-repository'!$B$2:$X$1000,MATCH($B202,'testmo-export-repository'!$A$2:$A$1000,false),MATCH(H$2,'testmo-export-repository'!$B$1:$X$1,false)),"")</f>
        <v/>
      </c>
      <c r="I202" s="60" t="str">
        <f t="array" ref="I202">IFERROR(INDEX('testmo-export-repository'!$B$2:$X$1000,MATCH($B202,'testmo-export-repository'!$A$2:$A$1000,false),MATCH(I$2,'testmo-export-repository'!$B$1:$X$1,false)),"")</f>
        <v/>
      </c>
      <c r="J202" s="60" t="str">
        <f t="array" ref="J202">IFERROR(INDEX('testmo-export-repository'!$B$2:$Y$1000,MATCH($B202,'testmo-export-repository'!$A$2:$A$1000,false),MATCH(J$2,'testmo-export-repository'!$B$1:$Y$1,false)),"")</f>
        <v/>
      </c>
      <c r="K202" s="60" t="str">
        <f t="array" ref="K202">IFERROR(INDEX('testmo-export-repository'!$B$2:$Y$1000,MATCH($B202,'testmo-export-repository'!$A$2:$A$1000,false),MATCH(K$2,'testmo-export-repository'!$B$1:$Y$1,false)),"")</f>
        <v/>
      </c>
    </row>
    <row r="203">
      <c r="B203" s="60" t="str">
        <f>'testmo-export-repository'!A202</f>
        <v/>
      </c>
      <c r="C203" s="60" t="str">
        <f t="array" ref="C203">IFERROR(INDEX('testmo-export-repository'!$B$2:$X$1000,MATCH($B203,'testmo-export-repository'!$A$2:$A$1000,false),MATCH(C$2,'testmo-export-repository'!$B$1:$X$1,false)),"")</f>
        <v/>
      </c>
      <c r="D203" s="60" t="str">
        <f t="array" ref="D203">IFERROR(INDEX('testmo-export-repository'!$B$2:$X$1000,MATCH($B203,'testmo-export-repository'!$A$2:$A$1000,false),MATCH(D$2,'testmo-export-repository'!$B$1:$X$1,false)),"")</f>
        <v/>
      </c>
      <c r="E203" s="60" t="str">
        <f>IFERROR(VLOOKUP($C203,instructions!$N$3:$O$5,2,false),"")</f>
        <v/>
      </c>
      <c r="F203" s="60" t="str">
        <f>IFERROR(VLOOKUP($D203,instructions!$N$3:$O$5,2,false),"")</f>
        <v/>
      </c>
      <c r="G203" s="60" t="str">
        <f t="array" ref="G203">IFERROR(INDEX('testmo-export-repository'!$B$2:$X$1000,MATCH($B203,'testmo-export-repository'!$A$2:$A$1000,false),MATCH(G$2,'testmo-export-repository'!$B$1:$X$1,false)),"")</f>
        <v/>
      </c>
      <c r="H203" s="60" t="str">
        <f t="array" ref="H203">IFERROR(INDEX('testmo-export-repository'!$B$2:$X$1000,MATCH($B203,'testmo-export-repository'!$A$2:$A$1000,false),MATCH(H$2,'testmo-export-repository'!$B$1:$X$1,false)),"")</f>
        <v/>
      </c>
      <c r="I203" s="60" t="str">
        <f t="array" ref="I203">IFERROR(INDEX('testmo-export-repository'!$B$2:$X$1000,MATCH($B203,'testmo-export-repository'!$A$2:$A$1000,false),MATCH(I$2,'testmo-export-repository'!$B$1:$X$1,false)),"")</f>
        <v/>
      </c>
      <c r="J203" s="60" t="str">
        <f t="array" ref="J203">IFERROR(INDEX('testmo-export-repository'!$B$2:$Y$1000,MATCH($B203,'testmo-export-repository'!$A$2:$A$1000,false),MATCH(J$2,'testmo-export-repository'!$B$1:$Y$1,false)),"")</f>
        <v/>
      </c>
      <c r="K203" s="60" t="str">
        <f t="array" ref="K203">IFERROR(INDEX('testmo-export-repository'!$B$2:$Y$1000,MATCH($B203,'testmo-export-repository'!$A$2:$A$1000,false),MATCH(K$2,'testmo-export-repository'!$B$1:$Y$1,false)),"")</f>
        <v/>
      </c>
    </row>
    <row r="204">
      <c r="B204" s="60" t="str">
        <f>'testmo-export-repository'!A203</f>
        <v/>
      </c>
      <c r="C204" s="60" t="str">
        <f t="array" ref="C204">IFERROR(INDEX('testmo-export-repository'!$B$2:$X$1000,MATCH($B204,'testmo-export-repository'!$A$2:$A$1000,false),MATCH(C$2,'testmo-export-repository'!$B$1:$X$1,false)),"")</f>
        <v/>
      </c>
      <c r="D204" s="60" t="str">
        <f t="array" ref="D204">IFERROR(INDEX('testmo-export-repository'!$B$2:$X$1000,MATCH($B204,'testmo-export-repository'!$A$2:$A$1000,false),MATCH(D$2,'testmo-export-repository'!$B$1:$X$1,false)),"")</f>
        <v/>
      </c>
      <c r="E204" s="60" t="str">
        <f>IFERROR(VLOOKUP($C204,instructions!$N$3:$O$5,2,false),"")</f>
        <v/>
      </c>
      <c r="F204" s="60" t="str">
        <f>IFERROR(VLOOKUP($D204,instructions!$N$3:$O$5,2,false),"")</f>
        <v/>
      </c>
      <c r="G204" s="60" t="str">
        <f t="array" ref="G204">IFERROR(INDEX('testmo-export-repository'!$B$2:$X$1000,MATCH($B204,'testmo-export-repository'!$A$2:$A$1000,false),MATCH(G$2,'testmo-export-repository'!$B$1:$X$1,false)),"")</f>
        <v/>
      </c>
      <c r="H204" s="60" t="str">
        <f t="array" ref="H204">IFERROR(INDEX('testmo-export-repository'!$B$2:$X$1000,MATCH($B204,'testmo-export-repository'!$A$2:$A$1000,false),MATCH(H$2,'testmo-export-repository'!$B$1:$X$1,false)),"")</f>
        <v/>
      </c>
      <c r="I204" s="60" t="str">
        <f t="array" ref="I204">IFERROR(INDEX('testmo-export-repository'!$B$2:$X$1000,MATCH($B204,'testmo-export-repository'!$A$2:$A$1000,false),MATCH(I$2,'testmo-export-repository'!$B$1:$X$1,false)),"")</f>
        <v/>
      </c>
      <c r="J204" s="60" t="str">
        <f t="array" ref="J204">IFERROR(INDEX('testmo-export-repository'!$B$2:$Y$1000,MATCH($B204,'testmo-export-repository'!$A$2:$A$1000,false),MATCH(J$2,'testmo-export-repository'!$B$1:$Y$1,false)),"")</f>
        <v/>
      </c>
      <c r="K204" s="60" t="str">
        <f t="array" ref="K204">IFERROR(INDEX('testmo-export-repository'!$B$2:$Y$1000,MATCH($B204,'testmo-export-repository'!$A$2:$A$1000,false),MATCH(K$2,'testmo-export-repository'!$B$1:$Y$1,false)),"")</f>
        <v/>
      </c>
    </row>
    <row r="205">
      <c r="B205" s="60" t="str">
        <f>'testmo-export-repository'!A204</f>
        <v/>
      </c>
      <c r="C205" s="60" t="str">
        <f t="array" ref="C205">IFERROR(INDEX('testmo-export-repository'!$B$2:$X$1000,MATCH($B205,'testmo-export-repository'!$A$2:$A$1000,false),MATCH(C$2,'testmo-export-repository'!$B$1:$X$1,false)),"")</f>
        <v/>
      </c>
      <c r="D205" s="60" t="str">
        <f t="array" ref="D205">IFERROR(INDEX('testmo-export-repository'!$B$2:$X$1000,MATCH($B205,'testmo-export-repository'!$A$2:$A$1000,false),MATCH(D$2,'testmo-export-repository'!$B$1:$X$1,false)),"")</f>
        <v/>
      </c>
      <c r="E205" s="60" t="str">
        <f>IFERROR(VLOOKUP($C205,instructions!$N$3:$O$5,2,false),"")</f>
        <v/>
      </c>
      <c r="F205" s="60" t="str">
        <f>IFERROR(VLOOKUP($D205,instructions!$N$3:$O$5,2,false),"")</f>
        <v/>
      </c>
      <c r="G205" s="60" t="str">
        <f t="array" ref="G205">IFERROR(INDEX('testmo-export-repository'!$B$2:$X$1000,MATCH($B205,'testmo-export-repository'!$A$2:$A$1000,false),MATCH(G$2,'testmo-export-repository'!$B$1:$X$1,false)),"")</f>
        <v/>
      </c>
      <c r="H205" s="60" t="str">
        <f t="array" ref="H205">IFERROR(INDEX('testmo-export-repository'!$B$2:$X$1000,MATCH($B205,'testmo-export-repository'!$A$2:$A$1000,false),MATCH(H$2,'testmo-export-repository'!$B$1:$X$1,false)),"")</f>
        <v/>
      </c>
      <c r="I205" s="60" t="str">
        <f t="array" ref="I205">IFERROR(INDEX('testmo-export-repository'!$B$2:$X$1000,MATCH($B205,'testmo-export-repository'!$A$2:$A$1000,false),MATCH(I$2,'testmo-export-repository'!$B$1:$X$1,false)),"")</f>
        <v/>
      </c>
      <c r="J205" s="60" t="str">
        <f t="array" ref="J205">IFERROR(INDEX('testmo-export-repository'!$B$2:$Y$1000,MATCH($B205,'testmo-export-repository'!$A$2:$A$1000,false),MATCH(J$2,'testmo-export-repository'!$B$1:$Y$1,false)),"")</f>
        <v/>
      </c>
      <c r="K205" s="60" t="str">
        <f t="array" ref="K205">IFERROR(INDEX('testmo-export-repository'!$B$2:$Y$1000,MATCH($B205,'testmo-export-repository'!$A$2:$A$1000,false),MATCH(K$2,'testmo-export-repository'!$B$1:$Y$1,false)),"")</f>
        <v/>
      </c>
    </row>
    <row r="206">
      <c r="B206" s="60" t="str">
        <f>'testmo-export-repository'!A205</f>
        <v/>
      </c>
      <c r="C206" s="60" t="str">
        <f t="array" ref="C206">IFERROR(INDEX('testmo-export-repository'!$B$2:$X$1000,MATCH($B206,'testmo-export-repository'!$A$2:$A$1000,false),MATCH(C$2,'testmo-export-repository'!$B$1:$X$1,false)),"")</f>
        <v/>
      </c>
      <c r="D206" s="60" t="str">
        <f t="array" ref="D206">IFERROR(INDEX('testmo-export-repository'!$B$2:$X$1000,MATCH($B206,'testmo-export-repository'!$A$2:$A$1000,false),MATCH(D$2,'testmo-export-repository'!$B$1:$X$1,false)),"")</f>
        <v/>
      </c>
      <c r="E206" s="60" t="str">
        <f>IFERROR(VLOOKUP($C206,instructions!$N$3:$O$5,2,false),"")</f>
        <v/>
      </c>
      <c r="F206" s="60" t="str">
        <f>IFERROR(VLOOKUP($D206,instructions!$N$3:$O$5,2,false),"")</f>
        <v/>
      </c>
      <c r="G206" s="60" t="str">
        <f t="array" ref="G206">IFERROR(INDEX('testmo-export-repository'!$B$2:$X$1000,MATCH($B206,'testmo-export-repository'!$A$2:$A$1000,false),MATCH(G$2,'testmo-export-repository'!$B$1:$X$1,false)),"")</f>
        <v/>
      </c>
      <c r="H206" s="60" t="str">
        <f t="array" ref="H206">IFERROR(INDEX('testmo-export-repository'!$B$2:$X$1000,MATCH($B206,'testmo-export-repository'!$A$2:$A$1000,false),MATCH(H$2,'testmo-export-repository'!$B$1:$X$1,false)),"")</f>
        <v/>
      </c>
      <c r="I206" s="60" t="str">
        <f t="array" ref="I206">IFERROR(INDEX('testmo-export-repository'!$B$2:$X$1000,MATCH($B206,'testmo-export-repository'!$A$2:$A$1000,false),MATCH(I$2,'testmo-export-repository'!$B$1:$X$1,false)),"")</f>
        <v/>
      </c>
      <c r="J206" s="60" t="str">
        <f t="array" ref="J206">IFERROR(INDEX('testmo-export-repository'!$B$2:$Y$1000,MATCH($B206,'testmo-export-repository'!$A$2:$A$1000,false),MATCH(J$2,'testmo-export-repository'!$B$1:$Y$1,false)),"")</f>
        <v/>
      </c>
      <c r="K206" s="60" t="str">
        <f t="array" ref="K206">IFERROR(INDEX('testmo-export-repository'!$B$2:$Y$1000,MATCH($B206,'testmo-export-repository'!$A$2:$A$1000,false),MATCH(K$2,'testmo-export-repository'!$B$1:$Y$1,false)),"")</f>
        <v/>
      </c>
    </row>
    <row r="207">
      <c r="B207" s="60" t="str">
        <f>'testmo-export-repository'!A206</f>
        <v/>
      </c>
      <c r="C207" s="60" t="str">
        <f t="array" ref="C207">IFERROR(INDEX('testmo-export-repository'!$B$2:$X$1000,MATCH($B207,'testmo-export-repository'!$A$2:$A$1000,false),MATCH(C$2,'testmo-export-repository'!$B$1:$X$1,false)),"")</f>
        <v/>
      </c>
      <c r="D207" s="60" t="str">
        <f t="array" ref="D207">IFERROR(INDEX('testmo-export-repository'!$B$2:$X$1000,MATCH($B207,'testmo-export-repository'!$A$2:$A$1000,false),MATCH(D$2,'testmo-export-repository'!$B$1:$X$1,false)),"")</f>
        <v/>
      </c>
      <c r="E207" s="60" t="str">
        <f>IFERROR(VLOOKUP($C207,instructions!$N$3:$O$5,2,false),"")</f>
        <v/>
      </c>
      <c r="F207" s="60" t="str">
        <f>IFERROR(VLOOKUP($D207,instructions!$N$3:$O$5,2,false),"")</f>
        <v/>
      </c>
      <c r="G207" s="60" t="str">
        <f t="array" ref="G207">IFERROR(INDEX('testmo-export-repository'!$B$2:$X$1000,MATCH($B207,'testmo-export-repository'!$A$2:$A$1000,false),MATCH(G$2,'testmo-export-repository'!$B$1:$X$1,false)),"")</f>
        <v/>
      </c>
      <c r="H207" s="60" t="str">
        <f t="array" ref="H207">IFERROR(INDEX('testmo-export-repository'!$B$2:$X$1000,MATCH($B207,'testmo-export-repository'!$A$2:$A$1000,false),MATCH(H$2,'testmo-export-repository'!$B$1:$X$1,false)),"")</f>
        <v/>
      </c>
      <c r="I207" s="60" t="str">
        <f t="array" ref="I207">IFERROR(INDEX('testmo-export-repository'!$B$2:$X$1000,MATCH($B207,'testmo-export-repository'!$A$2:$A$1000,false),MATCH(I$2,'testmo-export-repository'!$B$1:$X$1,false)),"")</f>
        <v/>
      </c>
      <c r="J207" s="60" t="str">
        <f t="array" ref="J207">IFERROR(INDEX('testmo-export-repository'!$B$2:$Y$1000,MATCH($B207,'testmo-export-repository'!$A$2:$A$1000,false),MATCH(J$2,'testmo-export-repository'!$B$1:$Y$1,false)),"")</f>
        <v/>
      </c>
      <c r="K207" s="60" t="str">
        <f t="array" ref="K207">IFERROR(INDEX('testmo-export-repository'!$B$2:$Y$1000,MATCH($B207,'testmo-export-repository'!$A$2:$A$1000,false),MATCH(K$2,'testmo-export-repository'!$B$1:$Y$1,false)),"")</f>
        <v/>
      </c>
    </row>
    <row r="208">
      <c r="B208" s="60" t="str">
        <f>'testmo-export-repository'!A207</f>
        <v/>
      </c>
      <c r="C208" s="60" t="str">
        <f t="array" ref="C208">IFERROR(INDEX('testmo-export-repository'!$B$2:$X$1000,MATCH($B208,'testmo-export-repository'!$A$2:$A$1000,false),MATCH(C$2,'testmo-export-repository'!$B$1:$X$1,false)),"")</f>
        <v/>
      </c>
      <c r="D208" s="60" t="str">
        <f t="array" ref="D208">IFERROR(INDEX('testmo-export-repository'!$B$2:$X$1000,MATCH($B208,'testmo-export-repository'!$A$2:$A$1000,false),MATCH(D$2,'testmo-export-repository'!$B$1:$X$1,false)),"")</f>
        <v/>
      </c>
      <c r="E208" s="60" t="str">
        <f>IFERROR(VLOOKUP($C208,instructions!$N$3:$O$5,2,false),"")</f>
        <v/>
      </c>
      <c r="F208" s="60" t="str">
        <f>IFERROR(VLOOKUP($D208,instructions!$N$3:$O$5,2,false),"")</f>
        <v/>
      </c>
      <c r="G208" s="60" t="str">
        <f t="array" ref="G208">IFERROR(INDEX('testmo-export-repository'!$B$2:$X$1000,MATCH($B208,'testmo-export-repository'!$A$2:$A$1000,false),MATCH(G$2,'testmo-export-repository'!$B$1:$X$1,false)),"")</f>
        <v/>
      </c>
      <c r="H208" s="60" t="str">
        <f t="array" ref="H208">IFERROR(INDEX('testmo-export-repository'!$B$2:$X$1000,MATCH($B208,'testmo-export-repository'!$A$2:$A$1000,false),MATCH(H$2,'testmo-export-repository'!$B$1:$X$1,false)),"")</f>
        <v/>
      </c>
      <c r="I208" s="60" t="str">
        <f t="array" ref="I208">IFERROR(INDEX('testmo-export-repository'!$B$2:$X$1000,MATCH($B208,'testmo-export-repository'!$A$2:$A$1000,false),MATCH(I$2,'testmo-export-repository'!$B$1:$X$1,false)),"")</f>
        <v/>
      </c>
      <c r="J208" s="60" t="str">
        <f t="array" ref="J208">IFERROR(INDEX('testmo-export-repository'!$B$2:$Y$1000,MATCH($B208,'testmo-export-repository'!$A$2:$A$1000,false),MATCH(J$2,'testmo-export-repository'!$B$1:$Y$1,false)),"")</f>
        <v/>
      </c>
      <c r="K208" s="60" t="str">
        <f t="array" ref="K208">IFERROR(INDEX('testmo-export-repository'!$B$2:$Y$1000,MATCH($B208,'testmo-export-repository'!$A$2:$A$1000,false),MATCH(K$2,'testmo-export-repository'!$B$1:$Y$1,false)),"")</f>
        <v/>
      </c>
    </row>
    <row r="209">
      <c r="B209" s="60" t="str">
        <f>'testmo-export-repository'!A208</f>
        <v/>
      </c>
      <c r="C209" s="60" t="str">
        <f t="array" ref="C209">IFERROR(INDEX('testmo-export-repository'!$B$2:$X$1000,MATCH($B209,'testmo-export-repository'!$A$2:$A$1000,false),MATCH(C$2,'testmo-export-repository'!$B$1:$X$1,false)),"")</f>
        <v/>
      </c>
      <c r="D209" s="60" t="str">
        <f t="array" ref="D209">IFERROR(INDEX('testmo-export-repository'!$B$2:$X$1000,MATCH($B209,'testmo-export-repository'!$A$2:$A$1000,false),MATCH(D$2,'testmo-export-repository'!$B$1:$X$1,false)),"")</f>
        <v/>
      </c>
      <c r="E209" s="60" t="str">
        <f>IFERROR(VLOOKUP($C209,instructions!$N$3:$O$5,2,false),"")</f>
        <v/>
      </c>
      <c r="F209" s="60" t="str">
        <f>IFERROR(VLOOKUP($D209,instructions!$N$3:$O$5,2,false),"")</f>
        <v/>
      </c>
      <c r="G209" s="60" t="str">
        <f t="array" ref="G209">IFERROR(INDEX('testmo-export-repository'!$B$2:$X$1000,MATCH($B209,'testmo-export-repository'!$A$2:$A$1000,false),MATCH(G$2,'testmo-export-repository'!$B$1:$X$1,false)),"")</f>
        <v/>
      </c>
      <c r="H209" s="60" t="str">
        <f t="array" ref="H209">IFERROR(INDEX('testmo-export-repository'!$B$2:$X$1000,MATCH($B209,'testmo-export-repository'!$A$2:$A$1000,false),MATCH(H$2,'testmo-export-repository'!$B$1:$X$1,false)),"")</f>
        <v/>
      </c>
      <c r="I209" s="60" t="str">
        <f t="array" ref="I209">IFERROR(INDEX('testmo-export-repository'!$B$2:$X$1000,MATCH($B209,'testmo-export-repository'!$A$2:$A$1000,false),MATCH(I$2,'testmo-export-repository'!$B$1:$X$1,false)),"")</f>
        <v/>
      </c>
      <c r="J209" s="60" t="str">
        <f t="array" ref="J209">IFERROR(INDEX('testmo-export-repository'!$B$2:$Y$1000,MATCH($B209,'testmo-export-repository'!$A$2:$A$1000,false),MATCH(J$2,'testmo-export-repository'!$B$1:$Y$1,false)),"")</f>
        <v/>
      </c>
      <c r="K209" s="60" t="str">
        <f t="array" ref="K209">IFERROR(INDEX('testmo-export-repository'!$B$2:$Y$1000,MATCH($B209,'testmo-export-repository'!$A$2:$A$1000,false),MATCH(K$2,'testmo-export-repository'!$B$1:$Y$1,false)),"")</f>
        <v/>
      </c>
    </row>
    <row r="210">
      <c r="B210" s="60" t="str">
        <f>'testmo-export-repository'!A209</f>
        <v/>
      </c>
      <c r="C210" s="60" t="str">
        <f t="array" ref="C210">IFERROR(INDEX('testmo-export-repository'!$B$2:$X$1000,MATCH($B210,'testmo-export-repository'!$A$2:$A$1000,false),MATCH(C$2,'testmo-export-repository'!$B$1:$X$1,false)),"")</f>
        <v/>
      </c>
      <c r="D210" s="60" t="str">
        <f t="array" ref="D210">IFERROR(INDEX('testmo-export-repository'!$B$2:$X$1000,MATCH($B210,'testmo-export-repository'!$A$2:$A$1000,false),MATCH(D$2,'testmo-export-repository'!$B$1:$X$1,false)),"")</f>
        <v/>
      </c>
      <c r="E210" s="60" t="str">
        <f>IFERROR(VLOOKUP($C210,instructions!$N$3:$O$5,2,false),"")</f>
        <v/>
      </c>
      <c r="F210" s="60" t="str">
        <f>IFERROR(VLOOKUP($D210,instructions!$N$3:$O$5,2,false),"")</f>
        <v/>
      </c>
      <c r="G210" s="60" t="str">
        <f t="array" ref="G210">IFERROR(INDEX('testmo-export-repository'!$B$2:$X$1000,MATCH($B210,'testmo-export-repository'!$A$2:$A$1000,false),MATCH(G$2,'testmo-export-repository'!$B$1:$X$1,false)),"")</f>
        <v/>
      </c>
      <c r="H210" s="60" t="str">
        <f t="array" ref="H210">IFERROR(INDEX('testmo-export-repository'!$B$2:$X$1000,MATCH($B210,'testmo-export-repository'!$A$2:$A$1000,false),MATCH(H$2,'testmo-export-repository'!$B$1:$X$1,false)),"")</f>
        <v/>
      </c>
      <c r="I210" s="60" t="str">
        <f t="array" ref="I210">IFERROR(INDEX('testmo-export-repository'!$B$2:$X$1000,MATCH($B210,'testmo-export-repository'!$A$2:$A$1000,false),MATCH(I$2,'testmo-export-repository'!$B$1:$X$1,false)),"")</f>
        <v/>
      </c>
      <c r="J210" s="60" t="str">
        <f t="array" ref="J210">IFERROR(INDEX('testmo-export-repository'!$B$2:$Y$1000,MATCH($B210,'testmo-export-repository'!$A$2:$A$1000,false),MATCH(J$2,'testmo-export-repository'!$B$1:$Y$1,false)),"")</f>
        <v/>
      </c>
      <c r="K210" s="60" t="str">
        <f t="array" ref="K210">IFERROR(INDEX('testmo-export-repository'!$B$2:$Y$1000,MATCH($B210,'testmo-export-repository'!$A$2:$A$1000,false),MATCH(K$2,'testmo-export-repository'!$B$1:$Y$1,false)),"")</f>
        <v/>
      </c>
    </row>
    <row r="211">
      <c r="B211" s="60" t="str">
        <f>'testmo-export-repository'!A210</f>
        <v/>
      </c>
      <c r="C211" s="60" t="str">
        <f t="array" ref="C211">IFERROR(INDEX('testmo-export-repository'!$B$2:$X$1000,MATCH($B211,'testmo-export-repository'!$A$2:$A$1000,false),MATCH(C$2,'testmo-export-repository'!$B$1:$X$1,false)),"")</f>
        <v/>
      </c>
      <c r="D211" s="60" t="str">
        <f t="array" ref="D211">IFERROR(INDEX('testmo-export-repository'!$B$2:$X$1000,MATCH($B211,'testmo-export-repository'!$A$2:$A$1000,false),MATCH(D$2,'testmo-export-repository'!$B$1:$X$1,false)),"")</f>
        <v/>
      </c>
      <c r="E211" s="60" t="str">
        <f>IFERROR(VLOOKUP($C211,instructions!$N$3:$O$5,2,false),"")</f>
        <v/>
      </c>
      <c r="F211" s="60" t="str">
        <f>IFERROR(VLOOKUP($D211,instructions!$N$3:$O$5,2,false),"")</f>
        <v/>
      </c>
      <c r="G211" s="60" t="str">
        <f t="array" ref="G211">IFERROR(INDEX('testmo-export-repository'!$B$2:$X$1000,MATCH($B211,'testmo-export-repository'!$A$2:$A$1000,false),MATCH(G$2,'testmo-export-repository'!$B$1:$X$1,false)),"")</f>
        <v/>
      </c>
      <c r="H211" s="60" t="str">
        <f t="array" ref="H211">IFERROR(INDEX('testmo-export-repository'!$B$2:$X$1000,MATCH($B211,'testmo-export-repository'!$A$2:$A$1000,false),MATCH(H$2,'testmo-export-repository'!$B$1:$X$1,false)),"")</f>
        <v/>
      </c>
      <c r="I211" s="60" t="str">
        <f t="array" ref="I211">IFERROR(INDEX('testmo-export-repository'!$B$2:$X$1000,MATCH($B211,'testmo-export-repository'!$A$2:$A$1000,false),MATCH(I$2,'testmo-export-repository'!$B$1:$X$1,false)),"")</f>
        <v/>
      </c>
      <c r="J211" s="60" t="str">
        <f t="array" ref="J211">IFERROR(INDEX('testmo-export-repository'!$B$2:$Y$1000,MATCH($B211,'testmo-export-repository'!$A$2:$A$1000,false),MATCH(J$2,'testmo-export-repository'!$B$1:$Y$1,false)),"")</f>
        <v/>
      </c>
      <c r="K211" s="60" t="str">
        <f t="array" ref="K211">IFERROR(INDEX('testmo-export-repository'!$B$2:$Y$1000,MATCH($B211,'testmo-export-repository'!$A$2:$A$1000,false),MATCH(K$2,'testmo-export-repository'!$B$1:$Y$1,false)),"")</f>
        <v/>
      </c>
    </row>
    <row r="212">
      <c r="B212" s="60" t="str">
        <f>'testmo-export-repository'!A211</f>
        <v/>
      </c>
      <c r="C212" s="60" t="str">
        <f t="array" ref="C212">IFERROR(INDEX('testmo-export-repository'!$B$2:$X$1000,MATCH($B212,'testmo-export-repository'!$A$2:$A$1000,false),MATCH(C$2,'testmo-export-repository'!$B$1:$X$1,false)),"")</f>
        <v/>
      </c>
      <c r="D212" s="60" t="str">
        <f t="array" ref="D212">IFERROR(INDEX('testmo-export-repository'!$B$2:$X$1000,MATCH($B212,'testmo-export-repository'!$A$2:$A$1000,false),MATCH(D$2,'testmo-export-repository'!$B$1:$X$1,false)),"")</f>
        <v/>
      </c>
      <c r="E212" s="60" t="str">
        <f>IFERROR(VLOOKUP($C212,instructions!$N$3:$O$5,2,false),"")</f>
        <v/>
      </c>
      <c r="F212" s="60" t="str">
        <f>IFERROR(VLOOKUP($D212,instructions!$N$3:$O$5,2,false),"")</f>
        <v/>
      </c>
      <c r="G212" s="60" t="str">
        <f t="array" ref="G212">IFERROR(INDEX('testmo-export-repository'!$B$2:$X$1000,MATCH($B212,'testmo-export-repository'!$A$2:$A$1000,false),MATCH(G$2,'testmo-export-repository'!$B$1:$X$1,false)),"")</f>
        <v/>
      </c>
      <c r="H212" s="60" t="str">
        <f t="array" ref="H212">IFERROR(INDEX('testmo-export-repository'!$B$2:$X$1000,MATCH($B212,'testmo-export-repository'!$A$2:$A$1000,false),MATCH(H$2,'testmo-export-repository'!$B$1:$X$1,false)),"")</f>
        <v/>
      </c>
      <c r="I212" s="60" t="str">
        <f t="array" ref="I212">IFERROR(INDEX('testmo-export-repository'!$B$2:$X$1000,MATCH($B212,'testmo-export-repository'!$A$2:$A$1000,false),MATCH(I$2,'testmo-export-repository'!$B$1:$X$1,false)),"")</f>
        <v/>
      </c>
      <c r="J212" s="60" t="str">
        <f t="array" ref="J212">IFERROR(INDEX('testmo-export-repository'!$B$2:$Y$1000,MATCH($B212,'testmo-export-repository'!$A$2:$A$1000,false),MATCH(J$2,'testmo-export-repository'!$B$1:$Y$1,false)),"")</f>
        <v/>
      </c>
      <c r="K212" s="60" t="str">
        <f t="array" ref="K212">IFERROR(INDEX('testmo-export-repository'!$B$2:$Y$1000,MATCH($B212,'testmo-export-repository'!$A$2:$A$1000,false),MATCH(K$2,'testmo-export-repository'!$B$1:$Y$1,false)),"")</f>
        <v/>
      </c>
    </row>
    <row r="213">
      <c r="B213" s="60" t="str">
        <f>'testmo-export-repository'!A212</f>
        <v/>
      </c>
      <c r="C213" s="60" t="str">
        <f t="array" ref="C213">IFERROR(INDEX('testmo-export-repository'!$B$2:$X$1000,MATCH($B213,'testmo-export-repository'!$A$2:$A$1000,false),MATCH(C$2,'testmo-export-repository'!$B$1:$X$1,false)),"")</f>
        <v/>
      </c>
      <c r="D213" s="60" t="str">
        <f t="array" ref="D213">IFERROR(INDEX('testmo-export-repository'!$B$2:$X$1000,MATCH($B213,'testmo-export-repository'!$A$2:$A$1000,false),MATCH(D$2,'testmo-export-repository'!$B$1:$X$1,false)),"")</f>
        <v/>
      </c>
      <c r="E213" s="60" t="str">
        <f>IFERROR(VLOOKUP($C213,instructions!$N$3:$O$5,2,false),"")</f>
        <v/>
      </c>
      <c r="F213" s="60" t="str">
        <f>IFERROR(VLOOKUP($D213,instructions!$N$3:$O$5,2,false),"")</f>
        <v/>
      </c>
      <c r="G213" s="60" t="str">
        <f t="array" ref="G213">IFERROR(INDEX('testmo-export-repository'!$B$2:$X$1000,MATCH($B213,'testmo-export-repository'!$A$2:$A$1000,false),MATCH(G$2,'testmo-export-repository'!$B$1:$X$1,false)),"")</f>
        <v/>
      </c>
      <c r="H213" s="60" t="str">
        <f t="array" ref="H213">IFERROR(INDEX('testmo-export-repository'!$B$2:$X$1000,MATCH($B213,'testmo-export-repository'!$A$2:$A$1000,false),MATCH(H$2,'testmo-export-repository'!$B$1:$X$1,false)),"")</f>
        <v/>
      </c>
      <c r="I213" s="60" t="str">
        <f t="array" ref="I213">IFERROR(INDEX('testmo-export-repository'!$B$2:$X$1000,MATCH($B213,'testmo-export-repository'!$A$2:$A$1000,false),MATCH(I$2,'testmo-export-repository'!$B$1:$X$1,false)),"")</f>
        <v/>
      </c>
      <c r="J213" s="60" t="str">
        <f t="array" ref="J213">IFERROR(INDEX('testmo-export-repository'!$B$2:$Y$1000,MATCH($B213,'testmo-export-repository'!$A$2:$A$1000,false),MATCH(J$2,'testmo-export-repository'!$B$1:$Y$1,false)),"")</f>
        <v/>
      </c>
      <c r="K213" s="60" t="str">
        <f t="array" ref="K213">IFERROR(INDEX('testmo-export-repository'!$B$2:$Y$1000,MATCH($B213,'testmo-export-repository'!$A$2:$A$1000,false),MATCH(K$2,'testmo-export-repository'!$B$1:$Y$1,false)),"")</f>
        <v/>
      </c>
    </row>
    <row r="214">
      <c r="B214" s="60" t="str">
        <f>'testmo-export-repository'!A213</f>
        <v/>
      </c>
      <c r="C214" s="60" t="str">
        <f t="array" ref="C214">IFERROR(INDEX('testmo-export-repository'!$B$2:$X$1000,MATCH($B214,'testmo-export-repository'!$A$2:$A$1000,false),MATCH(C$2,'testmo-export-repository'!$B$1:$X$1,false)),"")</f>
        <v/>
      </c>
      <c r="D214" s="60" t="str">
        <f t="array" ref="D214">IFERROR(INDEX('testmo-export-repository'!$B$2:$X$1000,MATCH($B214,'testmo-export-repository'!$A$2:$A$1000,false),MATCH(D$2,'testmo-export-repository'!$B$1:$X$1,false)),"")</f>
        <v/>
      </c>
      <c r="E214" s="60" t="str">
        <f>IFERROR(VLOOKUP($C214,instructions!$N$3:$O$5,2,false),"")</f>
        <v/>
      </c>
      <c r="F214" s="60" t="str">
        <f>IFERROR(VLOOKUP($D214,instructions!$N$3:$O$5,2,false),"")</f>
        <v/>
      </c>
      <c r="G214" s="60" t="str">
        <f t="array" ref="G214">IFERROR(INDEX('testmo-export-repository'!$B$2:$X$1000,MATCH($B214,'testmo-export-repository'!$A$2:$A$1000,false),MATCH(G$2,'testmo-export-repository'!$B$1:$X$1,false)),"")</f>
        <v/>
      </c>
      <c r="H214" s="60" t="str">
        <f t="array" ref="H214">IFERROR(INDEX('testmo-export-repository'!$B$2:$X$1000,MATCH($B214,'testmo-export-repository'!$A$2:$A$1000,false),MATCH(H$2,'testmo-export-repository'!$B$1:$X$1,false)),"")</f>
        <v/>
      </c>
      <c r="I214" s="60" t="str">
        <f t="array" ref="I214">IFERROR(INDEX('testmo-export-repository'!$B$2:$X$1000,MATCH($B214,'testmo-export-repository'!$A$2:$A$1000,false),MATCH(I$2,'testmo-export-repository'!$B$1:$X$1,false)),"")</f>
        <v/>
      </c>
      <c r="J214" s="60" t="str">
        <f t="array" ref="J214">IFERROR(INDEX('testmo-export-repository'!$B$2:$Y$1000,MATCH($B214,'testmo-export-repository'!$A$2:$A$1000,false),MATCH(J$2,'testmo-export-repository'!$B$1:$Y$1,false)),"")</f>
        <v/>
      </c>
      <c r="K214" s="60" t="str">
        <f t="array" ref="K214">IFERROR(INDEX('testmo-export-repository'!$B$2:$Y$1000,MATCH($B214,'testmo-export-repository'!$A$2:$A$1000,false),MATCH(K$2,'testmo-export-repository'!$B$1:$Y$1,false)),"")</f>
        <v/>
      </c>
    </row>
    <row r="215">
      <c r="B215" s="60" t="str">
        <f>'testmo-export-repository'!A214</f>
        <v/>
      </c>
      <c r="C215" s="60" t="str">
        <f t="array" ref="C215">IFERROR(INDEX('testmo-export-repository'!$B$2:$X$1000,MATCH($B215,'testmo-export-repository'!$A$2:$A$1000,false),MATCH(C$2,'testmo-export-repository'!$B$1:$X$1,false)),"")</f>
        <v/>
      </c>
      <c r="D215" s="60" t="str">
        <f t="array" ref="D215">IFERROR(INDEX('testmo-export-repository'!$B$2:$X$1000,MATCH($B215,'testmo-export-repository'!$A$2:$A$1000,false),MATCH(D$2,'testmo-export-repository'!$B$1:$X$1,false)),"")</f>
        <v/>
      </c>
      <c r="E215" s="60" t="str">
        <f>IFERROR(VLOOKUP($C215,instructions!$N$3:$O$5,2,false),"")</f>
        <v/>
      </c>
      <c r="F215" s="60" t="str">
        <f>IFERROR(VLOOKUP($D215,instructions!$N$3:$O$5,2,false),"")</f>
        <v/>
      </c>
      <c r="G215" s="60" t="str">
        <f t="array" ref="G215">IFERROR(INDEX('testmo-export-repository'!$B$2:$X$1000,MATCH($B215,'testmo-export-repository'!$A$2:$A$1000,false),MATCH(G$2,'testmo-export-repository'!$B$1:$X$1,false)),"")</f>
        <v/>
      </c>
      <c r="H215" s="60" t="str">
        <f t="array" ref="H215">IFERROR(INDEX('testmo-export-repository'!$B$2:$X$1000,MATCH($B215,'testmo-export-repository'!$A$2:$A$1000,false),MATCH(H$2,'testmo-export-repository'!$B$1:$X$1,false)),"")</f>
        <v/>
      </c>
      <c r="I215" s="60" t="str">
        <f t="array" ref="I215">IFERROR(INDEX('testmo-export-repository'!$B$2:$X$1000,MATCH($B215,'testmo-export-repository'!$A$2:$A$1000,false),MATCH(I$2,'testmo-export-repository'!$B$1:$X$1,false)),"")</f>
        <v/>
      </c>
      <c r="J215" s="60" t="str">
        <f t="array" ref="J215">IFERROR(INDEX('testmo-export-repository'!$B$2:$Y$1000,MATCH($B215,'testmo-export-repository'!$A$2:$A$1000,false),MATCH(J$2,'testmo-export-repository'!$B$1:$Y$1,false)),"")</f>
        <v/>
      </c>
      <c r="K215" s="60" t="str">
        <f t="array" ref="K215">IFERROR(INDEX('testmo-export-repository'!$B$2:$Y$1000,MATCH($B215,'testmo-export-repository'!$A$2:$A$1000,false),MATCH(K$2,'testmo-export-repository'!$B$1:$Y$1,false)),"")</f>
        <v/>
      </c>
    </row>
    <row r="216">
      <c r="B216" s="60" t="str">
        <f>'testmo-export-repository'!A215</f>
        <v/>
      </c>
      <c r="C216" s="60" t="str">
        <f t="array" ref="C216">IFERROR(INDEX('testmo-export-repository'!$B$2:$X$1000,MATCH($B216,'testmo-export-repository'!$A$2:$A$1000,false),MATCH(C$2,'testmo-export-repository'!$B$1:$X$1,false)),"")</f>
        <v/>
      </c>
      <c r="D216" s="60" t="str">
        <f t="array" ref="D216">IFERROR(INDEX('testmo-export-repository'!$B$2:$X$1000,MATCH($B216,'testmo-export-repository'!$A$2:$A$1000,false),MATCH(D$2,'testmo-export-repository'!$B$1:$X$1,false)),"")</f>
        <v/>
      </c>
      <c r="E216" s="60" t="str">
        <f>IFERROR(VLOOKUP($C216,instructions!$N$3:$O$5,2,false),"")</f>
        <v/>
      </c>
      <c r="F216" s="60" t="str">
        <f>IFERROR(VLOOKUP($D216,instructions!$N$3:$O$5,2,false),"")</f>
        <v/>
      </c>
      <c r="G216" s="60" t="str">
        <f t="array" ref="G216">IFERROR(INDEX('testmo-export-repository'!$B$2:$X$1000,MATCH($B216,'testmo-export-repository'!$A$2:$A$1000,false),MATCH(G$2,'testmo-export-repository'!$B$1:$X$1,false)),"")</f>
        <v/>
      </c>
      <c r="H216" s="60" t="str">
        <f t="array" ref="H216">IFERROR(INDEX('testmo-export-repository'!$B$2:$X$1000,MATCH($B216,'testmo-export-repository'!$A$2:$A$1000,false),MATCH(H$2,'testmo-export-repository'!$B$1:$X$1,false)),"")</f>
        <v/>
      </c>
      <c r="I216" s="60" t="str">
        <f t="array" ref="I216">IFERROR(INDEX('testmo-export-repository'!$B$2:$X$1000,MATCH($B216,'testmo-export-repository'!$A$2:$A$1000,false),MATCH(I$2,'testmo-export-repository'!$B$1:$X$1,false)),"")</f>
        <v/>
      </c>
      <c r="J216" s="60" t="str">
        <f t="array" ref="J216">IFERROR(INDEX('testmo-export-repository'!$B$2:$Y$1000,MATCH($B216,'testmo-export-repository'!$A$2:$A$1000,false),MATCH(J$2,'testmo-export-repository'!$B$1:$Y$1,false)),"")</f>
        <v/>
      </c>
      <c r="K216" s="60" t="str">
        <f t="array" ref="K216">IFERROR(INDEX('testmo-export-repository'!$B$2:$Y$1000,MATCH($B216,'testmo-export-repository'!$A$2:$A$1000,false),MATCH(K$2,'testmo-export-repository'!$B$1:$Y$1,false)),"")</f>
        <v/>
      </c>
    </row>
    <row r="217">
      <c r="B217" s="60" t="str">
        <f>'testmo-export-repository'!A216</f>
        <v/>
      </c>
      <c r="C217" s="60" t="str">
        <f t="array" ref="C217">IFERROR(INDEX('testmo-export-repository'!$B$2:$X$1000,MATCH($B217,'testmo-export-repository'!$A$2:$A$1000,false),MATCH(C$2,'testmo-export-repository'!$B$1:$X$1,false)),"")</f>
        <v/>
      </c>
      <c r="D217" s="60" t="str">
        <f t="array" ref="D217">IFERROR(INDEX('testmo-export-repository'!$B$2:$X$1000,MATCH($B217,'testmo-export-repository'!$A$2:$A$1000,false),MATCH(D$2,'testmo-export-repository'!$B$1:$X$1,false)),"")</f>
        <v/>
      </c>
      <c r="E217" s="60" t="str">
        <f>IFERROR(VLOOKUP($C217,instructions!$N$3:$O$5,2,false),"")</f>
        <v/>
      </c>
      <c r="F217" s="60" t="str">
        <f>IFERROR(VLOOKUP($D217,instructions!$N$3:$O$5,2,false),"")</f>
        <v/>
      </c>
      <c r="G217" s="60" t="str">
        <f t="array" ref="G217">IFERROR(INDEX('testmo-export-repository'!$B$2:$X$1000,MATCH($B217,'testmo-export-repository'!$A$2:$A$1000,false),MATCH(G$2,'testmo-export-repository'!$B$1:$X$1,false)),"")</f>
        <v/>
      </c>
      <c r="H217" s="60" t="str">
        <f t="array" ref="H217">IFERROR(INDEX('testmo-export-repository'!$B$2:$X$1000,MATCH($B217,'testmo-export-repository'!$A$2:$A$1000,false),MATCH(H$2,'testmo-export-repository'!$B$1:$X$1,false)),"")</f>
        <v/>
      </c>
      <c r="I217" s="60" t="str">
        <f t="array" ref="I217">IFERROR(INDEX('testmo-export-repository'!$B$2:$X$1000,MATCH($B217,'testmo-export-repository'!$A$2:$A$1000,false),MATCH(I$2,'testmo-export-repository'!$B$1:$X$1,false)),"")</f>
        <v/>
      </c>
      <c r="J217" s="60" t="str">
        <f t="array" ref="J217">IFERROR(INDEX('testmo-export-repository'!$B$2:$Y$1000,MATCH($B217,'testmo-export-repository'!$A$2:$A$1000,false),MATCH(J$2,'testmo-export-repository'!$B$1:$Y$1,false)),"")</f>
        <v/>
      </c>
      <c r="K217" s="60" t="str">
        <f t="array" ref="K217">IFERROR(INDEX('testmo-export-repository'!$B$2:$Y$1000,MATCH($B217,'testmo-export-repository'!$A$2:$A$1000,false),MATCH(K$2,'testmo-export-repository'!$B$1:$Y$1,false)),"")</f>
        <v/>
      </c>
    </row>
    <row r="218">
      <c r="B218" s="60" t="str">
        <f>'testmo-export-repository'!A217</f>
        <v/>
      </c>
      <c r="C218" s="60" t="str">
        <f t="array" ref="C218">IFERROR(INDEX('testmo-export-repository'!$B$2:$X$1000,MATCH($B218,'testmo-export-repository'!$A$2:$A$1000,false),MATCH(C$2,'testmo-export-repository'!$B$1:$X$1,false)),"")</f>
        <v/>
      </c>
      <c r="D218" s="60" t="str">
        <f t="array" ref="D218">IFERROR(INDEX('testmo-export-repository'!$B$2:$X$1000,MATCH($B218,'testmo-export-repository'!$A$2:$A$1000,false),MATCH(D$2,'testmo-export-repository'!$B$1:$X$1,false)),"")</f>
        <v/>
      </c>
      <c r="E218" s="60" t="str">
        <f>IFERROR(VLOOKUP($C218,instructions!$N$3:$O$5,2,false),"")</f>
        <v/>
      </c>
      <c r="F218" s="60" t="str">
        <f>IFERROR(VLOOKUP($D218,instructions!$N$3:$O$5,2,false),"")</f>
        <v/>
      </c>
      <c r="G218" s="60" t="str">
        <f t="array" ref="G218">IFERROR(INDEX('testmo-export-repository'!$B$2:$X$1000,MATCH($B218,'testmo-export-repository'!$A$2:$A$1000,false),MATCH(G$2,'testmo-export-repository'!$B$1:$X$1,false)),"")</f>
        <v/>
      </c>
      <c r="H218" s="60" t="str">
        <f t="array" ref="H218">IFERROR(INDEX('testmo-export-repository'!$B$2:$X$1000,MATCH($B218,'testmo-export-repository'!$A$2:$A$1000,false),MATCH(H$2,'testmo-export-repository'!$B$1:$X$1,false)),"")</f>
        <v/>
      </c>
      <c r="I218" s="60" t="str">
        <f t="array" ref="I218">IFERROR(INDEX('testmo-export-repository'!$B$2:$X$1000,MATCH($B218,'testmo-export-repository'!$A$2:$A$1000,false),MATCH(I$2,'testmo-export-repository'!$B$1:$X$1,false)),"")</f>
        <v/>
      </c>
      <c r="J218" s="60" t="str">
        <f t="array" ref="J218">IFERROR(INDEX('testmo-export-repository'!$B$2:$Y$1000,MATCH($B218,'testmo-export-repository'!$A$2:$A$1000,false),MATCH(J$2,'testmo-export-repository'!$B$1:$Y$1,false)),"")</f>
        <v/>
      </c>
      <c r="K218" s="60" t="str">
        <f t="array" ref="K218">IFERROR(INDEX('testmo-export-repository'!$B$2:$Y$1000,MATCH($B218,'testmo-export-repository'!$A$2:$A$1000,false),MATCH(K$2,'testmo-export-repository'!$B$1:$Y$1,false)),"")</f>
        <v/>
      </c>
    </row>
    <row r="219">
      <c r="B219" s="60" t="str">
        <f>'testmo-export-repository'!A218</f>
        <v/>
      </c>
      <c r="C219" s="60" t="str">
        <f t="array" ref="C219">IFERROR(INDEX('testmo-export-repository'!$B$2:$X$1000,MATCH($B219,'testmo-export-repository'!$A$2:$A$1000,false),MATCH(C$2,'testmo-export-repository'!$B$1:$X$1,false)),"")</f>
        <v/>
      </c>
      <c r="D219" s="60" t="str">
        <f t="array" ref="D219">IFERROR(INDEX('testmo-export-repository'!$B$2:$X$1000,MATCH($B219,'testmo-export-repository'!$A$2:$A$1000,false),MATCH(D$2,'testmo-export-repository'!$B$1:$X$1,false)),"")</f>
        <v/>
      </c>
      <c r="E219" s="60" t="str">
        <f>IFERROR(VLOOKUP($C219,instructions!$N$3:$O$5,2,false),"")</f>
        <v/>
      </c>
      <c r="F219" s="60" t="str">
        <f>IFERROR(VLOOKUP($D219,instructions!$N$3:$O$5,2,false),"")</f>
        <v/>
      </c>
      <c r="G219" s="60" t="str">
        <f t="array" ref="G219">IFERROR(INDEX('testmo-export-repository'!$B$2:$X$1000,MATCH($B219,'testmo-export-repository'!$A$2:$A$1000,false),MATCH(G$2,'testmo-export-repository'!$B$1:$X$1,false)),"")</f>
        <v/>
      </c>
      <c r="H219" s="60" t="str">
        <f t="array" ref="H219">IFERROR(INDEX('testmo-export-repository'!$B$2:$X$1000,MATCH($B219,'testmo-export-repository'!$A$2:$A$1000,false),MATCH(H$2,'testmo-export-repository'!$B$1:$X$1,false)),"")</f>
        <v/>
      </c>
      <c r="I219" s="60" t="str">
        <f t="array" ref="I219">IFERROR(INDEX('testmo-export-repository'!$B$2:$X$1000,MATCH($B219,'testmo-export-repository'!$A$2:$A$1000,false),MATCH(I$2,'testmo-export-repository'!$B$1:$X$1,false)),"")</f>
        <v/>
      </c>
      <c r="J219" s="60" t="str">
        <f t="array" ref="J219">IFERROR(INDEX('testmo-export-repository'!$B$2:$Y$1000,MATCH($B219,'testmo-export-repository'!$A$2:$A$1000,false),MATCH(J$2,'testmo-export-repository'!$B$1:$Y$1,false)),"")</f>
        <v/>
      </c>
      <c r="K219" s="60" t="str">
        <f t="array" ref="K219">IFERROR(INDEX('testmo-export-repository'!$B$2:$Y$1000,MATCH($B219,'testmo-export-repository'!$A$2:$A$1000,false),MATCH(K$2,'testmo-export-repository'!$B$1:$Y$1,false)),"")</f>
        <v/>
      </c>
    </row>
    <row r="220">
      <c r="B220" s="60" t="str">
        <f>'testmo-export-repository'!A219</f>
        <v/>
      </c>
      <c r="C220" s="60" t="str">
        <f t="array" ref="C220">IFERROR(INDEX('testmo-export-repository'!$B$2:$X$1000,MATCH($B220,'testmo-export-repository'!$A$2:$A$1000,false),MATCH(C$2,'testmo-export-repository'!$B$1:$X$1,false)),"")</f>
        <v/>
      </c>
      <c r="D220" s="60" t="str">
        <f t="array" ref="D220">IFERROR(INDEX('testmo-export-repository'!$B$2:$X$1000,MATCH($B220,'testmo-export-repository'!$A$2:$A$1000,false),MATCH(D$2,'testmo-export-repository'!$B$1:$X$1,false)),"")</f>
        <v/>
      </c>
      <c r="E220" s="60" t="str">
        <f>IFERROR(VLOOKUP($C220,instructions!$N$3:$O$5,2,false),"")</f>
        <v/>
      </c>
      <c r="F220" s="60" t="str">
        <f>IFERROR(VLOOKUP($D220,instructions!$N$3:$O$5,2,false),"")</f>
        <v/>
      </c>
      <c r="G220" s="60" t="str">
        <f t="array" ref="G220">IFERROR(INDEX('testmo-export-repository'!$B$2:$X$1000,MATCH($B220,'testmo-export-repository'!$A$2:$A$1000,false),MATCH(G$2,'testmo-export-repository'!$B$1:$X$1,false)),"")</f>
        <v/>
      </c>
      <c r="H220" s="60" t="str">
        <f t="array" ref="H220">IFERROR(INDEX('testmo-export-repository'!$B$2:$X$1000,MATCH($B220,'testmo-export-repository'!$A$2:$A$1000,false),MATCH(H$2,'testmo-export-repository'!$B$1:$X$1,false)),"")</f>
        <v/>
      </c>
      <c r="I220" s="60" t="str">
        <f t="array" ref="I220">IFERROR(INDEX('testmo-export-repository'!$B$2:$X$1000,MATCH($B220,'testmo-export-repository'!$A$2:$A$1000,false),MATCH(I$2,'testmo-export-repository'!$B$1:$X$1,false)),"")</f>
        <v/>
      </c>
      <c r="J220" s="60" t="str">
        <f t="array" ref="J220">IFERROR(INDEX('testmo-export-repository'!$B$2:$Y$1000,MATCH($B220,'testmo-export-repository'!$A$2:$A$1000,false),MATCH(J$2,'testmo-export-repository'!$B$1:$Y$1,false)),"")</f>
        <v/>
      </c>
      <c r="K220" s="60" t="str">
        <f t="array" ref="K220">IFERROR(INDEX('testmo-export-repository'!$B$2:$Y$1000,MATCH($B220,'testmo-export-repository'!$A$2:$A$1000,false),MATCH(K$2,'testmo-export-repository'!$B$1:$Y$1,false)),"")</f>
        <v/>
      </c>
    </row>
    <row r="221">
      <c r="B221" s="60" t="str">
        <f>'testmo-export-repository'!A220</f>
        <v/>
      </c>
      <c r="C221" s="60" t="str">
        <f t="array" ref="C221">IFERROR(INDEX('testmo-export-repository'!$B$2:$X$1000,MATCH($B221,'testmo-export-repository'!$A$2:$A$1000,false),MATCH(C$2,'testmo-export-repository'!$B$1:$X$1,false)),"")</f>
        <v/>
      </c>
      <c r="D221" s="60" t="str">
        <f t="array" ref="D221">IFERROR(INDEX('testmo-export-repository'!$B$2:$X$1000,MATCH($B221,'testmo-export-repository'!$A$2:$A$1000,false),MATCH(D$2,'testmo-export-repository'!$B$1:$X$1,false)),"")</f>
        <v/>
      </c>
      <c r="E221" s="60" t="str">
        <f>IFERROR(VLOOKUP($C221,instructions!$N$3:$O$5,2,false),"")</f>
        <v/>
      </c>
      <c r="F221" s="60" t="str">
        <f>IFERROR(VLOOKUP($D221,instructions!$N$3:$O$5,2,false),"")</f>
        <v/>
      </c>
      <c r="G221" s="60" t="str">
        <f t="array" ref="G221">IFERROR(INDEX('testmo-export-repository'!$B$2:$X$1000,MATCH($B221,'testmo-export-repository'!$A$2:$A$1000,false),MATCH(G$2,'testmo-export-repository'!$B$1:$X$1,false)),"")</f>
        <v/>
      </c>
      <c r="H221" s="60" t="str">
        <f t="array" ref="H221">IFERROR(INDEX('testmo-export-repository'!$B$2:$X$1000,MATCH($B221,'testmo-export-repository'!$A$2:$A$1000,false),MATCH(H$2,'testmo-export-repository'!$B$1:$X$1,false)),"")</f>
        <v/>
      </c>
      <c r="I221" s="60" t="str">
        <f t="array" ref="I221">IFERROR(INDEX('testmo-export-repository'!$B$2:$X$1000,MATCH($B221,'testmo-export-repository'!$A$2:$A$1000,false),MATCH(I$2,'testmo-export-repository'!$B$1:$X$1,false)),"")</f>
        <v/>
      </c>
      <c r="J221" s="60" t="str">
        <f t="array" ref="J221">IFERROR(INDEX('testmo-export-repository'!$B$2:$Y$1000,MATCH($B221,'testmo-export-repository'!$A$2:$A$1000,false),MATCH(J$2,'testmo-export-repository'!$B$1:$Y$1,false)),"")</f>
        <v/>
      </c>
      <c r="K221" s="60" t="str">
        <f t="array" ref="K221">IFERROR(INDEX('testmo-export-repository'!$B$2:$Y$1000,MATCH($B221,'testmo-export-repository'!$A$2:$A$1000,false),MATCH(K$2,'testmo-export-repository'!$B$1:$Y$1,false)),"")</f>
        <v/>
      </c>
    </row>
    <row r="222">
      <c r="B222" s="60" t="str">
        <f>'testmo-export-repository'!A221</f>
        <v/>
      </c>
      <c r="C222" s="60" t="str">
        <f t="array" ref="C222">IFERROR(INDEX('testmo-export-repository'!$B$2:$X$1000,MATCH($B222,'testmo-export-repository'!$A$2:$A$1000,false),MATCH(C$2,'testmo-export-repository'!$B$1:$X$1,false)),"")</f>
        <v/>
      </c>
      <c r="D222" s="60" t="str">
        <f t="array" ref="D222">IFERROR(INDEX('testmo-export-repository'!$B$2:$X$1000,MATCH($B222,'testmo-export-repository'!$A$2:$A$1000,false),MATCH(D$2,'testmo-export-repository'!$B$1:$X$1,false)),"")</f>
        <v/>
      </c>
      <c r="E222" s="60" t="str">
        <f>IFERROR(VLOOKUP($C222,instructions!$N$3:$O$5,2,false),"")</f>
        <v/>
      </c>
      <c r="F222" s="60" t="str">
        <f>IFERROR(VLOOKUP($D222,instructions!$N$3:$O$5,2,false),"")</f>
        <v/>
      </c>
      <c r="G222" s="60" t="str">
        <f t="array" ref="G222">IFERROR(INDEX('testmo-export-repository'!$B$2:$X$1000,MATCH($B222,'testmo-export-repository'!$A$2:$A$1000,false),MATCH(G$2,'testmo-export-repository'!$B$1:$X$1,false)),"")</f>
        <v/>
      </c>
      <c r="H222" s="60" t="str">
        <f t="array" ref="H222">IFERROR(INDEX('testmo-export-repository'!$B$2:$X$1000,MATCH($B222,'testmo-export-repository'!$A$2:$A$1000,false),MATCH(H$2,'testmo-export-repository'!$B$1:$X$1,false)),"")</f>
        <v/>
      </c>
      <c r="I222" s="60" t="str">
        <f t="array" ref="I222">IFERROR(INDEX('testmo-export-repository'!$B$2:$X$1000,MATCH($B222,'testmo-export-repository'!$A$2:$A$1000,false),MATCH(I$2,'testmo-export-repository'!$B$1:$X$1,false)),"")</f>
        <v/>
      </c>
      <c r="J222" s="60" t="str">
        <f t="array" ref="J222">IFERROR(INDEX('testmo-export-repository'!$B$2:$Y$1000,MATCH($B222,'testmo-export-repository'!$A$2:$A$1000,false),MATCH(J$2,'testmo-export-repository'!$B$1:$Y$1,false)),"")</f>
        <v/>
      </c>
      <c r="K222" s="60" t="str">
        <f t="array" ref="K222">IFERROR(INDEX('testmo-export-repository'!$B$2:$Y$1000,MATCH($B222,'testmo-export-repository'!$A$2:$A$1000,false),MATCH(K$2,'testmo-export-repository'!$B$1:$Y$1,false)),"")</f>
        <v/>
      </c>
    </row>
    <row r="223">
      <c r="B223" s="60" t="str">
        <f>'testmo-export-repository'!A222</f>
        <v/>
      </c>
      <c r="C223" s="60" t="str">
        <f t="array" ref="C223">IFERROR(INDEX('testmo-export-repository'!$B$2:$X$1000,MATCH($B223,'testmo-export-repository'!$A$2:$A$1000,false),MATCH(C$2,'testmo-export-repository'!$B$1:$X$1,false)),"")</f>
        <v/>
      </c>
      <c r="D223" s="60" t="str">
        <f t="array" ref="D223">IFERROR(INDEX('testmo-export-repository'!$B$2:$X$1000,MATCH($B223,'testmo-export-repository'!$A$2:$A$1000,false),MATCH(D$2,'testmo-export-repository'!$B$1:$X$1,false)),"")</f>
        <v/>
      </c>
      <c r="E223" s="60" t="str">
        <f>IFERROR(VLOOKUP($C223,instructions!$N$3:$O$5,2,false),"")</f>
        <v/>
      </c>
      <c r="F223" s="60" t="str">
        <f>IFERROR(VLOOKUP($D223,instructions!$N$3:$O$5,2,false),"")</f>
        <v/>
      </c>
      <c r="G223" s="60" t="str">
        <f t="array" ref="G223">IFERROR(INDEX('testmo-export-repository'!$B$2:$X$1000,MATCH($B223,'testmo-export-repository'!$A$2:$A$1000,false),MATCH(G$2,'testmo-export-repository'!$B$1:$X$1,false)),"")</f>
        <v/>
      </c>
      <c r="H223" s="60" t="str">
        <f t="array" ref="H223">IFERROR(INDEX('testmo-export-repository'!$B$2:$X$1000,MATCH($B223,'testmo-export-repository'!$A$2:$A$1000,false),MATCH(H$2,'testmo-export-repository'!$B$1:$X$1,false)),"")</f>
        <v/>
      </c>
      <c r="I223" s="60" t="str">
        <f t="array" ref="I223">IFERROR(INDEX('testmo-export-repository'!$B$2:$X$1000,MATCH($B223,'testmo-export-repository'!$A$2:$A$1000,false),MATCH(I$2,'testmo-export-repository'!$B$1:$X$1,false)),"")</f>
        <v/>
      </c>
      <c r="J223" s="60" t="str">
        <f t="array" ref="J223">IFERROR(INDEX('testmo-export-repository'!$B$2:$Y$1000,MATCH($B223,'testmo-export-repository'!$A$2:$A$1000,false),MATCH(J$2,'testmo-export-repository'!$B$1:$Y$1,false)),"")</f>
        <v/>
      </c>
      <c r="K223" s="60" t="str">
        <f t="array" ref="K223">IFERROR(INDEX('testmo-export-repository'!$B$2:$Y$1000,MATCH($B223,'testmo-export-repository'!$A$2:$A$1000,false),MATCH(K$2,'testmo-export-repository'!$B$1:$Y$1,false)),"")</f>
        <v/>
      </c>
    </row>
    <row r="224">
      <c r="B224" s="60" t="str">
        <f>'testmo-export-repository'!A223</f>
        <v/>
      </c>
      <c r="C224" s="60" t="str">
        <f t="array" ref="C224">IFERROR(INDEX('testmo-export-repository'!$B$2:$X$1000,MATCH($B224,'testmo-export-repository'!$A$2:$A$1000,false),MATCH(C$2,'testmo-export-repository'!$B$1:$X$1,false)),"")</f>
        <v/>
      </c>
      <c r="D224" s="60" t="str">
        <f t="array" ref="D224">IFERROR(INDEX('testmo-export-repository'!$B$2:$X$1000,MATCH($B224,'testmo-export-repository'!$A$2:$A$1000,false),MATCH(D$2,'testmo-export-repository'!$B$1:$X$1,false)),"")</f>
        <v/>
      </c>
      <c r="E224" s="60" t="str">
        <f>IFERROR(VLOOKUP($C224,instructions!$N$3:$O$5,2,false),"")</f>
        <v/>
      </c>
      <c r="F224" s="60" t="str">
        <f>IFERROR(VLOOKUP($D224,instructions!$N$3:$O$5,2,false),"")</f>
        <v/>
      </c>
      <c r="G224" s="60" t="str">
        <f t="array" ref="G224">IFERROR(INDEX('testmo-export-repository'!$B$2:$X$1000,MATCH($B224,'testmo-export-repository'!$A$2:$A$1000,false),MATCH(G$2,'testmo-export-repository'!$B$1:$X$1,false)),"")</f>
        <v/>
      </c>
      <c r="H224" s="60" t="str">
        <f t="array" ref="H224">IFERROR(INDEX('testmo-export-repository'!$B$2:$X$1000,MATCH($B224,'testmo-export-repository'!$A$2:$A$1000,false),MATCH(H$2,'testmo-export-repository'!$B$1:$X$1,false)),"")</f>
        <v/>
      </c>
      <c r="I224" s="60" t="str">
        <f t="array" ref="I224">IFERROR(INDEX('testmo-export-repository'!$B$2:$X$1000,MATCH($B224,'testmo-export-repository'!$A$2:$A$1000,false),MATCH(I$2,'testmo-export-repository'!$B$1:$X$1,false)),"")</f>
        <v/>
      </c>
      <c r="J224" s="60" t="str">
        <f t="array" ref="J224">IFERROR(INDEX('testmo-export-repository'!$B$2:$Y$1000,MATCH($B224,'testmo-export-repository'!$A$2:$A$1000,false),MATCH(J$2,'testmo-export-repository'!$B$1:$Y$1,false)),"")</f>
        <v/>
      </c>
      <c r="K224" s="60" t="str">
        <f t="array" ref="K224">IFERROR(INDEX('testmo-export-repository'!$B$2:$Y$1000,MATCH($B224,'testmo-export-repository'!$A$2:$A$1000,false),MATCH(K$2,'testmo-export-repository'!$B$1:$Y$1,false)),"")</f>
        <v/>
      </c>
    </row>
    <row r="225">
      <c r="B225" s="60" t="str">
        <f>'testmo-export-repository'!A224</f>
        <v/>
      </c>
      <c r="C225" s="60" t="str">
        <f t="array" ref="C225">IFERROR(INDEX('testmo-export-repository'!$B$2:$X$1000,MATCH($B225,'testmo-export-repository'!$A$2:$A$1000,false),MATCH(C$2,'testmo-export-repository'!$B$1:$X$1,false)),"")</f>
        <v/>
      </c>
      <c r="D225" s="60" t="str">
        <f t="array" ref="D225">IFERROR(INDEX('testmo-export-repository'!$B$2:$X$1000,MATCH($B225,'testmo-export-repository'!$A$2:$A$1000,false),MATCH(D$2,'testmo-export-repository'!$B$1:$X$1,false)),"")</f>
        <v/>
      </c>
      <c r="E225" s="60" t="str">
        <f>IFERROR(VLOOKUP($C225,instructions!$N$3:$O$5,2,false),"")</f>
        <v/>
      </c>
      <c r="F225" s="60" t="str">
        <f>IFERROR(VLOOKUP($D225,instructions!$N$3:$O$5,2,false),"")</f>
        <v/>
      </c>
      <c r="G225" s="60" t="str">
        <f t="array" ref="G225">IFERROR(INDEX('testmo-export-repository'!$B$2:$X$1000,MATCH($B225,'testmo-export-repository'!$A$2:$A$1000,false),MATCH(G$2,'testmo-export-repository'!$B$1:$X$1,false)),"")</f>
        <v/>
      </c>
      <c r="H225" s="60" t="str">
        <f t="array" ref="H225">IFERROR(INDEX('testmo-export-repository'!$B$2:$X$1000,MATCH($B225,'testmo-export-repository'!$A$2:$A$1000,false),MATCH(H$2,'testmo-export-repository'!$B$1:$X$1,false)),"")</f>
        <v/>
      </c>
      <c r="I225" s="60" t="str">
        <f t="array" ref="I225">IFERROR(INDEX('testmo-export-repository'!$B$2:$X$1000,MATCH($B225,'testmo-export-repository'!$A$2:$A$1000,false),MATCH(I$2,'testmo-export-repository'!$B$1:$X$1,false)),"")</f>
        <v/>
      </c>
      <c r="J225" s="60" t="str">
        <f t="array" ref="J225">IFERROR(INDEX('testmo-export-repository'!$B$2:$Y$1000,MATCH($B225,'testmo-export-repository'!$A$2:$A$1000,false),MATCH(J$2,'testmo-export-repository'!$B$1:$Y$1,false)),"")</f>
        <v/>
      </c>
      <c r="K225" s="60" t="str">
        <f t="array" ref="K225">IFERROR(INDEX('testmo-export-repository'!$B$2:$Y$1000,MATCH($B225,'testmo-export-repository'!$A$2:$A$1000,false),MATCH(K$2,'testmo-export-repository'!$B$1:$Y$1,false)),"")</f>
        <v/>
      </c>
    </row>
    <row r="226">
      <c r="B226" s="60" t="str">
        <f>'testmo-export-repository'!A225</f>
        <v/>
      </c>
      <c r="C226" s="60" t="str">
        <f t="array" ref="C226">IFERROR(INDEX('testmo-export-repository'!$B$2:$X$1000,MATCH($B226,'testmo-export-repository'!$A$2:$A$1000,false),MATCH(C$2,'testmo-export-repository'!$B$1:$X$1,false)),"")</f>
        <v/>
      </c>
      <c r="D226" s="60" t="str">
        <f t="array" ref="D226">IFERROR(INDEX('testmo-export-repository'!$B$2:$X$1000,MATCH($B226,'testmo-export-repository'!$A$2:$A$1000,false),MATCH(D$2,'testmo-export-repository'!$B$1:$X$1,false)),"")</f>
        <v/>
      </c>
      <c r="E226" s="60" t="str">
        <f>IFERROR(VLOOKUP($C226,instructions!$N$3:$O$5,2,false),"")</f>
        <v/>
      </c>
      <c r="F226" s="60" t="str">
        <f>IFERROR(VLOOKUP($D226,instructions!$N$3:$O$5,2,false),"")</f>
        <v/>
      </c>
      <c r="G226" s="60" t="str">
        <f t="array" ref="G226">IFERROR(INDEX('testmo-export-repository'!$B$2:$X$1000,MATCH($B226,'testmo-export-repository'!$A$2:$A$1000,false),MATCH(G$2,'testmo-export-repository'!$B$1:$X$1,false)),"")</f>
        <v/>
      </c>
      <c r="H226" s="60" t="str">
        <f t="array" ref="H226">IFERROR(INDEX('testmo-export-repository'!$B$2:$X$1000,MATCH($B226,'testmo-export-repository'!$A$2:$A$1000,false),MATCH(H$2,'testmo-export-repository'!$B$1:$X$1,false)),"")</f>
        <v/>
      </c>
      <c r="I226" s="60" t="str">
        <f t="array" ref="I226">IFERROR(INDEX('testmo-export-repository'!$B$2:$X$1000,MATCH($B226,'testmo-export-repository'!$A$2:$A$1000,false),MATCH(I$2,'testmo-export-repository'!$B$1:$X$1,false)),"")</f>
        <v/>
      </c>
      <c r="J226" s="60" t="str">
        <f t="array" ref="J226">IFERROR(INDEX('testmo-export-repository'!$B$2:$Y$1000,MATCH($B226,'testmo-export-repository'!$A$2:$A$1000,false),MATCH(J$2,'testmo-export-repository'!$B$1:$Y$1,false)),"")</f>
        <v/>
      </c>
      <c r="K226" s="60" t="str">
        <f t="array" ref="K226">IFERROR(INDEX('testmo-export-repository'!$B$2:$Y$1000,MATCH($B226,'testmo-export-repository'!$A$2:$A$1000,false),MATCH(K$2,'testmo-export-repository'!$B$1:$Y$1,false)),"")</f>
        <v/>
      </c>
    </row>
    <row r="227">
      <c r="B227" s="60" t="str">
        <f>'testmo-export-repository'!A226</f>
        <v/>
      </c>
      <c r="C227" s="60" t="str">
        <f t="array" ref="C227">IFERROR(INDEX('testmo-export-repository'!$B$2:$X$1000,MATCH($B227,'testmo-export-repository'!$A$2:$A$1000,false),MATCH(C$2,'testmo-export-repository'!$B$1:$X$1,false)),"")</f>
        <v/>
      </c>
      <c r="D227" s="60" t="str">
        <f t="array" ref="D227">IFERROR(INDEX('testmo-export-repository'!$B$2:$X$1000,MATCH($B227,'testmo-export-repository'!$A$2:$A$1000,false),MATCH(D$2,'testmo-export-repository'!$B$1:$X$1,false)),"")</f>
        <v/>
      </c>
      <c r="E227" s="60" t="str">
        <f>IFERROR(VLOOKUP($C227,instructions!$N$3:$O$5,2,false),"")</f>
        <v/>
      </c>
      <c r="F227" s="60" t="str">
        <f>IFERROR(VLOOKUP($D227,instructions!$N$3:$O$5,2,false),"")</f>
        <v/>
      </c>
      <c r="G227" s="60" t="str">
        <f t="array" ref="G227">IFERROR(INDEX('testmo-export-repository'!$B$2:$X$1000,MATCH($B227,'testmo-export-repository'!$A$2:$A$1000,false),MATCH(G$2,'testmo-export-repository'!$B$1:$X$1,false)),"")</f>
        <v/>
      </c>
      <c r="H227" s="60" t="str">
        <f t="array" ref="H227">IFERROR(INDEX('testmo-export-repository'!$B$2:$X$1000,MATCH($B227,'testmo-export-repository'!$A$2:$A$1000,false),MATCH(H$2,'testmo-export-repository'!$B$1:$X$1,false)),"")</f>
        <v/>
      </c>
      <c r="I227" s="60" t="str">
        <f t="array" ref="I227">IFERROR(INDEX('testmo-export-repository'!$B$2:$X$1000,MATCH($B227,'testmo-export-repository'!$A$2:$A$1000,false),MATCH(I$2,'testmo-export-repository'!$B$1:$X$1,false)),"")</f>
        <v/>
      </c>
      <c r="J227" s="60" t="str">
        <f t="array" ref="J227">IFERROR(INDEX('testmo-export-repository'!$B$2:$Y$1000,MATCH($B227,'testmo-export-repository'!$A$2:$A$1000,false),MATCH(J$2,'testmo-export-repository'!$B$1:$Y$1,false)),"")</f>
        <v/>
      </c>
      <c r="K227" s="60" t="str">
        <f t="array" ref="K227">IFERROR(INDEX('testmo-export-repository'!$B$2:$Y$1000,MATCH($B227,'testmo-export-repository'!$A$2:$A$1000,false),MATCH(K$2,'testmo-export-repository'!$B$1:$Y$1,false)),"")</f>
        <v/>
      </c>
    </row>
    <row r="228">
      <c r="B228" s="60" t="str">
        <f>'testmo-export-repository'!A227</f>
        <v/>
      </c>
      <c r="C228" s="60" t="str">
        <f t="array" ref="C228">IFERROR(INDEX('testmo-export-repository'!$B$2:$X$1000,MATCH($B228,'testmo-export-repository'!$A$2:$A$1000,false),MATCH(C$2,'testmo-export-repository'!$B$1:$X$1,false)),"")</f>
        <v/>
      </c>
      <c r="D228" s="60" t="str">
        <f t="array" ref="D228">IFERROR(INDEX('testmo-export-repository'!$B$2:$X$1000,MATCH($B228,'testmo-export-repository'!$A$2:$A$1000,false),MATCH(D$2,'testmo-export-repository'!$B$1:$X$1,false)),"")</f>
        <v/>
      </c>
      <c r="E228" s="60" t="str">
        <f>IFERROR(VLOOKUP($C228,instructions!$N$3:$O$5,2,false),"")</f>
        <v/>
      </c>
      <c r="F228" s="60" t="str">
        <f>IFERROR(VLOOKUP($D228,instructions!$N$3:$O$5,2,false),"")</f>
        <v/>
      </c>
      <c r="G228" s="60" t="str">
        <f t="array" ref="G228">IFERROR(INDEX('testmo-export-repository'!$B$2:$X$1000,MATCH($B228,'testmo-export-repository'!$A$2:$A$1000,false),MATCH(G$2,'testmo-export-repository'!$B$1:$X$1,false)),"")</f>
        <v/>
      </c>
      <c r="H228" s="60" t="str">
        <f t="array" ref="H228">IFERROR(INDEX('testmo-export-repository'!$B$2:$X$1000,MATCH($B228,'testmo-export-repository'!$A$2:$A$1000,false),MATCH(H$2,'testmo-export-repository'!$B$1:$X$1,false)),"")</f>
        <v/>
      </c>
      <c r="I228" s="60" t="str">
        <f t="array" ref="I228">IFERROR(INDEX('testmo-export-repository'!$B$2:$X$1000,MATCH($B228,'testmo-export-repository'!$A$2:$A$1000,false),MATCH(I$2,'testmo-export-repository'!$B$1:$X$1,false)),"")</f>
        <v/>
      </c>
      <c r="J228" s="60" t="str">
        <f t="array" ref="J228">IFERROR(INDEX('testmo-export-repository'!$B$2:$Y$1000,MATCH($B228,'testmo-export-repository'!$A$2:$A$1000,false),MATCH(J$2,'testmo-export-repository'!$B$1:$Y$1,false)),"")</f>
        <v/>
      </c>
      <c r="K228" s="60" t="str">
        <f t="array" ref="K228">IFERROR(INDEX('testmo-export-repository'!$B$2:$Y$1000,MATCH($B228,'testmo-export-repository'!$A$2:$A$1000,false),MATCH(K$2,'testmo-export-repository'!$B$1:$Y$1,false)),"")</f>
        <v/>
      </c>
    </row>
    <row r="229">
      <c r="B229" s="60" t="str">
        <f>'testmo-export-repository'!A228</f>
        <v/>
      </c>
      <c r="C229" s="60" t="str">
        <f t="array" ref="C229">IFERROR(INDEX('testmo-export-repository'!$B$2:$X$1000,MATCH($B229,'testmo-export-repository'!$A$2:$A$1000,false),MATCH(C$2,'testmo-export-repository'!$B$1:$X$1,false)),"")</f>
        <v/>
      </c>
      <c r="D229" s="60" t="str">
        <f t="array" ref="D229">IFERROR(INDEX('testmo-export-repository'!$B$2:$X$1000,MATCH($B229,'testmo-export-repository'!$A$2:$A$1000,false),MATCH(D$2,'testmo-export-repository'!$B$1:$X$1,false)),"")</f>
        <v/>
      </c>
      <c r="E229" s="60" t="str">
        <f>IFERROR(VLOOKUP($C229,instructions!$N$3:$O$5,2,false),"")</f>
        <v/>
      </c>
      <c r="F229" s="60" t="str">
        <f>IFERROR(VLOOKUP($D229,instructions!$N$3:$O$5,2,false),"")</f>
        <v/>
      </c>
      <c r="G229" s="60" t="str">
        <f t="array" ref="G229">IFERROR(INDEX('testmo-export-repository'!$B$2:$X$1000,MATCH($B229,'testmo-export-repository'!$A$2:$A$1000,false),MATCH(G$2,'testmo-export-repository'!$B$1:$X$1,false)),"")</f>
        <v/>
      </c>
      <c r="H229" s="60" t="str">
        <f t="array" ref="H229">IFERROR(INDEX('testmo-export-repository'!$B$2:$X$1000,MATCH($B229,'testmo-export-repository'!$A$2:$A$1000,false),MATCH(H$2,'testmo-export-repository'!$B$1:$X$1,false)),"")</f>
        <v/>
      </c>
      <c r="I229" s="60" t="str">
        <f t="array" ref="I229">IFERROR(INDEX('testmo-export-repository'!$B$2:$X$1000,MATCH($B229,'testmo-export-repository'!$A$2:$A$1000,false),MATCH(I$2,'testmo-export-repository'!$B$1:$X$1,false)),"")</f>
        <v/>
      </c>
      <c r="J229" s="60" t="str">
        <f t="array" ref="J229">IFERROR(INDEX('testmo-export-repository'!$B$2:$Y$1000,MATCH($B229,'testmo-export-repository'!$A$2:$A$1000,false),MATCH(J$2,'testmo-export-repository'!$B$1:$Y$1,false)),"")</f>
        <v/>
      </c>
      <c r="K229" s="60" t="str">
        <f t="array" ref="K229">IFERROR(INDEX('testmo-export-repository'!$B$2:$Y$1000,MATCH($B229,'testmo-export-repository'!$A$2:$A$1000,false),MATCH(K$2,'testmo-export-repository'!$B$1:$Y$1,false)),"")</f>
        <v/>
      </c>
    </row>
    <row r="230">
      <c r="B230" s="60" t="str">
        <f>'testmo-export-repository'!A229</f>
        <v/>
      </c>
      <c r="C230" s="60" t="str">
        <f t="array" ref="C230">IFERROR(INDEX('testmo-export-repository'!$B$2:$X$1000,MATCH($B230,'testmo-export-repository'!$A$2:$A$1000,false),MATCH(C$2,'testmo-export-repository'!$B$1:$X$1,false)),"")</f>
        <v/>
      </c>
      <c r="D230" s="60" t="str">
        <f t="array" ref="D230">IFERROR(INDEX('testmo-export-repository'!$B$2:$X$1000,MATCH($B230,'testmo-export-repository'!$A$2:$A$1000,false),MATCH(D$2,'testmo-export-repository'!$B$1:$X$1,false)),"")</f>
        <v/>
      </c>
      <c r="E230" s="60" t="str">
        <f>IFERROR(VLOOKUP($C230,instructions!$N$3:$O$5,2,false),"")</f>
        <v/>
      </c>
      <c r="F230" s="60" t="str">
        <f>IFERROR(VLOOKUP($D230,instructions!$N$3:$O$5,2,false),"")</f>
        <v/>
      </c>
      <c r="G230" s="60" t="str">
        <f t="array" ref="G230">IFERROR(INDEX('testmo-export-repository'!$B$2:$X$1000,MATCH($B230,'testmo-export-repository'!$A$2:$A$1000,false),MATCH(G$2,'testmo-export-repository'!$B$1:$X$1,false)),"")</f>
        <v/>
      </c>
      <c r="H230" s="60" t="str">
        <f t="array" ref="H230">IFERROR(INDEX('testmo-export-repository'!$B$2:$X$1000,MATCH($B230,'testmo-export-repository'!$A$2:$A$1000,false),MATCH(H$2,'testmo-export-repository'!$B$1:$X$1,false)),"")</f>
        <v/>
      </c>
      <c r="I230" s="60" t="str">
        <f t="array" ref="I230">IFERROR(INDEX('testmo-export-repository'!$B$2:$X$1000,MATCH($B230,'testmo-export-repository'!$A$2:$A$1000,false),MATCH(I$2,'testmo-export-repository'!$B$1:$X$1,false)),"")</f>
        <v/>
      </c>
      <c r="J230" s="60" t="str">
        <f t="array" ref="J230">IFERROR(INDEX('testmo-export-repository'!$B$2:$Y$1000,MATCH($B230,'testmo-export-repository'!$A$2:$A$1000,false),MATCH(J$2,'testmo-export-repository'!$B$1:$Y$1,false)),"")</f>
        <v/>
      </c>
      <c r="K230" s="60" t="str">
        <f t="array" ref="K230">IFERROR(INDEX('testmo-export-repository'!$B$2:$Y$1000,MATCH($B230,'testmo-export-repository'!$A$2:$A$1000,false),MATCH(K$2,'testmo-export-repository'!$B$1:$Y$1,false)),"")</f>
        <v/>
      </c>
    </row>
    <row r="231">
      <c r="B231" s="60" t="str">
        <f>'testmo-export-repository'!A230</f>
        <v/>
      </c>
      <c r="C231" s="60" t="str">
        <f t="array" ref="C231">IFERROR(INDEX('testmo-export-repository'!$B$2:$X$1000,MATCH($B231,'testmo-export-repository'!$A$2:$A$1000,false),MATCH(C$2,'testmo-export-repository'!$B$1:$X$1,false)),"")</f>
        <v/>
      </c>
      <c r="D231" s="60" t="str">
        <f t="array" ref="D231">IFERROR(INDEX('testmo-export-repository'!$B$2:$X$1000,MATCH($B231,'testmo-export-repository'!$A$2:$A$1000,false),MATCH(D$2,'testmo-export-repository'!$B$1:$X$1,false)),"")</f>
        <v/>
      </c>
      <c r="E231" s="60" t="str">
        <f>IFERROR(VLOOKUP($C231,instructions!$N$3:$O$5,2,false),"")</f>
        <v/>
      </c>
      <c r="F231" s="60" t="str">
        <f>IFERROR(VLOOKUP($D231,instructions!$N$3:$O$5,2,false),"")</f>
        <v/>
      </c>
      <c r="G231" s="60" t="str">
        <f t="array" ref="G231">IFERROR(INDEX('testmo-export-repository'!$B$2:$X$1000,MATCH($B231,'testmo-export-repository'!$A$2:$A$1000,false),MATCH(G$2,'testmo-export-repository'!$B$1:$X$1,false)),"")</f>
        <v/>
      </c>
      <c r="H231" s="60" t="str">
        <f t="array" ref="H231">IFERROR(INDEX('testmo-export-repository'!$B$2:$X$1000,MATCH($B231,'testmo-export-repository'!$A$2:$A$1000,false),MATCH(H$2,'testmo-export-repository'!$B$1:$X$1,false)),"")</f>
        <v/>
      </c>
      <c r="I231" s="60" t="str">
        <f t="array" ref="I231">IFERROR(INDEX('testmo-export-repository'!$B$2:$X$1000,MATCH($B231,'testmo-export-repository'!$A$2:$A$1000,false),MATCH(I$2,'testmo-export-repository'!$B$1:$X$1,false)),"")</f>
        <v/>
      </c>
      <c r="J231" s="60" t="str">
        <f t="array" ref="J231">IFERROR(INDEX('testmo-export-repository'!$B$2:$Y$1000,MATCH($B231,'testmo-export-repository'!$A$2:$A$1000,false),MATCH(J$2,'testmo-export-repository'!$B$1:$Y$1,false)),"")</f>
        <v/>
      </c>
      <c r="K231" s="60" t="str">
        <f t="array" ref="K231">IFERROR(INDEX('testmo-export-repository'!$B$2:$Y$1000,MATCH($B231,'testmo-export-repository'!$A$2:$A$1000,false),MATCH(K$2,'testmo-export-repository'!$B$1:$Y$1,false)),"")</f>
        <v/>
      </c>
    </row>
    <row r="232">
      <c r="B232" s="60" t="str">
        <f>'testmo-export-repository'!A231</f>
        <v/>
      </c>
      <c r="C232" s="60" t="str">
        <f t="array" ref="C232">IFERROR(INDEX('testmo-export-repository'!$B$2:$X$1000,MATCH($B232,'testmo-export-repository'!$A$2:$A$1000,false),MATCH(C$2,'testmo-export-repository'!$B$1:$X$1,false)),"")</f>
        <v/>
      </c>
      <c r="D232" s="60" t="str">
        <f t="array" ref="D232">IFERROR(INDEX('testmo-export-repository'!$B$2:$X$1000,MATCH($B232,'testmo-export-repository'!$A$2:$A$1000,false),MATCH(D$2,'testmo-export-repository'!$B$1:$X$1,false)),"")</f>
        <v/>
      </c>
      <c r="E232" s="60" t="str">
        <f>IFERROR(VLOOKUP($C232,instructions!$N$3:$O$5,2,false),"")</f>
        <v/>
      </c>
      <c r="F232" s="60" t="str">
        <f>IFERROR(VLOOKUP($D232,instructions!$N$3:$O$5,2,false),"")</f>
        <v/>
      </c>
      <c r="G232" s="60" t="str">
        <f t="array" ref="G232">IFERROR(INDEX('testmo-export-repository'!$B$2:$X$1000,MATCH($B232,'testmo-export-repository'!$A$2:$A$1000,false),MATCH(G$2,'testmo-export-repository'!$B$1:$X$1,false)),"")</f>
        <v/>
      </c>
      <c r="H232" s="60" t="str">
        <f t="array" ref="H232">IFERROR(INDEX('testmo-export-repository'!$B$2:$X$1000,MATCH($B232,'testmo-export-repository'!$A$2:$A$1000,false),MATCH(H$2,'testmo-export-repository'!$B$1:$X$1,false)),"")</f>
        <v/>
      </c>
      <c r="I232" s="60" t="str">
        <f t="array" ref="I232">IFERROR(INDEX('testmo-export-repository'!$B$2:$X$1000,MATCH($B232,'testmo-export-repository'!$A$2:$A$1000,false),MATCH(I$2,'testmo-export-repository'!$B$1:$X$1,false)),"")</f>
        <v/>
      </c>
      <c r="J232" s="60" t="str">
        <f t="array" ref="J232">IFERROR(INDEX('testmo-export-repository'!$B$2:$Y$1000,MATCH($B232,'testmo-export-repository'!$A$2:$A$1000,false),MATCH(J$2,'testmo-export-repository'!$B$1:$Y$1,false)),"")</f>
        <v/>
      </c>
      <c r="K232" s="60" t="str">
        <f t="array" ref="K232">IFERROR(INDEX('testmo-export-repository'!$B$2:$Y$1000,MATCH($B232,'testmo-export-repository'!$A$2:$A$1000,false),MATCH(K$2,'testmo-export-repository'!$B$1:$Y$1,false)),"")</f>
        <v/>
      </c>
    </row>
    <row r="233">
      <c r="B233" s="60" t="str">
        <f>'testmo-export-repository'!A232</f>
        <v/>
      </c>
      <c r="C233" s="60" t="str">
        <f t="array" ref="C233">IFERROR(INDEX('testmo-export-repository'!$B$2:$X$1000,MATCH($B233,'testmo-export-repository'!$A$2:$A$1000,false),MATCH(C$2,'testmo-export-repository'!$B$1:$X$1,false)),"")</f>
        <v/>
      </c>
      <c r="D233" s="60" t="str">
        <f t="array" ref="D233">IFERROR(INDEX('testmo-export-repository'!$B$2:$X$1000,MATCH($B233,'testmo-export-repository'!$A$2:$A$1000,false),MATCH(D$2,'testmo-export-repository'!$B$1:$X$1,false)),"")</f>
        <v/>
      </c>
      <c r="E233" s="60" t="str">
        <f>IFERROR(VLOOKUP($C233,instructions!$N$3:$O$5,2,false),"")</f>
        <v/>
      </c>
      <c r="F233" s="60" t="str">
        <f>IFERROR(VLOOKUP($D233,instructions!$N$3:$O$5,2,false),"")</f>
        <v/>
      </c>
      <c r="G233" s="60" t="str">
        <f t="array" ref="G233">IFERROR(INDEX('testmo-export-repository'!$B$2:$X$1000,MATCH($B233,'testmo-export-repository'!$A$2:$A$1000,false),MATCH(G$2,'testmo-export-repository'!$B$1:$X$1,false)),"")</f>
        <v/>
      </c>
      <c r="H233" s="60" t="str">
        <f t="array" ref="H233">IFERROR(INDEX('testmo-export-repository'!$B$2:$X$1000,MATCH($B233,'testmo-export-repository'!$A$2:$A$1000,false),MATCH(H$2,'testmo-export-repository'!$B$1:$X$1,false)),"")</f>
        <v/>
      </c>
      <c r="I233" s="60" t="str">
        <f t="array" ref="I233">IFERROR(INDEX('testmo-export-repository'!$B$2:$X$1000,MATCH($B233,'testmo-export-repository'!$A$2:$A$1000,false),MATCH(I$2,'testmo-export-repository'!$B$1:$X$1,false)),"")</f>
        <v/>
      </c>
      <c r="J233" s="60" t="str">
        <f t="array" ref="J233">IFERROR(INDEX('testmo-export-repository'!$B$2:$Y$1000,MATCH($B233,'testmo-export-repository'!$A$2:$A$1000,false),MATCH(J$2,'testmo-export-repository'!$B$1:$Y$1,false)),"")</f>
        <v/>
      </c>
      <c r="K233" s="60" t="str">
        <f t="array" ref="K233">IFERROR(INDEX('testmo-export-repository'!$B$2:$Y$1000,MATCH($B233,'testmo-export-repository'!$A$2:$A$1000,false),MATCH(K$2,'testmo-export-repository'!$B$1:$Y$1,false)),"")</f>
        <v/>
      </c>
    </row>
    <row r="234">
      <c r="B234" s="60" t="str">
        <f>'testmo-export-repository'!A233</f>
        <v/>
      </c>
      <c r="C234" s="60" t="str">
        <f t="array" ref="C234">IFERROR(INDEX('testmo-export-repository'!$B$2:$X$1000,MATCH($B234,'testmo-export-repository'!$A$2:$A$1000,false),MATCH(C$2,'testmo-export-repository'!$B$1:$X$1,false)),"")</f>
        <v/>
      </c>
      <c r="D234" s="60" t="str">
        <f t="array" ref="D234">IFERROR(INDEX('testmo-export-repository'!$B$2:$X$1000,MATCH($B234,'testmo-export-repository'!$A$2:$A$1000,false),MATCH(D$2,'testmo-export-repository'!$B$1:$X$1,false)),"")</f>
        <v/>
      </c>
      <c r="E234" s="60" t="str">
        <f>IFERROR(VLOOKUP($C234,instructions!$N$3:$O$5,2,false),"")</f>
        <v/>
      </c>
      <c r="F234" s="60" t="str">
        <f>IFERROR(VLOOKUP($D234,instructions!$N$3:$O$5,2,false),"")</f>
        <v/>
      </c>
      <c r="G234" s="60" t="str">
        <f t="array" ref="G234">IFERROR(INDEX('testmo-export-repository'!$B$2:$X$1000,MATCH($B234,'testmo-export-repository'!$A$2:$A$1000,false),MATCH(G$2,'testmo-export-repository'!$B$1:$X$1,false)),"")</f>
        <v/>
      </c>
      <c r="H234" s="60" t="str">
        <f t="array" ref="H234">IFERROR(INDEX('testmo-export-repository'!$B$2:$X$1000,MATCH($B234,'testmo-export-repository'!$A$2:$A$1000,false),MATCH(H$2,'testmo-export-repository'!$B$1:$X$1,false)),"")</f>
        <v/>
      </c>
      <c r="I234" s="60" t="str">
        <f t="array" ref="I234">IFERROR(INDEX('testmo-export-repository'!$B$2:$X$1000,MATCH($B234,'testmo-export-repository'!$A$2:$A$1000,false),MATCH(I$2,'testmo-export-repository'!$B$1:$X$1,false)),"")</f>
        <v/>
      </c>
      <c r="J234" s="60" t="str">
        <f t="array" ref="J234">IFERROR(INDEX('testmo-export-repository'!$B$2:$Y$1000,MATCH($B234,'testmo-export-repository'!$A$2:$A$1000,false),MATCH(J$2,'testmo-export-repository'!$B$1:$Y$1,false)),"")</f>
        <v/>
      </c>
      <c r="K234" s="60" t="str">
        <f t="array" ref="K234">IFERROR(INDEX('testmo-export-repository'!$B$2:$Y$1000,MATCH($B234,'testmo-export-repository'!$A$2:$A$1000,false),MATCH(K$2,'testmo-export-repository'!$B$1:$Y$1,false)),"")</f>
        <v/>
      </c>
    </row>
    <row r="235">
      <c r="B235" s="60" t="str">
        <f>'testmo-export-repository'!A234</f>
        <v/>
      </c>
      <c r="C235" s="60" t="str">
        <f t="array" ref="C235">IFERROR(INDEX('testmo-export-repository'!$B$2:$X$1000,MATCH($B235,'testmo-export-repository'!$A$2:$A$1000,false),MATCH(C$2,'testmo-export-repository'!$B$1:$X$1,false)),"")</f>
        <v/>
      </c>
      <c r="D235" s="60" t="str">
        <f t="array" ref="D235">IFERROR(INDEX('testmo-export-repository'!$B$2:$X$1000,MATCH($B235,'testmo-export-repository'!$A$2:$A$1000,false),MATCH(D$2,'testmo-export-repository'!$B$1:$X$1,false)),"")</f>
        <v/>
      </c>
      <c r="E235" s="60" t="str">
        <f>IFERROR(VLOOKUP($C235,instructions!$N$3:$O$5,2,false),"")</f>
        <v/>
      </c>
      <c r="F235" s="60" t="str">
        <f>IFERROR(VLOOKUP($D235,instructions!$N$3:$O$5,2,false),"")</f>
        <v/>
      </c>
      <c r="G235" s="60" t="str">
        <f t="array" ref="G235">IFERROR(INDEX('testmo-export-repository'!$B$2:$X$1000,MATCH($B235,'testmo-export-repository'!$A$2:$A$1000,false),MATCH(G$2,'testmo-export-repository'!$B$1:$X$1,false)),"")</f>
        <v/>
      </c>
      <c r="H235" s="60" t="str">
        <f t="array" ref="H235">IFERROR(INDEX('testmo-export-repository'!$B$2:$X$1000,MATCH($B235,'testmo-export-repository'!$A$2:$A$1000,false),MATCH(H$2,'testmo-export-repository'!$B$1:$X$1,false)),"")</f>
        <v/>
      </c>
      <c r="I235" s="60" t="str">
        <f t="array" ref="I235">IFERROR(INDEX('testmo-export-repository'!$B$2:$X$1000,MATCH($B235,'testmo-export-repository'!$A$2:$A$1000,false),MATCH(I$2,'testmo-export-repository'!$B$1:$X$1,false)),"")</f>
        <v/>
      </c>
      <c r="J235" s="60" t="str">
        <f t="array" ref="J235">IFERROR(INDEX('testmo-export-repository'!$B$2:$Y$1000,MATCH($B235,'testmo-export-repository'!$A$2:$A$1000,false),MATCH(J$2,'testmo-export-repository'!$B$1:$Y$1,false)),"")</f>
        <v/>
      </c>
      <c r="K235" s="60" t="str">
        <f t="array" ref="K235">IFERROR(INDEX('testmo-export-repository'!$B$2:$Y$1000,MATCH($B235,'testmo-export-repository'!$A$2:$A$1000,false),MATCH(K$2,'testmo-export-repository'!$B$1:$Y$1,false)),"")</f>
        <v/>
      </c>
    </row>
    <row r="236">
      <c r="B236" s="60" t="str">
        <f>'testmo-export-repository'!A235</f>
        <v/>
      </c>
      <c r="C236" s="60" t="str">
        <f t="array" ref="C236">IFERROR(INDEX('testmo-export-repository'!$B$2:$X$1000,MATCH($B236,'testmo-export-repository'!$A$2:$A$1000,false),MATCH(C$2,'testmo-export-repository'!$B$1:$X$1,false)),"")</f>
        <v/>
      </c>
      <c r="D236" s="60" t="str">
        <f t="array" ref="D236">IFERROR(INDEX('testmo-export-repository'!$B$2:$X$1000,MATCH($B236,'testmo-export-repository'!$A$2:$A$1000,false),MATCH(D$2,'testmo-export-repository'!$B$1:$X$1,false)),"")</f>
        <v/>
      </c>
      <c r="E236" s="60" t="str">
        <f>IFERROR(VLOOKUP($C236,instructions!$N$3:$O$5,2,false),"")</f>
        <v/>
      </c>
      <c r="F236" s="60" t="str">
        <f>IFERROR(VLOOKUP($D236,instructions!$N$3:$O$5,2,false),"")</f>
        <v/>
      </c>
      <c r="G236" s="60" t="str">
        <f t="array" ref="G236">IFERROR(INDEX('testmo-export-repository'!$B$2:$X$1000,MATCH($B236,'testmo-export-repository'!$A$2:$A$1000,false),MATCH(G$2,'testmo-export-repository'!$B$1:$X$1,false)),"")</f>
        <v/>
      </c>
      <c r="H236" s="60" t="str">
        <f t="array" ref="H236">IFERROR(INDEX('testmo-export-repository'!$B$2:$X$1000,MATCH($B236,'testmo-export-repository'!$A$2:$A$1000,false),MATCH(H$2,'testmo-export-repository'!$B$1:$X$1,false)),"")</f>
        <v/>
      </c>
      <c r="I236" s="60" t="str">
        <f t="array" ref="I236">IFERROR(INDEX('testmo-export-repository'!$B$2:$X$1000,MATCH($B236,'testmo-export-repository'!$A$2:$A$1000,false),MATCH(I$2,'testmo-export-repository'!$B$1:$X$1,false)),"")</f>
        <v/>
      </c>
      <c r="J236" s="60" t="str">
        <f t="array" ref="J236">IFERROR(INDEX('testmo-export-repository'!$B$2:$Y$1000,MATCH($B236,'testmo-export-repository'!$A$2:$A$1000,false),MATCH(J$2,'testmo-export-repository'!$B$1:$Y$1,false)),"")</f>
        <v/>
      </c>
      <c r="K236" s="60" t="str">
        <f t="array" ref="K236">IFERROR(INDEX('testmo-export-repository'!$B$2:$Y$1000,MATCH($B236,'testmo-export-repository'!$A$2:$A$1000,false),MATCH(K$2,'testmo-export-repository'!$B$1:$Y$1,false)),"")</f>
        <v/>
      </c>
    </row>
    <row r="237">
      <c r="B237" s="60" t="str">
        <f>'testmo-export-repository'!A236</f>
        <v/>
      </c>
      <c r="C237" s="60" t="str">
        <f t="array" ref="C237">IFERROR(INDEX('testmo-export-repository'!$B$2:$X$1000,MATCH($B237,'testmo-export-repository'!$A$2:$A$1000,false),MATCH(C$2,'testmo-export-repository'!$B$1:$X$1,false)),"")</f>
        <v/>
      </c>
      <c r="D237" s="60" t="str">
        <f t="array" ref="D237">IFERROR(INDEX('testmo-export-repository'!$B$2:$X$1000,MATCH($B237,'testmo-export-repository'!$A$2:$A$1000,false),MATCH(D$2,'testmo-export-repository'!$B$1:$X$1,false)),"")</f>
        <v/>
      </c>
      <c r="E237" s="60" t="str">
        <f>IFERROR(VLOOKUP($C237,instructions!$N$3:$O$5,2,false),"")</f>
        <v/>
      </c>
      <c r="F237" s="60" t="str">
        <f>IFERROR(VLOOKUP($D237,instructions!$N$3:$O$5,2,false),"")</f>
        <v/>
      </c>
      <c r="G237" s="60" t="str">
        <f t="array" ref="G237">IFERROR(INDEX('testmo-export-repository'!$B$2:$X$1000,MATCH($B237,'testmo-export-repository'!$A$2:$A$1000,false),MATCH(G$2,'testmo-export-repository'!$B$1:$X$1,false)),"")</f>
        <v/>
      </c>
      <c r="H237" s="60" t="str">
        <f t="array" ref="H237">IFERROR(INDEX('testmo-export-repository'!$B$2:$X$1000,MATCH($B237,'testmo-export-repository'!$A$2:$A$1000,false),MATCH(H$2,'testmo-export-repository'!$B$1:$X$1,false)),"")</f>
        <v/>
      </c>
      <c r="I237" s="60" t="str">
        <f t="array" ref="I237">IFERROR(INDEX('testmo-export-repository'!$B$2:$X$1000,MATCH($B237,'testmo-export-repository'!$A$2:$A$1000,false),MATCH(I$2,'testmo-export-repository'!$B$1:$X$1,false)),"")</f>
        <v/>
      </c>
      <c r="J237" s="60" t="str">
        <f t="array" ref="J237">IFERROR(INDEX('testmo-export-repository'!$B$2:$Y$1000,MATCH($B237,'testmo-export-repository'!$A$2:$A$1000,false),MATCH(J$2,'testmo-export-repository'!$B$1:$Y$1,false)),"")</f>
        <v/>
      </c>
      <c r="K237" s="60" t="str">
        <f t="array" ref="K237">IFERROR(INDEX('testmo-export-repository'!$B$2:$Y$1000,MATCH($B237,'testmo-export-repository'!$A$2:$A$1000,false),MATCH(K$2,'testmo-export-repository'!$B$1:$Y$1,false)),"")</f>
        <v/>
      </c>
    </row>
    <row r="238">
      <c r="B238" s="60" t="str">
        <f>'testmo-export-repository'!A237</f>
        <v/>
      </c>
      <c r="C238" s="60" t="str">
        <f t="array" ref="C238">IFERROR(INDEX('testmo-export-repository'!$B$2:$X$1000,MATCH($B238,'testmo-export-repository'!$A$2:$A$1000,false),MATCH(C$2,'testmo-export-repository'!$B$1:$X$1,false)),"")</f>
        <v/>
      </c>
      <c r="D238" s="60" t="str">
        <f t="array" ref="D238">IFERROR(INDEX('testmo-export-repository'!$B$2:$X$1000,MATCH($B238,'testmo-export-repository'!$A$2:$A$1000,false),MATCH(D$2,'testmo-export-repository'!$B$1:$X$1,false)),"")</f>
        <v/>
      </c>
      <c r="E238" s="60" t="str">
        <f>IFERROR(VLOOKUP($C238,instructions!$N$3:$O$5,2,false),"")</f>
        <v/>
      </c>
      <c r="F238" s="60" t="str">
        <f>IFERROR(VLOOKUP($D238,instructions!$N$3:$O$5,2,false),"")</f>
        <v/>
      </c>
      <c r="G238" s="60" t="str">
        <f t="array" ref="G238">IFERROR(INDEX('testmo-export-repository'!$B$2:$X$1000,MATCH($B238,'testmo-export-repository'!$A$2:$A$1000,false),MATCH(G$2,'testmo-export-repository'!$B$1:$X$1,false)),"")</f>
        <v/>
      </c>
      <c r="H238" s="60" t="str">
        <f t="array" ref="H238">IFERROR(INDEX('testmo-export-repository'!$B$2:$X$1000,MATCH($B238,'testmo-export-repository'!$A$2:$A$1000,false),MATCH(H$2,'testmo-export-repository'!$B$1:$X$1,false)),"")</f>
        <v/>
      </c>
      <c r="I238" s="60" t="str">
        <f t="array" ref="I238">IFERROR(INDEX('testmo-export-repository'!$B$2:$X$1000,MATCH($B238,'testmo-export-repository'!$A$2:$A$1000,false),MATCH(I$2,'testmo-export-repository'!$B$1:$X$1,false)),"")</f>
        <v/>
      </c>
      <c r="J238" s="60" t="str">
        <f t="array" ref="J238">IFERROR(INDEX('testmo-export-repository'!$B$2:$Y$1000,MATCH($B238,'testmo-export-repository'!$A$2:$A$1000,false),MATCH(J$2,'testmo-export-repository'!$B$1:$Y$1,false)),"")</f>
        <v/>
      </c>
      <c r="K238" s="60" t="str">
        <f t="array" ref="K238">IFERROR(INDEX('testmo-export-repository'!$B$2:$Y$1000,MATCH($B238,'testmo-export-repository'!$A$2:$A$1000,false),MATCH(K$2,'testmo-export-repository'!$B$1:$Y$1,false)),"")</f>
        <v/>
      </c>
    </row>
    <row r="239">
      <c r="B239" s="60" t="str">
        <f>'testmo-export-repository'!A238</f>
        <v/>
      </c>
      <c r="C239" s="60" t="str">
        <f t="array" ref="C239">IFERROR(INDEX('testmo-export-repository'!$B$2:$X$1000,MATCH($B239,'testmo-export-repository'!$A$2:$A$1000,false),MATCH(C$2,'testmo-export-repository'!$B$1:$X$1,false)),"")</f>
        <v/>
      </c>
      <c r="D239" s="60" t="str">
        <f t="array" ref="D239">IFERROR(INDEX('testmo-export-repository'!$B$2:$X$1000,MATCH($B239,'testmo-export-repository'!$A$2:$A$1000,false),MATCH(D$2,'testmo-export-repository'!$B$1:$X$1,false)),"")</f>
        <v/>
      </c>
      <c r="E239" s="60" t="str">
        <f>IFERROR(VLOOKUP($C239,instructions!$N$3:$O$5,2,false),"")</f>
        <v/>
      </c>
      <c r="F239" s="60" t="str">
        <f>IFERROR(VLOOKUP($D239,instructions!$N$3:$O$5,2,false),"")</f>
        <v/>
      </c>
      <c r="G239" s="60" t="str">
        <f t="array" ref="G239">IFERROR(INDEX('testmo-export-repository'!$B$2:$X$1000,MATCH($B239,'testmo-export-repository'!$A$2:$A$1000,false),MATCH(G$2,'testmo-export-repository'!$B$1:$X$1,false)),"")</f>
        <v/>
      </c>
      <c r="H239" s="60" t="str">
        <f t="array" ref="H239">IFERROR(INDEX('testmo-export-repository'!$B$2:$X$1000,MATCH($B239,'testmo-export-repository'!$A$2:$A$1000,false),MATCH(H$2,'testmo-export-repository'!$B$1:$X$1,false)),"")</f>
        <v/>
      </c>
      <c r="I239" s="60" t="str">
        <f t="array" ref="I239">IFERROR(INDEX('testmo-export-repository'!$B$2:$X$1000,MATCH($B239,'testmo-export-repository'!$A$2:$A$1000,false),MATCH(I$2,'testmo-export-repository'!$B$1:$X$1,false)),"")</f>
        <v/>
      </c>
      <c r="J239" s="60" t="str">
        <f t="array" ref="J239">IFERROR(INDEX('testmo-export-repository'!$B$2:$Y$1000,MATCH($B239,'testmo-export-repository'!$A$2:$A$1000,false),MATCH(J$2,'testmo-export-repository'!$B$1:$Y$1,false)),"")</f>
        <v/>
      </c>
      <c r="K239" s="60" t="str">
        <f t="array" ref="K239">IFERROR(INDEX('testmo-export-repository'!$B$2:$Y$1000,MATCH($B239,'testmo-export-repository'!$A$2:$A$1000,false),MATCH(K$2,'testmo-export-repository'!$B$1:$Y$1,false)),"")</f>
        <v/>
      </c>
    </row>
    <row r="240">
      <c r="B240" s="60" t="str">
        <f>'testmo-export-repository'!A239</f>
        <v/>
      </c>
      <c r="C240" s="60" t="str">
        <f t="array" ref="C240">IFERROR(INDEX('testmo-export-repository'!$B$2:$X$1000,MATCH($B240,'testmo-export-repository'!$A$2:$A$1000,false),MATCH(C$2,'testmo-export-repository'!$B$1:$X$1,false)),"")</f>
        <v/>
      </c>
      <c r="D240" s="60" t="str">
        <f t="array" ref="D240">IFERROR(INDEX('testmo-export-repository'!$B$2:$X$1000,MATCH($B240,'testmo-export-repository'!$A$2:$A$1000,false),MATCH(D$2,'testmo-export-repository'!$B$1:$X$1,false)),"")</f>
        <v/>
      </c>
      <c r="E240" s="60" t="str">
        <f>IFERROR(VLOOKUP($C240,instructions!$N$3:$O$5,2,false),"")</f>
        <v/>
      </c>
      <c r="F240" s="60" t="str">
        <f>IFERROR(VLOOKUP($D240,instructions!$N$3:$O$5,2,false),"")</f>
        <v/>
      </c>
      <c r="G240" s="60" t="str">
        <f t="array" ref="G240">IFERROR(INDEX('testmo-export-repository'!$B$2:$X$1000,MATCH($B240,'testmo-export-repository'!$A$2:$A$1000,false),MATCH(G$2,'testmo-export-repository'!$B$1:$X$1,false)),"")</f>
        <v/>
      </c>
      <c r="H240" s="60" t="str">
        <f t="array" ref="H240">IFERROR(INDEX('testmo-export-repository'!$B$2:$X$1000,MATCH($B240,'testmo-export-repository'!$A$2:$A$1000,false),MATCH(H$2,'testmo-export-repository'!$B$1:$X$1,false)),"")</f>
        <v/>
      </c>
      <c r="I240" s="60" t="str">
        <f t="array" ref="I240">IFERROR(INDEX('testmo-export-repository'!$B$2:$X$1000,MATCH($B240,'testmo-export-repository'!$A$2:$A$1000,false),MATCH(I$2,'testmo-export-repository'!$B$1:$X$1,false)),"")</f>
        <v/>
      </c>
      <c r="J240" s="60" t="str">
        <f t="array" ref="J240">IFERROR(INDEX('testmo-export-repository'!$B$2:$Y$1000,MATCH($B240,'testmo-export-repository'!$A$2:$A$1000,false),MATCH(J$2,'testmo-export-repository'!$B$1:$Y$1,false)),"")</f>
        <v/>
      </c>
      <c r="K240" s="60" t="str">
        <f t="array" ref="K240">IFERROR(INDEX('testmo-export-repository'!$B$2:$Y$1000,MATCH($B240,'testmo-export-repository'!$A$2:$A$1000,false),MATCH(K$2,'testmo-export-repository'!$B$1:$Y$1,false)),"")</f>
        <v/>
      </c>
    </row>
    <row r="241">
      <c r="B241" s="60" t="str">
        <f>'testmo-export-repository'!A240</f>
        <v/>
      </c>
      <c r="C241" s="60" t="str">
        <f t="array" ref="C241">IFERROR(INDEX('testmo-export-repository'!$B$2:$X$1000,MATCH($B241,'testmo-export-repository'!$A$2:$A$1000,false),MATCH(C$2,'testmo-export-repository'!$B$1:$X$1,false)),"")</f>
        <v/>
      </c>
      <c r="D241" s="60" t="str">
        <f t="array" ref="D241">IFERROR(INDEX('testmo-export-repository'!$B$2:$X$1000,MATCH($B241,'testmo-export-repository'!$A$2:$A$1000,false),MATCH(D$2,'testmo-export-repository'!$B$1:$X$1,false)),"")</f>
        <v/>
      </c>
      <c r="E241" s="60" t="str">
        <f>IFERROR(VLOOKUP($C241,instructions!$N$3:$O$5,2,false),"")</f>
        <v/>
      </c>
      <c r="F241" s="60" t="str">
        <f>IFERROR(VLOOKUP($D241,instructions!$N$3:$O$5,2,false),"")</f>
        <v/>
      </c>
      <c r="G241" s="60" t="str">
        <f t="array" ref="G241">IFERROR(INDEX('testmo-export-repository'!$B$2:$X$1000,MATCH($B241,'testmo-export-repository'!$A$2:$A$1000,false),MATCH(G$2,'testmo-export-repository'!$B$1:$X$1,false)),"")</f>
        <v/>
      </c>
      <c r="H241" s="60" t="str">
        <f t="array" ref="H241">IFERROR(INDEX('testmo-export-repository'!$B$2:$X$1000,MATCH($B241,'testmo-export-repository'!$A$2:$A$1000,false),MATCH(H$2,'testmo-export-repository'!$B$1:$X$1,false)),"")</f>
        <v/>
      </c>
      <c r="I241" s="60" t="str">
        <f t="array" ref="I241">IFERROR(INDEX('testmo-export-repository'!$B$2:$X$1000,MATCH($B241,'testmo-export-repository'!$A$2:$A$1000,false),MATCH(I$2,'testmo-export-repository'!$B$1:$X$1,false)),"")</f>
        <v/>
      </c>
      <c r="J241" s="60" t="str">
        <f t="array" ref="J241">IFERROR(INDEX('testmo-export-repository'!$B$2:$Y$1000,MATCH($B241,'testmo-export-repository'!$A$2:$A$1000,false),MATCH(J$2,'testmo-export-repository'!$B$1:$Y$1,false)),"")</f>
        <v/>
      </c>
      <c r="K241" s="60" t="str">
        <f t="array" ref="K241">IFERROR(INDEX('testmo-export-repository'!$B$2:$Y$1000,MATCH($B241,'testmo-export-repository'!$A$2:$A$1000,false),MATCH(K$2,'testmo-export-repository'!$B$1:$Y$1,false)),"")</f>
        <v/>
      </c>
    </row>
    <row r="242">
      <c r="B242" s="60" t="str">
        <f>'testmo-export-repository'!A241</f>
        <v/>
      </c>
      <c r="C242" s="60" t="str">
        <f t="array" ref="C242">IFERROR(INDEX('testmo-export-repository'!$B$2:$X$1000,MATCH($B242,'testmo-export-repository'!$A$2:$A$1000,false),MATCH(C$2,'testmo-export-repository'!$B$1:$X$1,false)),"")</f>
        <v/>
      </c>
      <c r="D242" s="60" t="str">
        <f t="array" ref="D242">IFERROR(INDEX('testmo-export-repository'!$B$2:$X$1000,MATCH($B242,'testmo-export-repository'!$A$2:$A$1000,false),MATCH(D$2,'testmo-export-repository'!$B$1:$X$1,false)),"")</f>
        <v/>
      </c>
      <c r="E242" s="60" t="str">
        <f>IFERROR(VLOOKUP($C242,instructions!$N$3:$O$5,2,false),"")</f>
        <v/>
      </c>
      <c r="F242" s="60" t="str">
        <f>IFERROR(VLOOKUP($D242,instructions!$N$3:$O$5,2,false),"")</f>
        <v/>
      </c>
      <c r="G242" s="60" t="str">
        <f t="array" ref="G242">IFERROR(INDEX('testmo-export-repository'!$B$2:$X$1000,MATCH($B242,'testmo-export-repository'!$A$2:$A$1000,false),MATCH(G$2,'testmo-export-repository'!$B$1:$X$1,false)),"")</f>
        <v/>
      </c>
      <c r="H242" s="60" t="str">
        <f t="array" ref="H242">IFERROR(INDEX('testmo-export-repository'!$B$2:$X$1000,MATCH($B242,'testmo-export-repository'!$A$2:$A$1000,false),MATCH(H$2,'testmo-export-repository'!$B$1:$X$1,false)),"")</f>
        <v/>
      </c>
      <c r="I242" s="60" t="str">
        <f t="array" ref="I242">IFERROR(INDEX('testmo-export-repository'!$B$2:$X$1000,MATCH($B242,'testmo-export-repository'!$A$2:$A$1000,false),MATCH(I$2,'testmo-export-repository'!$B$1:$X$1,false)),"")</f>
        <v/>
      </c>
      <c r="J242" s="60" t="str">
        <f t="array" ref="J242">IFERROR(INDEX('testmo-export-repository'!$B$2:$Y$1000,MATCH($B242,'testmo-export-repository'!$A$2:$A$1000,false),MATCH(J$2,'testmo-export-repository'!$B$1:$Y$1,false)),"")</f>
        <v/>
      </c>
      <c r="K242" s="60" t="str">
        <f t="array" ref="K242">IFERROR(INDEX('testmo-export-repository'!$B$2:$Y$1000,MATCH($B242,'testmo-export-repository'!$A$2:$A$1000,false),MATCH(K$2,'testmo-export-repository'!$B$1:$Y$1,false)),"")</f>
        <v/>
      </c>
    </row>
    <row r="243">
      <c r="B243" s="60" t="str">
        <f>'testmo-export-repository'!A242</f>
        <v/>
      </c>
      <c r="C243" s="60" t="str">
        <f t="array" ref="C243">IFERROR(INDEX('testmo-export-repository'!$B$2:$X$1000,MATCH($B243,'testmo-export-repository'!$A$2:$A$1000,false),MATCH(C$2,'testmo-export-repository'!$B$1:$X$1,false)),"")</f>
        <v/>
      </c>
      <c r="D243" s="60" t="str">
        <f t="array" ref="D243">IFERROR(INDEX('testmo-export-repository'!$B$2:$X$1000,MATCH($B243,'testmo-export-repository'!$A$2:$A$1000,false),MATCH(D$2,'testmo-export-repository'!$B$1:$X$1,false)),"")</f>
        <v/>
      </c>
      <c r="E243" s="60" t="str">
        <f>IFERROR(VLOOKUP($C243,instructions!$N$3:$O$5,2,false),"")</f>
        <v/>
      </c>
      <c r="F243" s="60" t="str">
        <f>IFERROR(VLOOKUP($D243,instructions!$N$3:$O$5,2,false),"")</f>
        <v/>
      </c>
      <c r="G243" s="60" t="str">
        <f t="array" ref="G243">IFERROR(INDEX('testmo-export-repository'!$B$2:$X$1000,MATCH($B243,'testmo-export-repository'!$A$2:$A$1000,false),MATCH(G$2,'testmo-export-repository'!$B$1:$X$1,false)),"")</f>
        <v/>
      </c>
      <c r="H243" s="60" t="str">
        <f t="array" ref="H243">IFERROR(INDEX('testmo-export-repository'!$B$2:$X$1000,MATCH($B243,'testmo-export-repository'!$A$2:$A$1000,false),MATCH(H$2,'testmo-export-repository'!$B$1:$X$1,false)),"")</f>
        <v/>
      </c>
      <c r="I243" s="60" t="str">
        <f t="array" ref="I243">IFERROR(INDEX('testmo-export-repository'!$B$2:$X$1000,MATCH($B243,'testmo-export-repository'!$A$2:$A$1000,false),MATCH(I$2,'testmo-export-repository'!$B$1:$X$1,false)),"")</f>
        <v/>
      </c>
      <c r="J243" s="60" t="str">
        <f t="array" ref="J243">IFERROR(INDEX('testmo-export-repository'!$B$2:$Y$1000,MATCH($B243,'testmo-export-repository'!$A$2:$A$1000,false),MATCH(J$2,'testmo-export-repository'!$B$1:$Y$1,false)),"")</f>
        <v/>
      </c>
      <c r="K243" s="60" t="str">
        <f t="array" ref="K243">IFERROR(INDEX('testmo-export-repository'!$B$2:$Y$1000,MATCH($B243,'testmo-export-repository'!$A$2:$A$1000,false),MATCH(K$2,'testmo-export-repository'!$B$1:$Y$1,false)),"")</f>
        <v/>
      </c>
    </row>
    <row r="244">
      <c r="B244" s="60" t="str">
        <f>'testmo-export-repository'!A243</f>
        <v/>
      </c>
      <c r="C244" s="60" t="str">
        <f t="array" ref="C244">IFERROR(INDEX('testmo-export-repository'!$B$2:$X$1000,MATCH($B244,'testmo-export-repository'!$A$2:$A$1000,false),MATCH(C$2,'testmo-export-repository'!$B$1:$X$1,false)),"")</f>
        <v/>
      </c>
      <c r="D244" s="60" t="str">
        <f t="array" ref="D244">IFERROR(INDEX('testmo-export-repository'!$B$2:$X$1000,MATCH($B244,'testmo-export-repository'!$A$2:$A$1000,false),MATCH(D$2,'testmo-export-repository'!$B$1:$X$1,false)),"")</f>
        <v/>
      </c>
      <c r="E244" s="60" t="str">
        <f>IFERROR(VLOOKUP($C244,instructions!$N$3:$O$5,2,false),"")</f>
        <v/>
      </c>
      <c r="F244" s="60" t="str">
        <f>IFERROR(VLOOKUP($D244,instructions!$N$3:$O$5,2,false),"")</f>
        <v/>
      </c>
      <c r="G244" s="60" t="str">
        <f t="array" ref="G244">IFERROR(INDEX('testmo-export-repository'!$B$2:$X$1000,MATCH($B244,'testmo-export-repository'!$A$2:$A$1000,false),MATCH(G$2,'testmo-export-repository'!$B$1:$X$1,false)),"")</f>
        <v/>
      </c>
      <c r="H244" s="60" t="str">
        <f t="array" ref="H244">IFERROR(INDEX('testmo-export-repository'!$B$2:$X$1000,MATCH($B244,'testmo-export-repository'!$A$2:$A$1000,false),MATCH(H$2,'testmo-export-repository'!$B$1:$X$1,false)),"")</f>
        <v/>
      </c>
      <c r="I244" s="60" t="str">
        <f t="array" ref="I244">IFERROR(INDEX('testmo-export-repository'!$B$2:$X$1000,MATCH($B244,'testmo-export-repository'!$A$2:$A$1000,false),MATCH(I$2,'testmo-export-repository'!$B$1:$X$1,false)),"")</f>
        <v/>
      </c>
      <c r="J244" s="60" t="str">
        <f t="array" ref="J244">IFERROR(INDEX('testmo-export-repository'!$B$2:$Y$1000,MATCH($B244,'testmo-export-repository'!$A$2:$A$1000,false),MATCH(J$2,'testmo-export-repository'!$B$1:$Y$1,false)),"")</f>
        <v/>
      </c>
      <c r="K244" s="60" t="str">
        <f t="array" ref="K244">IFERROR(INDEX('testmo-export-repository'!$B$2:$Y$1000,MATCH($B244,'testmo-export-repository'!$A$2:$A$1000,false),MATCH(K$2,'testmo-export-repository'!$B$1:$Y$1,false)),"")</f>
        <v/>
      </c>
    </row>
    <row r="245">
      <c r="B245" s="60" t="str">
        <f>'testmo-export-repository'!A244</f>
        <v/>
      </c>
      <c r="C245" s="60" t="str">
        <f t="array" ref="C245">IFERROR(INDEX('testmo-export-repository'!$B$2:$X$1000,MATCH($B245,'testmo-export-repository'!$A$2:$A$1000,false),MATCH(C$2,'testmo-export-repository'!$B$1:$X$1,false)),"")</f>
        <v/>
      </c>
      <c r="D245" s="60" t="str">
        <f t="array" ref="D245">IFERROR(INDEX('testmo-export-repository'!$B$2:$X$1000,MATCH($B245,'testmo-export-repository'!$A$2:$A$1000,false),MATCH(D$2,'testmo-export-repository'!$B$1:$X$1,false)),"")</f>
        <v/>
      </c>
      <c r="E245" s="60" t="str">
        <f>IFERROR(VLOOKUP($C245,instructions!$N$3:$O$5,2,false),"")</f>
        <v/>
      </c>
      <c r="F245" s="60" t="str">
        <f>IFERROR(VLOOKUP($D245,instructions!$N$3:$O$5,2,false),"")</f>
        <v/>
      </c>
      <c r="G245" s="60" t="str">
        <f t="array" ref="G245">IFERROR(INDEX('testmo-export-repository'!$B$2:$X$1000,MATCH($B245,'testmo-export-repository'!$A$2:$A$1000,false),MATCH(G$2,'testmo-export-repository'!$B$1:$X$1,false)),"")</f>
        <v/>
      </c>
      <c r="H245" s="60" t="str">
        <f t="array" ref="H245">IFERROR(INDEX('testmo-export-repository'!$B$2:$X$1000,MATCH($B245,'testmo-export-repository'!$A$2:$A$1000,false),MATCH(H$2,'testmo-export-repository'!$B$1:$X$1,false)),"")</f>
        <v/>
      </c>
      <c r="I245" s="60" t="str">
        <f t="array" ref="I245">IFERROR(INDEX('testmo-export-repository'!$B$2:$X$1000,MATCH($B245,'testmo-export-repository'!$A$2:$A$1000,false),MATCH(I$2,'testmo-export-repository'!$B$1:$X$1,false)),"")</f>
        <v/>
      </c>
      <c r="J245" s="60" t="str">
        <f t="array" ref="J245">IFERROR(INDEX('testmo-export-repository'!$B$2:$Y$1000,MATCH($B245,'testmo-export-repository'!$A$2:$A$1000,false),MATCH(J$2,'testmo-export-repository'!$B$1:$Y$1,false)),"")</f>
        <v/>
      </c>
      <c r="K245" s="60" t="str">
        <f t="array" ref="K245">IFERROR(INDEX('testmo-export-repository'!$B$2:$Y$1000,MATCH($B245,'testmo-export-repository'!$A$2:$A$1000,false),MATCH(K$2,'testmo-export-repository'!$B$1:$Y$1,false)),"")</f>
        <v/>
      </c>
    </row>
    <row r="246">
      <c r="B246" s="60" t="str">
        <f>'testmo-export-repository'!A245</f>
        <v/>
      </c>
      <c r="C246" s="60" t="str">
        <f t="array" ref="C246">IFERROR(INDEX('testmo-export-repository'!$B$2:$X$1000,MATCH($B246,'testmo-export-repository'!$A$2:$A$1000,false),MATCH(C$2,'testmo-export-repository'!$B$1:$X$1,false)),"")</f>
        <v/>
      </c>
      <c r="D246" s="60" t="str">
        <f t="array" ref="D246">IFERROR(INDEX('testmo-export-repository'!$B$2:$X$1000,MATCH($B246,'testmo-export-repository'!$A$2:$A$1000,false),MATCH(D$2,'testmo-export-repository'!$B$1:$X$1,false)),"")</f>
        <v/>
      </c>
      <c r="E246" s="60" t="str">
        <f>IFERROR(VLOOKUP($C246,instructions!$N$3:$O$5,2,false),"")</f>
        <v/>
      </c>
      <c r="F246" s="60" t="str">
        <f>IFERROR(VLOOKUP($D246,instructions!$N$3:$O$5,2,false),"")</f>
        <v/>
      </c>
      <c r="G246" s="60" t="str">
        <f t="array" ref="G246">IFERROR(INDEX('testmo-export-repository'!$B$2:$X$1000,MATCH($B246,'testmo-export-repository'!$A$2:$A$1000,false),MATCH(G$2,'testmo-export-repository'!$B$1:$X$1,false)),"")</f>
        <v/>
      </c>
      <c r="H246" s="60" t="str">
        <f t="array" ref="H246">IFERROR(INDEX('testmo-export-repository'!$B$2:$X$1000,MATCH($B246,'testmo-export-repository'!$A$2:$A$1000,false),MATCH(H$2,'testmo-export-repository'!$B$1:$X$1,false)),"")</f>
        <v/>
      </c>
      <c r="I246" s="60" t="str">
        <f t="array" ref="I246">IFERROR(INDEX('testmo-export-repository'!$B$2:$X$1000,MATCH($B246,'testmo-export-repository'!$A$2:$A$1000,false),MATCH(I$2,'testmo-export-repository'!$B$1:$X$1,false)),"")</f>
        <v/>
      </c>
      <c r="J246" s="60" t="str">
        <f t="array" ref="J246">IFERROR(INDEX('testmo-export-repository'!$B$2:$Y$1000,MATCH($B246,'testmo-export-repository'!$A$2:$A$1000,false),MATCH(J$2,'testmo-export-repository'!$B$1:$Y$1,false)),"")</f>
        <v/>
      </c>
      <c r="K246" s="60" t="str">
        <f t="array" ref="K246">IFERROR(INDEX('testmo-export-repository'!$B$2:$Y$1000,MATCH($B246,'testmo-export-repository'!$A$2:$A$1000,false),MATCH(K$2,'testmo-export-repository'!$B$1:$Y$1,false)),"")</f>
        <v/>
      </c>
    </row>
    <row r="247">
      <c r="B247" s="60" t="str">
        <f>'testmo-export-repository'!A246</f>
        <v/>
      </c>
      <c r="C247" s="60" t="str">
        <f t="array" ref="C247">IFERROR(INDEX('testmo-export-repository'!$B$2:$X$1000,MATCH($B247,'testmo-export-repository'!$A$2:$A$1000,false),MATCH(C$2,'testmo-export-repository'!$B$1:$X$1,false)),"")</f>
        <v/>
      </c>
      <c r="D247" s="60" t="str">
        <f t="array" ref="D247">IFERROR(INDEX('testmo-export-repository'!$B$2:$X$1000,MATCH($B247,'testmo-export-repository'!$A$2:$A$1000,false),MATCH(D$2,'testmo-export-repository'!$B$1:$X$1,false)),"")</f>
        <v/>
      </c>
      <c r="E247" s="60" t="str">
        <f>IFERROR(VLOOKUP($C247,instructions!$N$3:$O$5,2,false),"")</f>
        <v/>
      </c>
      <c r="F247" s="60" t="str">
        <f>IFERROR(VLOOKUP($D247,instructions!$N$3:$O$5,2,false),"")</f>
        <v/>
      </c>
      <c r="G247" s="60" t="str">
        <f t="array" ref="G247">IFERROR(INDEX('testmo-export-repository'!$B$2:$X$1000,MATCH($B247,'testmo-export-repository'!$A$2:$A$1000,false),MATCH(G$2,'testmo-export-repository'!$B$1:$X$1,false)),"")</f>
        <v/>
      </c>
      <c r="H247" s="60" t="str">
        <f t="array" ref="H247">IFERROR(INDEX('testmo-export-repository'!$B$2:$X$1000,MATCH($B247,'testmo-export-repository'!$A$2:$A$1000,false),MATCH(H$2,'testmo-export-repository'!$B$1:$X$1,false)),"")</f>
        <v/>
      </c>
      <c r="I247" s="60" t="str">
        <f t="array" ref="I247">IFERROR(INDEX('testmo-export-repository'!$B$2:$X$1000,MATCH($B247,'testmo-export-repository'!$A$2:$A$1000,false),MATCH(I$2,'testmo-export-repository'!$B$1:$X$1,false)),"")</f>
        <v/>
      </c>
      <c r="J247" s="60" t="str">
        <f t="array" ref="J247">IFERROR(INDEX('testmo-export-repository'!$B$2:$Y$1000,MATCH($B247,'testmo-export-repository'!$A$2:$A$1000,false),MATCH(J$2,'testmo-export-repository'!$B$1:$Y$1,false)),"")</f>
        <v/>
      </c>
      <c r="K247" s="60" t="str">
        <f t="array" ref="K247">IFERROR(INDEX('testmo-export-repository'!$B$2:$Y$1000,MATCH($B247,'testmo-export-repository'!$A$2:$A$1000,false),MATCH(K$2,'testmo-export-repository'!$B$1:$Y$1,false)),"")</f>
        <v/>
      </c>
    </row>
    <row r="248">
      <c r="B248" s="60" t="str">
        <f>'testmo-export-repository'!A247</f>
        <v/>
      </c>
      <c r="C248" s="60" t="str">
        <f t="array" ref="C248">IFERROR(INDEX('testmo-export-repository'!$B$2:$X$1000,MATCH($B248,'testmo-export-repository'!$A$2:$A$1000,false),MATCH(C$2,'testmo-export-repository'!$B$1:$X$1,false)),"")</f>
        <v/>
      </c>
      <c r="D248" s="60" t="str">
        <f t="array" ref="D248">IFERROR(INDEX('testmo-export-repository'!$B$2:$X$1000,MATCH($B248,'testmo-export-repository'!$A$2:$A$1000,false),MATCH(D$2,'testmo-export-repository'!$B$1:$X$1,false)),"")</f>
        <v/>
      </c>
      <c r="E248" s="60" t="str">
        <f>IFERROR(VLOOKUP($C248,instructions!$N$3:$O$5,2,false),"")</f>
        <v/>
      </c>
      <c r="F248" s="60" t="str">
        <f>IFERROR(VLOOKUP($D248,instructions!$N$3:$O$5,2,false),"")</f>
        <v/>
      </c>
      <c r="G248" s="60" t="str">
        <f t="array" ref="G248">IFERROR(INDEX('testmo-export-repository'!$B$2:$X$1000,MATCH($B248,'testmo-export-repository'!$A$2:$A$1000,false),MATCH(G$2,'testmo-export-repository'!$B$1:$X$1,false)),"")</f>
        <v/>
      </c>
      <c r="H248" s="60" t="str">
        <f t="array" ref="H248">IFERROR(INDEX('testmo-export-repository'!$B$2:$X$1000,MATCH($B248,'testmo-export-repository'!$A$2:$A$1000,false),MATCH(H$2,'testmo-export-repository'!$B$1:$X$1,false)),"")</f>
        <v/>
      </c>
      <c r="I248" s="60" t="str">
        <f t="array" ref="I248">IFERROR(INDEX('testmo-export-repository'!$B$2:$X$1000,MATCH($B248,'testmo-export-repository'!$A$2:$A$1000,false),MATCH(I$2,'testmo-export-repository'!$B$1:$X$1,false)),"")</f>
        <v/>
      </c>
      <c r="J248" s="60" t="str">
        <f t="array" ref="J248">IFERROR(INDEX('testmo-export-repository'!$B$2:$Y$1000,MATCH($B248,'testmo-export-repository'!$A$2:$A$1000,false),MATCH(J$2,'testmo-export-repository'!$B$1:$Y$1,false)),"")</f>
        <v/>
      </c>
      <c r="K248" s="60" t="str">
        <f t="array" ref="K248">IFERROR(INDEX('testmo-export-repository'!$B$2:$Y$1000,MATCH($B248,'testmo-export-repository'!$A$2:$A$1000,false),MATCH(K$2,'testmo-export-repository'!$B$1:$Y$1,false)),"")</f>
        <v/>
      </c>
    </row>
    <row r="249">
      <c r="B249" s="60" t="str">
        <f>'testmo-export-repository'!A248</f>
        <v/>
      </c>
      <c r="C249" s="60" t="str">
        <f t="array" ref="C249">IFERROR(INDEX('testmo-export-repository'!$B$2:$X$1000,MATCH($B249,'testmo-export-repository'!$A$2:$A$1000,false),MATCH(C$2,'testmo-export-repository'!$B$1:$X$1,false)),"")</f>
        <v/>
      </c>
      <c r="D249" s="60" t="str">
        <f t="array" ref="D249">IFERROR(INDEX('testmo-export-repository'!$B$2:$X$1000,MATCH($B249,'testmo-export-repository'!$A$2:$A$1000,false),MATCH(D$2,'testmo-export-repository'!$B$1:$X$1,false)),"")</f>
        <v/>
      </c>
      <c r="E249" s="60" t="str">
        <f>IFERROR(VLOOKUP($C249,instructions!$N$3:$O$5,2,false),"")</f>
        <v/>
      </c>
      <c r="F249" s="60" t="str">
        <f>IFERROR(VLOOKUP($D249,instructions!$N$3:$O$5,2,false),"")</f>
        <v/>
      </c>
      <c r="G249" s="60" t="str">
        <f t="array" ref="G249">IFERROR(INDEX('testmo-export-repository'!$B$2:$X$1000,MATCH($B249,'testmo-export-repository'!$A$2:$A$1000,false),MATCH(G$2,'testmo-export-repository'!$B$1:$X$1,false)),"")</f>
        <v/>
      </c>
      <c r="H249" s="60" t="str">
        <f t="array" ref="H249">IFERROR(INDEX('testmo-export-repository'!$B$2:$X$1000,MATCH($B249,'testmo-export-repository'!$A$2:$A$1000,false),MATCH(H$2,'testmo-export-repository'!$B$1:$X$1,false)),"")</f>
        <v/>
      </c>
      <c r="I249" s="60" t="str">
        <f t="array" ref="I249">IFERROR(INDEX('testmo-export-repository'!$B$2:$X$1000,MATCH($B249,'testmo-export-repository'!$A$2:$A$1000,false),MATCH(I$2,'testmo-export-repository'!$B$1:$X$1,false)),"")</f>
        <v/>
      </c>
      <c r="J249" s="60" t="str">
        <f t="array" ref="J249">IFERROR(INDEX('testmo-export-repository'!$B$2:$Y$1000,MATCH($B249,'testmo-export-repository'!$A$2:$A$1000,false),MATCH(J$2,'testmo-export-repository'!$B$1:$Y$1,false)),"")</f>
        <v/>
      </c>
      <c r="K249" s="60" t="str">
        <f t="array" ref="K249">IFERROR(INDEX('testmo-export-repository'!$B$2:$Y$1000,MATCH($B249,'testmo-export-repository'!$A$2:$A$1000,false),MATCH(K$2,'testmo-export-repository'!$B$1:$Y$1,false)),"")</f>
        <v/>
      </c>
    </row>
    <row r="250">
      <c r="B250" s="60" t="str">
        <f>'testmo-export-repository'!A249</f>
        <v/>
      </c>
      <c r="C250" s="60" t="str">
        <f t="array" ref="C250">IFERROR(INDEX('testmo-export-repository'!$B$2:$X$1000,MATCH($B250,'testmo-export-repository'!$A$2:$A$1000,false),MATCH(C$2,'testmo-export-repository'!$B$1:$X$1,false)),"")</f>
        <v/>
      </c>
      <c r="D250" s="60" t="str">
        <f t="array" ref="D250">IFERROR(INDEX('testmo-export-repository'!$B$2:$X$1000,MATCH($B250,'testmo-export-repository'!$A$2:$A$1000,false),MATCH(D$2,'testmo-export-repository'!$B$1:$X$1,false)),"")</f>
        <v/>
      </c>
      <c r="E250" s="60" t="str">
        <f>IFERROR(VLOOKUP($C250,instructions!$N$3:$O$5,2,false),"")</f>
        <v/>
      </c>
      <c r="F250" s="60" t="str">
        <f>IFERROR(VLOOKUP($D250,instructions!$N$3:$O$5,2,false),"")</f>
        <v/>
      </c>
      <c r="G250" s="60" t="str">
        <f t="array" ref="G250">IFERROR(INDEX('testmo-export-repository'!$B$2:$X$1000,MATCH($B250,'testmo-export-repository'!$A$2:$A$1000,false),MATCH(G$2,'testmo-export-repository'!$B$1:$X$1,false)),"")</f>
        <v/>
      </c>
      <c r="H250" s="60" t="str">
        <f t="array" ref="H250">IFERROR(INDEX('testmo-export-repository'!$B$2:$X$1000,MATCH($B250,'testmo-export-repository'!$A$2:$A$1000,false),MATCH(H$2,'testmo-export-repository'!$B$1:$X$1,false)),"")</f>
        <v/>
      </c>
      <c r="I250" s="60" t="str">
        <f t="array" ref="I250">IFERROR(INDEX('testmo-export-repository'!$B$2:$X$1000,MATCH($B250,'testmo-export-repository'!$A$2:$A$1000,false),MATCH(I$2,'testmo-export-repository'!$B$1:$X$1,false)),"")</f>
        <v/>
      </c>
      <c r="J250" s="60" t="str">
        <f t="array" ref="J250">IFERROR(INDEX('testmo-export-repository'!$B$2:$Y$1000,MATCH($B250,'testmo-export-repository'!$A$2:$A$1000,false),MATCH(J$2,'testmo-export-repository'!$B$1:$Y$1,false)),"")</f>
        <v/>
      </c>
      <c r="K250" s="60" t="str">
        <f t="array" ref="K250">IFERROR(INDEX('testmo-export-repository'!$B$2:$Y$1000,MATCH($B250,'testmo-export-repository'!$A$2:$A$1000,false),MATCH(K$2,'testmo-export-repository'!$B$1:$Y$1,false)),"")</f>
        <v/>
      </c>
    </row>
    <row r="251">
      <c r="B251" s="60" t="str">
        <f>'testmo-export-repository'!A250</f>
        <v/>
      </c>
      <c r="C251" s="60" t="str">
        <f t="array" ref="C251">IFERROR(INDEX('testmo-export-repository'!$B$2:$X$1000,MATCH($B251,'testmo-export-repository'!$A$2:$A$1000,false),MATCH(C$2,'testmo-export-repository'!$B$1:$X$1,false)),"")</f>
        <v/>
      </c>
      <c r="D251" s="60" t="str">
        <f t="array" ref="D251">IFERROR(INDEX('testmo-export-repository'!$B$2:$X$1000,MATCH($B251,'testmo-export-repository'!$A$2:$A$1000,false),MATCH(D$2,'testmo-export-repository'!$B$1:$X$1,false)),"")</f>
        <v/>
      </c>
      <c r="E251" s="60" t="str">
        <f>IFERROR(VLOOKUP($C251,instructions!$N$3:$O$5,2,false),"")</f>
        <v/>
      </c>
      <c r="F251" s="60" t="str">
        <f>IFERROR(VLOOKUP($D251,instructions!$N$3:$O$5,2,false),"")</f>
        <v/>
      </c>
      <c r="G251" s="60" t="str">
        <f t="array" ref="G251">IFERROR(INDEX('testmo-export-repository'!$B$2:$X$1000,MATCH($B251,'testmo-export-repository'!$A$2:$A$1000,false),MATCH(G$2,'testmo-export-repository'!$B$1:$X$1,false)),"")</f>
        <v/>
      </c>
      <c r="H251" s="60" t="str">
        <f t="array" ref="H251">IFERROR(INDEX('testmo-export-repository'!$B$2:$X$1000,MATCH($B251,'testmo-export-repository'!$A$2:$A$1000,false),MATCH(H$2,'testmo-export-repository'!$B$1:$X$1,false)),"")</f>
        <v/>
      </c>
      <c r="I251" s="60" t="str">
        <f t="array" ref="I251">IFERROR(INDEX('testmo-export-repository'!$B$2:$X$1000,MATCH($B251,'testmo-export-repository'!$A$2:$A$1000,false),MATCH(I$2,'testmo-export-repository'!$B$1:$X$1,false)),"")</f>
        <v/>
      </c>
      <c r="J251" s="60" t="str">
        <f t="array" ref="J251">IFERROR(INDEX('testmo-export-repository'!$B$2:$Y$1000,MATCH($B251,'testmo-export-repository'!$A$2:$A$1000,false),MATCH(J$2,'testmo-export-repository'!$B$1:$Y$1,false)),"")</f>
        <v/>
      </c>
      <c r="K251" s="60" t="str">
        <f t="array" ref="K251">IFERROR(INDEX('testmo-export-repository'!$B$2:$Y$1000,MATCH($B251,'testmo-export-repository'!$A$2:$A$1000,false),MATCH(K$2,'testmo-export-repository'!$B$1:$Y$1,false)),"")</f>
        <v/>
      </c>
    </row>
    <row r="252">
      <c r="B252" s="60" t="str">
        <f>'testmo-export-repository'!A251</f>
        <v/>
      </c>
      <c r="C252" s="60" t="str">
        <f t="array" ref="C252">IFERROR(INDEX('testmo-export-repository'!$B$2:$X$1000,MATCH($B252,'testmo-export-repository'!$A$2:$A$1000,false),MATCH(C$2,'testmo-export-repository'!$B$1:$X$1,false)),"")</f>
        <v/>
      </c>
      <c r="D252" s="60" t="str">
        <f t="array" ref="D252">IFERROR(INDEX('testmo-export-repository'!$B$2:$X$1000,MATCH($B252,'testmo-export-repository'!$A$2:$A$1000,false),MATCH(D$2,'testmo-export-repository'!$B$1:$X$1,false)),"")</f>
        <v/>
      </c>
      <c r="E252" s="60" t="str">
        <f>IFERROR(VLOOKUP($C252,instructions!$N$3:$O$5,2,false),"")</f>
        <v/>
      </c>
      <c r="F252" s="60" t="str">
        <f>IFERROR(VLOOKUP($D252,instructions!$N$3:$O$5,2,false),"")</f>
        <v/>
      </c>
      <c r="G252" s="60" t="str">
        <f t="array" ref="G252">IFERROR(INDEX('testmo-export-repository'!$B$2:$X$1000,MATCH($B252,'testmo-export-repository'!$A$2:$A$1000,false),MATCH(G$2,'testmo-export-repository'!$B$1:$X$1,false)),"")</f>
        <v/>
      </c>
      <c r="H252" s="60" t="str">
        <f t="array" ref="H252">IFERROR(INDEX('testmo-export-repository'!$B$2:$X$1000,MATCH($B252,'testmo-export-repository'!$A$2:$A$1000,false),MATCH(H$2,'testmo-export-repository'!$B$1:$X$1,false)),"")</f>
        <v/>
      </c>
      <c r="I252" s="60" t="str">
        <f t="array" ref="I252">IFERROR(INDEX('testmo-export-repository'!$B$2:$X$1000,MATCH($B252,'testmo-export-repository'!$A$2:$A$1000,false),MATCH(I$2,'testmo-export-repository'!$B$1:$X$1,false)),"")</f>
        <v/>
      </c>
      <c r="J252" s="60" t="str">
        <f t="array" ref="J252">IFERROR(INDEX('testmo-export-repository'!$B$2:$Y$1000,MATCH($B252,'testmo-export-repository'!$A$2:$A$1000,false),MATCH(J$2,'testmo-export-repository'!$B$1:$Y$1,false)),"")</f>
        <v/>
      </c>
      <c r="K252" s="60" t="str">
        <f t="array" ref="K252">IFERROR(INDEX('testmo-export-repository'!$B$2:$Y$1000,MATCH($B252,'testmo-export-repository'!$A$2:$A$1000,false),MATCH(K$2,'testmo-export-repository'!$B$1:$Y$1,false)),"")</f>
        <v/>
      </c>
    </row>
    <row r="253">
      <c r="B253" s="60" t="str">
        <f>'testmo-export-repository'!A252</f>
        <v/>
      </c>
      <c r="C253" s="60" t="str">
        <f t="array" ref="C253">IFERROR(INDEX('testmo-export-repository'!$B$2:$X$1000,MATCH($B253,'testmo-export-repository'!$A$2:$A$1000,false),MATCH(C$2,'testmo-export-repository'!$B$1:$X$1,false)),"")</f>
        <v/>
      </c>
      <c r="D253" s="60" t="str">
        <f t="array" ref="D253">IFERROR(INDEX('testmo-export-repository'!$B$2:$X$1000,MATCH($B253,'testmo-export-repository'!$A$2:$A$1000,false),MATCH(D$2,'testmo-export-repository'!$B$1:$X$1,false)),"")</f>
        <v/>
      </c>
      <c r="E253" s="60" t="str">
        <f>IFERROR(VLOOKUP($C253,instructions!$N$3:$O$5,2,false),"")</f>
        <v/>
      </c>
      <c r="F253" s="60" t="str">
        <f>IFERROR(VLOOKUP($D253,instructions!$N$3:$O$5,2,false),"")</f>
        <v/>
      </c>
      <c r="G253" s="60" t="str">
        <f t="array" ref="G253">IFERROR(INDEX('testmo-export-repository'!$B$2:$X$1000,MATCH($B253,'testmo-export-repository'!$A$2:$A$1000,false),MATCH(G$2,'testmo-export-repository'!$B$1:$X$1,false)),"")</f>
        <v/>
      </c>
      <c r="H253" s="60" t="str">
        <f t="array" ref="H253">IFERROR(INDEX('testmo-export-repository'!$B$2:$X$1000,MATCH($B253,'testmo-export-repository'!$A$2:$A$1000,false),MATCH(H$2,'testmo-export-repository'!$B$1:$X$1,false)),"")</f>
        <v/>
      </c>
      <c r="I253" s="60" t="str">
        <f t="array" ref="I253">IFERROR(INDEX('testmo-export-repository'!$B$2:$X$1000,MATCH($B253,'testmo-export-repository'!$A$2:$A$1000,false),MATCH(I$2,'testmo-export-repository'!$B$1:$X$1,false)),"")</f>
        <v/>
      </c>
      <c r="J253" s="60" t="str">
        <f t="array" ref="J253">IFERROR(INDEX('testmo-export-repository'!$B$2:$Y$1000,MATCH($B253,'testmo-export-repository'!$A$2:$A$1000,false),MATCH(J$2,'testmo-export-repository'!$B$1:$Y$1,false)),"")</f>
        <v/>
      </c>
      <c r="K253" s="60" t="str">
        <f t="array" ref="K253">IFERROR(INDEX('testmo-export-repository'!$B$2:$Y$1000,MATCH($B253,'testmo-export-repository'!$A$2:$A$1000,false),MATCH(K$2,'testmo-export-repository'!$B$1:$Y$1,false)),"")</f>
        <v/>
      </c>
    </row>
    <row r="254">
      <c r="B254" s="60" t="str">
        <f>'testmo-export-repository'!A253</f>
        <v/>
      </c>
      <c r="C254" s="60" t="str">
        <f t="array" ref="C254">IFERROR(INDEX('testmo-export-repository'!$B$2:$X$1000,MATCH($B254,'testmo-export-repository'!$A$2:$A$1000,false),MATCH(C$2,'testmo-export-repository'!$B$1:$X$1,false)),"")</f>
        <v/>
      </c>
      <c r="D254" s="60" t="str">
        <f t="array" ref="D254">IFERROR(INDEX('testmo-export-repository'!$B$2:$X$1000,MATCH($B254,'testmo-export-repository'!$A$2:$A$1000,false),MATCH(D$2,'testmo-export-repository'!$B$1:$X$1,false)),"")</f>
        <v/>
      </c>
      <c r="E254" s="60" t="str">
        <f>IFERROR(VLOOKUP($C254,instructions!$N$3:$O$5,2,false),"")</f>
        <v/>
      </c>
      <c r="F254" s="60" t="str">
        <f>IFERROR(VLOOKUP($D254,instructions!$N$3:$O$5,2,false),"")</f>
        <v/>
      </c>
      <c r="G254" s="60" t="str">
        <f t="array" ref="G254">IFERROR(INDEX('testmo-export-repository'!$B$2:$X$1000,MATCH($B254,'testmo-export-repository'!$A$2:$A$1000,false),MATCH(G$2,'testmo-export-repository'!$B$1:$X$1,false)),"")</f>
        <v/>
      </c>
      <c r="H254" s="60" t="str">
        <f t="array" ref="H254">IFERROR(INDEX('testmo-export-repository'!$B$2:$X$1000,MATCH($B254,'testmo-export-repository'!$A$2:$A$1000,false),MATCH(H$2,'testmo-export-repository'!$B$1:$X$1,false)),"")</f>
        <v/>
      </c>
      <c r="I254" s="60" t="str">
        <f t="array" ref="I254">IFERROR(INDEX('testmo-export-repository'!$B$2:$X$1000,MATCH($B254,'testmo-export-repository'!$A$2:$A$1000,false),MATCH(I$2,'testmo-export-repository'!$B$1:$X$1,false)),"")</f>
        <v/>
      </c>
      <c r="J254" s="60" t="str">
        <f t="array" ref="J254">IFERROR(INDEX('testmo-export-repository'!$B$2:$Y$1000,MATCH($B254,'testmo-export-repository'!$A$2:$A$1000,false),MATCH(J$2,'testmo-export-repository'!$B$1:$Y$1,false)),"")</f>
        <v/>
      </c>
      <c r="K254" s="60" t="str">
        <f t="array" ref="K254">IFERROR(INDEX('testmo-export-repository'!$B$2:$Y$1000,MATCH($B254,'testmo-export-repository'!$A$2:$A$1000,false),MATCH(K$2,'testmo-export-repository'!$B$1:$Y$1,false)),"")</f>
        <v/>
      </c>
    </row>
    <row r="255">
      <c r="B255" s="60" t="str">
        <f>'testmo-export-repository'!A254</f>
        <v/>
      </c>
      <c r="C255" s="60" t="str">
        <f t="array" ref="C255">IFERROR(INDEX('testmo-export-repository'!$B$2:$X$1000,MATCH($B255,'testmo-export-repository'!$A$2:$A$1000,false),MATCH(C$2,'testmo-export-repository'!$B$1:$X$1,false)),"")</f>
        <v/>
      </c>
      <c r="D255" s="60" t="str">
        <f t="array" ref="D255">IFERROR(INDEX('testmo-export-repository'!$B$2:$X$1000,MATCH($B255,'testmo-export-repository'!$A$2:$A$1000,false),MATCH(D$2,'testmo-export-repository'!$B$1:$X$1,false)),"")</f>
        <v/>
      </c>
      <c r="E255" s="60" t="str">
        <f>IFERROR(VLOOKUP($C255,instructions!$N$3:$O$5,2,false),"")</f>
        <v/>
      </c>
      <c r="F255" s="60" t="str">
        <f>IFERROR(VLOOKUP($D255,instructions!$N$3:$O$5,2,false),"")</f>
        <v/>
      </c>
      <c r="G255" s="60" t="str">
        <f t="array" ref="G255">IFERROR(INDEX('testmo-export-repository'!$B$2:$X$1000,MATCH($B255,'testmo-export-repository'!$A$2:$A$1000,false),MATCH(G$2,'testmo-export-repository'!$B$1:$X$1,false)),"")</f>
        <v/>
      </c>
      <c r="H255" s="60" t="str">
        <f t="array" ref="H255">IFERROR(INDEX('testmo-export-repository'!$B$2:$X$1000,MATCH($B255,'testmo-export-repository'!$A$2:$A$1000,false),MATCH(H$2,'testmo-export-repository'!$B$1:$X$1,false)),"")</f>
        <v/>
      </c>
      <c r="I255" s="60" t="str">
        <f t="array" ref="I255">IFERROR(INDEX('testmo-export-repository'!$B$2:$X$1000,MATCH($B255,'testmo-export-repository'!$A$2:$A$1000,false),MATCH(I$2,'testmo-export-repository'!$B$1:$X$1,false)),"")</f>
        <v/>
      </c>
      <c r="J255" s="60" t="str">
        <f t="array" ref="J255">IFERROR(INDEX('testmo-export-repository'!$B$2:$Y$1000,MATCH($B255,'testmo-export-repository'!$A$2:$A$1000,false),MATCH(J$2,'testmo-export-repository'!$B$1:$Y$1,false)),"")</f>
        <v/>
      </c>
      <c r="K255" s="60" t="str">
        <f t="array" ref="K255">IFERROR(INDEX('testmo-export-repository'!$B$2:$Y$1000,MATCH($B255,'testmo-export-repository'!$A$2:$A$1000,false),MATCH(K$2,'testmo-export-repository'!$B$1:$Y$1,false)),"")</f>
        <v/>
      </c>
    </row>
    <row r="256">
      <c r="B256" s="60" t="str">
        <f>'testmo-export-repository'!A255</f>
        <v/>
      </c>
      <c r="C256" s="60" t="str">
        <f t="array" ref="C256">IFERROR(INDEX('testmo-export-repository'!$B$2:$X$1000,MATCH($B256,'testmo-export-repository'!$A$2:$A$1000,false),MATCH(C$2,'testmo-export-repository'!$B$1:$X$1,false)),"")</f>
        <v/>
      </c>
      <c r="D256" s="60" t="str">
        <f t="array" ref="D256">IFERROR(INDEX('testmo-export-repository'!$B$2:$X$1000,MATCH($B256,'testmo-export-repository'!$A$2:$A$1000,false),MATCH(D$2,'testmo-export-repository'!$B$1:$X$1,false)),"")</f>
        <v/>
      </c>
      <c r="E256" s="60" t="str">
        <f>IFERROR(VLOOKUP($C256,instructions!$N$3:$O$5,2,false),"")</f>
        <v/>
      </c>
      <c r="F256" s="60" t="str">
        <f>IFERROR(VLOOKUP($D256,instructions!$N$3:$O$5,2,false),"")</f>
        <v/>
      </c>
      <c r="G256" s="60" t="str">
        <f t="array" ref="G256">IFERROR(INDEX('testmo-export-repository'!$B$2:$X$1000,MATCH($B256,'testmo-export-repository'!$A$2:$A$1000,false),MATCH(G$2,'testmo-export-repository'!$B$1:$X$1,false)),"")</f>
        <v/>
      </c>
      <c r="H256" s="60" t="str">
        <f t="array" ref="H256">IFERROR(INDEX('testmo-export-repository'!$B$2:$X$1000,MATCH($B256,'testmo-export-repository'!$A$2:$A$1000,false),MATCH(H$2,'testmo-export-repository'!$B$1:$X$1,false)),"")</f>
        <v/>
      </c>
      <c r="I256" s="60" t="str">
        <f t="array" ref="I256">IFERROR(INDEX('testmo-export-repository'!$B$2:$X$1000,MATCH($B256,'testmo-export-repository'!$A$2:$A$1000,false),MATCH(I$2,'testmo-export-repository'!$B$1:$X$1,false)),"")</f>
        <v/>
      </c>
      <c r="J256" s="60" t="str">
        <f t="array" ref="J256">IFERROR(INDEX('testmo-export-repository'!$B$2:$Y$1000,MATCH($B256,'testmo-export-repository'!$A$2:$A$1000,false),MATCH(J$2,'testmo-export-repository'!$B$1:$Y$1,false)),"")</f>
        <v/>
      </c>
      <c r="K256" s="60" t="str">
        <f t="array" ref="K256">IFERROR(INDEX('testmo-export-repository'!$B$2:$Y$1000,MATCH($B256,'testmo-export-repository'!$A$2:$A$1000,false),MATCH(K$2,'testmo-export-repository'!$B$1:$Y$1,false)),"")</f>
        <v/>
      </c>
    </row>
    <row r="257">
      <c r="B257" s="60" t="str">
        <f>'testmo-export-repository'!A256</f>
        <v/>
      </c>
      <c r="C257" s="60" t="str">
        <f t="array" ref="C257">IFERROR(INDEX('testmo-export-repository'!$B$2:$X$1000,MATCH($B257,'testmo-export-repository'!$A$2:$A$1000,false),MATCH(C$2,'testmo-export-repository'!$B$1:$X$1,false)),"")</f>
        <v/>
      </c>
      <c r="D257" s="60" t="str">
        <f t="array" ref="D257">IFERROR(INDEX('testmo-export-repository'!$B$2:$X$1000,MATCH($B257,'testmo-export-repository'!$A$2:$A$1000,false),MATCH(D$2,'testmo-export-repository'!$B$1:$X$1,false)),"")</f>
        <v/>
      </c>
      <c r="E257" s="60" t="str">
        <f>IFERROR(VLOOKUP($C257,instructions!$N$3:$O$5,2,false),"")</f>
        <v/>
      </c>
      <c r="F257" s="60" t="str">
        <f>IFERROR(VLOOKUP($D257,instructions!$N$3:$O$5,2,false),"")</f>
        <v/>
      </c>
      <c r="G257" s="60" t="str">
        <f t="array" ref="G257">IFERROR(INDEX('testmo-export-repository'!$B$2:$X$1000,MATCH($B257,'testmo-export-repository'!$A$2:$A$1000,false),MATCH(G$2,'testmo-export-repository'!$B$1:$X$1,false)),"")</f>
        <v/>
      </c>
      <c r="H257" s="60" t="str">
        <f t="array" ref="H257">IFERROR(INDEX('testmo-export-repository'!$B$2:$X$1000,MATCH($B257,'testmo-export-repository'!$A$2:$A$1000,false),MATCH(H$2,'testmo-export-repository'!$B$1:$X$1,false)),"")</f>
        <v/>
      </c>
      <c r="I257" s="60" t="str">
        <f t="array" ref="I257">IFERROR(INDEX('testmo-export-repository'!$B$2:$X$1000,MATCH($B257,'testmo-export-repository'!$A$2:$A$1000,false),MATCH(I$2,'testmo-export-repository'!$B$1:$X$1,false)),"")</f>
        <v/>
      </c>
      <c r="J257" s="60" t="str">
        <f t="array" ref="J257">IFERROR(INDEX('testmo-export-repository'!$B$2:$Y$1000,MATCH($B257,'testmo-export-repository'!$A$2:$A$1000,false),MATCH(J$2,'testmo-export-repository'!$B$1:$Y$1,false)),"")</f>
        <v/>
      </c>
      <c r="K257" s="60" t="str">
        <f t="array" ref="K257">IFERROR(INDEX('testmo-export-repository'!$B$2:$Y$1000,MATCH($B257,'testmo-export-repository'!$A$2:$A$1000,false),MATCH(K$2,'testmo-export-repository'!$B$1:$Y$1,false)),"")</f>
        <v/>
      </c>
    </row>
    <row r="258">
      <c r="B258" s="60" t="str">
        <f>'testmo-export-repository'!A257</f>
        <v/>
      </c>
      <c r="C258" s="60" t="str">
        <f t="array" ref="C258">IFERROR(INDEX('testmo-export-repository'!$B$2:$X$1000,MATCH($B258,'testmo-export-repository'!$A$2:$A$1000,false),MATCH(C$2,'testmo-export-repository'!$B$1:$X$1,false)),"")</f>
        <v/>
      </c>
      <c r="D258" s="60" t="str">
        <f t="array" ref="D258">IFERROR(INDEX('testmo-export-repository'!$B$2:$X$1000,MATCH($B258,'testmo-export-repository'!$A$2:$A$1000,false),MATCH(D$2,'testmo-export-repository'!$B$1:$X$1,false)),"")</f>
        <v/>
      </c>
      <c r="E258" s="60" t="str">
        <f>IFERROR(VLOOKUP($C258,instructions!$N$3:$O$5,2,false),"")</f>
        <v/>
      </c>
      <c r="F258" s="60" t="str">
        <f>IFERROR(VLOOKUP($D258,instructions!$N$3:$O$5,2,false),"")</f>
        <v/>
      </c>
      <c r="G258" s="60" t="str">
        <f t="array" ref="G258">IFERROR(INDEX('testmo-export-repository'!$B$2:$X$1000,MATCH($B258,'testmo-export-repository'!$A$2:$A$1000,false),MATCH(G$2,'testmo-export-repository'!$B$1:$X$1,false)),"")</f>
        <v/>
      </c>
      <c r="H258" s="60" t="str">
        <f t="array" ref="H258">IFERROR(INDEX('testmo-export-repository'!$B$2:$X$1000,MATCH($B258,'testmo-export-repository'!$A$2:$A$1000,false),MATCH(H$2,'testmo-export-repository'!$B$1:$X$1,false)),"")</f>
        <v/>
      </c>
      <c r="I258" s="60" t="str">
        <f t="array" ref="I258">IFERROR(INDEX('testmo-export-repository'!$B$2:$X$1000,MATCH($B258,'testmo-export-repository'!$A$2:$A$1000,false),MATCH(I$2,'testmo-export-repository'!$B$1:$X$1,false)),"")</f>
        <v/>
      </c>
      <c r="J258" s="60" t="str">
        <f t="array" ref="J258">IFERROR(INDEX('testmo-export-repository'!$B$2:$Y$1000,MATCH($B258,'testmo-export-repository'!$A$2:$A$1000,false),MATCH(J$2,'testmo-export-repository'!$B$1:$Y$1,false)),"")</f>
        <v/>
      </c>
      <c r="K258" s="60" t="str">
        <f t="array" ref="K258">IFERROR(INDEX('testmo-export-repository'!$B$2:$Y$1000,MATCH($B258,'testmo-export-repository'!$A$2:$A$1000,false),MATCH(K$2,'testmo-export-repository'!$B$1:$Y$1,false)),"")</f>
        <v/>
      </c>
    </row>
    <row r="259">
      <c r="B259" s="60" t="str">
        <f>'testmo-export-repository'!A258</f>
        <v/>
      </c>
      <c r="C259" s="60" t="str">
        <f t="array" ref="C259">IFERROR(INDEX('testmo-export-repository'!$B$2:$X$1000,MATCH($B259,'testmo-export-repository'!$A$2:$A$1000,false),MATCH(C$2,'testmo-export-repository'!$B$1:$X$1,false)),"")</f>
        <v/>
      </c>
      <c r="D259" s="60" t="str">
        <f t="array" ref="D259">IFERROR(INDEX('testmo-export-repository'!$B$2:$X$1000,MATCH($B259,'testmo-export-repository'!$A$2:$A$1000,false),MATCH(D$2,'testmo-export-repository'!$B$1:$X$1,false)),"")</f>
        <v/>
      </c>
      <c r="E259" s="60" t="str">
        <f>IFERROR(VLOOKUP($C259,instructions!$N$3:$O$5,2,false),"")</f>
        <v/>
      </c>
      <c r="F259" s="60" t="str">
        <f>IFERROR(VLOOKUP($D259,instructions!$N$3:$O$5,2,false),"")</f>
        <v/>
      </c>
      <c r="G259" s="60" t="str">
        <f t="array" ref="G259">IFERROR(INDEX('testmo-export-repository'!$B$2:$X$1000,MATCH($B259,'testmo-export-repository'!$A$2:$A$1000,false),MATCH(G$2,'testmo-export-repository'!$B$1:$X$1,false)),"")</f>
        <v/>
      </c>
      <c r="H259" s="60" t="str">
        <f t="array" ref="H259">IFERROR(INDEX('testmo-export-repository'!$B$2:$X$1000,MATCH($B259,'testmo-export-repository'!$A$2:$A$1000,false),MATCH(H$2,'testmo-export-repository'!$B$1:$X$1,false)),"")</f>
        <v/>
      </c>
      <c r="I259" s="60" t="str">
        <f t="array" ref="I259">IFERROR(INDEX('testmo-export-repository'!$B$2:$X$1000,MATCH($B259,'testmo-export-repository'!$A$2:$A$1000,false),MATCH(I$2,'testmo-export-repository'!$B$1:$X$1,false)),"")</f>
        <v/>
      </c>
      <c r="J259" s="60" t="str">
        <f t="array" ref="J259">IFERROR(INDEX('testmo-export-repository'!$B$2:$Y$1000,MATCH($B259,'testmo-export-repository'!$A$2:$A$1000,false),MATCH(J$2,'testmo-export-repository'!$B$1:$Y$1,false)),"")</f>
        <v/>
      </c>
      <c r="K259" s="60" t="str">
        <f t="array" ref="K259">IFERROR(INDEX('testmo-export-repository'!$B$2:$Y$1000,MATCH($B259,'testmo-export-repository'!$A$2:$A$1000,false),MATCH(K$2,'testmo-export-repository'!$B$1:$Y$1,false)),"")</f>
        <v/>
      </c>
    </row>
    <row r="260">
      <c r="B260" s="60" t="str">
        <f>'testmo-export-repository'!A259</f>
        <v/>
      </c>
      <c r="C260" s="60" t="str">
        <f t="array" ref="C260">IFERROR(INDEX('testmo-export-repository'!$B$2:$X$1000,MATCH($B260,'testmo-export-repository'!$A$2:$A$1000,false),MATCH(C$2,'testmo-export-repository'!$B$1:$X$1,false)),"")</f>
        <v/>
      </c>
      <c r="D260" s="60" t="str">
        <f t="array" ref="D260">IFERROR(INDEX('testmo-export-repository'!$B$2:$X$1000,MATCH($B260,'testmo-export-repository'!$A$2:$A$1000,false),MATCH(D$2,'testmo-export-repository'!$B$1:$X$1,false)),"")</f>
        <v/>
      </c>
      <c r="E260" s="60" t="str">
        <f>IFERROR(VLOOKUP($C260,instructions!$N$3:$O$5,2,false),"")</f>
        <v/>
      </c>
      <c r="F260" s="60" t="str">
        <f>IFERROR(VLOOKUP($D260,instructions!$N$3:$O$5,2,false),"")</f>
        <v/>
      </c>
      <c r="G260" s="60" t="str">
        <f t="array" ref="G260">IFERROR(INDEX('testmo-export-repository'!$B$2:$X$1000,MATCH($B260,'testmo-export-repository'!$A$2:$A$1000,false),MATCH(G$2,'testmo-export-repository'!$B$1:$X$1,false)),"")</f>
        <v/>
      </c>
      <c r="H260" s="60" t="str">
        <f t="array" ref="H260">IFERROR(INDEX('testmo-export-repository'!$B$2:$X$1000,MATCH($B260,'testmo-export-repository'!$A$2:$A$1000,false),MATCH(H$2,'testmo-export-repository'!$B$1:$X$1,false)),"")</f>
        <v/>
      </c>
      <c r="I260" s="60" t="str">
        <f t="array" ref="I260">IFERROR(INDEX('testmo-export-repository'!$B$2:$X$1000,MATCH($B260,'testmo-export-repository'!$A$2:$A$1000,false),MATCH(I$2,'testmo-export-repository'!$B$1:$X$1,false)),"")</f>
        <v/>
      </c>
      <c r="J260" s="60" t="str">
        <f t="array" ref="J260">IFERROR(INDEX('testmo-export-repository'!$B$2:$Y$1000,MATCH($B260,'testmo-export-repository'!$A$2:$A$1000,false),MATCH(J$2,'testmo-export-repository'!$B$1:$Y$1,false)),"")</f>
        <v/>
      </c>
      <c r="K260" s="60" t="str">
        <f t="array" ref="K260">IFERROR(INDEX('testmo-export-repository'!$B$2:$Y$1000,MATCH($B260,'testmo-export-repository'!$A$2:$A$1000,false),MATCH(K$2,'testmo-export-repository'!$B$1:$Y$1,false)),"")</f>
        <v/>
      </c>
    </row>
    <row r="261">
      <c r="B261" s="60" t="str">
        <f>'testmo-export-repository'!A260</f>
        <v/>
      </c>
      <c r="C261" s="60" t="str">
        <f t="array" ref="C261">IFERROR(INDEX('testmo-export-repository'!$B$2:$X$1000,MATCH($B261,'testmo-export-repository'!$A$2:$A$1000,false),MATCH(C$2,'testmo-export-repository'!$B$1:$X$1,false)),"")</f>
        <v/>
      </c>
      <c r="D261" s="60" t="str">
        <f t="array" ref="D261">IFERROR(INDEX('testmo-export-repository'!$B$2:$X$1000,MATCH($B261,'testmo-export-repository'!$A$2:$A$1000,false),MATCH(D$2,'testmo-export-repository'!$B$1:$X$1,false)),"")</f>
        <v/>
      </c>
      <c r="E261" s="60" t="str">
        <f>IFERROR(VLOOKUP($C261,instructions!$N$3:$O$5,2,false),"")</f>
        <v/>
      </c>
      <c r="F261" s="60" t="str">
        <f>IFERROR(VLOOKUP($D261,instructions!$N$3:$O$5,2,false),"")</f>
        <v/>
      </c>
      <c r="G261" s="60" t="str">
        <f t="array" ref="G261">IFERROR(INDEX('testmo-export-repository'!$B$2:$X$1000,MATCH($B261,'testmo-export-repository'!$A$2:$A$1000,false),MATCH(G$2,'testmo-export-repository'!$B$1:$X$1,false)),"")</f>
        <v/>
      </c>
      <c r="H261" s="60" t="str">
        <f t="array" ref="H261">IFERROR(INDEX('testmo-export-repository'!$B$2:$X$1000,MATCH($B261,'testmo-export-repository'!$A$2:$A$1000,false),MATCH(H$2,'testmo-export-repository'!$B$1:$X$1,false)),"")</f>
        <v/>
      </c>
      <c r="I261" s="60" t="str">
        <f t="array" ref="I261">IFERROR(INDEX('testmo-export-repository'!$B$2:$X$1000,MATCH($B261,'testmo-export-repository'!$A$2:$A$1000,false),MATCH(I$2,'testmo-export-repository'!$B$1:$X$1,false)),"")</f>
        <v/>
      </c>
      <c r="J261" s="60" t="str">
        <f t="array" ref="J261">IFERROR(INDEX('testmo-export-repository'!$B$2:$Y$1000,MATCH($B261,'testmo-export-repository'!$A$2:$A$1000,false),MATCH(J$2,'testmo-export-repository'!$B$1:$Y$1,false)),"")</f>
        <v/>
      </c>
      <c r="K261" s="60" t="str">
        <f t="array" ref="K261">IFERROR(INDEX('testmo-export-repository'!$B$2:$Y$1000,MATCH($B261,'testmo-export-repository'!$A$2:$A$1000,false),MATCH(K$2,'testmo-export-repository'!$B$1:$Y$1,false)),"")</f>
        <v/>
      </c>
    </row>
    <row r="262">
      <c r="B262" s="60" t="str">
        <f>'testmo-export-repository'!A261</f>
        <v/>
      </c>
      <c r="C262" s="60" t="str">
        <f t="array" ref="C262">IFERROR(INDEX('testmo-export-repository'!$B$2:$X$1000,MATCH($B262,'testmo-export-repository'!$A$2:$A$1000,false),MATCH(C$2,'testmo-export-repository'!$B$1:$X$1,false)),"")</f>
        <v/>
      </c>
      <c r="D262" s="60" t="str">
        <f t="array" ref="D262">IFERROR(INDEX('testmo-export-repository'!$B$2:$X$1000,MATCH($B262,'testmo-export-repository'!$A$2:$A$1000,false),MATCH(D$2,'testmo-export-repository'!$B$1:$X$1,false)),"")</f>
        <v/>
      </c>
      <c r="E262" s="60" t="str">
        <f>IFERROR(VLOOKUP($C262,instructions!$N$3:$O$5,2,false),"")</f>
        <v/>
      </c>
      <c r="F262" s="60" t="str">
        <f>IFERROR(VLOOKUP($D262,instructions!$N$3:$O$5,2,false),"")</f>
        <v/>
      </c>
      <c r="G262" s="60" t="str">
        <f t="array" ref="G262">IFERROR(INDEX('testmo-export-repository'!$B$2:$X$1000,MATCH($B262,'testmo-export-repository'!$A$2:$A$1000,false),MATCH(G$2,'testmo-export-repository'!$B$1:$X$1,false)),"")</f>
        <v/>
      </c>
      <c r="H262" s="60" t="str">
        <f t="array" ref="H262">IFERROR(INDEX('testmo-export-repository'!$B$2:$X$1000,MATCH($B262,'testmo-export-repository'!$A$2:$A$1000,false),MATCH(H$2,'testmo-export-repository'!$B$1:$X$1,false)),"")</f>
        <v/>
      </c>
      <c r="I262" s="60" t="str">
        <f t="array" ref="I262">IFERROR(INDEX('testmo-export-repository'!$B$2:$X$1000,MATCH($B262,'testmo-export-repository'!$A$2:$A$1000,false),MATCH(I$2,'testmo-export-repository'!$B$1:$X$1,false)),"")</f>
        <v/>
      </c>
      <c r="J262" s="60" t="str">
        <f t="array" ref="J262">IFERROR(INDEX('testmo-export-repository'!$B$2:$Y$1000,MATCH($B262,'testmo-export-repository'!$A$2:$A$1000,false),MATCH(J$2,'testmo-export-repository'!$B$1:$Y$1,false)),"")</f>
        <v/>
      </c>
      <c r="K262" s="60" t="str">
        <f t="array" ref="K262">IFERROR(INDEX('testmo-export-repository'!$B$2:$Y$1000,MATCH($B262,'testmo-export-repository'!$A$2:$A$1000,false),MATCH(K$2,'testmo-export-repository'!$B$1:$Y$1,false)),"")</f>
        <v/>
      </c>
    </row>
    <row r="263">
      <c r="B263" s="60" t="str">
        <f>'testmo-export-repository'!A262</f>
        <v/>
      </c>
      <c r="C263" s="60" t="str">
        <f t="array" ref="C263">IFERROR(INDEX('testmo-export-repository'!$B$2:$X$1000,MATCH($B263,'testmo-export-repository'!$A$2:$A$1000,false),MATCH(C$2,'testmo-export-repository'!$B$1:$X$1,false)),"")</f>
        <v/>
      </c>
      <c r="D263" s="60" t="str">
        <f t="array" ref="D263">IFERROR(INDEX('testmo-export-repository'!$B$2:$X$1000,MATCH($B263,'testmo-export-repository'!$A$2:$A$1000,false),MATCH(D$2,'testmo-export-repository'!$B$1:$X$1,false)),"")</f>
        <v/>
      </c>
      <c r="E263" s="60" t="str">
        <f>IFERROR(VLOOKUP($C263,instructions!$N$3:$O$5,2,false),"")</f>
        <v/>
      </c>
      <c r="F263" s="60" t="str">
        <f>IFERROR(VLOOKUP($D263,instructions!$N$3:$O$5,2,false),"")</f>
        <v/>
      </c>
      <c r="G263" s="60" t="str">
        <f t="array" ref="G263">IFERROR(INDEX('testmo-export-repository'!$B$2:$X$1000,MATCH($B263,'testmo-export-repository'!$A$2:$A$1000,false),MATCH(G$2,'testmo-export-repository'!$B$1:$X$1,false)),"")</f>
        <v/>
      </c>
      <c r="H263" s="60" t="str">
        <f t="array" ref="H263">IFERROR(INDEX('testmo-export-repository'!$B$2:$X$1000,MATCH($B263,'testmo-export-repository'!$A$2:$A$1000,false),MATCH(H$2,'testmo-export-repository'!$B$1:$X$1,false)),"")</f>
        <v/>
      </c>
      <c r="I263" s="60" t="str">
        <f t="array" ref="I263">IFERROR(INDEX('testmo-export-repository'!$B$2:$X$1000,MATCH($B263,'testmo-export-repository'!$A$2:$A$1000,false),MATCH(I$2,'testmo-export-repository'!$B$1:$X$1,false)),"")</f>
        <v/>
      </c>
      <c r="J263" s="60" t="str">
        <f t="array" ref="J263">IFERROR(INDEX('testmo-export-repository'!$B$2:$Y$1000,MATCH($B263,'testmo-export-repository'!$A$2:$A$1000,false),MATCH(J$2,'testmo-export-repository'!$B$1:$Y$1,false)),"")</f>
        <v/>
      </c>
      <c r="K263" s="60" t="str">
        <f t="array" ref="K263">IFERROR(INDEX('testmo-export-repository'!$B$2:$Y$1000,MATCH($B263,'testmo-export-repository'!$A$2:$A$1000,false),MATCH(K$2,'testmo-export-repository'!$B$1:$Y$1,false)),"")</f>
        <v/>
      </c>
    </row>
    <row r="264">
      <c r="B264" s="60" t="str">
        <f>'testmo-export-repository'!A263</f>
        <v/>
      </c>
      <c r="C264" s="60" t="str">
        <f t="array" ref="C264">IFERROR(INDEX('testmo-export-repository'!$B$2:$X$1000,MATCH($B264,'testmo-export-repository'!$A$2:$A$1000,false),MATCH(C$2,'testmo-export-repository'!$B$1:$X$1,false)),"")</f>
        <v/>
      </c>
      <c r="D264" s="60" t="str">
        <f t="array" ref="D264">IFERROR(INDEX('testmo-export-repository'!$B$2:$X$1000,MATCH($B264,'testmo-export-repository'!$A$2:$A$1000,false),MATCH(D$2,'testmo-export-repository'!$B$1:$X$1,false)),"")</f>
        <v/>
      </c>
      <c r="E264" s="60" t="str">
        <f>IFERROR(VLOOKUP($C264,instructions!$N$3:$O$5,2,false),"")</f>
        <v/>
      </c>
      <c r="F264" s="60" t="str">
        <f>IFERROR(VLOOKUP($D264,instructions!$N$3:$O$5,2,false),"")</f>
        <v/>
      </c>
      <c r="G264" s="60" t="str">
        <f t="array" ref="G264">IFERROR(INDEX('testmo-export-repository'!$B$2:$X$1000,MATCH($B264,'testmo-export-repository'!$A$2:$A$1000,false),MATCH(G$2,'testmo-export-repository'!$B$1:$X$1,false)),"")</f>
        <v/>
      </c>
      <c r="H264" s="60" t="str">
        <f t="array" ref="H264">IFERROR(INDEX('testmo-export-repository'!$B$2:$X$1000,MATCH($B264,'testmo-export-repository'!$A$2:$A$1000,false),MATCH(H$2,'testmo-export-repository'!$B$1:$X$1,false)),"")</f>
        <v/>
      </c>
      <c r="I264" s="60" t="str">
        <f t="array" ref="I264">IFERROR(INDEX('testmo-export-repository'!$B$2:$X$1000,MATCH($B264,'testmo-export-repository'!$A$2:$A$1000,false),MATCH(I$2,'testmo-export-repository'!$B$1:$X$1,false)),"")</f>
        <v/>
      </c>
      <c r="J264" s="60" t="str">
        <f t="array" ref="J264">IFERROR(INDEX('testmo-export-repository'!$B$2:$Y$1000,MATCH($B264,'testmo-export-repository'!$A$2:$A$1000,false),MATCH(J$2,'testmo-export-repository'!$B$1:$Y$1,false)),"")</f>
        <v/>
      </c>
      <c r="K264" s="60" t="str">
        <f t="array" ref="K264">IFERROR(INDEX('testmo-export-repository'!$B$2:$Y$1000,MATCH($B264,'testmo-export-repository'!$A$2:$A$1000,false),MATCH(K$2,'testmo-export-repository'!$B$1:$Y$1,false)),"")</f>
        <v/>
      </c>
    </row>
    <row r="265">
      <c r="B265" s="60" t="str">
        <f>'testmo-export-repository'!A264</f>
        <v/>
      </c>
      <c r="C265" s="60" t="str">
        <f t="array" ref="C265">IFERROR(INDEX('testmo-export-repository'!$B$2:$X$1000,MATCH($B265,'testmo-export-repository'!$A$2:$A$1000,false),MATCH(C$2,'testmo-export-repository'!$B$1:$X$1,false)),"")</f>
        <v/>
      </c>
      <c r="D265" s="60" t="str">
        <f t="array" ref="D265">IFERROR(INDEX('testmo-export-repository'!$B$2:$X$1000,MATCH($B265,'testmo-export-repository'!$A$2:$A$1000,false),MATCH(D$2,'testmo-export-repository'!$B$1:$X$1,false)),"")</f>
        <v/>
      </c>
      <c r="E265" s="60" t="str">
        <f>IFERROR(VLOOKUP($C265,instructions!$N$3:$O$5,2,false),"")</f>
        <v/>
      </c>
      <c r="F265" s="60" t="str">
        <f>IFERROR(VLOOKUP($D265,instructions!$N$3:$O$5,2,false),"")</f>
        <v/>
      </c>
      <c r="G265" s="60" t="str">
        <f t="array" ref="G265">IFERROR(INDEX('testmo-export-repository'!$B$2:$X$1000,MATCH($B265,'testmo-export-repository'!$A$2:$A$1000,false),MATCH(G$2,'testmo-export-repository'!$B$1:$X$1,false)),"")</f>
        <v/>
      </c>
      <c r="H265" s="60" t="str">
        <f t="array" ref="H265">IFERROR(INDEX('testmo-export-repository'!$B$2:$X$1000,MATCH($B265,'testmo-export-repository'!$A$2:$A$1000,false),MATCH(H$2,'testmo-export-repository'!$B$1:$X$1,false)),"")</f>
        <v/>
      </c>
      <c r="I265" s="60" t="str">
        <f t="array" ref="I265">IFERROR(INDEX('testmo-export-repository'!$B$2:$X$1000,MATCH($B265,'testmo-export-repository'!$A$2:$A$1000,false),MATCH(I$2,'testmo-export-repository'!$B$1:$X$1,false)),"")</f>
        <v/>
      </c>
      <c r="J265" s="60" t="str">
        <f t="array" ref="J265">IFERROR(INDEX('testmo-export-repository'!$B$2:$Y$1000,MATCH($B265,'testmo-export-repository'!$A$2:$A$1000,false),MATCH(J$2,'testmo-export-repository'!$B$1:$Y$1,false)),"")</f>
        <v/>
      </c>
      <c r="K265" s="60" t="str">
        <f t="array" ref="K265">IFERROR(INDEX('testmo-export-repository'!$B$2:$Y$1000,MATCH($B265,'testmo-export-repository'!$A$2:$A$1000,false),MATCH(K$2,'testmo-export-repository'!$B$1:$Y$1,false)),"")</f>
        <v/>
      </c>
    </row>
    <row r="266">
      <c r="B266" s="60" t="str">
        <f>'testmo-export-repository'!A265</f>
        <v/>
      </c>
      <c r="C266" s="60" t="str">
        <f t="array" ref="C266">IFERROR(INDEX('testmo-export-repository'!$B$2:$X$1000,MATCH($B266,'testmo-export-repository'!$A$2:$A$1000,false),MATCH(C$2,'testmo-export-repository'!$B$1:$X$1,false)),"")</f>
        <v/>
      </c>
      <c r="D266" s="60" t="str">
        <f t="array" ref="D266">IFERROR(INDEX('testmo-export-repository'!$B$2:$X$1000,MATCH($B266,'testmo-export-repository'!$A$2:$A$1000,false),MATCH(D$2,'testmo-export-repository'!$B$1:$X$1,false)),"")</f>
        <v/>
      </c>
      <c r="E266" s="60" t="str">
        <f>IFERROR(VLOOKUP($C266,instructions!$N$3:$O$5,2,false),"")</f>
        <v/>
      </c>
      <c r="F266" s="60" t="str">
        <f>IFERROR(VLOOKUP($D266,instructions!$N$3:$O$5,2,false),"")</f>
        <v/>
      </c>
      <c r="G266" s="60" t="str">
        <f t="array" ref="G266">IFERROR(INDEX('testmo-export-repository'!$B$2:$X$1000,MATCH($B266,'testmo-export-repository'!$A$2:$A$1000,false),MATCH(G$2,'testmo-export-repository'!$B$1:$X$1,false)),"")</f>
        <v/>
      </c>
      <c r="H266" s="60" t="str">
        <f t="array" ref="H266">IFERROR(INDEX('testmo-export-repository'!$B$2:$X$1000,MATCH($B266,'testmo-export-repository'!$A$2:$A$1000,false),MATCH(H$2,'testmo-export-repository'!$B$1:$X$1,false)),"")</f>
        <v/>
      </c>
      <c r="I266" s="60" t="str">
        <f t="array" ref="I266">IFERROR(INDEX('testmo-export-repository'!$B$2:$X$1000,MATCH($B266,'testmo-export-repository'!$A$2:$A$1000,false),MATCH(I$2,'testmo-export-repository'!$B$1:$X$1,false)),"")</f>
        <v/>
      </c>
      <c r="J266" s="60" t="str">
        <f t="array" ref="J266">IFERROR(INDEX('testmo-export-repository'!$B$2:$Y$1000,MATCH($B266,'testmo-export-repository'!$A$2:$A$1000,false),MATCH(J$2,'testmo-export-repository'!$B$1:$Y$1,false)),"")</f>
        <v/>
      </c>
      <c r="K266" s="60" t="str">
        <f t="array" ref="K266">IFERROR(INDEX('testmo-export-repository'!$B$2:$Y$1000,MATCH($B266,'testmo-export-repository'!$A$2:$A$1000,false),MATCH(K$2,'testmo-export-repository'!$B$1:$Y$1,false)),"")</f>
        <v/>
      </c>
    </row>
    <row r="267">
      <c r="B267" s="60" t="str">
        <f>'testmo-export-repository'!A266</f>
        <v/>
      </c>
      <c r="C267" s="60" t="str">
        <f t="array" ref="C267">IFERROR(INDEX('testmo-export-repository'!$B$2:$X$1000,MATCH($B267,'testmo-export-repository'!$A$2:$A$1000,false),MATCH(C$2,'testmo-export-repository'!$B$1:$X$1,false)),"")</f>
        <v/>
      </c>
      <c r="D267" s="60" t="str">
        <f t="array" ref="D267">IFERROR(INDEX('testmo-export-repository'!$B$2:$X$1000,MATCH($B267,'testmo-export-repository'!$A$2:$A$1000,false),MATCH(D$2,'testmo-export-repository'!$B$1:$X$1,false)),"")</f>
        <v/>
      </c>
      <c r="E267" s="60" t="str">
        <f>IFERROR(VLOOKUP($C267,instructions!$N$3:$O$5,2,false),"")</f>
        <v/>
      </c>
      <c r="F267" s="60" t="str">
        <f>IFERROR(VLOOKUP($D267,instructions!$N$3:$O$5,2,false),"")</f>
        <v/>
      </c>
      <c r="G267" s="60" t="str">
        <f t="array" ref="G267">IFERROR(INDEX('testmo-export-repository'!$B$2:$X$1000,MATCH($B267,'testmo-export-repository'!$A$2:$A$1000,false),MATCH(G$2,'testmo-export-repository'!$B$1:$X$1,false)),"")</f>
        <v/>
      </c>
      <c r="H267" s="60" t="str">
        <f t="array" ref="H267">IFERROR(INDEX('testmo-export-repository'!$B$2:$X$1000,MATCH($B267,'testmo-export-repository'!$A$2:$A$1000,false),MATCH(H$2,'testmo-export-repository'!$B$1:$X$1,false)),"")</f>
        <v/>
      </c>
      <c r="I267" s="60" t="str">
        <f t="array" ref="I267">IFERROR(INDEX('testmo-export-repository'!$B$2:$X$1000,MATCH($B267,'testmo-export-repository'!$A$2:$A$1000,false),MATCH(I$2,'testmo-export-repository'!$B$1:$X$1,false)),"")</f>
        <v/>
      </c>
      <c r="J267" s="60" t="str">
        <f t="array" ref="J267">IFERROR(INDEX('testmo-export-repository'!$B$2:$Y$1000,MATCH($B267,'testmo-export-repository'!$A$2:$A$1000,false),MATCH(J$2,'testmo-export-repository'!$B$1:$Y$1,false)),"")</f>
        <v/>
      </c>
      <c r="K267" s="60" t="str">
        <f t="array" ref="K267">IFERROR(INDEX('testmo-export-repository'!$B$2:$Y$1000,MATCH($B267,'testmo-export-repository'!$A$2:$A$1000,false),MATCH(K$2,'testmo-export-repository'!$B$1:$Y$1,false)),"")</f>
        <v/>
      </c>
    </row>
    <row r="268">
      <c r="B268" s="60" t="str">
        <f>'testmo-export-repository'!A267</f>
        <v/>
      </c>
      <c r="C268" s="60" t="str">
        <f t="array" ref="C268">IFERROR(INDEX('testmo-export-repository'!$B$2:$X$1000,MATCH($B268,'testmo-export-repository'!$A$2:$A$1000,false),MATCH(C$2,'testmo-export-repository'!$B$1:$X$1,false)),"")</f>
        <v/>
      </c>
      <c r="D268" s="60" t="str">
        <f t="array" ref="D268">IFERROR(INDEX('testmo-export-repository'!$B$2:$X$1000,MATCH($B268,'testmo-export-repository'!$A$2:$A$1000,false),MATCH(D$2,'testmo-export-repository'!$B$1:$X$1,false)),"")</f>
        <v/>
      </c>
      <c r="E268" s="60" t="str">
        <f>IFERROR(VLOOKUP($C268,instructions!$N$3:$O$5,2,false),"")</f>
        <v/>
      </c>
      <c r="F268" s="60" t="str">
        <f>IFERROR(VLOOKUP($D268,instructions!$N$3:$O$5,2,false),"")</f>
        <v/>
      </c>
      <c r="G268" s="60" t="str">
        <f t="array" ref="G268">IFERROR(INDEX('testmo-export-repository'!$B$2:$X$1000,MATCH($B268,'testmo-export-repository'!$A$2:$A$1000,false),MATCH(G$2,'testmo-export-repository'!$B$1:$X$1,false)),"")</f>
        <v/>
      </c>
      <c r="H268" s="60" t="str">
        <f t="array" ref="H268">IFERROR(INDEX('testmo-export-repository'!$B$2:$X$1000,MATCH($B268,'testmo-export-repository'!$A$2:$A$1000,false),MATCH(H$2,'testmo-export-repository'!$B$1:$X$1,false)),"")</f>
        <v/>
      </c>
      <c r="I268" s="60" t="str">
        <f t="array" ref="I268">IFERROR(INDEX('testmo-export-repository'!$B$2:$X$1000,MATCH($B268,'testmo-export-repository'!$A$2:$A$1000,false),MATCH(I$2,'testmo-export-repository'!$B$1:$X$1,false)),"")</f>
        <v/>
      </c>
      <c r="J268" s="60" t="str">
        <f t="array" ref="J268">IFERROR(INDEX('testmo-export-repository'!$B$2:$Y$1000,MATCH($B268,'testmo-export-repository'!$A$2:$A$1000,false),MATCH(J$2,'testmo-export-repository'!$B$1:$Y$1,false)),"")</f>
        <v/>
      </c>
      <c r="K268" s="60" t="str">
        <f t="array" ref="K268">IFERROR(INDEX('testmo-export-repository'!$B$2:$Y$1000,MATCH($B268,'testmo-export-repository'!$A$2:$A$1000,false),MATCH(K$2,'testmo-export-repository'!$B$1:$Y$1,false)),"")</f>
        <v/>
      </c>
    </row>
    <row r="269">
      <c r="B269" s="60" t="str">
        <f>'testmo-export-repository'!A268</f>
        <v/>
      </c>
      <c r="C269" s="60" t="str">
        <f t="array" ref="C269">IFERROR(INDEX('testmo-export-repository'!$B$2:$X$1000,MATCH($B269,'testmo-export-repository'!$A$2:$A$1000,false),MATCH(C$2,'testmo-export-repository'!$B$1:$X$1,false)),"")</f>
        <v/>
      </c>
      <c r="D269" s="60" t="str">
        <f t="array" ref="D269">IFERROR(INDEX('testmo-export-repository'!$B$2:$X$1000,MATCH($B269,'testmo-export-repository'!$A$2:$A$1000,false),MATCH(D$2,'testmo-export-repository'!$B$1:$X$1,false)),"")</f>
        <v/>
      </c>
      <c r="E269" s="60" t="str">
        <f>IFERROR(VLOOKUP($C269,instructions!$N$3:$O$5,2,false),"")</f>
        <v/>
      </c>
      <c r="F269" s="60" t="str">
        <f>IFERROR(VLOOKUP($D269,instructions!$N$3:$O$5,2,false),"")</f>
        <v/>
      </c>
      <c r="G269" s="60" t="str">
        <f t="array" ref="G269">IFERROR(INDEX('testmo-export-repository'!$B$2:$X$1000,MATCH($B269,'testmo-export-repository'!$A$2:$A$1000,false),MATCH(G$2,'testmo-export-repository'!$B$1:$X$1,false)),"")</f>
        <v/>
      </c>
      <c r="H269" s="60" t="str">
        <f t="array" ref="H269">IFERROR(INDEX('testmo-export-repository'!$B$2:$X$1000,MATCH($B269,'testmo-export-repository'!$A$2:$A$1000,false),MATCH(H$2,'testmo-export-repository'!$B$1:$X$1,false)),"")</f>
        <v/>
      </c>
      <c r="I269" s="60" t="str">
        <f t="array" ref="I269">IFERROR(INDEX('testmo-export-repository'!$B$2:$X$1000,MATCH($B269,'testmo-export-repository'!$A$2:$A$1000,false),MATCH(I$2,'testmo-export-repository'!$B$1:$X$1,false)),"")</f>
        <v/>
      </c>
      <c r="J269" s="60" t="str">
        <f t="array" ref="J269">IFERROR(INDEX('testmo-export-repository'!$B$2:$Y$1000,MATCH($B269,'testmo-export-repository'!$A$2:$A$1000,false),MATCH(J$2,'testmo-export-repository'!$B$1:$Y$1,false)),"")</f>
        <v/>
      </c>
      <c r="K269" s="60" t="str">
        <f t="array" ref="K269">IFERROR(INDEX('testmo-export-repository'!$B$2:$Y$1000,MATCH($B269,'testmo-export-repository'!$A$2:$A$1000,false),MATCH(K$2,'testmo-export-repository'!$B$1:$Y$1,false)),"")</f>
        <v/>
      </c>
    </row>
    <row r="270">
      <c r="B270" s="60" t="str">
        <f>'testmo-export-repository'!A269</f>
        <v/>
      </c>
      <c r="C270" s="60" t="str">
        <f t="array" ref="C270">IFERROR(INDEX('testmo-export-repository'!$B$2:$X$1000,MATCH($B270,'testmo-export-repository'!$A$2:$A$1000,false),MATCH(C$2,'testmo-export-repository'!$B$1:$X$1,false)),"")</f>
        <v/>
      </c>
      <c r="D270" s="60" t="str">
        <f t="array" ref="D270">IFERROR(INDEX('testmo-export-repository'!$B$2:$X$1000,MATCH($B270,'testmo-export-repository'!$A$2:$A$1000,false),MATCH(D$2,'testmo-export-repository'!$B$1:$X$1,false)),"")</f>
        <v/>
      </c>
      <c r="E270" s="60" t="str">
        <f>IFERROR(VLOOKUP($C270,instructions!$N$3:$O$5,2,false),"")</f>
        <v/>
      </c>
      <c r="F270" s="60" t="str">
        <f>IFERROR(VLOOKUP($D270,instructions!$N$3:$O$5,2,false),"")</f>
        <v/>
      </c>
      <c r="G270" s="60" t="str">
        <f t="array" ref="G270">IFERROR(INDEX('testmo-export-repository'!$B$2:$X$1000,MATCH($B270,'testmo-export-repository'!$A$2:$A$1000,false),MATCH(G$2,'testmo-export-repository'!$B$1:$X$1,false)),"")</f>
        <v/>
      </c>
      <c r="H270" s="60" t="str">
        <f t="array" ref="H270">IFERROR(INDEX('testmo-export-repository'!$B$2:$X$1000,MATCH($B270,'testmo-export-repository'!$A$2:$A$1000,false),MATCH(H$2,'testmo-export-repository'!$B$1:$X$1,false)),"")</f>
        <v/>
      </c>
      <c r="I270" s="60" t="str">
        <f t="array" ref="I270">IFERROR(INDEX('testmo-export-repository'!$B$2:$X$1000,MATCH($B270,'testmo-export-repository'!$A$2:$A$1000,false),MATCH(I$2,'testmo-export-repository'!$B$1:$X$1,false)),"")</f>
        <v/>
      </c>
      <c r="J270" s="60" t="str">
        <f t="array" ref="J270">IFERROR(INDEX('testmo-export-repository'!$B$2:$Y$1000,MATCH($B270,'testmo-export-repository'!$A$2:$A$1000,false),MATCH(J$2,'testmo-export-repository'!$B$1:$Y$1,false)),"")</f>
        <v/>
      </c>
      <c r="K270" s="60" t="str">
        <f t="array" ref="K270">IFERROR(INDEX('testmo-export-repository'!$B$2:$Y$1000,MATCH($B270,'testmo-export-repository'!$A$2:$A$1000,false),MATCH(K$2,'testmo-export-repository'!$B$1:$Y$1,false)),"")</f>
        <v/>
      </c>
    </row>
    <row r="271">
      <c r="B271" s="60" t="str">
        <f>'testmo-export-repository'!A270</f>
        <v/>
      </c>
      <c r="C271" s="60" t="str">
        <f t="array" ref="C271">IFERROR(INDEX('testmo-export-repository'!$B$2:$X$1000,MATCH($B271,'testmo-export-repository'!$A$2:$A$1000,false),MATCH(C$2,'testmo-export-repository'!$B$1:$X$1,false)),"")</f>
        <v/>
      </c>
      <c r="D271" s="60" t="str">
        <f t="array" ref="D271">IFERROR(INDEX('testmo-export-repository'!$B$2:$X$1000,MATCH($B271,'testmo-export-repository'!$A$2:$A$1000,false),MATCH(D$2,'testmo-export-repository'!$B$1:$X$1,false)),"")</f>
        <v/>
      </c>
      <c r="E271" s="60" t="str">
        <f>IFERROR(VLOOKUP($C271,instructions!$N$3:$O$5,2,false),"")</f>
        <v/>
      </c>
      <c r="F271" s="60" t="str">
        <f>IFERROR(VLOOKUP($D271,instructions!$N$3:$O$5,2,false),"")</f>
        <v/>
      </c>
      <c r="G271" s="60" t="str">
        <f t="array" ref="G271">IFERROR(INDEX('testmo-export-repository'!$B$2:$X$1000,MATCH($B271,'testmo-export-repository'!$A$2:$A$1000,false),MATCH(G$2,'testmo-export-repository'!$B$1:$X$1,false)),"")</f>
        <v/>
      </c>
      <c r="H271" s="60" t="str">
        <f t="array" ref="H271">IFERROR(INDEX('testmo-export-repository'!$B$2:$X$1000,MATCH($B271,'testmo-export-repository'!$A$2:$A$1000,false),MATCH(H$2,'testmo-export-repository'!$B$1:$X$1,false)),"")</f>
        <v/>
      </c>
      <c r="I271" s="60" t="str">
        <f t="array" ref="I271">IFERROR(INDEX('testmo-export-repository'!$B$2:$X$1000,MATCH($B271,'testmo-export-repository'!$A$2:$A$1000,false),MATCH(I$2,'testmo-export-repository'!$B$1:$X$1,false)),"")</f>
        <v/>
      </c>
      <c r="J271" s="60" t="str">
        <f t="array" ref="J271">IFERROR(INDEX('testmo-export-repository'!$B$2:$Y$1000,MATCH($B271,'testmo-export-repository'!$A$2:$A$1000,false),MATCH(J$2,'testmo-export-repository'!$B$1:$Y$1,false)),"")</f>
        <v/>
      </c>
      <c r="K271" s="60" t="str">
        <f t="array" ref="K271">IFERROR(INDEX('testmo-export-repository'!$B$2:$Y$1000,MATCH($B271,'testmo-export-repository'!$A$2:$A$1000,false),MATCH(K$2,'testmo-export-repository'!$B$1:$Y$1,false)),"")</f>
        <v/>
      </c>
    </row>
    <row r="272">
      <c r="B272" s="60" t="str">
        <f>'testmo-export-repository'!A271</f>
        <v/>
      </c>
      <c r="C272" s="60" t="str">
        <f t="array" ref="C272">IFERROR(INDEX('testmo-export-repository'!$B$2:$X$1000,MATCH($B272,'testmo-export-repository'!$A$2:$A$1000,false),MATCH(C$2,'testmo-export-repository'!$B$1:$X$1,false)),"")</f>
        <v/>
      </c>
      <c r="D272" s="60" t="str">
        <f t="array" ref="D272">IFERROR(INDEX('testmo-export-repository'!$B$2:$X$1000,MATCH($B272,'testmo-export-repository'!$A$2:$A$1000,false),MATCH(D$2,'testmo-export-repository'!$B$1:$X$1,false)),"")</f>
        <v/>
      </c>
      <c r="E272" s="60" t="str">
        <f>IFERROR(VLOOKUP($C272,instructions!$N$3:$O$5,2,false),"")</f>
        <v/>
      </c>
      <c r="F272" s="60" t="str">
        <f>IFERROR(VLOOKUP($D272,instructions!$N$3:$O$5,2,false),"")</f>
        <v/>
      </c>
      <c r="G272" s="60" t="str">
        <f t="array" ref="G272">IFERROR(INDEX('testmo-export-repository'!$B$2:$X$1000,MATCH($B272,'testmo-export-repository'!$A$2:$A$1000,false),MATCH(G$2,'testmo-export-repository'!$B$1:$X$1,false)),"")</f>
        <v/>
      </c>
      <c r="H272" s="60" t="str">
        <f t="array" ref="H272">IFERROR(INDEX('testmo-export-repository'!$B$2:$X$1000,MATCH($B272,'testmo-export-repository'!$A$2:$A$1000,false),MATCH(H$2,'testmo-export-repository'!$B$1:$X$1,false)),"")</f>
        <v/>
      </c>
      <c r="I272" s="60" t="str">
        <f t="array" ref="I272">IFERROR(INDEX('testmo-export-repository'!$B$2:$X$1000,MATCH($B272,'testmo-export-repository'!$A$2:$A$1000,false),MATCH(I$2,'testmo-export-repository'!$B$1:$X$1,false)),"")</f>
        <v/>
      </c>
      <c r="J272" s="60" t="str">
        <f t="array" ref="J272">IFERROR(INDEX('testmo-export-repository'!$B$2:$Y$1000,MATCH($B272,'testmo-export-repository'!$A$2:$A$1000,false),MATCH(J$2,'testmo-export-repository'!$B$1:$Y$1,false)),"")</f>
        <v/>
      </c>
      <c r="K272" s="60" t="str">
        <f t="array" ref="K272">IFERROR(INDEX('testmo-export-repository'!$B$2:$Y$1000,MATCH($B272,'testmo-export-repository'!$A$2:$A$1000,false),MATCH(K$2,'testmo-export-repository'!$B$1:$Y$1,false)),"")</f>
        <v/>
      </c>
    </row>
    <row r="273">
      <c r="B273" s="60" t="str">
        <f>'testmo-export-repository'!A272</f>
        <v/>
      </c>
      <c r="C273" s="60" t="str">
        <f t="array" ref="C273">IFERROR(INDEX('testmo-export-repository'!$B$2:$X$1000,MATCH($B273,'testmo-export-repository'!$A$2:$A$1000,false),MATCH(C$2,'testmo-export-repository'!$B$1:$X$1,false)),"")</f>
        <v/>
      </c>
      <c r="D273" s="60" t="str">
        <f t="array" ref="D273">IFERROR(INDEX('testmo-export-repository'!$B$2:$X$1000,MATCH($B273,'testmo-export-repository'!$A$2:$A$1000,false),MATCH(D$2,'testmo-export-repository'!$B$1:$X$1,false)),"")</f>
        <v/>
      </c>
      <c r="E273" s="60" t="str">
        <f>IFERROR(VLOOKUP($C273,instructions!$N$3:$O$5,2,false),"")</f>
        <v/>
      </c>
      <c r="F273" s="60" t="str">
        <f>IFERROR(VLOOKUP($D273,instructions!$N$3:$O$5,2,false),"")</f>
        <v/>
      </c>
      <c r="G273" s="60" t="str">
        <f t="array" ref="G273">IFERROR(INDEX('testmo-export-repository'!$B$2:$X$1000,MATCH($B273,'testmo-export-repository'!$A$2:$A$1000,false),MATCH(G$2,'testmo-export-repository'!$B$1:$X$1,false)),"")</f>
        <v/>
      </c>
      <c r="H273" s="60" t="str">
        <f t="array" ref="H273">IFERROR(INDEX('testmo-export-repository'!$B$2:$X$1000,MATCH($B273,'testmo-export-repository'!$A$2:$A$1000,false),MATCH(H$2,'testmo-export-repository'!$B$1:$X$1,false)),"")</f>
        <v/>
      </c>
      <c r="I273" s="60" t="str">
        <f t="array" ref="I273">IFERROR(INDEX('testmo-export-repository'!$B$2:$X$1000,MATCH($B273,'testmo-export-repository'!$A$2:$A$1000,false),MATCH(I$2,'testmo-export-repository'!$B$1:$X$1,false)),"")</f>
        <v/>
      </c>
      <c r="J273" s="60" t="str">
        <f t="array" ref="J273">IFERROR(INDEX('testmo-export-repository'!$B$2:$Y$1000,MATCH($B273,'testmo-export-repository'!$A$2:$A$1000,false),MATCH(J$2,'testmo-export-repository'!$B$1:$Y$1,false)),"")</f>
        <v/>
      </c>
      <c r="K273" s="60" t="str">
        <f t="array" ref="K273">IFERROR(INDEX('testmo-export-repository'!$B$2:$Y$1000,MATCH($B273,'testmo-export-repository'!$A$2:$A$1000,false),MATCH(K$2,'testmo-export-repository'!$B$1:$Y$1,false)),"")</f>
        <v/>
      </c>
    </row>
    <row r="274">
      <c r="B274" s="60" t="str">
        <f>'testmo-export-repository'!A273</f>
        <v/>
      </c>
      <c r="C274" s="60" t="str">
        <f t="array" ref="C274">IFERROR(INDEX('testmo-export-repository'!$B$2:$X$1000,MATCH($B274,'testmo-export-repository'!$A$2:$A$1000,false),MATCH(C$2,'testmo-export-repository'!$B$1:$X$1,false)),"")</f>
        <v/>
      </c>
      <c r="D274" s="60" t="str">
        <f t="array" ref="D274">IFERROR(INDEX('testmo-export-repository'!$B$2:$X$1000,MATCH($B274,'testmo-export-repository'!$A$2:$A$1000,false),MATCH(D$2,'testmo-export-repository'!$B$1:$X$1,false)),"")</f>
        <v/>
      </c>
      <c r="E274" s="60" t="str">
        <f>IFERROR(VLOOKUP($C274,instructions!$N$3:$O$5,2,false),"")</f>
        <v/>
      </c>
      <c r="F274" s="60" t="str">
        <f>IFERROR(VLOOKUP($D274,instructions!$N$3:$O$5,2,false),"")</f>
        <v/>
      </c>
      <c r="G274" s="60" t="str">
        <f t="array" ref="G274">IFERROR(INDEX('testmo-export-repository'!$B$2:$X$1000,MATCH($B274,'testmo-export-repository'!$A$2:$A$1000,false),MATCH(G$2,'testmo-export-repository'!$B$1:$X$1,false)),"")</f>
        <v/>
      </c>
      <c r="H274" s="60" t="str">
        <f t="array" ref="H274">IFERROR(INDEX('testmo-export-repository'!$B$2:$X$1000,MATCH($B274,'testmo-export-repository'!$A$2:$A$1000,false),MATCH(H$2,'testmo-export-repository'!$B$1:$X$1,false)),"")</f>
        <v/>
      </c>
      <c r="I274" s="60" t="str">
        <f t="array" ref="I274">IFERROR(INDEX('testmo-export-repository'!$B$2:$X$1000,MATCH($B274,'testmo-export-repository'!$A$2:$A$1000,false),MATCH(I$2,'testmo-export-repository'!$B$1:$X$1,false)),"")</f>
        <v/>
      </c>
      <c r="J274" s="60" t="str">
        <f t="array" ref="J274">IFERROR(INDEX('testmo-export-repository'!$B$2:$Y$1000,MATCH($B274,'testmo-export-repository'!$A$2:$A$1000,false),MATCH(J$2,'testmo-export-repository'!$B$1:$Y$1,false)),"")</f>
        <v/>
      </c>
      <c r="K274" s="60" t="str">
        <f t="array" ref="K274">IFERROR(INDEX('testmo-export-repository'!$B$2:$Y$1000,MATCH($B274,'testmo-export-repository'!$A$2:$A$1000,false),MATCH(K$2,'testmo-export-repository'!$B$1:$Y$1,false)),"")</f>
        <v/>
      </c>
    </row>
    <row r="275">
      <c r="B275" s="60" t="str">
        <f>'testmo-export-repository'!A274</f>
        <v/>
      </c>
      <c r="C275" s="60" t="str">
        <f t="array" ref="C275">IFERROR(INDEX('testmo-export-repository'!$B$2:$X$1000,MATCH($B275,'testmo-export-repository'!$A$2:$A$1000,false),MATCH(C$2,'testmo-export-repository'!$B$1:$X$1,false)),"")</f>
        <v/>
      </c>
      <c r="D275" s="60" t="str">
        <f t="array" ref="D275">IFERROR(INDEX('testmo-export-repository'!$B$2:$X$1000,MATCH($B275,'testmo-export-repository'!$A$2:$A$1000,false),MATCH(D$2,'testmo-export-repository'!$B$1:$X$1,false)),"")</f>
        <v/>
      </c>
      <c r="E275" s="60" t="str">
        <f>IFERROR(VLOOKUP($C275,instructions!$N$3:$O$5,2,false),"")</f>
        <v/>
      </c>
      <c r="F275" s="60" t="str">
        <f>IFERROR(VLOOKUP($D275,instructions!$N$3:$O$5,2,false),"")</f>
        <v/>
      </c>
      <c r="G275" s="60" t="str">
        <f t="array" ref="G275">IFERROR(INDEX('testmo-export-repository'!$B$2:$X$1000,MATCH($B275,'testmo-export-repository'!$A$2:$A$1000,false),MATCH(G$2,'testmo-export-repository'!$B$1:$X$1,false)),"")</f>
        <v/>
      </c>
      <c r="H275" s="60" t="str">
        <f t="array" ref="H275">IFERROR(INDEX('testmo-export-repository'!$B$2:$X$1000,MATCH($B275,'testmo-export-repository'!$A$2:$A$1000,false),MATCH(H$2,'testmo-export-repository'!$B$1:$X$1,false)),"")</f>
        <v/>
      </c>
      <c r="I275" s="60" t="str">
        <f t="array" ref="I275">IFERROR(INDEX('testmo-export-repository'!$B$2:$X$1000,MATCH($B275,'testmo-export-repository'!$A$2:$A$1000,false),MATCH(I$2,'testmo-export-repository'!$B$1:$X$1,false)),"")</f>
        <v/>
      </c>
      <c r="J275" s="60" t="str">
        <f t="array" ref="J275">IFERROR(INDEX('testmo-export-repository'!$B$2:$Y$1000,MATCH($B275,'testmo-export-repository'!$A$2:$A$1000,false),MATCH(J$2,'testmo-export-repository'!$B$1:$Y$1,false)),"")</f>
        <v/>
      </c>
      <c r="K275" s="60" t="str">
        <f t="array" ref="K275">IFERROR(INDEX('testmo-export-repository'!$B$2:$Y$1000,MATCH($B275,'testmo-export-repository'!$A$2:$A$1000,false),MATCH(K$2,'testmo-export-repository'!$B$1:$Y$1,false)),"")</f>
        <v/>
      </c>
    </row>
    <row r="276">
      <c r="B276" s="60" t="str">
        <f>'testmo-export-repository'!A275</f>
        <v/>
      </c>
      <c r="C276" s="60" t="str">
        <f t="array" ref="C276">IFERROR(INDEX('testmo-export-repository'!$B$2:$X$1000,MATCH($B276,'testmo-export-repository'!$A$2:$A$1000,false),MATCH(C$2,'testmo-export-repository'!$B$1:$X$1,false)),"")</f>
        <v/>
      </c>
      <c r="D276" s="60" t="str">
        <f t="array" ref="D276">IFERROR(INDEX('testmo-export-repository'!$B$2:$X$1000,MATCH($B276,'testmo-export-repository'!$A$2:$A$1000,false),MATCH(D$2,'testmo-export-repository'!$B$1:$X$1,false)),"")</f>
        <v/>
      </c>
      <c r="E276" s="60" t="str">
        <f>IFERROR(VLOOKUP($C276,instructions!$N$3:$O$5,2,false),"")</f>
        <v/>
      </c>
      <c r="F276" s="60" t="str">
        <f>IFERROR(VLOOKUP($D276,instructions!$N$3:$O$5,2,false),"")</f>
        <v/>
      </c>
      <c r="G276" s="60" t="str">
        <f t="array" ref="G276">IFERROR(INDEX('testmo-export-repository'!$B$2:$X$1000,MATCH($B276,'testmo-export-repository'!$A$2:$A$1000,false),MATCH(G$2,'testmo-export-repository'!$B$1:$X$1,false)),"")</f>
        <v/>
      </c>
      <c r="H276" s="60" t="str">
        <f t="array" ref="H276">IFERROR(INDEX('testmo-export-repository'!$B$2:$X$1000,MATCH($B276,'testmo-export-repository'!$A$2:$A$1000,false),MATCH(H$2,'testmo-export-repository'!$B$1:$X$1,false)),"")</f>
        <v/>
      </c>
      <c r="I276" s="60" t="str">
        <f t="array" ref="I276">IFERROR(INDEX('testmo-export-repository'!$B$2:$X$1000,MATCH($B276,'testmo-export-repository'!$A$2:$A$1000,false),MATCH(I$2,'testmo-export-repository'!$B$1:$X$1,false)),"")</f>
        <v/>
      </c>
      <c r="J276" s="60" t="str">
        <f t="array" ref="J276">IFERROR(INDEX('testmo-export-repository'!$B$2:$Y$1000,MATCH($B276,'testmo-export-repository'!$A$2:$A$1000,false),MATCH(J$2,'testmo-export-repository'!$B$1:$Y$1,false)),"")</f>
        <v/>
      </c>
      <c r="K276" s="60" t="str">
        <f t="array" ref="K276">IFERROR(INDEX('testmo-export-repository'!$B$2:$Y$1000,MATCH($B276,'testmo-export-repository'!$A$2:$A$1000,false),MATCH(K$2,'testmo-export-repository'!$B$1:$Y$1,false)),"")</f>
        <v/>
      </c>
    </row>
    <row r="277">
      <c r="B277" s="60" t="str">
        <f>'testmo-export-repository'!A276</f>
        <v/>
      </c>
      <c r="C277" s="60" t="str">
        <f t="array" ref="C277">IFERROR(INDEX('testmo-export-repository'!$B$2:$X$1000,MATCH($B277,'testmo-export-repository'!$A$2:$A$1000,false),MATCH(C$2,'testmo-export-repository'!$B$1:$X$1,false)),"")</f>
        <v/>
      </c>
      <c r="D277" s="60" t="str">
        <f t="array" ref="D277">IFERROR(INDEX('testmo-export-repository'!$B$2:$X$1000,MATCH($B277,'testmo-export-repository'!$A$2:$A$1000,false),MATCH(D$2,'testmo-export-repository'!$B$1:$X$1,false)),"")</f>
        <v/>
      </c>
      <c r="E277" s="60" t="str">
        <f>IFERROR(VLOOKUP($C277,instructions!$N$3:$O$5,2,false),"")</f>
        <v/>
      </c>
      <c r="F277" s="60" t="str">
        <f>IFERROR(VLOOKUP($D277,instructions!$N$3:$O$5,2,false),"")</f>
        <v/>
      </c>
      <c r="G277" s="60" t="str">
        <f t="array" ref="G277">IFERROR(INDEX('testmo-export-repository'!$B$2:$X$1000,MATCH($B277,'testmo-export-repository'!$A$2:$A$1000,false),MATCH(G$2,'testmo-export-repository'!$B$1:$X$1,false)),"")</f>
        <v/>
      </c>
      <c r="H277" s="60" t="str">
        <f t="array" ref="H277">IFERROR(INDEX('testmo-export-repository'!$B$2:$X$1000,MATCH($B277,'testmo-export-repository'!$A$2:$A$1000,false),MATCH(H$2,'testmo-export-repository'!$B$1:$X$1,false)),"")</f>
        <v/>
      </c>
      <c r="I277" s="60" t="str">
        <f t="array" ref="I277">IFERROR(INDEX('testmo-export-repository'!$B$2:$X$1000,MATCH($B277,'testmo-export-repository'!$A$2:$A$1000,false),MATCH(I$2,'testmo-export-repository'!$B$1:$X$1,false)),"")</f>
        <v/>
      </c>
      <c r="J277" s="60" t="str">
        <f t="array" ref="J277">IFERROR(INDEX('testmo-export-repository'!$B$2:$Y$1000,MATCH($B277,'testmo-export-repository'!$A$2:$A$1000,false),MATCH(J$2,'testmo-export-repository'!$B$1:$Y$1,false)),"")</f>
        <v/>
      </c>
      <c r="K277" s="60" t="str">
        <f t="array" ref="K277">IFERROR(INDEX('testmo-export-repository'!$B$2:$Y$1000,MATCH($B277,'testmo-export-repository'!$A$2:$A$1000,false),MATCH(K$2,'testmo-export-repository'!$B$1:$Y$1,false)),"")</f>
        <v/>
      </c>
    </row>
    <row r="278">
      <c r="B278" s="60" t="str">
        <f>'testmo-export-repository'!A277</f>
        <v/>
      </c>
      <c r="C278" s="60" t="str">
        <f t="array" ref="C278">IFERROR(INDEX('testmo-export-repository'!$B$2:$X$1000,MATCH($B278,'testmo-export-repository'!$A$2:$A$1000,false),MATCH(C$2,'testmo-export-repository'!$B$1:$X$1,false)),"")</f>
        <v/>
      </c>
      <c r="D278" s="60" t="str">
        <f t="array" ref="D278">IFERROR(INDEX('testmo-export-repository'!$B$2:$X$1000,MATCH($B278,'testmo-export-repository'!$A$2:$A$1000,false),MATCH(D$2,'testmo-export-repository'!$B$1:$X$1,false)),"")</f>
        <v/>
      </c>
      <c r="E278" s="60" t="str">
        <f>IFERROR(VLOOKUP($C278,instructions!$N$3:$O$5,2,false),"")</f>
        <v/>
      </c>
      <c r="F278" s="60" t="str">
        <f>IFERROR(VLOOKUP($D278,instructions!$N$3:$O$5,2,false),"")</f>
        <v/>
      </c>
      <c r="G278" s="60" t="str">
        <f t="array" ref="G278">IFERROR(INDEX('testmo-export-repository'!$B$2:$X$1000,MATCH($B278,'testmo-export-repository'!$A$2:$A$1000,false),MATCH(G$2,'testmo-export-repository'!$B$1:$X$1,false)),"")</f>
        <v/>
      </c>
      <c r="H278" s="60" t="str">
        <f t="array" ref="H278">IFERROR(INDEX('testmo-export-repository'!$B$2:$X$1000,MATCH($B278,'testmo-export-repository'!$A$2:$A$1000,false),MATCH(H$2,'testmo-export-repository'!$B$1:$X$1,false)),"")</f>
        <v/>
      </c>
      <c r="I278" s="60" t="str">
        <f t="array" ref="I278">IFERROR(INDEX('testmo-export-repository'!$B$2:$X$1000,MATCH($B278,'testmo-export-repository'!$A$2:$A$1000,false),MATCH(I$2,'testmo-export-repository'!$B$1:$X$1,false)),"")</f>
        <v/>
      </c>
      <c r="J278" s="60" t="str">
        <f t="array" ref="J278">IFERROR(INDEX('testmo-export-repository'!$B$2:$Y$1000,MATCH($B278,'testmo-export-repository'!$A$2:$A$1000,false),MATCH(J$2,'testmo-export-repository'!$B$1:$Y$1,false)),"")</f>
        <v/>
      </c>
      <c r="K278" s="60" t="str">
        <f t="array" ref="K278">IFERROR(INDEX('testmo-export-repository'!$B$2:$Y$1000,MATCH($B278,'testmo-export-repository'!$A$2:$A$1000,false),MATCH(K$2,'testmo-export-repository'!$B$1:$Y$1,false)),"")</f>
        <v/>
      </c>
    </row>
    <row r="279">
      <c r="B279" s="60" t="str">
        <f>'testmo-export-repository'!A278</f>
        <v/>
      </c>
      <c r="C279" s="60" t="str">
        <f t="array" ref="C279">IFERROR(INDEX('testmo-export-repository'!$B$2:$X$1000,MATCH($B279,'testmo-export-repository'!$A$2:$A$1000,false),MATCH(C$2,'testmo-export-repository'!$B$1:$X$1,false)),"")</f>
        <v/>
      </c>
      <c r="D279" s="60" t="str">
        <f t="array" ref="D279">IFERROR(INDEX('testmo-export-repository'!$B$2:$X$1000,MATCH($B279,'testmo-export-repository'!$A$2:$A$1000,false),MATCH(D$2,'testmo-export-repository'!$B$1:$X$1,false)),"")</f>
        <v/>
      </c>
      <c r="E279" s="60" t="str">
        <f>IFERROR(VLOOKUP($C279,instructions!$N$3:$O$5,2,false),"")</f>
        <v/>
      </c>
      <c r="F279" s="60" t="str">
        <f>IFERROR(VLOOKUP($D279,instructions!$N$3:$O$5,2,false),"")</f>
        <v/>
      </c>
      <c r="G279" s="60" t="str">
        <f t="array" ref="G279">IFERROR(INDEX('testmo-export-repository'!$B$2:$X$1000,MATCH($B279,'testmo-export-repository'!$A$2:$A$1000,false),MATCH(G$2,'testmo-export-repository'!$B$1:$X$1,false)),"")</f>
        <v/>
      </c>
      <c r="H279" s="60" t="str">
        <f t="array" ref="H279">IFERROR(INDEX('testmo-export-repository'!$B$2:$X$1000,MATCH($B279,'testmo-export-repository'!$A$2:$A$1000,false),MATCH(H$2,'testmo-export-repository'!$B$1:$X$1,false)),"")</f>
        <v/>
      </c>
      <c r="I279" s="60" t="str">
        <f t="array" ref="I279">IFERROR(INDEX('testmo-export-repository'!$B$2:$X$1000,MATCH($B279,'testmo-export-repository'!$A$2:$A$1000,false),MATCH(I$2,'testmo-export-repository'!$B$1:$X$1,false)),"")</f>
        <v/>
      </c>
      <c r="J279" s="60" t="str">
        <f t="array" ref="J279">IFERROR(INDEX('testmo-export-repository'!$B$2:$Y$1000,MATCH($B279,'testmo-export-repository'!$A$2:$A$1000,false),MATCH(J$2,'testmo-export-repository'!$B$1:$Y$1,false)),"")</f>
        <v/>
      </c>
      <c r="K279" s="60" t="str">
        <f t="array" ref="K279">IFERROR(INDEX('testmo-export-repository'!$B$2:$Y$1000,MATCH($B279,'testmo-export-repository'!$A$2:$A$1000,false),MATCH(K$2,'testmo-export-repository'!$B$1:$Y$1,false)),"")</f>
        <v/>
      </c>
    </row>
    <row r="280">
      <c r="B280" s="60" t="str">
        <f>'testmo-export-repository'!A279</f>
        <v/>
      </c>
      <c r="C280" s="60" t="str">
        <f t="array" ref="C280">IFERROR(INDEX('testmo-export-repository'!$B$2:$X$1000,MATCH($B280,'testmo-export-repository'!$A$2:$A$1000,false),MATCH(C$2,'testmo-export-repository'!$B$1:$X$1,false)),"")</f>
        <v/>
      </c>
      <c r="D280" s="60" t="str">
        <f t="array" ref="D280">IFERROR(INDEX('testmo-export-repository'!$B$2:$X$1000,MATCH($B280,'testmo-export-repository'!$A$2:$A$1000,false),MATCH(D$2,'testmo-export-repository'!$B$1:$X$1,false)),"")</f>
        <v/>
      </c>
      <c r="E280" s="60" t="str">
        <f>IFERROR(VLOOKUP($C280,instructions!$N$3:$O$5,2,false),"")</f>
        <v/>
      </c>
      <c r="F280" s="60" t="str">
        <f>IFERROR(VLOOKUP($D280,instructions!$N$3:$O$5,2,false),"")</f>
        <v/>
      </c>
      <c r="G280" s="60" t="str">
        <f t="array" ref="G280">IFERROR(INDEX('testmo-export-repository'!$B$2:$X$1000,MATCH($B280,'testmo-export-repository'!$A$2:$A$1000,false),MATCH(G$2,'testmo-export-repository'!$B$1:$X$1,false)),"")</f>
        <v/>
      </c>
      <c r="H280" s="60" t="str">
        <f t="array" ref="H280">IFERROR(INDEX('testmo-export-repository'!$B$2:$X$1000,MATCH($B280,'testmo-export-repository'!$A$2:$A$1000,false),MATCH(H$2,'testmo-export-repository'!$B$1:$X$1,false)),"")</f>
        <v/>
      </c>
      <c r="I280" s="60" t="str">
        <f t="array" ref="I280">IFERROR(INDEX('testmo-export-repository'!$B$2:$X$1000,MATCH($B280,'testmo-export-repository'!$A$2:$A$1000,false),MATCH(I$2,'testmo-export-repository'!$B$1:$X$1,false)),"")</f>
        <v/>
      </c>
      <c r="J280" s="60" t="str">
        <f t="array" ref="J280">IFERROR(INDEX('testmo-export-repository'!$B$2:$Y$1000,MATCH($B280,'testmo-export-repository'!$A$2:$A$1000,false),MATCH(J$2,'testmo-export-repository'!$B$1:$Y$1,false)),"")</f>
        <v/>
      </c>
      <c r="K280" s="60" t="str">
        <f t="array" ref="K280">IFERROR(INDEX('testmo-export-repository'!$B$2:$Y$1000,MATCH($B280,'testmo-export-repository'!$A$2:$A$1000,false),MATCH(K$2,'testmo-export-repository'!$B$1:$Y$1,false)),"")</f>
        <v/>
      </c>
    </row>
    <row r="281">
      <c r="B281" s="60" t="str">
        <f>'testmo-export-repository'!A280</f>
        <v/>
      </c>
      <c r="C281" s="60" t="str">
        <f t="array" ref="C281">IFERROR(INDEX('testmo-export-repository'!$B$2:$X$1000,MATCH($B281,'testmo-export-repository'!$A$2:$A$1000,false),MATCH(C$2,'testmo-export-repository'!$B$1:$X$1,false)),"")</f>
        <v/>
      </c>
      <c r="D281" s="60" t="str">
        <f t="array" ref="D281">IFERROR(INDEX('testmo-export-repository'!$B$2:$X$1000,MATCH($B281,'testmo-export-repository'!$A$2:$A$1000,false),MATCH(D$2,'testmo-export-repository'!$B$1:$X$1,false)),"")</f>
        <v/>
      </c>
      <c r="E281" s="60" t="str">
        <f>IFERROR(VLOOKUP($C281,instructions!$N$3:$O$5,2,false),"")</f>
        <v/>
      </c>
      <c r="F281" s="60" t="str">
        <f>IFERROR(VLOOKUP($D281,instructions!$N$3:$O$5,2,false),"")</f>
        <v/>
      </c>
      <c r="G281" s="60" t="str">
        <f t="array" ref="G281">IFERROR(INDEX('testmo-export-repository'!$B$2:$X$1000,MATCH($B281,'testmo-export-repository'!$A$2:$A$1000,false),MATCH(G$2,'testmo-export-repository'!$B$1:$X$1,false)),"")</f>
        <v/>
      </c>
      <c r="H281" s="60" t="str">
        <f t="array" ref="H281">IFERROR(INDEX('testmo-export-repository'!$B$2:$X$1000,MATCH($B281,'testmo-export-repository'!$A$2:$A$1000,false),MATCH(H$2,'testmo-export-repository'!$B$1:$X$1,false)),"")</f>
        <v/>
      </c>
      <c r="I281" s="60" t="str">
        <f t="array" ref="I281">IFERROR(INDEX('testmo-export-repository'!$B$2:$X$1000,MATCH($B281,'testmo-export-repository'!$A$2:$A$1000,false),MATCH(I$2,'testmo-export-repository'!$B$1:$X$1,false)),"")</f>
        <v/>
      </c>
      <c r="J281" s="60" t="str">
        <f t="array" ref="J281">IFERROR(INDEX('testmo-export-repository'!$B$2:$Y$1000,MATCH($B281,'testmo-export-repository'!$A$2:$A$1000,false),MATCH(J$2,'testmo-export-repository'!$B$1:$Y$1,false)),"")</f>
        <v/>
      </c>
      <c r="K281" s="60" t="str">
        <f t="array" ref="K281">IFERROR(INDEX('testmo-export-repository'!$B$2:$Y$1000,MATCH($B281,'testmo-export-repository'!$A$2:$A$1000,false),MATCH(K$2,'testmo-export-repository'!$B$1:$Y$1,false)),"")</f>
        <v/>
      </c>
    </row>
    <row r="282">
      <c r="B282" s="60" t="str">
        <f>'testmo-export-repository'!A281</f>
        <v/>
      </c>
      <c r="C282" s="60" t="str">
        <f t="array" ref="C282">IFERROR(INDEX('testmo-export-repository'!$B$2:$X$1000,MATCH($B282,'testmo-export-repository'!$A$2:$A$1000,false),MATCH(C$2,'testmo-export-repository'!$B$1:$X$1,false)),"")</f>
        <v/>
      </c>
      <c r="D282" s="60" t="str">
        <f t="array" ref="D282">IFERROR(INDEX('testmo-export-repository'!$B$2:$X$1000,MATCH($B282,'testmo-export-repository'!$A$2:$A$1000,false),MATCH(D$2,'testmo-export-repository'!$B$1:$X$1,false)),"")</f>
        <v/>
      </c>
      <c r="E282" s="60" t="str">
        <f>IFERROR(VLOOKUP($C282,instructions!$N$3:$O$5,2,false),"")</f>
        <v/>
      </c>
      <c r="F282" s="60" t="str">
        <f>IFERROR(VLOOKUP($D282,instructions!$N$3:$O$5,2,false),"")</f>
        <v/>
      </c>
      <c r="G282" s="60" t="str">
        <f t="array" ref="G282">IFERROR(INDEX('testmo-export-repository'!$B$2:$X$1000,MATCH($B282,'testmo-export-repository'!$A$2:$A$1000,false),MATCH(G$2,'testmo-export-repository'!$B$1:$X$1,false)),"")</f>
        <v/>
      </c>
      <c r="H282" s="60" t="str">
        <f t="array" ref="H282">IFERROR(INDEX('testmo-export-repository'!$B$2:$X$1000,MATCH($B282,'testmo-export-repository'!$A$2:$A$1000,false),MATCH(H$2,'testmo-export-repository'!$B$1:$X$1,false)),"")</f>
        <v/>
      </c>
      <c r="I282" s="60" t="str">
        <f t="array" ref="I282">IFERROR(INDEX('testmo-export-repository'!$B$2:$X$1000,MATCH($B282,'testmo-export-repository'!$A$2:$A$1000,false),MATCH(I$2,'testmo-export-repository'!$B$1:$X$1,false)),"")</f>
        <v/>
      </c>
      <c r="J282" s="60" t="str">
        <f t="array" ref="J282">IFERROR(INDEX('testmo-export-repository'!$B$2:$Y$1000,MATCH($B282,'testmo-export-repository'!$A$2:$A$1000,false),MATCH(J$2,'testmo-export-repository'!$B$1:$Y$1,false)),"")</f>
        <v/>
      </c>
      <c r="K282" s="60" t="str">
        <f t="array" ref="K282">IFERROR(INDEX('testmo-export-repository'!$B$2:$Y$1000,MATCH($B282,'testmo-export-repository'!$A$2:$A$1000,false),MATCH(K$2,'testmo-export-repository'!$B$1:$Y$1,false)),"")</f>
        <v/>
      </c>
    </row>
    <row r="283">
      <c r="B283" s="60" t="str">
        <f>'testmo-export-repository'!A282</f>
        <v/>
      </c>
      <c r="C283" s="60" t="str">
        <f t="array" ref="C283">IFERROR(INDEX('testmo-export-repository'!$B$2:$X$1000,MATCH($B283,'testmo-export-repository'!$A$2:$A$1000,false),MATCH(C$2,'testmo-export-repository'!$B$1:$X$1,false)),"")</f>
        <v/>
      </c>
      <c r="D283" s="60" t="str">
        <f t="array" ref="D283">IFERROR(INDEX('testmo-export-repository'!$B$2:$X$1000,MATCH($B283,'testmo-export-repository'!$A$2:$A$1000,false),MATCH(D$2,'testmo-export-repository'!$B$1:$X$1,false)),"")</f>
        <v/>
      </c>
      <c r="E283" s="60" t="str">
        <f>IFERROR(VLOOKUP($C283,instructions!$N$3:$O$5,2,false),"")</f>
        <v/>
      </c>
      <c r="F283" s="60" t="str">
        <f>IFERROR(VLOOKUP($D283,instructions!$N$3:$O$5,2,false),"")</f>
        <v/>
      </c>
      <c r="G283" s="60" t="str">
        <f t="array" ref="G283">IFERROR(INDEX('testmo-export-repository'!$B$2:$X$1000,MATCH($B283,'testmo-export-repository'!$A$2:$A$1000,false),MATCH(G$2,'testmo-export-repository'!$B$1:$X$1,false)),"")</f>
        <v/>
      </c>
      <c r="H283" s="60" t="str">
        <f t="array" ref="H283">IFERROR(INDEX('testmo-export-repository'!$B$2:$X$1000,MATCH($B283,'testmo-export-repository'!$A$2:$A$1000,false),MATCH(H$2,'testmo-export-repository'!$B$1:$X$1,false)),"")</f>
        <v/>
      </c>
      <c r="I283" s="60" t="str">
        <f t="array" ref="I283">IFERROR(INDEX('testmo-export-repository'!$B$2:$X$1000,MATCH($B283,'testmo-export-repository'!$A$2:$A$1000,false),MATCH(I$2,'testmo-export-repository'!$B$1:$X$1,false)),"")</f>
        <v/>
      </c>
      <c r="J283" s="60" t="str">
        <f t="array" ref="J283">IFERROR(INDEX('testmo-export-repository'!$B$2:$Y$1000,MATCH($B283,'testmo-export-repository'!$A$2:$A$1000,false),MATCH(J$2,'testmo-export-repository'!$B$1:$Y$1,false)),"")</f>
        <v/>
      </c>
      <c r="K283" s="60" t="str">
        <f t="array" ref="K283">IFERROR(INDEX('testmo-export-repository'!$B$2:$Y$1000,MATCH($B283,'testmo-export-repository'!$A$2:$A$1000,false),MATCH(K$2,'testmo-export-repository'!$B$1:$Y$1,false)),"")</f>
        <v/>
      </c>
    </row>
    <row r="284">
      <c r="B284" s="60" t="str">
        <f>'testmo-export-repository'!A283</f>
        <v/>
      </c>
      <c r="C284" s="60" t="str">
        <f t="array" ref="C284">IFERROR(INDEX('testmo-export-repository'!$B$2:$X$1000,MATCH($B284,'testmo-export-repository'!$A$2:$A$1000,false),MATCH(C$2,'testmo-export-repository'!$B$1:$X$1,false)),"")</f>
        <v/>
      </c>
      <c r="D284" s="60" t="str">
        <f t="array" ref="D284">IFERROR(INDEX('testmo-export-repository'!$B$2:$X$1000,MATCH($B284,'testmo-export-repository'!$A$2:$A$1000,false),MATCH(D$2,'testmo-export-repository'!$B$1:$X$1,false)),"")</f>
        <v/>
      </c>
      <c r="E284" s="60" t="str">
        <f>IFERROR(VLOOKUP($C284,instructions!$N$3:$O$5,2,false),"")</f>
        <v/>
      </c>
      <c r="F284" s="60" t="str">
        <f>IFERROR(VLOOKUP($D284,instructions!$N$3:$O$5,2,false),"")</f>
        <v/>
      </c>
      <c r="G284" s="60" t="str">
        <f t="array" ref="G284">IFERROR(INDEX('testmo-export-repository'!$B$2:$X$1000,MATCH($B284,'testmo-export-repository'!$A$2:$A$1000,false),MATCH(G$2,'testmo-export-repository'!$B$1:$X$1,false)),"")</f>
        <v/>
      </c>
      <c r="H284" s="60" t="str">
        <f t="array" ref="H284">IFERROR(INDEX('testmo-export-repository'!$B$2:$X$1000,MATCH($B284,'testmo-export-repository'!$A$2:$A$1000,false),MATCH(H$2,'testmo-export-repository'!$B$1:$X$1,false)),"")</f>
        <v/>
      </c>
      <c r="I284" s="60" t="str">
        <f t="array" ref="I284">IFERROR(INDEX('testmo-export-repository'!$B$2:$X$1000,MATCH($B284,'testmo-export-repository'!$A$2:$A$1000,false),MATCH(I$2,'testmo-export-repository'!$B$1:$X$1,false)),"")</f>
        <v/>
      </c>
      <c r="J284" s="60" t="str">
        <f t="array" ref="J284">IFERROR(INDEX('testmo-export-repository'!$B$2:$Y$1000,MATCH($B284,'testmo-export-repository'!$A$2:$A$1000,false),MATCH(J$2,'testmo-export-repository'!$B$1:$Y$1,false)),"")</f>
        <v/>
      </c>
      <c r="K284" s="60" t="str">
        <f t="array" ref="K284">IFERROR(INDEX('testmo-export-repository'!$B$2:$Y$1000,MATCH($B284,'testmo-export-repository'!$A$2:$A$1000,false),MATCH(K$2,'testmo-export-repository'!$B$1:$Y$1,false)),"")</f>
        <v/>
      </c>
    </row>
    <row r="285">
      <c r="B285" s="60" t="str">
        <f>'testmo-export-repository'!A284</f>
        <v/>
      </c>
      <c r="C285" s="60" t="str">
        <f t="array" ref="C285">IFERROR(INDEX('testmo-export-repository'!$B$2:$X$1000,MATCH($B285,'testmo-export-repository'!$A$2:$A$1000,false),MATCH(C$2,'testmo-export-repository'!$B$1:$X$1,false)),"")</f>
        <v/>
      </c>
      <c r="D285" s="60" t="str">
        <f t="array" ref="D285">IFERROR(INDEX('testmo-export-repository'!$B$2:$X$1000,MATCH($B285,'testmo-export-repository'!$A$2:$A$1000,false),MATCH(D$2,'testmo-export-repository'!$B$1:$X$1,false)),"")</f>
        <v/>
      </c>
      <c r="E285" s="60" t="str">
        <f>IFERROR(VLOOKUP($C285,instructions!$N$3:$O$5,2,false),"")</f>
        <v/>
      </c>
      <c r="F285" s="60" t="str">
        <f>IFERROR(VLOOKUP($D285,instructions!$N$3:$O$5,2,false),"")</f>
        <v/>
      </c>
      <c r="G285" s="60" t="str">
        <f t="array" ref="G285">IFERROR(INDEX('testmo-export-repository'!$B$2:$X$1000,MATCH($B285,'testmo-export-repository'!$A$2:$A$1000,false),MATCH(G$2,'testmo-export-repository'!$B$1:$X$1,false)),"")</f>
        <v/>
      </c>
      <c r="H285" s="60" t="str">
        <f t="array" ref="H285">IFERROR(INDEX('testmo-export-repository'!$B$2:$X$1000,MATCH($B285,'testmo-export-repository'!$A$2:$A$1000,false),MATCH(H$2,'testmo-export-repository'!$B$1:$X$1,false)),"")</f>
        <v/>
      </c>
      <c r="I285" s="60" t="str">
        <f t="array" ref="I285">IFERROR(INDEX('testmo-export-repository'!$B$2:$X$1000,MATCH($B285,'testmo-export-repository'!$A$2:$A$1000,false),MATCH(I$2,'testmo-export-repository'!$B$1:$X$1,false)),"")</f>
        <v/>
      </c>
      <c r="J285" s="60" t="str">
        <f t="array" ref="J285">IFERROR(INDEX('testmo-export-repository'!$B$2:$Y$1000,MATCH($B285,'testmo-export-repository'!$A$2:$A$1000,false),MATCH(J$2,'testmo-export-repository'!$B$1:$Y$1,false)),"")</f>
        <v/>
      </c>
      <c r="K285" s="60" t="str">
        <f t="array" ref="K285">IFERROR(INDEX('testmo-export-repository'!$B$2:$Y$1000,MATCH($B285,'testmo-export-repository'!$A$2:$A$1000,false),MATCH(K$2,'testmo-export-repository'!$B$1:$Y$1,false)),"")</f>
        <v/>
      </c>
    </row>
    <row r="286">
      <c r="B286" s="60" t="str">
        <f>'testmo-export-repository'!A285</f>
        <v/>
      </c>
      <c r="C286" s="60" t="str">
        <f t="array" ref="C286">IFERROR(INDEX('testmo-export-repository'!$B$2:$X$1000,MATCH($B286,'testmo-export-repository'!$A$2:$A$1000,false),MATCH(C$2,'testmo-export-repository'!$B$1:$X$1,false)),"")</f>
        <v/>
      </c>
      <c r="D286" s="60" t="str">
        <f t="array" ref="D286">IFERROR(INDEX('testmo-export-repository'!$B$2:$X$1000,MATCH($B286,'testmo-export-repository'!$A$2:$A$1000,false),MATCH(D$2,'testmo-export-repository'!$B$1:$X$1,false)),"")</f>
        <v/>
      </c>
      <c r="E286" s="60" t="str">
        <f>IFERROR(VLOOKUP($C286,instructions!$N$3:$O$5,2,false),"")</f>
        <v/>
      </c>
      <c r="F286" s="60" t="str">
        <f>IFERROR(VLOOKUP($D286,instructions!$N$3:$O$5,2,false),"")</f>
        <v/>
      </c>
      <c r="G286" s="60" t="str">
        <f t="array" ref="G286">IFERROR(INDEX('testmo-export-repository'!$B$2:$X$1000,MATCH($B286,'testmo-export-repository'!$A$2:$A$1000,false),MATCH(G$2,'testmo-export-repository'!$B$1:$X$1,false)),"")</f>
        <v/>
      </c>
      <c r="H286" s="60" t="str">
        <f t="array" ref="H286">IFERROR(INDEX('testmo-export-repository'!$B$2:$X$1000,MATCH($B286,'testmo-export-repository'!$A$2:$A$1000,false),MATCH(H$2,'testmo-export-repository'!$B$1:$X$1,false)),"")</f>
        <v/>
      </c>
      <c r="I286" s="60" t="str">
        <f t="array" ref="I286">IFERROR(INDEX('testmo-export-repository'!$B$2:$X$1000,MATCH($B286,'testmo-export-repository'!$A$2:$A$1000,false),MATCH(I$2,'testmo-export-repository'!$B$1:$X$1,false)),"")</f>
        <v/>
      </c>
      <c r="J286" s="60" t="str">
        <f t="array" ref="J286">IFERROR(INDEX('testmo-export-repository'!$B$2:$Y$1000,MATCH($B286,'testmo-export-repository'!$A$2:$A$1000,false),MATCH(J$2,'testmo-export-repository'!$B$1:$Y$1,false)),"")</f>
        <v/>
      </c>
      <c r="K286" s="60" t="str">
        <f t="array" ref="K286">IFERROR(INDEX('testmo-export-repository'!$B$2:$Y$1000,MATCH($B286,'testmo-export-repository'!$A$2:$A$1000,false),MATCH(K$2,'testmo-export-repository'!$B$1:$Y$1,false)),"")</f>
        <v/>
      </c>
    </row>
    <row r="287">
      <c r="B287" s="60" t="str">
        <f>'testmo-export-repository'!A286</f>
        <v/>
      </c>
      <c r="C287" s="60" t="str">
        <f t="array" ref="C287">IFERROR(INDEX('testmo-export-repository'!$B$2:$X$1000,MATCH($B287,'testmo-export-repository'!$A$2:$A$1000,false),MATCH(C$2,'testmo-export-repository'!$B$1:$X$1,false)),"")</f>
        <v/>
      </c>
      <c r="D287" s="60" t="str">
        <f t="array" ref="D287">IFERROR(INDEX('testmo-export-repository'!$B$2:$X$1000,MATCH($B287,'testmo-export-repository'!$A$2:$A$1000,false),MATCH(D$2,'testmo-export-repository'!$B$1:$X$1,false)),"")</f>
        <v/>
      </c>
      <c r="E287" s="60" t="str">
        <f>IFERROR(VLOOKUP($C287,instructions!$N$3:$O$5,2,false),"")</f>
        <v/>
      </c>
      <c r="F287" s="60" t="str">
        <f>IFERROR(VLOOKUP($D287,instructions!$N$3:$O$5,2,false),"")</f>
        <v/>
      </c>
      <c r="G287" s="60" t="str">
        <f t="array" ref="G287">IFERROR(INDEX('testmo-export-repository'!$B$2:$X$1000,MATCH($B287,'testmo-export-repository'!$A$2:$A$1000,false),MATCH(G$2,'testmo-export-repository'!$B$1:$X$1,false)),"")</f>
        <v/>
      </c>
      <c r="H287" s="60" t="str">
        <f t="array" ref="H287">IFERROR(INDEX('testmo-export-repository'!$B$2:$X$1000,MATCH($B287,'testmo-export-repository'!$A$2:$A$1000,false),MATCH(H$2,'testmo-export-repository'!$B$1:$X$1,false)),"")</f>
        <v/>
      </c>
      <c r="I287" s="60" t="str">
        <f t="array" ref="I287">IFERROR(INDEX('testmo-export-repository'!$B$2:$X$1000,MATCH($B287,'testmo-export-repository'!$A$2:$A$1000,false),MATCH(I$2,'testmo-export-repository'!$B$1:$X$1,false)),"")</f>
        <v/>
      </c>
      <c r="J287" s="60" t="str">
        <f t="array" ref="J287">IFERROR(INDEX('testmo-export-repository'!$B$2:$Y$1000,MATCH($B287,'testmo-export-repository'!$A$2:$A$1000,false),MATCH(J$2,'testmo-export-repository'!$B$1:$Y$1,false)),"")</f>
        <v/>
      </c>
      <c r="K287" s="60" t="str">
        <f t="array" ref="K287">IFERROR(INDEX('testmo-export-repository'!$B$2:$Y$1000,MATCH($B287,'testmo-export-repository'!$A$2:$A$1000,false),MATCH(K$2,'testmo-export-repository'!$B$1:$Y$1,false)),"")</f>
        <v/>
      </c>
    </row>
    <row r="288">
      <c r="B288" s="60" t="str">
        <f>'testmo-export-repository'!A287</f>
        <v/>
      </c>
      <c r="C288" s="60" t="str">
        <f t="array" ref="C288">IFERROR(INDEX('testmo-export-repository'!$B$2:$X$1000,MATCH($B288,'testmo-export-repository'!$A$2:$A$1000,false),MATCH(C$2,'testmo-export-repository'!$B$1:$X$1,false)),"")</f>
        <v/>
      </c>
      <c r="D288" s="60" t="str">
        <f t="array" ref="D288">IFERROR(INDEX('testmo-export-repository'!$B$2:$X$1000,MATCH($B288,'testmo-export-repository'!$A$2:$A$1000,false),MATCH(D$2,'testmo-export-repository'!$B$1:$X$1,false)),"")</f>
        <v/>
      </c>
      <c r="E288" s="60" t="str">
        <f>IFERROR(VLOOKUP($C288,instructions!$N$3:$O$5,2,false),"")</f>
        <v/>
      </c>
      <c r="F288" s="60" t="str">
        <f>IFERROR(VLOOKUP($D288,instructions!$N$3:$O$5,2,false),"")</f>
        <v/>
      </c>
      <c r="G288" s="60" t="str">
        <f t="array" ref="G288">IFERROR(INDEX('testmo-export-repository'!$B$2:$X$1000,MATCH($B288,'testmo-export-repository'!$A$2:$A$1000,false),MATCH(G$2,'testmo-export-repository'!$B$1:$X$1,false)),"")</f>
        <v/>
      </c>
      <c r="H288" s="60" t="str">
        <f t="array" ref="H288">IFERROR(INDEX('testmo-export-repository'!$B$2:$X$1000,MATCH($B288,'testmo-export-repository'!$A$2:$A$1000,false),MATCH(H$2,'testmo-export-repository'!$B$1:$X$1,false)),"")</f>
        <v/>
      </c>
      <c r="I288" s="60" t="str">
        <f t="array" ref="I288">IFERROR(INDEX('testmo-export-repository'!$B$2:$X$1000,MATCH($B288,'testmo-export-repository'!$A$2:$A$1000,false),MATCH(I$2,'testmo-export-repository'!$B$1:$X$1,false)),"")</f>
        <v/>
      </c>
      <c r="J288" s="60" t="str">
        <f t="array" ref="J288">IFERROR(INDEX('testmo-export-repository'!$B$2:$Y$1000,MATCH($B288,'testmo-export-repository'!$A$2:$A$1000,false),MATCH(J$2,'testmo-export-repository'!$B$1:$Y$1,false)),"")</f>
        <v/>
      </c>
      <c r="K288" s="60" t="str">
        <f t="array" ref="K288">IFERROR(INDEX('testmo-export-repository'!$B$2:$Y$1000,MATCH($B288,'testmo-export-repository'!$A$2:$A$1000,false),MATCH(K$2,'testmo-export-repository'!$B$1:$Y$1,false)),"")</f>
        <v/>
      </c>
    </row>
    <row r="289">
      <c r="B289" s="60" t="str">
        <f>'testmo-export-repository'!A288</f>
        <v/>
      </c>
      <c r="C289" s="60" t="str">
        <f t="array" ref="C289">IFERROR(INDEX('testmo-export-repository'!$B$2:$X$1000,MATCH($B289,'testmo-export-repository'!$A$2:$A$1000,false),MATCH(C$2,'testmo-export-repository'!$B$1:$X$1,false)),"")</f>
        <v/>
      </c>
      <c r="D289" s="60" t="str">
        <f t="array" ref="D289">IFERROR(INDEX('testmo-export-repository'!$B$2:$X$1000,MATCH($B289,'testmo-export-repository'!$A$2:$A$1000,false),MATCH(D$2,'testmo-export-repository'!$B$1:$X$1,false)),"")</f>
        <v/>
      </c>
      <c r="E289" s="60" t="str">
        <f>IFERROR(VLOOKUP($C289,instructions!$N$3:$O$5,2,false),"")</f>
        <v/>
      </c>
      <c r="F289" s="60" t="str">
        <f>IFERROR(VLOOKUP($D289,instructions!$N$3:$O$5,2,false),"")</f>
        <v/>
      </c>
      <c r="G289" s="60" t="str">
        <f t="array" ref="G289">IFERROR(INDEX('testmo-export-repository'!$B$2:$X$1000,MATCH($B289,'testmo-export-repository'!$A$2:$A$1000,false),MATCH(G$2,'testmo-export-repository'!$B$1:$X$1,false)),"")</f>
        <v/>
      </c>
      <c r="H289" s="60" t="str">
        <f t="array" ref="H289">IFERROR(INDEX('testmo-export-repository'!$B$2:$X$1000,MATCH($B289,'testmo-export-repository'!$A$2:$A$1000,false),MATCH(H$2,'testmo-export-repository'!$B$1:$X$1,false)),"")</f>
        <v/>
      </c>
      <c r="I289" s="60" t="str">
        <f t="array" ref="I289">IFERROR(INDEX('testmo-export-repository'!$B$2:$X$1000,MATCH($B289,'testmo-export-repository'!$A$2:$A$1000,false),MATCH(I$2,'testmo-export-repository'!$B$1:$X$1,false)),"")</f>
        <v/>
      </c>
      <c r="J289" s="60" t="str">
        <f t="array" ref="J289">IFERROR(INDEX('testmo-export-repository'!$B$2:$Y$1000,MATCH($B289,'testmo-export-repository'!$A$2:$A$1000,false),MATCH(J$2,'testmo-export-repository'!$B$1:$Y$1,false)),"")</f>
        <v/>
      </c>
      <c r="K289" s="60" t="str">
        <f t="array" ref="K289">IFERROR(INDEX('testmo-export-repository'!$B$2:$Y$1000,MATCH($B289,'testmo-export-repository'!$A$2:$A$1000,false),MATCH(K$2,'testmo-export-repository'!$B$1:$Y$1,false)),"")</f>
        <v/>
      </c>
    </row>
    <row r="290">
      <c r="B290" s="60" t="str">
        <f>'testmo-export-repository'!A289</f>
        <v/>
      </c>
      <c r="C290" s="60" t="str">
        <f t="array" ref="C290">IFERROR(INDEX('testmo-export-repository'!$B$2:$X$1000,MATCH($B290,'testmo-export-repository'!$A$2:$A$1000,false),MATCH(C$2,'testmo-export-repository'!$B$1:$X$1,false)),"")</f>
        <v/>
      </c>
      <c r="D290" s="60" t="str">
        <f t="array" ref="D290">IFERROR(INDEX('testmo-export-repository'!$B$2:$X$1000,MATCH($B290,'testmo-export-repository'!$A$2:$A$1000,false),MATCH(D$2,'testmo-export-repository'!$B$1:$X$1,false)),"")</f>
        <v/>
      </c>
      <c r="E290" s="60" t="str">
        <f>IFERROR(VLOOKUP($C290,instructions!$N$3:$O$5,2,false),"")</f>
        <v/>
      </c>
      <c r="F290" s="60" t="str">
        <f>IFERROR(VLOOKUP($D290,instructions!$N$3:$O$5,2,false),"")</f>
        <v/>
      </c>
      <c r="G290" s="60" t="str">
        <f t="array" ref="G290">IFERROR(INDEX('testmo-export-repository'!$B$2:$X$1000,MATCH($B290,'testmo-export-repository'!$A$2:$A$1000,false),MATCH(G$2,'testmo-export-repository'!$B$1:$X$1,false)),"")</f>
        <v/>
      </c>
      <c r="H290" s="60" t="str">
        <f t="array" ref="H290">IFERROR(INDEX('testmo-export-repository'!$B$2:$X$1000,MATCH($B290,'testmo-export-repository'!$A$2:$A$1000,false),MATCH(H$2,'testmo-export-repository'!$B$1:$X$1,false)),"")</f>
        <v/>
      </c>
      <c r="I290" s="60" t="str">
        <f t="array" ref="I290">IFERROR(INDEX('testmo-export-repository'!$B$2:$X$1000,MATCH($B290,'testmo-export-repository'!$A$2:$A$1000,false),MATCH(I$2,'testmo-export-repository'!$B$1:$X$1,false)),"")</f>
        <v/>
      </c>
      <c r="J290" s="60" t="str">
        <f t="array" ref="J290">IFERROR(INDEX('testmo-export-repository'!$B$2:$Y$1000,MATCH($B290,'testmo-export-repository'!$A$2:$A$1000,false),MATCH(J$2,'testmo-export-repository'!$B$1:$Y$1,false)),"")</f>
        <v/>
      </c>
      <c r="K290" s="60" t="str">
        <f t="array" ref="K290">IFERROR(INDEX('testmo-export-repository'!$B$2:$Y$1000,MATCH($B290,'testmo-export-repository'!$A$2:$A$1000,false),MATCH(K$2,'testmo-export-repository'!$B$1:$Y$1,false)),"")</f>
        <v/>
      </c>
    </row>
    <row r="291">
      <c r="B291" s="60" t="str">
        <f>'testmo-export-repository'!A290</f>
        <v/>
      </c>
      <c r="C291" s="60" t="str">
        <f t="array" ref="C291">IFERROR(INDEX('testmo-export-repository'!$B$2:$X$1000,MATCH($B291,'testmo-export-repository'!$A$2:$A$1000,false),MATCH(C$2,'testmo-export-repository'!$B$1:$X$1,false)),"")</f>
        <v/>
      </c>
      <c r="D291" s="60" t="str">
        <f t="array" ref="D291">IFERROR(INDEX('testmo-export-repository'!$B$2:$X$1000,MATCH($B291,'testmo-export-repository'!$A$2:$A$1000,false),MATCH(D$2,'testmo-export-repository'!$B$1:$X$1,false)),"")</f>
        <v/>
      </c>
      <c r="E291" s="60" t="str">
        <f>IFERROR(VLOOKUP($C291,instructions!$N$3:$O$5,2,false),"")</f>
        <v/>
      </c>
      <c r="F291" s="60" t="str">
        <f>IFERROR(VLOOKUP($D291,instructions!$N$3:$O$5,2,false),"")</f>
        <v/>
      </c>
      <c r="G291" s="60" t="str">
        <f t="array" ref="G291">IFERROR(INDEX('testmo-export-repository'!$B$2:$X$1000,MATCH($B291,'testmo-export-repository'!$A$2:$A$1000,false),MATCH(G$2,'testmo-export-repository'!$B$1:$X$1,false)),"")</f>
        <v/>
      </c>
      <c r="H291" s="60" t="str">
        <f t="array" ref="H291">IFERROR(INDEX('testmo-export-repository'!$B$2:$X$1000,MATCH($B291,'testmo-export-repository'!$A$2:$A$1000,false),MATCH(H$2,'testmo-export-repository'!$B$1:$X$1,false)),"")</f>
        <v/>
      </c>
      <c r="I291" s="60" t="str">
        <f t="array" ref="I291">IFERROR(INDEX('testmo-export-repository'!$B$2:$X$1000,MATCH($B291,'testmo-export-repository'!$A$2:$A$1000,false),MATCH(I$2,'testmo-export-repository'!$B$1:$X$1,false)),"")</f>
        <v/>
      </c>
      <c r="J291" s="60" t="str">
        <f t="array" ref="J291">IFERROR(INDEX('testmo-export-repository'!$B$2:$Y$1000,MATCH($B291,'testmo-export-repository'!$A$2:$A$1000,false),MATCH(J$2,'testmo-export-repository'!$B$1:$Y$1,false)),"")</f>
        <v/>
      </c>
      <c r="K291" s="60" t="str">
        <f t="array" ref="K291">IFERROR(INDEX('testmo-export-repository'!$B$2:$Y$1000,MATCH($B291,'testmo-export-repository'!$A$2:$A$1000,false),MATCH(K$2,'testmo-export-repository'!$B$1:$Y$1,false)),"")</f>
        <v/>
      </c>
    </row>
    <row r="292">
      <c r="B292" s="60" t="str">
        <f>'testmo-export-repository'!A291</f>
        <v/>
      </c>
      <c r="C292" s="60" t="str">
        <f t="array" ref="C292">IFERROR(INDEX('testmo-export-repository'!$B$2:$X$1000,MATCH($B292,'testmo-export-repository'!$A$2:$A$1000,false),MATCH(C$2,'testmo-export-repository'!$B$1:$X$1,false)),"")</f>
        <v/>
      </c>
      <c r="D292" s="60" t="str">
        <f t="array" ref="D292">IFERROR(INDEX('testmo-export-repository'!$B$2:$X$1000,MATCH($B292,'testmo-export-repository'!$A$2:$A$1000,false),MATCH(D$2,'testmo-export-repository'!$B$1:$X$1,false)),"")</f>
        <v/>
      </c>
      <c r="E292" s="60" t="str">
        <f>IFERROR(VLOOKUP($C292,instructions!$N$3:$O$5,2,false),"")</f>
        <v/>
      </c>
      <c r="F292" s="60" t="str">
        <f>IFERROR(VLOOKUP($D292,instructions!$N$3:$O$5,2,false),"")</f>
        <v/>
      </c>
      <c r="G292" s="60" t="str">
        <f t="array" ref="G292">IFERROR(INDEX('testmo-export-repository'!$B$2:$X$1000,MATCH($B292,'testmo-export-repository'!$A$2:$A$1000,false),MATCH(G$2,'testmo-export-repository'!$B$1:$X$1,false)),"")</f>
        <v/>
      </c>
      <c r="H292" s="60" t="str">
        <f t="array" ref="H292">IFERROR(INDEX('testmo-export-repository'!$B$2:$X$1000,MATCH($B292,'testmo-export-repository'!$A$2:$A$1000,false),MATCH(H$2,'testmo-export-repository'!$B$1:$X$1,false)),"")</f>
        <v/>
      </c>
      <c r="I292" s="60" t="str">
        <f t="array" ref="I292">IFERROR(INDEX('testmo-export-repository'!$B$2:$X$1000,MATCH($B292,'testmo-export-repository'!$A$2:$A$1000,false),MATCH(I$2,'testmo-export-repository'!$B$1:$X$1,false)),"")</f>
        <v/>
      </c>
      <c r="J292" s="60" t="str">
        <f t="array" ref="J292">IFERROR(INDEX('testmo-export-repository'!$B$2:$Y$1000,MATCH($B292,'testmo-export-repository'!$A$2:$A$1000,false),MATCH(J$2,'testmo-export-repository'!$B$1:$Y$1,false)),"")</f>
        <v/>
      </c>
      <c r="K292" s="60" t="str">
        <f t="array" ref="K292">IFERROR(INDEX('testmo-export-repository'!$B$2:$Y$1000,MATCH($B292,'testmo-export-repository'!$A$2:$A$1000,false),MATCH(K$2,'testmo-export-repository'!$B$1:$Y$1,false)),"")</f>
        <v/>
      </c>
    </row>
    <row r="293">
      <c r="B293" s="60" t="str">
        <f>'testmo-export-repository'!A292</f>
        <v/>
      </c>
      <c r="C293" s="60" t="str">
        <f t="array" ref="C293">IFERROR(INDEX('testmo-export-repository'!$B$2:$X$1000,MATCH($B293,'testmo-export-repository'!$A$2:$A$1000,false),MATCH(C$2,'testmo-export-repository'!$B$1:$X$1,false)),"")</f>
        <v/>
      </c>
      <c r="D293" s="60" t="str">
        <f t="array" ref="D293">IFERROR(INDEX('testmo-export-repository'!$B$2:$X$1000,MATCH($B293,'testmo-export-repository'!$A$2:$A$1000,false),MATCH(D$2,'testmo-export-repository'!$B$1:$X$1,false)),"")</f>
        <v/>
      </c>
      <c r="E293" s="60" t="str">
        <f>IFERROR(VLOOKUP($C293,instructions!$N$3:$O$5,2,false),"")</f>
        <v/>
      </c>
      <c r="F293" s="60" t="str">
        <f>IFERROR(VLOOKUP($D293,instructions!$N$3:$O$5,2,false),"")</f>
        <v/>
      </c>
      <c r="G293" s="60" t="str">
        <f t="array" ref="G293">IFERROR(INDEX('testmo-export-repository'!$B$2:$X$1000,MATCH($B293,'testmo-export-repository'!$A$2:$A$1000,false),MATCH(G$2,'testmo-export-repository'!$B$1:$X$1,false)),"")</f>
        <v/>
      </c>
      <c r="H293" s="60" t="str">
        <f t="array" ref="H293">IFERROR(INDEX('testmo-export-repository'!$B$2:$X$1000,MATCH($B293,'testmo-export-repository'!$A$2:$A$1000,false),MATCH(H$2,'testmo-export-repository'!$B$1:$X$1,false)),"")</f>
        <v/>
      </c>
      <c r="I293" s="60" t="str">
        <f t="array" ref="I293">IFERROR(INDEX('testmo-export-repository'!$B$2:$X$1000,MATCH($B293,'testmo-export-repository'!$A$2:$A$1000,false),MATCH(I$2,'testmo-export-repository'!$B$1:$X$1,false)),"")</f>
        <v/>
      </c>
      <c r="J293" s="60" t="str">
        <f t="array" ref="J293">IFERROR(INDEX('testmo-export-repository'!$B$2:$Y$1000,MATCH($B293,'testmo-export-repository'!$A$2:$A$1000,false),MATCH(J$2,'testmo-export-repository'!$B$1:$Y$1,false)),"")</f>
        <v/>
      </c>
      <c r="K293" s="60" t="str">
        <f t="array" ref="K293">IFERROR(INDEX('testmo-export-repository'!$B$2:$Y$1000,MATCH($B293,'testmo-export-repository'!$A$2:$A$1000,false),MATCH(K$2,'testmo-export-repository'!$B$1:$Y$1,false)),"")</f>
        <v/>
      </c>
    </row>
    <row r="294">
      <c r="B294" s="60" t="str">
        <f>'testmo-export-repository'!A293</f>
        <v/>
      </c>
      <c r="C294" s="60" t="str">
        <f t="array" ref="C294">IFERROR(INDEX('testmo-export-repository'!$B$2:$X$1000,MATCH($B294,'testmo-export-repository'!$A$2:$A$1000,false),MATCH(C$2,'testmo-export-repository'!$B$1:$X$1,false)),"")</f>
        <v/>
      </c>
      <c r="D294" s="60" t="str">
        <f t="array" ref="D294">IFERROR(INDEX('testmo-export-repository'!$B$2:$X$1000,MATCH($B294,'testmo-export-repository'!$A$2:$A$1000,false),MATCH(D$2,'testmo-export-repository'!$B$1:$X$1,false)),"")</f>
        <v/>
      </c>
      <c r="E294" s="60" t="str">
        <f>IFERROR(VLOOKUP($C294,instructions!$N$3:$O$5,2,false),"")</f>
        <v/>
      </c>
      <c r="F294" s="60" t="str">
        <f>IFERROR(VLOOKUP($D294,instructions!$N$3:$O$5,2,false),"")</f>
        <v/>
      </c>
      <c r="G294" s="60" t="str">
        <f t="array" ref="G294">IFERROR(INDEX('testmo-export-repository'!$B$2:$X$1000,MATCH($B294,'testmo-export-repository'!$A$2:$A$1000,false),MATCH(G$2,'testmo-export-repository'!$B$1:$X$1,false)),"")</f>
        <v/>
      </c>
      <c r="H294" s="60" t="str">
        <f t="array" ref="H294">IFERROR(INDEX('testmo-export-repository'!$B$2:$X$1000,MATCH($B294,'testmo-export-repository'!$A$2:$A$1000,false),MATCH(H$2,'testmo-export-repository'!$B$1:$X$1,false)),"")</f>
        <v/>
      </c>
      <c r="I294" s="60" t="str">
        <f t="array" ref="I294">IFERROR(INDEX('testmo-export-repository'!$B$2:$X$1000,MATCH($B294,'testmo-export-repository'!$A$2:$A$1000,false),MATCH(I$2,'testmo-export-repository'!$B$1:$X$1,false)),"")</f>
        <v/>
      </c>
      <c r="J294" s="60" t="str">
        <f t="array" ref="J294">IFERROR(INDEX('testmo-export-repository'!$B$2:$Y$1000,MATCH($B294,'testmo-export-repository'!$A$2:$A$1000,false),MATCH(J$2,'testmo-export-repository'!$B$1:$Y$1,false)),"")</f>
        <v/>
      </c>
      <c r="K294" s="60" t="str">
        <f t="array" ref="K294">IFERROR(INDEX('testmo-export-repository'!$B$2:$Y$1000,MATCH($B294,'testmo-export-repository'!$A$2:$A$1000,false),MATCH(K$2,'testmo-export-repository'!$B$1:$Y$1,false)),"")</f>
        <v/>
      </c>
    </row>
    <row r="295">
      <c r="B295" s="60" t="str">
        <f>'testmo-export-repository'!A294</f>
        <v/>
      </c>
      <c r="C295" s="60" t="str">
        <f t="array" ref="C295">IFERROR(INDEX('testmo-export-repository'!$B$2:$X$1000,MATCH($B295,'testmo-export-repository'!$A$2:$A$1000,false),MATCH(C$2,'testmo-export-repository'!$B$1:$X$1,false)),"")</f>
        <v/>
      </c>
      <c r="D295" s="60" t="str">
        <f t="array" ref="D295">IFERROR(INDEX('testmo-export-repository'!$B$2:$X$1000,MATCH($B295,'testmo-export-repository'!$A$2:$A$1000,false),MATCH(D$2,'testmo-export-repository'!$B$1:$X$1,false)),"")</f>
        <v/>
      </c>
      <c r="E295" s="60" t="str">
        <f>IFERROR(VLOOKUP($C295,instructions!$N$3:$O$5,2,false),"")</f>
        <v/>
      </c>
      <c r="F295" s="60" t="str">
        <f>IFERROR(VLOOKUP($D295,instructions!$N$3:$O$5,2,false),"")</f>
        <v/>
      </c>
      <c r="G295" s="60" t="str">
        <f t="array" ref="G295">IFERROR(INDEX('testmo-export-repository'!$B$2:$X$1000,MATCH($B295,'testmo-export-repository'!$A$2:$A$1000,false),MATCH(G$2,'testmo-export-repository'!$B$1:$X$1,false)),"")</f>
        <v/>
      </c>
      <c r="H295" s="60" t="str">
        <f t="array" ref="H295">IFERROR(INDEX('testmo-export-repository'!$B$2:$X$1000,MATCH($B295,'testmo-export-repository'!$A$2:$A$1000,false),MATCH(H$2,'testmo-export-repository'!$B$1:$X$1,false)),"")</f>
        <v/>
      </c>
      <c r="I295" s="60" t="str">
        <f t="array" ref="I295">IFERROR(INDEX('testmo-export-repository'!$B$2:$X$1000,MATCH($B295,'testmo-export-repository'!$A$2:$A$1000,false),MATCH(I$2,'testmo-export-repository'!$B$1:$X$1,false)),"")</f>
        <v/>
      </c>
      <c r="J295" s="60" t="str">
        <f t="array" ref="J295">IFERROR(INDEX('testmo-export-repository'!$B$2:$Y$1000,MATCH($B295,'testmo-export-repository'!$A$2:$A$1000,false),MATCH(J$2,'testmo-export-repository'!$B$1:$Y$1,false)),"")</f>
        <v/>
      </c>
      <c r="K295" s="60" t="str">
        <f t="array" ref="K295">IFERROR(INDEX('testmo-export-repository'!$B$2:$Y$1000,MATCH($B295,'testmo-export-repository'!$A$2:$A$1000,false),MATCH(K$2,'testmo-export-repository'!$B$1:$Y$1,false)),"")</f>
        <v/>
      </c>
    </row>
    <row r="296">
      <c r="B296" s="60" t="str">
        <f>'testmo-export-repository'!A295</f>
        <v/>
      </c>
      <c r="C296" s="60" t="str">
        <f t="array" ref="C296">IFERROR(INDEX('testmo-export-repository'!$B$2:$X$1000,MATCH($B296,'testmo-export-repository'!$A$2:$A$1000,false),MATCH(C$2,'testmo-export-repository'!$B$1:$X$1,false)),"")</f>
        <v/>
      </c>
      <c r="D296" s="60" t="str">
        <f t="array" ref="D296">IFERROR(INDEX('testmo-export-repository'!$B$2:$X$1000,MATCH($B296,'testmo-export-repository'!$A$2:$A$1000,false),MATCH(D$2,'testmo-export-repository'!$B$1:$X$1,false)),"")</f>
        <v/>
      </c>
      <c r="E296" s="60" t="str">
        <f>IFERROR(VLOOKUP($C296,instructions!$N$3:$O$5,2,false),"")</f>
        <v/>
      </c>
      <c r="F296" s="60" t="str">
        <f>IFERROR(VLOOKUP($D296,instructions!$N$3:$O$5,2,false),"")</f>
        <v/>
      </c>
      <c r="G296" s="60" t="str">
        <f t="array" ref="G296">IFERROR(INDEX('testmo-export-repository'!$B$2:$X$1000,MATCH($B296,'testmo-export-repository'!$A$2:$A$1000,false),MATCH(G$2,'testmo-export-repository'!$B$1:$X$1,false)),"")</f>
        <v/>
      </c>
      <c r="H296" s="60" t="str">
        <f t="array" ref="H296">IFERROR(INDEX('testmo-export-repository'!$B$2:$X$1000,MATCH($B296,'testmo-export-repository'!$A$2:$A$1000,false),MATCH(H$2,'testmo-export-repository'!$B$1:$X$1,false)),"")</f>
        <v/>
      </c>
      <c r="I296" s="60" t="str">
        <f t="array" ref="I296">IFERROR(INDEX('testmo-export-repository'!$B$2:$X$1000,MATCH($B296,'testmo-export-repository'!$A$2:$A$1000,false),MATCH(I$2,'testmo-export-repository'!$B$1:$X$1,false)),"")</f>
        <v/>
      </c>
      <c r="J296" s="60" t="str">
        <f t="array" ref="J296">IFERROR(INDEX('testmo-export-repository'!$B$2:$Y$1000,MATCH($B296,'testmo-export-repository'!$A$2:$A$1000,false),MATCH(J$2,'testmo-export-repository'!$B$1:$Y$1,false)),"")</f>
        <v/>
      </c>
      <c r="K296" s="60" t="str">
        <f t="array" ref="K296">IFERROR(INDEX('testmo-export-repository'!$B$2:$Y$1000,MATCH($B296,'testmo-export-repository'!$A$2:$A$1000,false),MATCH(K$2,'testmo-export-repository'!$B$1:$Y$1,false)),"")</f>
        <v/>
      </c>
    </row>
    <row r="297">
      <c r="B297" s="60" t="str">
        <f>'testmo-export-repository'!A296</f>
        <v/>
      </c>
      <c r="C297" s="60" t="str">
        <f t="array" ref="C297">IFERROR(INDEX('testmo-export-repository'!$B$2:$X$1000,MATCH($B297,'testmo-export-repository'!$A$2:$A$1000,false),MATCH(C$2,'testmo-export-repository'!$B$1:$X$1,false)),"")</f>
        <v/>
      </c>
      <c r="D297" s="60" t="str">
        <f t="array" ref="D297">IFERROR(INDEX('testmo-export-repository'!$B$2:$X$1000,MATCH($B297,'testmo-export-repository'!$A$2:$A$1000,false),MATCH(D$2,'testmo-export-repository'!$B$1:$X$1,false)),"")</f>
        <v/>
      </c>
      <c r="E297" s="60" t="str">
        <f>IFERROR(VLOOKUP($C297,instructions!$N$3:$O$5,2,false),"")</f>
        <v/>
      </c>
      <c r="F297" s="60" t="str">
        <f>IFERROR(VLOOKUP($D297,instructions!$N$3:$O$5,2,false),"")</f>
        <v/>
      </c>
      <c r="G297" s="60" t="str">
        <f t="array" ref="G297">IFERROR(INDEX('testmo-export-repository'!$B$2:$X$1000,MATCH($B297,'testmo-export-repository'!$A$2:$A$1000,false),MATCH(G$2,'testmo-export-repository'!$B$1:$X$1,false)),"")</f>
        <v/>
      </c>
      <c r="H297" s="60" t="str">
        <f t="array" ref="H297">IFERROR(INDEX('testmo-export-repository'!$B$2:$X$1000,MATCH($B297,'testmo-export-repository'!$A$2:$A$1000,false),MATCH(H$2,'testmo-export-repository'!$B$1:$X$1,false)),"")</f>
        <v/>
      </c>
      <c r="I297" s="60" t="str">
        <f t="array" ref="I297">IFERROR(INDEX('testmo-export-repository'!$B$2:$X$1000,MATCH($B297,'testmo-export-repository'!$A$2:$A$1000,false),MATCH(I$2,'testmo-export-repository'!$B$1:$X$1,false)),"")</f>
        <v/>
      </c>
      <c r="J297" s="60" t="str">
        <f t="array" ref="J297">IFERROR(INDEX('testmo-export-repository'!$B$2:$Y$1000,MATCH($B297,'testmo-export-repository'!$A$2:$A$1000,false),MATCH(J$2,'testmo-export-repository'!$B$1:$Y$1,false)),"")</f>
        <v/>
      </c>
      <c r="K297" s="60" t="str">
        <f t="array" ref="K297">IFERROR(INDEX('testmo-export-repository'!$B$2:$Y$1000,MATCH($B297,'testmo-export-repository'!$A$2:$A$1000,false),MATCH(K$2,'testmo-export-repository'!$B$1:$Y$1,false)),"")</f>
        <v/>
      </c>
    </row>
    <row r="298">
      <c r="B298" s="60" t="str">
        <f>'testmo-export-repository'!A297</f>
        <v/>
      </c>
      <c r="C298" s="60" t="str">
        <f t="array" ref="C298">IFERROR(INDEX('testmo-export-repository'!$B$2:$X$1000,MATCH($B298,'testmo-export-repository'!$A$2:$A$1000,false),MATCH(C$2,'testmo-export-repository'!$B$1:$X$1,false)),"")</f>
        <v/>
      </c>
      <c r="D298" s="60" t="str">
        <f t="array" ref="D298">IFERROR(INDEX('testmo-export-repository'!$B$2:$X$1000,MATCH($B298,'testmo-export-repository'!$A$2:$A$1000,false),MATCH(D$2,'testmo-export-repository'!$B$1:$X$1,false)),"")</f>
        <v/>
      </c>
      <c r="E298" s="60" t="str">
        <f>IFERROR(VLOOKUP($C298,instructions!$N$3:$O$5,2,false),"")</f>
        <v/>
      </c>
      <c r="F298" s="60" t="str">
        <f>IFERROR(VLOOKUP($D298,instructions!$N$3:$O$5,2,false),"")</f>
        <v/>
      </c>
      <c r="G298" s="60" t="str">
        <f t="array" ref="G298">IFERROR(INDEX('testmo-export-repository'!$B$2:$X$1000,MATCH($B298,'testmo-export-repository'!$A$2:$A$1000,false),MATCH(G$2,'testmo-export-repository'!$B$1:$X$1,false)),"")</f>
        <v/>
      </c>
      <c r="H298" s="60" t="str">
        <f t="array" ref="H298">IFERROR(INDEX('testmo-export-repository'!$B$2:$X$1000,MATCH($B298,'testmo-export-repository'!$A$2:$A$1000,false),MATCH(H$2,'testmo-export-repository'!$B$1:$X$1,false)),"")</f>
        <v/>
      </c>
      <c r="I298" s="60" t="str">
        <f t="array" ref="I298">IFERROR(INDEX('testmo-export-repository'!$B$2:$X$1000,MATCH($B298,'testmo-export-repository'!$A$2:$A$1000,false),MATCH(I$2,'testmo-export-repository'!$B$1:$X$1,false)),"")</f>
        <v/>
      </c>
      <c r="J298" s="60" t="str">
        <f t="array" ref="J298">IFERROR(INDEX('testmo-export-repository'!$B$2:$Y$1000,MATCH($B298,'testmo-export-repository'!$A$2:$A$1000,false),MATCH(J$2,'testmo-export-repository'!$B$1:$Y$1,false)),"")</f>
        <v/>
      </c>
      <c r="K298" s="60" t="str">
        <f t="array" ref="K298">IFERROR(INDEX('testmo-export-repository'!$B$2:$Y$1000,MATCH($B298,'testmo-export-repository'!$A$2:$A$1000,false),MATCH(K$2,'testmo-export-repository'!$B$1:$Y$1,false)),"")</f>
        <v/>
      </c>
    </row>
    <row r="299">
      <c r="B299" s="60" t="str">
        <f>'testmo-export-repository'!A298</f>
        <v/>
      </c>
      <c r="C299" s="60" t="str">
        <f t="array" ref="C299">IFERROR(INDEX('testmo-export-repository'!$B$2:$X$1000,MATCH($B299,'testmo-export-repository'!$A$2:$A$1000,false),MATCH(C$2,'testmo-export-repository'!$B$1:$X$1,false)),"")</f>
        <v/>
      </c>
      <c r="D299" s="60" t="str">
        <f t="array" ref="D299">IFERROR(INDEX('testmo-export-repository'!$B$2:$X$1000,MATCH($B299,'testmo-export-repository'!$A$2:$A$1000,false),MATCH(D$2,'testmo-export-repository'!$B$1:$X$1,false)),"")</f>
        <v/>
      </c>
      <c r="E299" s="60" t="str">
        <f>IFERROR(VLOOKUP($C299,instructions!$N$3:$O$5,2,false),"")</f>
        <v/>
      </c>
      <c r="F299" s="60" t="str">
        <f>IFERROR(VLOOKUP($D299,instructions!$N$3:$O$5,2,false),"")</f>
        <v/>
      </c>
      <c r="G299" s="60" t="str">
        <f t="array" ref="G299">IFERROR(INDEX('testmo-export-repository'!$B$2:$X$1000,MATCH($B299,'testmo-export-repository'!$A$2:$A$1000,false),MATCH(G$2,'testmo-export-repository'!$B$1:$X$1,false)),"")</f>
        <v/>
      </c>
      <c r="H299" s="60" t="str">
        <f t="array" ref="H299">IFERROR(INDEX('testmo-export-repository'!$B$2:$X$1000,MATCH($B299,'testmo-export-repository'!$A$2:$A$1000,false),MATCH(H$2,'testmo-export-repository'!$B$1:$X$1,false)),"")</f>
        <v/>
      </c>
      <c r="I299" s="60" t="str">
        <f t="array" ref="I299">IFERROR(INDEX('testmo-export-repository'!$B$2:$X$1000,MATCH($B299,'testmo-export-repository'!$A$2:$A$1000,false),MATCH(I$2,'testmo-export-repository'!$B$1:$X$1,false)),"")</f>
        <v/>
      </c>
      <c r="J299" s="60" t="str">
        <f t="array" ref="J299">IFERROR(INDEX('testmo-export-repository'!$B$2:$Y$1000,MATCH($B299,'testmo-export-repository'!$A$2:$A$1000,false),MATCH(J$2,'testmo-export-repository'!$B$1:$Y$1,false)),"")</f>
        <v/>
      </c>
      <c r="K299" s="60" t="str">
        <f t="array" ref="K299">IFERROR(INDEX('testmo-export-repository'!$B$2:$Y$1000,MATCH($B299,'testmo-export-repository'!$A$2:$A$1000,false),MATCH(K$2,'testmo-export-repository'!$B$1:$Y$1,false)),"")</f>
        <v/>
      </c>
    </row>
    <row r="300">
      <c r="B300" s="60" t="str">
        <f>'testmo-export-repository'!A299</f>
        <v/>
      </c>
      <c r="C300" s="60" t="str">
        <f t="array" ref="C300">IFERROR(INDEX('testmo-export-repository'!$B$2:$X$1000,MATCH($B300,'testmo-export-repository'!$A$2:$A$1000,false),MATCH(C$2,'testmo-export-repository'!$B$1:$X$1,false)),"")</f>
        <v/>
      </c>
      <c r="D300" s="60" t="str">
        <f t="array" ref="D300">IFERROR(INDEX('testmo-export-repository'!$B$2:$X$1000,MATCH($B300,'testmo-export-repository'!$A$2:$A$1000,false),MATCH(D$2,'testmo-export-repository'!$B$1:$X$1,false)),"")</f>
        <v/>
      </c>
      <c r="E300" s="60" t="str">
        <f>IFERROR(VLOOKUP($C300,instructions!$N$3:$O$5,2,false),"")</f>
        <v/>
      </c>
      <c r="F300" s="60" t="str">
        <f>IFERROR(VLOOKUP($D300,instructions!$N$3:$O$5,2,false),"")</f>
        <v/>
      </c>
      <c r="G300" s="60" t="str">
        <f t="array" ref="G300">IFERROR(INDEX('testmo-export-repository'!$B$2:$X$1000,MATCH($B300,'testmo-export-repository'!$A$2:$A$1000,false),MATCH(G$2,'testmo-export-repository'!$B$1:$X$1,false)),"")</f>
        <v/>
      </c>
      <c r="H300" s="60" t="str">
        <f t="array" ref="H300">IFERROR(INDEX('testmo-export-repository'!$B$2:$X$1000,MATCH($B300,'testmo-export-repository'!$A$2:$A$1000,false),MATCH(H$2,'testmo-export-repository'!$B$1:$X$1,false)),"")</f>
        <v/>
      </c>
      <c r="I300" s="60" t="str">
        <f t="array" ref="I300">IFERROR(INDEX('testmo-export-repository'!$B$2:$X$1000,MATCH($B300,'testmo-export-repository'!$A$2:$A$1000,false),MATCH(I$2,'testmo-export-repository'!$B$1:$X$1,false)),"")</f>
        <v/>
      </c>
      <c r="J300" s="60" t="str">
        <f t="array" ref="J300">IFERROR(INDEX('testmo-export-repository'!$B$2:$Y$1000,MATCH($B300,'testmo-export-repository'!$A$2:$A$1000,false),MATCH(J$2,'testmo-export-repository'!$B$1:$Y$1,false)),"")</f>
        <v/>
      </c>
      <c r="K300" s="60" t="str">
        <f t="array" ref="K300">IFERROR(INDEX('testmo-export-repository'!$B$2:$Y$1000,MATCH($B300,'testmo-export-repository'!$A$2:$A$1000,false),MATCH(K$2,'testmo-export-repository'!$B$1:$Y$1,false)),"")</f>
        <v/>
      </c>
    </row>
    <row r="301">
      <c r="B301" s="60" t="str">
        <f>'testmo-export-repository'!A300</f>
        <v/>
      </c>
      <c r="C301" s="60" t="str">
        <f t="array" ref="C301">IFERROR(INDEX('testmo-export-repository'!$B$2:$X$1000,MATCH($B301,'testmo-export-repository'!$A$2:$A$1000,false),MATCH(C$2,'testmo-export-repository'!$B$1:$X$1,false)),"")</f>
        <v/>
      </c>
      <c r="D301" s="60" t="str">
        <f t="array" ref="D301">IFERROR(INDEX('testmo-export-repository'!$B$2:$X$1000,MATCH($B301,'testmo-export-repository'!$A$2:$A$1000,false),MATCH(D$2,'testmo-export-repository'!$B$1:$X$1,false)),"")</f>
        <v/>
      </c>
      <c r="E301" s="60" t="str">
        <f>IFERROR(VLOOKUP($C301,instructions!$N$3:$O$5,2,false),"")</f>
        <v/>
      </c>
      <c r="F301" s="60" t="str">
        <f>IFERROR(VLOOKUP($D301,instructions!$N$3:$O$5,2,false),"")</f>
        <v/>
      </c>
      <c r="G301" s="60" t="str">
        <f t="array" ref="G301">IFERROR(INDEX('testmo-export-repository'!$B$2:$X$1000,MATCH($B301,'testmo-export-repository'!$A$2:$A$1000,false),MATCH(G$2,'testmo-export-repository'!$B$1:$X$1,false)),"")</f>
        <v/>
      </c>
      <c r="H301" s="60" t="str">
        <f t="array" ref="H301">IFERROR(INDEX('testmo-export-repository'!$B$2:$X$1000,MATCH($B301,'testmo-export-repository'!$A$2:$A$1000,false),MATCH(H$2,'testmo-export-repository'!$B$1:$X$1,false)),"")</f>
        <v/>
      </c>
      <c r="I301" s="60" t="str">
        <f t="array" ref="I301">IFERROR(INDEX('testmo-export-repository'!$B$2:$X$1000,MATCH($B301,'testmo-export-repository'!$A$2:$A$1000,false),MATCH(I$2,'testmo-export-repository'!$B$1:$X$1,false)),"")</f>
        <v/>
      </c>
      <c r="J301" s="60" t="str">
        <f t="array" ref="J301">IFERROR(INDEX('testmo-export-repository'!$B$2:$Y$1000,MATCH($B301,'testmo-export-repository'!$A$2:$A$1000,false),MATCH(J$2,'testmo-export-repository'!$B$1:$Y$1,false)),"")</f>
        <v/>
      </c>
      <c r="K301" s="60" t="str">
        <f t="array" ref="K301">IFERROR(INDEX('testmo-export-repository'!$B$2:$Y$1000,MATCH($B301,'testmo-export-repository'!$A$2:$A$1000,false),MATCH(K$2,'testmo-export-repository'!$B$1:$Y$1,false)),"")</f>
        <v/>
      </c>
    </row>
    <row r="302">
      <c r="B302" s="60" t="str">
        <f>'testmo-export-repository'!A301</f>
        <v/>
      </c>
      <c r="C302" s="60" t="str">
        <f t="array" ref="C302">IFERROR(INDEX('testmo-export-repository'!$B$2:$X$1000,MATCH($B302,'testmo-export-repository'!$A$2:$A$1000,false),MATCH(C$2,'testmo-export-repository'!$B$1:$X$1,false)),"")</f>
        <v/>
      </c>
      <c r="D302" s="60" t="str">
        <f t="array" ref="D302">IFERROR(INDEX('testmo-export-repository'!$B$2:$X$1000,MATCH($B302,'testmo-export-repository'!$A$2:$A$1000,false),MATCH(D$2,'testmo-export-repository'!$B$1:$X$1,false)),"")</f>
        <v/>
      </c>
      <c r="E302" s="60" t="str">
        <f>IFERROR(VLOOKUP($C302,instructions!$N$3:$O$5,2,false),"")</f>
        <v/>
      </c>
      <c r="F302" s="60" t="str">
        <f>IFERROR(VLOOKUP($D302,instructions!$N$3:$O$5,2,false),"")</f>
        <v/>
      </c>
      <c r="G302" s="60" t="str">
        <f t="array" ref="G302">IFERROR(INDEX('testmo-export-repository'!$B$2:$X$1000,MATCH($B302,'testmo-export-repository'!$A$2:$A$1000,false),MATCH(G$2,'testmo-export-repository'!$B$1:$X$1,false)),"")</f>
        <v/>
      </c>
      <c r="H302" s="60" t="str">
        <f t="array" ref="H302">IFERROR(INDEX('testmo-export-repository'!$B$2:$X$1000,MATCH($B302,'testmo-export-repository'!$A$2:$A$1000,false),MATCH(H$2,'testmo-export-repository'!$B$1:$X$1,false)),"")</f>
        <v/>
      </c>
      <c r="I302" s="60" t="str">
        <f t="array" ref="I302">IFERROR(INDEX('testmo-export-repository'!$B$2:$X$1000,MATCH($B302,'testmo-export-repository'!$A$2:$A$1000,false),MATCH(I$2,'testmo-export-repository'!$B$1:$X$1,false)),"")</f>
        <v/>
      </c>
      <c r="J302" s="60" t="str">
        <f t="array" ref="J302">IFERROR(INDEX('testmo-export-repository'!$B$2:$Y$1000,MATCH($B302,'testmo-export-repository'!$A$2:$A$1000,false),MATCH(J$2,'testmo-export-repository'!$B$1:$Y$1,false)),"")</f>
        <v/>
      </c>
      <c r="K302" s="60" t="str">
        <f t="array" ref="K302">IFERROR(INDEX('testmo-export-repository'!$B$2:$Y$1000,MATCH($B302,'testmo-export-repository'!$A$2:$A$1000,false),MATCH(K$2,'testmo-export-repository'!$B$1:$Y$1,false)),"")</f>
        <v/>
      </c>
    </row>
    <row r="303">
      <c r="B303" s="60" t="str">
        <f>'testmo-export-repository'!A302</f>
        <v/>
      </c>
      <c r="C303" s="60" t="str">
        <f t="array" ref="C303">IFERROR(INDEX('testmo-export-repository'!$B$2:$X$1000,MATCH($B303,'testmo-export-repository'!$A$2:$A$1000,false),MATCH(C$2,'testmo-export-repository'!$B$1:$X$1,false)),"")</f>
        <v/>
      </c>
      <c r="D303" s="60" t="str">
        <f t="array" ref="D303">IFERROR(INDEX('testmo-export-repository'!$B$2:$X$1000,MATCH($B303,'testmo-export-repository'!$A$2:$A$1000,false),MATCH(D$2,'testmo-export-repository'!$B$1:$X$1,false)),"")</f>
        <v/>
      </c>
      <c r="E303" s="60" t="str">
        <f>IFERROR(VLOOKUP($C303,instructions!$N$3:$O$5,2,false),"")</f>
        <v/>
      </c>
      <c r="F303" s="60" t="str">
        <f>IFERROR(VLOOKUP($D303,instructions!$N$3:$O$5,2,false),"")</f>
        <v/>
      </c>
      <c r="G303" s="60" t="str">
        <f t="array" ref="G303">IFERROR(INDEX('testmo-export-repository'!$B$2:$X$1000,MATCH($B303,'testmo-export-repository'!$A$2:$A$1000,false),MATCH(G$2,'testmo-export-repository'!$B$1:$X$1,false)),"")</f>
        <v/>
      </c>
      <c r="H303" s="60" t="str">
        <f t="array" ref="H303">IFERROR(INDEX('testmo-export-repository'!$B$2:$X$1000,MATCH($B303,'testmo-export-repository'!$A$2:$A$1000,false),MATCH(H$2,'testmo-export-repository'!$B$1:$X$1,false)),"")</f>
        <v/>
      </c>
      <c r="I303" s="60" t="str">
        <f t="array" ref="I303">IFERROR(INDEX('testmo-export-repository'!$B$2:$X$1000,MATCH($B303,'testmo-export-repository'!$A$2:$A$1000,false),MATCH(I$2,'testmo-export-repository'!$B$1:$X$1,false)),"")</f>
        <v/>
      </c>
      <c r="J303" s="60" t="str">
        <f t="array" ref="J303">IFERROR(INDEX('testmo-export-repository'!$B$2:$Y$1000,MATCH($B303,'testmo-export-repository'!$A$2:$A$1000,false),MATCH(J$2,'testmo-export-repository'!$B$1:$Y$1,false)),"")</f>
        <v/>
      </c>
      <c r="K303" s="60" t="str">
        <f t="array" ref="K303">IFERROR(INDEX('testmo-export-repository'!$B$2:$Y$1000,MATCH($B303,'testmo-export-repository'!$A$2:$A$1000,false),MATCH(K$2,'testmo-export-repository'!$B$1:$Y$1,false)),"")</f>
        <v/>
      </c>
    </row>
    <row r="304">
      <c r="B304" s="60" t="str">
        <f>'testmo-export-repository'!A303</f>
        <v/>
      </c>
      <c r="C304" s="60" t="str">
        <f t="array" ref="C304">IFERROR(INDEX('testmo-export-repository'!$B$2:$X$1000,MATCH($B304,'testmo-export-repository'!$A$2:$A$1000,false),MATCH(C$2,'testmo-export-repository'!$B$1:$X$1,false)),"")</f>
        <v/>
      </c>
      <c r="D304" s="60" t="str">
        <f t="array" ref="D304">IFERROR(INDEX('testmo-export-repository'!$B$2:$X$1000,MATCH($B304,'testmo-export-repository'!$A$2:$A$1000,false),MATCH(D$2,'testmo-export-repository'!$B$1:$X$1,false)),"")</f>
        <v/>
      </c>
      <c r="E304" s="60" t="str">
        <f>IFERROR(VLOOKUP($C304,instructions!$N$3:$O$5,2,false),"")</f>
        <v/>
      </c>
      <c r="F304" s="60" t="str">
        <f>IFERROR(VLOOKUP($D304,instructions!$N$3:$O$5,2,false),"")</f>
        <v/>
      </c>
      <c r="G304" s="60" t="str">
        <f t="array" ref="G304">IFERROR(INDEX('testmo-export-repository'!$B$2:$X$1000,MATCH($B304,'testmo-export-repository'!$A$2:$A$1000,false),MATCH(G$2,'testmo-export-repository'!$B$1:$X$1,false)),"")</f>
        <v/>
      </c>
      <c r="H304" s="60" t="str">
        <f t="array" ref="H304">IFERROR(INDEX('testmo-export-repository'!$B$2:$X$1000,MATCH($B304,'testmo-export-repository'!$A$2:$A$1000,false),MATCH(H$2,'testmo-export-repository'!$B$1:$X$1,false)),"")</f>
        <v/>
      </c>
      <c r="I304" s="60" t="str">
        <f t="array" ref="I304">IFERROR(INDEX('testmo-export-repository'!$B$2:$X$1000,MATCH($B304,'testmo-export-repository'!$A$2:$A$1000,false),MATCH(I$2,'testmo-export-repository'!$B$1:$X$1,false)),"")</f>
        <v/>
      </c>
      <c r="J304" s="60" t="str">
        <f t="array" ref="J304">IFERROR(INDEX('testmo-export-repository'!$B$2:$Y$1000,MATCH($B304,'testmo-export-repository'!$A$2:$A$1000,false),MATCH(J$2,'testmo-export-repository'!$B$1:$Y$1,false)),"")</f>
        <v/>
      </c>
      <c r="K304" s="60" t="str">
        <f t="array" ref="K304">IFERROR(INDEX('testmo-export-repository'!$B$2:$Y$1000,MATCH($B304,'testmo-export-repository'!$A$2:$A$1000,false),MATCH(K$2,'testmo-export-repository'!$B$1:$Y$1,false)),"")</f>
        <v/>
      </c>
    </row>
    <row r="305">
      <c r="B305" s="60" t="str">
        <f>'testmo-export-repository'!A304</f>
        <v/>
      </c>
      <c r="C305" s="60" t="str">
        <f t="array" ref="C305">IFERROR(INDEX('testmo-export-repository'!$B$2:$X$1000,MATCH($B305,'testmo-export-repository'!$A$2:$A$1000,false),MATCH(C$2,'testmo-export-repository'!$B$1:$X$1,false)),"")</f>
        <v/>
      </c>
      <c r="D305" s="60" t="str">
        <f t="array" ref="D305">IFERROR(INDEX('testmo-export-repository'!$B$2:$X$1000,MATCH($B305,'testmo-export-repository'!$A$2:$A$1000,false),MATCH(D$2,'testmo-export-repository'!$B$1:$X$1,false)),"")</f>
        <v/>
      </c>
      <c r="E305" s="60" t="str">
        <f>IFERROR(VLOOKUP($C305,instructions!$N$3:$O$5,2,false),"")</f>
        <v/>
      </c>
      <c r="F305" s="60" t="str">
        <f>IFERROR(VLOOKUP($D305,instructions!$N$3:$O$5,2,false),"")</f>
        <v/>
      </c>
      <c r="G305" s="60" t="str">
        <f t="array" ref="G305">IFERROR(INDEX('testmo-export-repository'!$B$2:$X$1000,MATCH($B305,'testmo-export-repository'!$A$2:$A$1000,false),MATCH(G$2,'testmo-export-repository'!$B$1:$X$1,false)),"")</f>
        <v/>
      </c>
      <c r="H305" s="60" t="str">
        <f t="array" ref="H305">IFERROR(INDEX('testmo-export-repository'!$B$2:$X$1000,MATCH($B305,'testmo-export-repository'!$A$2:$A$1000,false),MATCH(H$2,'testmo-export-repository'!$B$1:$X$1,false)),"")</f>
        <v/>
      </c>
      <c r="I305" s="60" t="str">
        <f t="array" ref="I305">IFERROR(INDEX('testmo-export-repository'!$B$2:$X$1000,MATCH($B305,'testmo-export-repository'!$A$2:$A$1000,false),MATCH(I$2,'testmo-export-repository'!$B$1:$X$1,false)),"")</f>
        <v/>
      </c>
      <c r="J305" s="60" t="str">
        <f t="array" ref="J305">IFERROR(INDEX('testmo-export-repository'!$B$2:$Y$1000,MATCH($B305,'testmo-export-repository'!$A$2:$A$1000,false),MATCH(J$2,'testmo-export-repository'!$B$1:$Y$1,false)),"")</f>
        <v/>
      </c>
      <c r="K305" s="60" t="str">
        <f t="array" ref="K305">IFERROR(INDEX('testmo-export-repository'!$B$2:$Y$1000,MATCH($B305,'testmo-export-repository'!$A$2:$A$1000,false),MATCH(K$2,'testmo-export-repository'!$B$1:$Y$1,false)),"")</f>
        <v/>
      </c>
    </row>
    <row r="306">
      <c r="B306" s="60" t="str">
        <f>'testmo-export-repository'!A305</f>
        <v/>
      </c>
      <c r="C306" s="60" t="str">
        <f t="array" ref="C306">IFERROR(INDEX('testmo-export-repository'!$B$2:$X$1000,MATCH($B306,'testmo-export-repository'!$A$2:$A$1000,false),MATCH(C$2,'testmo-export-repository'!$B$1:$X$1,false)),"")</f>
        <v/>
      </c>
      <c r="D306" s="60" t="str">
        <f t="array" ref="D306">IFERROR(INDEX('testmo-export-repository'!$B$2:$X$1000,MATCH($B306,'testmo-export-repository'!$A$2:$A$1000,false),MATCH(D$2,'testmo-export-repository'!$B$1:$X$1,false)),"")</f>
        <v/>
      </c>
      <c r="E306" s="60" t="str">
        <f>IFERROR(VLOOKUP($C306,instructions!$N$3:$O$5,2,false),"")</f>
        <v/>
      </c>
      <c r="F306" s="60" t="str">
        <f>IFERROR(VLOOKUP($D306,instructions!$N$3:$O$5,2,false),"")</f>
        <v/>
      </c>
      <c r="G306" s="60" t="str">
        <f t="array" ref="G306">IFERROR(INDEX('testmo-export-repository'!$B$2:$X$1000,MATCH($B306,'testmo-export-repository'!$A$2:$A$1000,false),MATCH(G$2,'testmo-export-repository'!$B$1:$X$1,false)),"")</f>
        <v/>
      </c>
      <c r="H306" s="60" t="str">
        <f t="array" ref="H306">IFERROR(INDEX('testmo-export-repository'!$B$2:$X$1000,MATCH($B306,'testmo-export-repository'!$A$2:$A$1000,false),MATCH(H$2,'testmo-export-repository'!$B$1:$X$1,false)),"")</f>
        <v/>
      </c>
      <c r="I306" s="60" t="str">
        <f t="array" ref="I306">IFERROR(INDEX('testmo-export-repository'!$B$2:$X$1000,MATCH($B306,'testmo-export-repository'!$A$2:$A$1000,false),MATCH(I$2,'testmo-export-repository'!$B$1:$X$1,false)),"")</f>
        <v/>
      </c>
      <c r="J306" s="60" t="str">
        <f t="array" ref="J306">IFERROR(INDEX('testmo-export-repository'!$B$2:$Y$1000,MATCH($B306,'testmo-export-repository'!$A$2:$A$1000,false),MATCH(J$2,'testmo-export-repository'!$B$1:$Y$1,false)),"")</f>
        <v/>
      </c>
      <c r="K306" s="60" t="str">
        <f t="array" ref="K306">IFERROR(INDEX('testmo-export-repository'!$B$2:$Y$1000,MATCH($B306,'testmo-export-repository'!$A$2:$A$1000,false),MATCH(K$2,'testmo-export-repository'!$B$1:$Y$1,false)),"")</f>
        <v/>
      </c>
    </row>
    <row r="307">
      <c r="B307" s="60" t="str">
        <f>'testmo-export-repository'!A306</f>
        <v/>
      </c>
      <c r="C307" s="60" t="str">
        <f t="array" ref="C307">IFERROR(INDEX('testmo-export-repository'!$B$2:$X$1000,MATCH($B307,'testmo-export-repository'!$A$2:$A$1000,false),MATCH(C$2,'testmo-export-repository'!$B$1:$X$1,false)),"")</f>
        <v/>
      </c>
      <c r="D307" s="60" t="str">
        <f t="array" ref="D307">IFERROR(INDEX('testmo-export-repository'!$B$2:$X$1000,MATCH($B307,'testmo-export-repository'!$A$2:$A$1000,false),MATCH(D$2,'testmo-export-repository'!$B$1:$X$1,false)),"")</f>
        <v/>
      </c>
      <c r="E307" s="60" t="str">
        <f>IFERROR(VLOOKUP($C307,instructions!$N$3:$O$5,2,false),"")</f>
        <v/>
      </c>
      <c r="F307" s="60" t="str">
        <f>IFERROR(VLOOKUP($D307,instructions!$N$3:$O$5,2,false),"")</f>
        <v/>
      </c>
      <c r="G307" s="60" t="str">
        <f t="array" ref="G307">IFERROR(INDEX('testmo-export-repository'!$B$2:$X$1000,MATCH($B307,'testmo-export-repository'!$A$2:$A$1000,false),MATCH(G$2,'testmo-export-repository'!$B$1:$X$1,false)),"")</f>
        <v/>
      </c>
      <c r="H307" s="60" t="str">
        <f t="array" ref="H307">IFERROR(INDEX('testmo-export-repository'!$B$2:$X$1000,MATCH($B307,'testmo-export-repository'!$A$2:$A$1000,false),MATCH(H$2,'testmo-export-repository'!$B$1:$X$1,false)),"")</f>
        <v/>
      </c>
      <c r="I307" s="60" t="str">
        <f t="array" ref="I307">IFERROR(INDEX('testmo-export-repository'!$B$2:$X$1000,MATCH($B307,'testmo-export-repository'!$A$2:$A$1000,false),MATCH(I$2,'testmo-export-repository'!$B$1:$X$1,false)),"")</f>
        <v/>
      </c>
      <c r="J307" s="60" t="str">
        <f t="array" ref="J307">IFERROR(INDEX('testmo-export-repository'!$B$2:$Y$1000,MATCH($B307,'testmo-export-repository'!$A$2:$A$1000,false),MATCH(J$2,'testmo-export-repository'!$B$1:$Y$1,false)),"")</f>
        <v/>
      </c>
      <c r="K307" s="60" t="str">
        <f t="array" ref="K307">IFERROR(INDEX('testmo-export-repository'!$B$2:$Y$1000,MATCH($B307,'testmo-export-repository'!$A$2:$A$1000,false),MATCH(K$2,'testmo-export-repository'!$B$1:$Y$1,false)),"")</f>
        <v/>
      </c>
    </row>
    <row r="308">
      <c r="B308" s="60" t="str">
        <f>'testmo-export-repository'!A307</f>
        <v/>
      </c>
      <c r="C308" s="60" t="str">
        <f t="array" ref="C308">IFERROR(INDEX('testmo-export-repository'!$B$2:$X$1000,MATCH($B308,'testmo-export-repository'!$A$2:$A$1000,false),MATCH(C$2,'testmo-export-repository'!$B$1:$X$1,false)),"")</f>
        <v/>
      </c>
      <c r="D308" s="60" t="str">
        <f t="array" ref="D308">IFERROR(INDEX('testmo-export-repository'!$B$2:$X$1000,MATCH($B308,'testmo-export-repository'!$A$2:$A$1000,false),MATCH(D$2,'testmo-export-repository'!$B$1:$X$1,false)),"")</f>
        <v/>
      </c>
      <c r="E308" s="60" t="str">
        <f>IFERROR(VLOOKUP($C308,instructions!$N$3:$O$5,2,false),"")</f>
        <v/>
      </c>
      <c r="F308" s="60" t="str">
        <f>IFERROR(VLOOKUP($D308,instructions!$N$3:$O$5,2,false),"")</f>
        <v/>
      </c>
      <c r="G308" s="60" t="str">
        <f t="array" ref="G308">IFERROR(INDEX('testmo-export-repository'!$B$2:$X$1000,MATCH($B308,'testmo-export-repository'!$A$2:$A$1000,false),MATCH(G$2,'testmo-export-repository'!$B$1:$X$1,false)),"")</f>
        <v/>
      </c>
      <c r="H308" s="60" t="str">
        <f t="array" ref="H308">IFERROR(INDEX('testmo-export-repository'!$B$2:$X$1000,MATCH($B308,'testmo-export-repository'!$A$2:$A$1000,false),MATCH(H$2,'testmo-export-repository'!$B$1:$X$1,false)),"")</f>
        <v/>
      </c>
      <c r="I308" s="60" t="str">
        <f t="array" ref="I308">IFERROR(INDEX('testmo-export-repository'!$B$2:$X$1000,MATCH($B308,'testmo-export-repository'!$A$2:$A$1000,false),MATCH(I$2,'testmo-export-repository'!$B$1:$X$1,false)),"")</f>
        <v/>
      </c>
      <c r="J308" s="60" t="str">
        <f t="array" ref="J308">IFERROR(INDEX('testmo-export-repository'!$B$2:$Y$1000,MATCH($B308,'testmo-export-repository'!$A$2:$A$1000,false),MATCH(J$2,'testmo-export-repository'!$B$1:$Y$1,false)),"")</f>
        <v/>
      </c>
      <c r="K308" s="60" t="str">
        <f t="array" ref="K308">IFERROR(INDEX('testmo-export-repository'!$B$2:$Y$1000,MATCH($B308,'testmo-export-repository'!$A$2:$A$1000,false),MATCH(K$2,'testmo-export-repository'!$B$1:$Y$1,false)),"")</f>
        <v/>
      </c>
    </row>
    <row r="309">
      <c r="B309" s="60" t="str">
        <f>'testmo-export-repository'!A308</f>
        <v/>
      </c>
      <c r="C309" s="60" t="str">
        <f t="array" ref="C309">IFERROR(INDEX('testmo-export-repository'!$B$2:$X$1000,MATCH($B309,'testmo-export-repository'!$A$2:$A$1000,false),MATCH(C$2,'testmo-export-repository'!$B$1:$X$1,false)),"")</f>
        <v/>
      </c>
      <c r="D309" s="60" t="str">
        <f t="array" ref="D309">IFERROR(INDEX('testmo-export-repository'!$B$2:$X$1000,MATCH($B309,'testmo-export-repository'!$A$2:$A$1000,false),MATCH(D$2,'testmo-export-repository'!$B$1:$X$1,false)),"")</f>
        <v/>
      </c>
      <c r="E309" s="60" t="str">
        <f>IFERROR(VLOOKUP($C309,instructions!$N$3:$O$5,2,false),"")</f>
        <v/>
      </c>
      <c r="F309" s="60" t="str">
        <f>IFERROR(VLOOKUP($D309,instructions!$N$3:$O$5,2,false),"")</f>
        <v/>
      </c>
      <c r="G309" s="60" t="str">
        <f t="array" ref="G309">IFERROR(INDEX('testmo-export-repository'!$B$2:$X$1000,MATCH($B309,'testmo-export-repository'!$A$2:$A$1000,false),MATCH(G$2,'testmo-export-repository'!$B$1:$X$1,false)),"")</f>
        <v/>
      </c>
      <c r="H309" s="60" t="str">
        <f t="array" ref="H309">IFERROR(INDEX('testmo-export-repository'!$B$2:$X$1000,MATCH($B309,'testmo-export-repository'!$A$2:$A$1000,false),MATCH(H$2,'testmo-export-repository'!$B$1:$X$1,false)),"")</f>
        <v/>
      </c>
      <c r="I309" s="60" t="str">
        <f t="array" ref="I309">IFERROR(INDEX('testmo-export-repository'!$B$2:$X$1000,MATCH($B309,'testmo-export-repository'!$A$2:$A$1000,false),MATCH(I$2,'testmo-export-repository'!$B$1:$X$1,false)),"")</f>
        <v/>
      </c>
      <c r="J309" s="60" t="str">
        <f t="array" ref="J309">IFERROR(INDEX('testmo-export-repository'!$B$2:$Y$1000,MATCH($B309,'testmo-export-repository'!$A$2:$A$1000,false),MATCH(J$2,'testmo-export-repository'!$B$1:$Y$1,false)),"")</f>
        <v/>
      </c>
      <c r="K309" s="60" t="str">
        <f t="array" ref="K309">IFERROR(INDEX('testmo-export-repository'!$B$2:$Y$1000,MATCH($B309,'testmo-export-repository'!$A$2:$A$1000,false),MATCH(K$2,'testmo-export-repository'!$B$1:$Y$1,false)),"")</f>
        <v/>
      </c>
    </row>
    <row r="310">
      <c r="B310" s="60" t="str">
        <f>'testmo-export-repository'!A309</f>
        <v/>
      </c>
      <c r="C310" s="60" t="str">
        <f t="array" ref="C310">IFERROR(INDEX('testmo-export-repository'!$B$2:$X$1000,MATCH($B310,'testmo-export-repository'!$A$2:$A$1000,false),MATCH(C$2,'testmo-export-repository'!$B$1:$X$1,false)),"")</f>
        <v/>
      </c>
      <c r="D310" s="60" t="str">
        <f t="array" ref="D310">IFERROR(INDEX('testmo-export-repository'!$B$2:$X$1000,MATCH($B310,'testmo-export-repository'!$A$2:$A$1000,false),MATCH(D$2,'testmo-export-repository'!$B$1:$X$1,false)),"")</f>
        <v/>
      </c>
      <c r="E310" s="60" t="str">
        <f>IFERROR(VLOOKUP($C310,instructions!$N$3:$O$5,2,false),"")</f>
        <v/>
      </c>
      <c r="F310" s="60" t="str">
        <f>IFERROR(VLOOKUP($D310,instructions!$N$3:$O$5,2,false),"")</f>
        <v/>
      </c>
      <c r="G310" s="60" t="str">
        <f t="array" ref="G310">IFERROR(INDEX('testmo-export-repository'!$B$2:$X$1000,MATCH($B310,'testmo-export-repository'!$A$2:$A$1000,false),MATCH(G$2,'testmo-export-repository'!$B$1:$X$1,false)),"")</f>
        <v/>
      </c>
      <c r="H310" s="60" t="str">
        <f t="array" ref="H310">IFERROR(INDEX('testmo-export-repository'!$B$2:$X$1000,MATCH($B310,'testmo-export-repository'!$A$2:$A$1000,false),MATCH(H$2,'testmo-export-repository'!$B$1:$X$1,false)),"")</f>
        <v/>
      </c>
      <c r="I310" s="60" t="str">
        <f t="array" ref="I310">IFERROR(INDEX('testmo-export-repository'!$B$2:$X$1000,MATCH($B310,'testmo-export-repository'!$A$2:$A$1000,false),MATCH(I$2,'testmo-export-repository'!$B$1:$X$1,false)),"")</f>
        <v/>
      </c>
      <c r="J310" s="60" t="str">
        <f t="array" ref="J310">IFERROR(INDEX('testmo-export-repository'!$B$2:$Y$1000,MATCH($B310,'testmo-export-repository'!$A$2:$A$1000,false),MATCH(J$2,'testmo-export-repository'!$B$1:$Y$1,false)),"")</f>
        <v/>
      </c>
      <c r="K310" s="60" t="str">
        <f t="array" ref="K310">IFERROR(INDEX('testmo-export-repository'!$B$2:$Y$1000,MATCH($B310,'testmo-export-repository'!$A$2:$A$1000,false),MATCH(K$2,'testmo-export-repository'!$B$1:$Y$1,false)),"")</f>
        <v/>
      </c>
    </row>
    <row r="311">
      <c r="B311" s="60" t="str">
        <f>'testmo-export-repository'!A310</f>
        <v/>
      </c>
      <c r="C311" s="60" t="str">
        <f t="array" ref="C311">IFERROR(INDEX('testmo-export-repository'!$B$2:$X$1000,MATCH($B311,'testmo-export-repository'!$A$2:$A$1000,false),MATCH(C$2,'testmo-export-repository'!$B$1:$X$1,false)),"")</f>
        <v/>
      </c>
      <c r="D311" s="60" t="str">
        <f t="array" ref="D311">IFERROR(INDEX('testmo-export-repository'!$B$2:$X$1000,MATCH($B311,'testmo-export-repository'!$A$2:$A$1000,false),MATCH(D$2,'testmo-export-repository'!$B$1:$X$1,false)),"")</f>
        <v/>
      </c>
      <c r="E311" s="60" t="str">
        <f>IFERROR(VLOOKUP($C311,instructions!$N$3:$O$5,2,false),"")</f>
        <v/>
      </c>
      <c r="F311" s="60" t="str">
        <f>IFERROR(VLOOKUP($D311,instructions!$N$3:$O$5,2,false),"")</f>
        <v/>
      </c>
      <c r="G311" s="60" t="str">
        <f t="array" ref="G311">IFERROR(INDEX('testmo-export-repository'!$B$2:$X$1000,MATCH($B311,'testmo-export-repository'!$A$2:$A$1000,false),MATCH(G$2,'testmo-export-repository'!$B$1:$X$1,false)),"")</f>
        <v/>
      </c>
      <c r="H311" s="60" t="str">
        <f t="array" ref="H311">IFERROR(INDEX('testmo-export-repository'!$B$2:$X$1000,MATCH($B311,'testmo-export-repository'!$A$2:$A$1000,false),MATCH(H$2,'testmo-export-repository'!$B$1:$X$1,false)),"")</f>
        <v/>
      </c>
      <c r="I311" s="60" t="str">
        <f t="array" ref="I311">IFERROR(INDEX('testmo-export-repository'!$B$2:$X$1000,MATCH($B311,'testmo-export-repository'!$A$2:$A$1000,false),MATCH(I$2,'testmo-export-repository'!$B$1:$X$1,false)),"")</f>
        <v/>
      </c>
      <c r="J311" s="60" t="str">
        <f t="array" ref="J311">IFERROR(INDEX('testmo-export-repository'!$B$2:$Y$1000,MATCH($B311,'testmo-export-repository'!$A$2:$A$1000,false),MATCH(J$2,'testmo-export-repository'!$B$1:$Y$1,false)),"")</f>
        <v/>
      </c>
      <c r="K311" s="60" t="str">
        <f t="array" ref="K311">IFERROR(INDEX('testmo-export-repository'!$B$2:$Y$1000,MATCH($B311,'testmo-export-repository'!$A$2:$A$1000,false),MATCH(K$2,'testmo-export-repository'!$B$1:$Y$1,false)),"")</f>
        <v/>
      </c>
    </row>
    <row r="312">
      <c r="B312" s="60" t="str">
        <f>'testmo-export-repository'!A311</f>
        <v/>
      </c>
      <c r="C312" s="60" t="str">
        <f t="array" ref="C312">IFERROR(INDEX('testmo-export-repository'!$B$2:$X$1000,MATCH($B312,'testmo-export-repository'!$A$2:$A$1000,false),MATCH(C$2,'testmo-export-repository'!$B$1:$X$1,false)),"")</f>
        <v/>
      </c>
      <c r="D312" s="60" t="str">
        <f t="array" ref="D312">IFERROR(INDEX('testmo-export-repository'!$B$2:$X$1000,MATCH($B312,'testmo-export-repository'!$A$2:$A$1000,false),MATCH(D$2,'testmo-export-repository'!$B$1:$X$1,false)),"")</f>
        <v/>
      </c>
      <c r="E312" s="60" t="str">
        <f>IFERROR(VLOOKUP($C312,instructions!$N$3:$O$5,2,false),"")</f>
        <v/>
      </c>
      <c r="F312" s="60" t="str">
        <f>IFERROR(VLOOKUP($D312,instructions!$N$3:$O$5,2,false),"")</f>
        <v/>
      </c>
      <c r="G312" s="60" t="str">
        <f t="array" ref="G312">IFERROR(INDEX('testmo-export-repository'!$B$2:$X$1000,MATCH($B312,'testmo-export-repository'!$A$2:$A$1000,false),MATCH(G$2,'testmo-export-repository'!$B$1:$X$1,false)),"")</f>
        <v/>
      </c>
      <c r="H312" s="60" t="str">
        <f t="array" ref="H312">IFERROR(INDEX('testmo-export-repository'!$B$2:$X$1000,MATCH($B312,'testmo-export-repository'!$A$2:$A$1000,false),MATCH(H$2,'testmo-export-repository'!$B$1:$X$1,false)),"")</f>
        <v/>
      </c>
      <c r="I312" s="60" t="str">
        <f t="array" ref="I312">IFERROR(INDEX('testmo-export-repository'!$B$2:$X$1000,MATCH($B312,'testmo-export-repository'!$A$2:$A$1000,false),MATCH(I$2,'testmo-export-repository'!$B$1:$X$1,false)),"")</f>
        <v/>
      </c>
      <c r="J312" s="60" t="str">
        <f t="array" ref="J312">IFERROR(INDEX('testmo-export-repository'!$B$2:$Y$1000,MATCH($B312,'testmo-export-repository'!$A$2:$A$1000,false),MATCH(J$2,'testmo-export-repository'!$B$1:$Y$1,false)),"")</f>
        <v/>
      </c>
      <c r="K312" s="60" t="str">
        <f t="array" ref="K312">IFERROR(INDEX('testmo-export-repository'!$B$2:$Y$1000,MATCH($B312,'testmo-export-repository'!$A$2:$A$1000,false),MATCH(K$2,'testmo-export-repository'!$B$1:$Y$1,false)),"")</f>
        <v/>
      </c>
    </row>
    <row r="313">
      <c r="B313" s="60" t="str">
        <f>'testmo-export-repository'!A312</f>
        <v/>
      </c>
      <c r="C313" s="60" t="str">
        <f t="array" ref="C313">IFERROR(INDEX('testmo-export-repository'!$B$2:$X$1000,MATCH($B313,'testmo-export-repository'!$A$2:$A$1000,false),MATCH(C$2,'testmo-export-repository'!$B$1:$X$1,false)),"")</f>
        <v/>
      </c>
      <c r="D313" s="60" t="str">
        <f t="array" ref="D313">IFERROR(INDEX('testmo-export-repository'!$B$2:$X$1000,MATCH($B313,'testmo-export-repository'!$A$2:$A$1000,false),MATCH(D$2,'testmo-export-repository'!$B$1:$X$1,false)),"")</f>
        <v/>
      </c>
      <c r="E313" s="60" t="str">
        <f>IFERROR(VLOOKUP($C313,instructions!$N$3:$O$5,2,false),"")</f>
        <v/>
      </c>
      <c r="F313" s="60" t="str">
        <f>IFERROR(VLOOKUP($D313,instructions!$N$3:$O$5,2,false),"")</f>
        <v/>
      </c>
      <c r="G313" s="60" t="str">
        <f t="array" ref="G313">IFERROR(INDEX('testmo-export-repository'!$B$2:$X$1000,MATCH($B313,'testmo-export-repository'!$A$2:$A$1000,false),MATCH(G$2,'testmo-export-repository'!$B$1:$X$1,false)),"")</f>
        <v/>
      </c>
      <c r="H313" s="60" t="str">
        <f t="array" ref="H313">IFERROR(INDEX('testmo-export-repository'!$B$2:$X$1000,MATCH($B313,'testmo-export-repository'!$A$2:$A$1000,false),MATCH(H$2,'testmo-export-repository'!$B$1:$X$1,false)),"")</f>
        <v/>
      </c>
      <c r="I313" s="60" t="str">
        <f t="array" ref="I313">IFERROR(INDEX('testmo-export-repository'!$B$2:$X$1000,MATCH($B313,'testmo-export-repository'!$A$2:$A$1000,false),MATCH(I$2,'testmo-export-repository'!$B$1:$X$1,false)),"")</f>
        <v/>
      </c>
      <c r="J313" s="60" t="str">
        <f t="array" ref="J313">IFERROR(INDEX('testmo-export-repository'!$B$2:$Y$1000,MATCH($B313,'testmo-export-repository'!$A$2:$A$1000,false),MATCH(J$2,'testmo-export-repository'!$B$1:$Y$1,false)),"")</f>
        <v/>
      </c>
      <c r="K313" s="60" t="str">
        <f t="array" ref="K313">IFERROR(INDEX('testmo-export-repository'!$B$2:$Y$1000,MATCH($B313,'testmo-export-repository'!$A$2:$A$1000,false),MATCH(K$2,'testmo-export-repository'!$B$1:$Y$1,false)),"")</f>
        <v/>
      </c>
    </row>
    <row r="314">
      <c r="B314" s="60" t="str">
        <f>'testmo-export-repository'!A313</f>
        <v/>
      </c>
      <c r="C314" s="60" t="str">
        <f t="array" ref="C314">IFERROR(INDEX('testmo-export-repository'!$B$2:$X$1000,MATCH($B314,'testmo-export-repository'!$A$2:$A$1000,false),MATCH(C$2,'testmo-export-repository'!$B$1:$X$1,false)),"")</f>
        <v/>
      </c>
      <c r="D314" s="60" t="str">
        <f t="array" ref="D314">IFERROR(INDEX('testmo-export-repository'!$B$2:$X$1000,MATCH($B314,'testmo-export-repository'!$A$2:$A$1000,false),MATCH(D$2,'testmo-export-repository'!$B$1:$X$1,false)),"")</f>
        <v/>
      </c>
      <c r="E314" s="60" t="str">
        <f>IFERROR(VLOOKUP($C314,instructions!$N$3:$O$5,2,false),"")</f>
        <v/>
      </c>
      <c r="F314" s="60" t="str">
        <f>IFERROR(VLOOKUP($D314,instructions!$N$3:$O$5,2,false),"")</f>
        <v/>
      </c>
      <c r="G314" s="60" t="str">
        <f t="array" ref="G314">IFERROR(INDEX('testmo-export-repository'!$B$2:$X$1000,MATCH($B314,'testmo-export-repository'!$A$2:$A$1000,false),MATCH(G$2,'testmo-export-repository'!$B$1:$X$1,false)),"")</f>
        <v/>
      </c>
      <c r="H314" s="60" t="str">
        <f t="array" ref="H314">IFERROR(INDEX('testmo-export-repository'!$B$2:$X$1000,MATCH($B314,'testmo-export-repository'!$A$2:$A$1000,false),MATCH(H$2,'testmo-export-repository'!$B$1:$X$1,false)),"")</f>
        <v/>
      </c>
      <c r="I314" s="60" t="str">
        <f t="array" ref="I314">IFERROR(INDEX('testmo-export-repository'!$B$2:$X$1000,MATCH($B314,'testmo-export-repository'!$A$2:$A$1000,false),MATCH(I$2,'testmo-export-repository'!$B$1:$X$1,false)),"")</f>
        <v/>
      </c>
      <c r="J314" s="60" t="str">
        <f t="array" ref="J314">IFERROR(INDEX('testmo-export-repository'!$B$2:$Y$1000,MATCH($B314,'testmo-export-repository'!$A$2:$A$1000,false),MATCH(J$2,'testmo-export-repository'!$B$1:$Y$1,false)),"")</f>
        <v/>
      </c>
      <c r="K314" s="60" t="str">
        <f t="array" ref="K314">IFERROR(INDEX('testmo-export-repository'!$B$2:$Y$1000,MATCH($B314,'testmo-export-repository'!$A$2:$A$1000,false),MATCH(K$2,'testmo-export-repository'!$B$1:$Y$1,false)),"")</f>
        <v/>
      </c>
    </row>
    <row r="315">
      <c r="B315" s="60" t="str">
        <f>'testmo-export-repository'!A314</f>
        <v/>
      </c>
      <c r="C315" s="60" t="str">
        <f t="array" ref="C315">IFERROR(INDEX('testmo-export-repository'!$B$2:$X$1000,MATCH($B315,'testmo-export-repository'!$A$2:$A$1000,false),MATCH(C$2,'testmo-export-repository'!$B$1:$X$1,false)),"")</f>
        <v/>
      </c>
      <c r="D315" s="60" t="str">
        <f t="array" ref="D315">IFERROR(INDEX('testmo-export-repository'!$B$2:$X$1000,MATCH($B315,'testmo-export-repository'!$A$2:$A$1000,false),MATCH(D$2,'testmo-export-repository'!$B$1:$X$1,false)),"")</f>
        <v/>
      </c>
      <c r="E315" s="60" t="str">
        <f>IFERROR(VLOOKUP($C315,instructions!$N$3:$O$5,2,false),"")</f>
        <v/>
      </c>
      <c r="F315" s="60" t="str">
        <f>IFERROR(VLOOKUP($D315,instructions!$N$3:$O$5,2,false),"")</f>
        <v/>
      </c>
      <c r="G315" s="60" t="str">
        <f t="array" ref="G315">IFERROR(INDEX('testmo-export-repository'!$B$2:$X$1000,MATCH($B315,'testmo-export-repository'!$A$2:$A$1000,false),MATCH(G$2,'testmo-export-repository'!$B$1:$X$1,false)),"")</f>
        <v/>
      </c>
      <c r="H315" s="60" t="str">
        <f t="array" ref="H315">IFERROR(INDEX('testmo-export-repository'!$B$2:$X$1000,MATCH($B315,'testmo-export-repository'!$A$2:$A$1000,false),MATCH(H$2,'testmo-export-repository'!$B$1:$X$1,false)),"")</f>
        <v/>
      </c>
      <c r="I315" s="60" t="str">
        <f t="array" ref="I315">IFERROR(INDEX('testmo-export-repository'!$B$2:$X$1000,MATCH($B315,'testmo-export-repository'!$A$2:$A$1000,false),MATCH(I$2,'testmo-export-repository'!$B$1:$X$1,false)),"")</f>
        <v/>
      </c>
      <c r="J315" s="60" t="str">
        <f t="array" ref="J315">IFERROR(INDEX('testmo-export-repository'!$B$2:$Y$1000,MATCH($B315,'testmo-export-repository'!$A$2:$A$1000,false),MATCH(J$2,'testmo-export-repository'!$B$1:$Y$1,false)),"")</f>
        <v/>
      </c>
      <c r="K315" s="60" t="str">
        <f t="array" ref="K315">IFERROR(INDEX('testmo-export-repository'!$B$2:$Y$1000,MATCH($B315,'testmo-export-repository'!$A$2:$A$1000,false),MATCH(K$2,'testmo-export-repository'!$B$1:$Y$1,false)),"")</f>
        <v/>
      </c>
    </row>
    <row r="316">
      <c r="B316" s="60" t="str">
        <f>'testmo-export-repository'!A315</f>
        <v/>
      </c>
      <c r="C316" s="60" t="str">
        <f t="array" ref="C316">IFERROR(INDEX('testmo-export-repository'!$B$2:$X$1000,MATCH($B316,'testmo-export-repository'!$A$2:$A$1000,false),MATCH(C$2,'testmo-export-repository'!$B$1:$X$1,false)),"")</f>
        <v/>
      </c>
      <c r="D316" s="60" t="str">
        <f t="array" ref="D316">IFERROR(INDEX('testmo-export-repository'!$B$2:$X$1000,MATCH($B316,'testmo-export-repository'!$A$2:$A$1000,false),MATCH(D$2,'testmo-export-repository'!$B$1:$X$1,false)),"")</f>
        <v/>
      </c>
      <c r="E316" s="60" t="str">
        <f>IFERROR(VLOOKUP($C316,instructions!$N$3:$O$5,2,false),"")</f>
        <v/>
      </c>
      <c r="F316" s="60" t="str">
        <f>IFERROR(VLOOKUP($D316,instructions!$N$3:$O$5,2,false),"")</f>
        <v/>
      </c>
      <c r="G316" s="60" t="str">
        <f t="array" ref="G316">IFERROR(INDEX('testmo-export-repository'!$B$2:$X$1000,MATCH($B316,'testmo-export-repository'!$A$2:$A$1000,false),MATCH(G$2,'testmo-export-repository'!$B$1:$X$1,false)),"")</f>
        <v/>
      </c>
      <c r="H316" s="60" t="str">
        <f t="array" ref="H316">IFERROR(INDEX('testmo-export-repository'!$B$2:$X$1000,MATCH($B316,'testmo-export-repository'!$A$2:$A$1000,false),MATCH(H$2,'testmo-export-repository'!$B$1:$X$1,false)),"")</f>
        <v/>
      </c>
      <c r="I316" s="60" t="str">
        <f t="array" ref="I316">IFERROR(INDEX('testmo-export-repository'!$B$2:$X$1000,MATCH($B316,'testmo-export-repository'!$A$2:$A$1000,false),MATCH(I$2,'testmo-export-repository'!$B$1:$X$1,false)),"")</f>
        <v/>
      </c>
      <c r="J316" s="60" t="str">
        <f t="array" ref="J316">IFERROR(INDEX('testmo-export-repository'!$B$2:$Y$1000,MATCH($B316,'testmo-export-repository'!$A$2:$A$1000,false),MATCH(J$2,'testmo-export-repository'!$B$1:$Y$1,false)),"")</f>
        <v/>
      </c>
      <c r="K316" s="60" t="str">
        <f t="array" ref="K316">IFERROR(INDEX('testmo-export-repository'!$B$2:$Y$1000,MATCH($B316,'testmo-export-repository'!$A$2:$A$1000,false),MATCH(K$2,'testmo-export-repository'!$B$1:$Y$1,false)),"")</f>
        <v/>
      </c>
    </row>
    <row r="317">
      <c r="B317" s="60" t="str">
        <f>'testmo-export-repository'!A316</f>
        <v/>
      </c>
      <c r="C317" s="60" t="str">
        <f t="array" ref="C317">IFERROR(INDEX('testmo-export-repository'!$B$2:$X$1000,MATCH($B317,'testmo-export-repository'!$A$2:$A$1000,false),MATCH(C$2,'testmo-export-repository'!$B$1:$X$1,false)),"")</f>
        <v/>
      </c>
      <c r="D317" s="60" t="str">
        <f t="array" ref="D317">IFERROR(INDEX('testmo-export-repository'!$B$2:$X$1000,MATCH($B317,'testmo-export-repository'!$A$2:$A$1000,false),MATCH(D$2,'testmo-export-repository'!$B$1:$X$1,false)),"")</f>
        <v/>
      </c>
      <c r="E317" s="60" t="str">
        <f>IFERROR(VLOOKUP($C317,instructions!$N$3:$O$5,2,false),"")</f>
        <v/>
      </c>
      <c r="F317" s="60" t="str">
        <f>IFERROR(VLOOKUP($D317,instructions!$N$3:$O$5,2,false),"")</f>
        <v/>
      </c>
      <c r="G317" s="60" t="str">
        <f t="array" ref="G317">IFERROR(INDEX('testmo-export-repository'!$B$2:$X$1000,MATCH($B317,'testmo-export-repository'!$A$2:$A$1000,false),MATCH(G$2,'testmo-export-repository'!$B$1:$X$1,false)),"")</f>
        <v/>
      </c>
      <c r="H317" s="60" t="str">
        <f t="array" ref="H317">IFERROR(INDEX('testmo-export-repository'!$B$2:$X$1000,MATCH($B317,'testmo-export-repository'!$A$2:$A$1000,false),MATCH(H$2,'testmo-export-repository'!$B$1:$X$1,false)),"")</f>
        <v/>
      </c>
      <c r="I317" s="60" t="str">
        <f t="array" ref="I317">IFERROR(INDEX('testmo-export-repository'!$B$2:$X$1000,MATCH($B317,'testmo-export-repository'!$A$2:$A$1000,false),MATCH(I$2,'testmo-export-repository'!$B$1:$X$1,false)),"")</f>
        <v/>
      </c>
      <c r="J317" s="60" t="str">
        <f t="array" ref="J317">IFERROR(INDEX('testmo-export-repository'!$B$2:$Y$1000,MATCH($B317,'testmo-export-repository'!$A$2:$A$1000,false),MATCH(J$2,'testmo-export-repository'!$B$1:$Y$1,false)),"")</f>
        <v/>
      </c>
      <c r="K317" s="60" t="str">
        <f t="array" ref="K317">IFERROR(INDEX('testmo-export-repository'!$B$2:$Y$1000,MATCH($B317,'testmo-export-repository'!$A$2:$A$1000,false),MATCH(K$2,'testmo-export-repository'!$B$1:$Y$1,false)),"")</f>
        <v/>
      </c>
    </row>
    <row r="318">
      <c r="B318" s="60" t="str">
        <f>'testmo-export-repository'!A317</f>
        <v/>
      </c>
      <c r="C318" s="60" t="str">
        <f t="array" ref="C318">IFERROR(INDEX('testmo-export-repository'!$B$2:$X$1000,MATCH($B318,'testmo-export-repository'!$A$2:$A$1000,false),MATCH(C$2,'testmo-export-repository'!$B$1:$X$1,false)),"")</f>
        <v/>
      </c>
      <c r="D318" s="60" t="str">
        <f t="array" ref="D318">IFERROR(INDEX('testmo-export-repository'!$B$2:$X$1000,MATCH($B318,'testmo-export-repository'!$A$2:$A$1000,false),MATCH(D$2,'testmo-export-repository'!$B$1:$X$1,false)),"")</f>
        <v/>
      </c>
      <c r="E318" s="60" t="str">
        <f>IFERROR(VLOOKUP($C318,instructions!$N$3:$O$5,2,false),"")</f>
        <v/>
      </c>
      <c r="F318" s="60" t="str">
        <f>IFERROR(VLOOKUP($D318,instructions!$N$3:$O$5,2,false),"")</f>
        <v/>
      </c>
      <c r="G318" s="60" t="str">
        <f t="array" ref="G318">IFERROR(INDEX('testmo-export-repository'!$B$2:$X$1000,MATCH($B318,'testmo-export-repository'!$A$2:$A$1000,false),MATCH(G$2,'testmo-export-repository'!$B$1:$X$1,false)),"")</f>
        <v/>
      </c>
      <c r="H318" s="60" t="str">
        <f t="array" ref="H318">IFERROR(INDEX('testmo-export-repository'!$B$2:$X$1000,MATCH($B318,'testmo-export-repository'!$A$2:$A$1000,false),MATCH(H$2,'testmo-export-repository'!$B$1:$X$1,false)),"")</f>
        <v/>
      </c>
      <c r="I318" s="60" t="str">
        <f t="array" ref="I318">IFERROR(INDEX('testmo-export-repository'!$B$2:$X$1000,MATCH($B318,'testmo-export-repository'!$A$2:$A$1000,false),MATCH(I$2,'testmo-export-repository'!$B$1:$X$1,false)),"")</f>
        <v/>
      </c>
      <c r="J318" s="60" t="str">
        <f t="array" ref="J318">IFERROR(INDEX('testmo-export-repository'!$B$2:$Y$1000,MATCH($B318,'testmo-export-repository'!$A$2:$A$1000,false),MATCH(J$2,'testmo-export-repository'!$B$1:$Y$1,false)),"")</f>
        <v/>
      </c>
      <c r="K318" s="60" t="str">
        <f t="array" ref="K318">IFERROR(INDEX('testmo-export-repository'!$B$2:$Y$1000,MATCH($B318,'testmo-export-repository'!$A$2:$A$1000,false),MATCH(K$2,'testmo-export-repository'!$B$1:$Y$1,false)),"")</f>
        <v/>
      </c>
    </row>
    <row r="319">
      <c r="B319" s="60" t="str">
        <f>'testmo-export-repository'!A318</f>
        <v/>
      </c>
      <c r="C319" s="60" t="str">
        <f t="array" ref="C319">IFERROR(INDEX('testmo-export-repository'!$B$2:$X$1000,MATCH($B319,'testmo-export-repository'!$A$2:$A$1000,false),MATCH(C$2,'testmo-export-repository'!$B$1:$X$1,false)),"")</f>
        <v/>
      </c>
      <c r="D319" s="60" t="str">
        <f t="array" ref="D319">IFERROR(INDEX('testmo-export-repository'!$B$2:$X$1000,MATCH($B319,'testmo-export-repository'!$A$2:$A$1000,false),MATCH(D$2,'testmo-export-repository'!$B$1:$X$1,false)),"")</f>
        <v/>
      </c>
      <c r="E319" s="60" t="str">
        <f>IFERROR(VLOOKUP($C319,instructions!$N$3:$O$5,2,false),"")</f>
        <v/>
      </c>
      <c r="F319" s="60" t="str">
        <f>IFERROR(VLOOKUP($D319,instructions!$N$3:$O$5,2,false),"")</f>
        <v/>
      </c>
      <c r="G319" s="60" t="str">
        <f t="array" ref="G319">IFERROR(INDEX('testmo-export-repository'!$B$2:$X$1000,MATCH($B319,'testmo-export-repository'!$A$2:$A$1000,false),MATCH(G$2,'testmo-export-repository'!$B$1:$X$1,false)),"")</f>
        <v/>
      </c>
      <c r="H319" s="60" t="str">
        <f t="array" ref="H319">IFERROR(INDEX('testmo-export-repository'!$B$2:$X$1000,MATCH($B319,'testmo-export-repository'!$A$2:$A$1000,false),MATCH(H$2,'testmo-export-repository'!$B$1:$X$1,false)),"")</f>
        <v/>
      </c>
      <c r="I319" s="60" t="str">
        <f t="array" ref="I319">IFERROR(INDEX('testmo-export-repository'!$B$2:$X$1000,MATCH($B319,'testmo-export-repository'!$A$2:$A$1000,false),MATCH(I$2,'testmo-export-repository'!$B$1:$X$1,false)),"")</f>
        <v/>
      </c>
      <c r="J319" s="60" t="str">
        <f t="array" ref="J319">IFERROR(INDEX('testmo-export-repository'!$B$2:$Y$1000,MATCH($B319,'testmo-export-repository'!$A$2:$A$1000,false),MATCH(J$2,'testmo-export-repository'!$B$1:$Y$1,false)),"")</f>
        <v/>
      </c>
      <c r="K319" s="60" t="str">
        <f t="array" ref="K319">IFERROR(INDEX('testmo-export-repository'!$B$2:$Y$1000,MATCH($B319,'testmo-export-repository'!$A$2:$A$1000,false),MATCH(K$2,'testmo-export-repository'!$B$1:$Y$1,false)),"")</f>
        <v/>
      </c>
    </row>
    <row r="320">
      <c r="B320" s="60" t="str">
        <f>'testmo-export-repository'!A319</f>
        <v/>
      </c>
      <c r="C320" s="60" t="str">
        <f t="array" ref="C320">IFERROR(INDEX('testmo-export-repository'!$B$2:$X$1000,MATCH($B320,'testmo-export-repository'!$A$2:$A$1000,false),MATCH(C$2,'testmo-export-repository'!$B$1:$X$1,false)),"")</f>
        <v/>
      </c>
      <c r="D320" s="60" t="str">
        <f t="array" ref="D320">IFERROR(INDEX('testmo-export-repository'!$B$2:$X$1000,MATCH($B320,'testmo-export-repository'!$A$2:$A$1000,false),MATCH(D$2,'testmo-export-repository'!$B$1:$X$1,false)),"")</f>
        <v/>
      </c>
      <c r="E320" s="60" t="str">
        <f>IFERROR(VLOOKUP($C320,instructions!$N$3:$O$5,2,false),"")</f>
        <v/>
      </c>
      <c r="F320" s="60" t="str">
        <f>IFERROR(VLOOKUP($D320,instructions!$N$3:$O$5,2,false),"")</f>
        <v/>
      </c>
      <c r="G320" s="60" t="str">
        <f t="array" ref="G320">IFERROR(INDEX('testmo-export-repository'!$B$2:$X$1000,MATCH($B320,'testmo-export-repository'!$A$2:$A$1000,false),MATCH(G$2,'testmo-export-repository'!$B$1:$X$1,false)),"")</f>
        <v/>
      </c>
      <c r="H320" s="60" t="str">
        <f t="array" ref="H320">IFERROR(INDEX('testmo-export-repository'!$B$2:$X$1000,MATCH($B320,'testmo-export-repository'!$A$2:$A$1000,false),MATCH(H$2,'testmo-export-repository'!$B$1:$X$1,false)),"")</f>
        <v/>
      </c>
      <c r="I320" s="60" t="str">
        <f t="array" ref="I320">IFERROR(INDEX('testmo-export-repository'!$B$2:$X$1000,MATCH($B320,'testmo-export-repository'!$A$2:$A$1000,false),MATCH(I$2,'testmo-export-repository'!$B$1:$X$1,false)),"")</f>
        <v/>
      </c>
      <c r="J320" s="60" t="str">
        <f t="array" ref="J320">IFERROR(INDEX('testmo-export-repository'!$B$2:$Y$1000,MATCH($B320,'testmo-export-repository'!$A$2:$A$1000,false),MATCH(J$2,'testmo-export-repository'!$B$1:$Y$1,false)),"")</f>
        <v/>
      </c>
      <c r="K320" s="60" t="str">
        <f t="array" ref="K320">IFERROR(INDEX('testmo-export-repository'!$B$2:$Y$1000,MATCH($B320,'testmo-export-repository'!$A$2:$A$1000,false),MATCH(K$2,'testmo-export-repository'!$B$1:$Y$1,false)),"")</f>
        <v/>
      </c>
    </row>
    <row r="321">
      <c r="B321" s="60" t="str">
        <f>'testmo-export-repository'!A320</f>
        <v/>
      </c>
      <c r="C321" s="60" t="str">
        <f t="array" ref="C321">IFERROR(INDEX('testmo-export-repository'!$B$2:$X$1000,MATCH($B321,'testmo-export-repository'!$A$2:$A$1000,false),MATCH(C$2,'testmo-export-repository'!$B$1:$X$1,false)),"")</f>
        <v/>
      </c>
      <c r="D321" s="60" t="str">
        <f t="array" ref="D321">IFERROR(INDEX('testmo-export-repository'!$B$2:$X$1000,MATCH($B321,'testmo-export-repository'!$A$2:$A$1000,false),MATCH(D$2,'testmo-export-repository'!$B$1:$X$1,false)),"")</f>
        <v/>
      </c>
      <c r="E321" s="60" t="str">
        <f>IFERROR(VLOOKUP($C321,instructions!$N$3:$O$5,2,false),"")</f>
        <v/>
      </c>
      <c r="F321" s="60" t="str">
        <f>IFERROR(VLOOKUP($D321,instructions!$N$3:$O$5,2,false),"")</f>
        <v/>
      </c>
      <c r="G321" s="60" t="str">
        <f t="array" ref="G321">IFERROR(INDEX('testmo-export-repository'!$B$2:$X$1000,MATCH($B321,'testmo-export-repository'!$A$2:$A$1000,false),MATCH(G$2,'testmo-export-repository'!$B$1:$X$1,false)),"")</f>
        <v/>
      </c>
      <c r="H321" s="60" t="str">
        <f t="array" ref="H321">IFERROR(INDEX('testmo-export-repository'!$B$2:$X$1000,MATCH($B321,'testmo-export-repository'!$A$2:$A$1000,false),MATCH(H$2,'testmo-export-repository'!$B$1:$X$1,false)),"")</f>
        <v/>
      </c>
      <c r="I321" s="60" t="str">
        <f t="array" ref="I321">IFERROR(INDEX('testmo-export-repository'!$B$2:$X$1000,MATCH($B321,'testmo-export-repository'!$A$2:$A$1000,false),MATCH(I$2,'testmo-export-repository'!$B$1:$X$1,false)),"")</f>
        <v/>
      </c>
      <c r="J321" s="60" t="str">
        <f t="array" ref="J321">IFERROR(INDEX('testmo-export-repository'!$B$2:$Y$1000,MATCH($B321,'testmo-export-repository'!$A$2:$A$1000,false),MATCH(J$2,'testmo-export-repository'!$B$1:$Y$1,false)),"")</f>
        <v/>
      </c>
      <c r="K321" s="60" t="str">
        <f t="array" ref="K321">IFERROR(INDEX('testmo-export-repository'!$B$2:$Y$1000,MATCH($B321,'testmo-export-repository'!$A$2:$A$1000,false),MATCH(K$2,'testmo-export-repository'!$B$1:$Y$1,false)),"")</f>
        <v/>
      </c>
    </row>
    <row r="322">
      <c r="B322" s="60" t="str">
        <f>'testmo-export-repository'!A321</f>
        <v/>
      </c>
      <c r="C322" s="60" t="str">
        <f t="array" ref="C322">IFERROR(INDEX('testmo-export-repository'!$B$2:$X$1000,MATCH($B322,'testmo-export-repository'!$A$2:$A$1000,false),MATCH(C$2,'testmo-export-repository'!$B$1:$X$1,false)),"")</f>
        <v/>
      </c>
      <c r="D322" s="60" t="str">
        <f t="array" ref="D322">IFERROR(INDEX('testmo-export-repository'!$B$2:$X$1000,MATCH($B322,'testmo-export-repository'!$A$2:$A$1000,false),MATCH(D$2,'testmo-export-repository'!$B$1:$X$1,false)),"")</f>
        <v/>
      </c>
      <c r="E322" s="60" t="str">
        <f>IFERROR(VLOOKUP($C322,instructions!$N$3:$O$5,2,false),"")</f>
        <v/>
      </c>
      <c r="F322" s="60" t="str">
        <f>IFERROR(VLOOKUP($D322,instructions!$N$3:$O$5,2,false),"")</f>
        <v/>
      </c>
      <c r="G322" s="60" t="str">
        <f t="array" ref="G322">IFERROR(INDEX('testmo-export-repository'!$B$2:$X$1000,MATCH($B322,'testmo-export-repository'!$A$2:$A$1000,false),MATCH(G$2,'testmo-export-repository'!$B$1:$X$1,false)),"")</f>
        <v/>
      </c>
      <c r="H322" s="60" t="str">
        <f t="array" ref="H322">IFERROR(INDEX('testmo-export-repository'!$B$2:$X$1000,MATCH($B322,'testmo-export-repository'!$A$2:$A$1000,false),MATCH(H$2,'testmo-export-repository'!$B$1:$X$1,false)),"")</f>
        <v/>
      </c>
      <c r="I322" s="60" t="str">
        <f t="array" ref="I322">IFERROR(INDEX('testmo-export-repository'!$B$2:$X$1000,MATCH($B322,'testmo-export-repository'!$A$2:$A$1000,false),MATCH(I$2,'testmo-export-repository'!$B$1:$X$1,false)),"")</f>
        <v/>
      </c>
      <c r="J322" s="60" t="str">
        <f t="array" ref="J322">IFERROR(INDEX('testmo-export-repository'!$B$2:$Y$1000,MATCH($B322,'testmo-export-repository'!$A$2:$A$1000,false),MATCH(J$2,'testmo-export-repository'!$B$1:$Y$1,false)),"")</f>
        <v/>
      </c>
      <c r="K322" s="60" t="str">
        <f t="array" ref="K322">IFERROR(INDEX('testmo-export-repository'!$B$2:$Y$1000,MATCH($B322,'testmo-export-repository'!$A$2:$A$1000,false),MATCH(K$2,'testmo-export-repository'!$B$1:$Y$1,false)),"")</f>
        <v/>
      </c>
    </row>
    <row r="323">
      <c r="B323" s="60" t="str">
        <f>'testmo-export-repository'!A322</f>
        <v/>
      </c>
      <c r="C323" s="60" t="str">
        <f t="array" ref="C323">IFERROR(INDEX('testmo-export-repository'!$B$2:$X$1000,MATCH($B323,'testmo-export-repository'!$A$2:$A$1000,false),MATCH(C$2,'testmo-export-repository'!$B$1:$X$1,false)),"")</f>
        <v/>
      </c>
      <c r="D323" s="60" t="str">
        <f t="array" ref="D323">IFERROR(INDEX('testmo-export-repository'!$B$2:$X$1000,MATCH($B323,'testmo-export-repository'!$A$2:$A$1000,false),MATCH(D$2,'testmo-export-repository'!$B$1:$X$1,false)),"")</f>
        <v/>
      </c>
      <c r="E323" s="60" t="str">
        <f>IFERROR(VLOOKUP($C323,instructions!$N$3:$O$5,2,false),"")</f>
        <v/>
      </c>
      <c r="F323" s="60" t="str">
        <f>IFERROR(VLOOKUP($D323,instructions!$N$3:$O$5,2,false),"")</f>
        <v/>
      </c>
      <c r="G323" s="60" t="str">
        <f t="array" ref="G323">IFERROR(INDEX('testmo-export-repository'!$B$2:$X$1000,MATCH($B323,'testmo-export-repository'!$A$2:$A$1000,false),MATCH(G$2,'testmo-export-repository'!$B$1:$X$1,false)),"")</f>
        <v/>
      </c>
      <c r="H323" s="60" t="str">
        <f t="array" ref="H323">IFERROR(INDEX('testmo-export-repository'!$B$2:$X$1000,MATCH($B323,'testmo-export-repository'!$A$2:$A$1000,false),MATCH(H$2,'testmo-export-repository'!$B$1:$X$1,false)),"")</f>
        <v/>
      </c>
      <c r="I323" s="60" t="str">
        <f t="array" ref="I323">IFERROR(INDEX('testmo-export-repository'!$B$2:$X$1000,MATCH($B323,'testmo-export-repository'!$A$2:$A$1000,false),MATCH(I$2,'testmo-export-repository'!$B$1:$X$1,false)),"")</f>
        <v/>
      </c>
      <c r="J323" s="60" t="str">
        <f t="array" ref="J323">IFERROR(INDEX('testmo-export-repository'!$B$2:$Y$1000,MATCH($B323,'testmo-export-repository'!$A$2:$A$1000,false),MATCH(J$2,'testmo-export-repository'!$B$1:$Y$1,false)),"")</f>
        <v/>
      </c>
      <c r="K323" s="60" t="str">
        <f t="array" ref="K323">IFERROR(INDEX('testmo-export-repository'!$B$2:$Y$1000,MATCH($B323,'testmo-export-repository'!$A$2:$A$1000,false),MATCH(K$2,'testmo-export-repository'!$B$1:$Y$1,false)),"")</f>
        <v/>
      </c>
    </row>
    <row r="324">
      <c r="B324" s="60" t="str">
        <f>'testmo-export-repository'!A323</f>
        <v/>
      </c>
      <c r="C324" s="60" t="str">
        <f t="array" ref="C324">IFERROR(INDEX('testmo-export-repository'!$B$2:$X$1000,MATCH($B324,'testmo-export-repository'!$A$2:$A$1000,false),MATCH(C$2,'testmo-export-repository'!$B$1:$X$1,false)),"")</f>
        <v/>
      </c>
      <c r="D324" s="60" t="str">
        <f t="array" ref="D324">IFERROR(INDEX('testmo-export-repository'!$B$2:$X$1000,MATCH($B324,'testmo-export-repository'!$A$2:$A$1000,false),MATCH(D$2,'testmo-export-repository'!$B$1:$X$1,false)),"")</f>
        <v/>
      </c>
      <c r="E324" s="60" t="str">
        <f>IFERROR(VLOOKUP($C324,instructions!$N$3:$O$5,2,false),"")</f>
        <v/>
      </c>
      <c r="F324" s="60" t="str">
        <f>IFERROR(VLOOKUP($D324,instructions!$N$3:$O$5,2,false),"")</f>
        <v/>
      </c>
      <c r="G324" s="60" t="str">
        <f t="array" ref="G324">IFERROR(INDEX('testmo-export-repository'!$B$2:$X$1000,MATCH($B324,'testmo-export-repository'!$A$2:$A$1000,false),MATCH(G$2,'testmo-export-repository'!$B$1:$X$1,false)),"")</f>
        <v/>
      </c>
      <c r="H324" s="60" t="str">
        <f t="array" ref="H324">IFERROR(INDEX('testmo-export-repository'!$B$2:$X$1000,MATCH($B324,'testmo-export-repository'!$A$2:$A$1000,false),MATCH(H$2,'testmo-export-repository'!$B$1:$X$1,false)),"")</f>
        <v/>
      </c>
      <c r="I324" s="60" t="str">
        <f t="array" ref="I324">IFERROR(INDEX('testmo-export-repository'!$B$2:$X$1000,MATCH($B324,'testmo-export-repository'!$A$2:$A$1000,false),MATCH(I$2,'testmo-export-repository'!$B$1:$X$1,false)),"")</f>
        <v/>
      </c>
      <c r="J324" s="60" t="str">
        <f t="array" ref="J324">IFERROR(INDEX('testmo-export-repository'!$B$2:$Y$1000,MATCH($B324,'testmo-export-repository'!$A$2:$A$1000,false),MATCH(J$2,'testmo-export-repository'!$B$1:$Y$1,false)),"")</f>
        <v/>
      </c>
      <c r="K324" s="60" t="str">
        <f t="array" ref="K324">IFERROR(INDEX('testmo-export-repository'!$B$2:$Y$1000,MATCH($B324,'testmo-export-repository'!$A$2:$A$1000,false),MATCH(K$2,'testmo-export-repository'!$B$1:$Y$1,false)),"")</f>
        <v/>
      </c>
    </row>
    <row r="325">
      <c r="B325" s="60" t="str">
        <f>'testmo-export-repository'!A324</f>
        <v/>
      </c>
      <c r="C325" s="60" t="str">
        <f t="array" ref="C325">IFERROR(INDEX('testmo-export-repository'!$B$2:$X$1000,MATCH($B325,'testmo-export-repository'!$A$2:$A$1000,false),MATCH(C$2,'testmo-export-repository'!$B$1:$X$1,false)),"")</f>
        <v/>
      </c>
      <c r="D325" s="60" t="str">
        <f t="array" ref="D325">IFERROR(INDEX('testmo-export-repository'!$B$2:$X$1000,MATCH($B325,'testmo-export-repository'!$A$2:$A$1000,false),MATCH(D$2,'testmo-export-repository'!$B$1:$X$1,false)),"")</f>
        <v/>
      </c>
      <c r="E325" s="60" t="str">
        <f>IFERROR(VLOOKUP($C325,instructions!$N$3:$O$5,2,false),"")</f>
        <v/>
      </c>
      <c r="F325" s="60" t="str">
        <f>IFERROR(VLOOKUP($D325,instructions!$N$3:$O$5,2,false),"")</f>
        <v/>
      </c>
      <c r="G325" s="60" t="str">
        <f t="array" ref="G325">IFERROR(INDEX('testmo-export-repository'!$B$2:$X$1000,MATCH($B325,'testmo-export-repository'!$A$2:$A$1000,false),MATCH(G$2,'testmo-export-repository'!$B$1:$X$1,false)),"")</f>
        <v/>
      </c>
      <c r="H325" s="60" t="str">
        <f t="array" ref="H325">IFERROR(INDEX('testmo-export-repository'!$B$2:$X$1000,MATCH($B325,'testmo-export-repository'!$A$2:$A$1000,false),MATCH(H$2,'testmo-export-repository'!$B$1:$X$1,false)),"")</f>
        <v/>
      </c>
      <c r="I325" s="60" t="str">
        <f t="array" ref="I325">IFERROR(INDEX('testmo-export-repository'!$B$2:$X$1000,MATCH($B325,'testmo-export-repository'!$A$2:$A$1000,false),MATCH(I$2,'testmo-export-repository'!$B$1:$X$1,false)),"")</f>
        <v/>
      </c>
      <c r="J325" s="60" t="str">
        <f t="array" ref="J325">IFERROR(INDEX('testmo-export-repository'!$B$2:$Y$1000,MATCH($B325,'testmo-export-repository'!$A$2:$A$1000,false),MATCH(J$2,'testmo-export-repository'!$B$1:$Y$1,false)),"")</f>
        <v/>
      </c>
      <c r="K325" s="60" t="str">
        <f t="array" ref="K325">IFERROR(INDEX('testmo-export-repository'!$B$2:$Y$1000,MATCH($B325,'testmo-export-repository'!$A$2:$A$1000,false),MATCH(K$2,'testmo-export-repository'!$B$1:$Y$1,false)),"")</f>
        <v/>
      </c>
    </row>
    <row r="326">
      <c r="B326" s="60" t="str">
        <f>'testmo-export-repository'!A325</f>
        <v/>
      </c>
      <c r="C326" s="60" t="str">
        <f t="array" ref="C326">IFERROR(INDEX('testmo-export-repository'!$B$2:$X$1000,MATCH($B326,'testmo-export-repository'!$A$2:$A$1000,false),MATCH(C$2,'testmo-export-repository'!$B$1:$X$1,false)),"")</f>
        <v/>
      </c>
      <c r="D326" s="60" t="str">
        <f t="array" ref="D326">IFERROR(INDEX('testmo-export-repository'!$B$2:$X$1000,MATCH($B326,'testmo-export-repository'!$A$2:$A$1000,false),MATCH(D$2,'testmo-export-repository'!$B$1:$X$1,false)),"")</f>
        <v/>
      </c>
      <c r="E326" s="60" t="str">
        <f>IFERROR(VLOOKUP($C326,instructions!$N$3:$O$5,2,false),"")</f>
        <v/>
      </c>
      <c r="F326" s="60" t="str">
        <f>IFERROR(VLOOKUP($D326,instructions!$N$3:$O$5,2,false),"")</f>
        <v/>
      </c>
      <c r="G326" s="60" t="str">
        <f t="array" ref="G326">IFERROR(INDEX('testmo-export-repository'!$B$2:$X$1000,MATCH($B326,'testmo-export-repository'!$A$2:$A$1000,false),MATCH(G$2,'testmo-export-repository'!$B$1:$X$1,false)),"")</f>
        <v/>
      </c>
      <c r="H326" s="60" t="str">
        <f t="array" ref="H326">IFERROR(INDEX('testmo-export-repository'!$B$2:$X$1000,MATCH($B326,'testmo-export-repository'!$A$2:$A$1000,false),MATCH(H$2,'testmo-export-repository'!$B$1:$X$1,false)),"")</f>
        <v/>
      </c>
      <c r="I326" s="60" t="str">
        <f t="array" ref="I326">IFERROR(INDEX('testmo-export-repository'!$B$2:$X$1000,MATCH($B326,'testmo-export-repository'!$A$2:$A$1000,false),MATCH(I$2,'testmo-export-repository'!$B$1:$X$1,false)),"")</f>
        <v/>
      </c>
      <c r="J326" s="60" t="str">
        <f t="array" ref="J326">IFERROR(INDEX('testmo-export-repository'!$B$2:$Y$1000,MATCH($B326,'testmo-export-repository'!$A$2:$A$1000,false),MATCH(J$2,'testmo-export-repository'!$B$1:$Y$1,false)),"")</f>
        <v/>
      </c>
      <c r="K326" s="60" t="str">
        <f t="array" ref="K326">IFERROR(INDEX('testmo-export-repository'!$B$2:$Y$1000,MATCH($B326,'testmo-export-repository'!$A$2:$A$1000,false),MATCH(K$2,'testmo-export-repository'!$B$1:$Y$1,false)),"")</f>
        <v/>
      </c>
    </row>
    <row r="327">
      <c r="B327" s="60" t="str">
        <f>'testmo-export-repository'!A326</f>
        <v/>
      </c>
      <c r="C327" s="60" t="str">
        <f t="array" ref="C327">IFERROR(INDEX('testmo-export-repository'!$B$2:$X$1000,MATCH($B327,'testmo-export-repository'!$A$2:$A$1000,false),MATCH(C$2,'testmo-export-repository'!$B$1:$X$1,false)),"")</f>
        <v/>
      </c>
      <c r="D327" s="60" t="str">
        <f t="array" ref="D327">IFERROR(INDEX('testmo-export-repository'!$B$2:$X$1000,MATCH($B327,'testmo-export-repository'!$A$2:$A$1000,false),MATCH(D$2,'testmo-export-repository'!$B$1:$X$1,false)),"")</f>
        <v/>
      </c>
      <c r="E327" s="60" t="str">
        <f>IFERROR(VLOOKUP($C327,instructions!$N$3:$O$5,2,false),"")</f>
        <v/>
      </c>
      <c r="F327" s="60" t="str">
        <f>IFERROR(VLOOKUP($D327,instructions!$N$3:$O$5,2,false),"")</f>
        <v/>
      </c>
      <c r="G327" s="60" t="str">
        <f t="array" ref="G327">IFERROR(INDEX('testmo-export-repository'!$B$2:$X$1000,MATCH($B327,'testmo-export-repository'!$A$2:$A$1000,false),MATCH(G$2,'testmo-export-repository'!$B$1:$X$1,false)),"")</f>
        <v/>
      </c>
      <c r="H327" s="60" t="str">
        <f t="array" ref="H327">IFERROR(INDEX('testmo-export-repository'!$B$2:$X$1000,MATCH($B327,'testmo-export-repository'!$A$2:$A$1000,false),MATCH(H$2,'testmo-export-repository'!$B$1:$X$1,false)),"")</f>
        <v/>
      </c>
      <c r="I327" s="60" t="str">
        <f t="array" ref="I327">IFERROR(INDEX('testmo-export-repository'!$B$2:$X$1000,MATCH($B327,'testmo-export-repository'!$A$2:$A$1000,false),MATCH(I$2,'testmo-export-repository'!$B$1:$X$1,false)),"")</f>
        <v/>
      </c>
      <c r="J327" s="60" t="str">
        <f t="array" ref="J327">IFERROR(INDEX('testmo-export-repository'!$B$2:$Y$1000,MATCH($B327,'testmo-export-repository'!$A$2:$A$1000,false),MATCH(J$2,'testmo-export-repository'!$B$1:$Y$1,false)),"")</f>
        <v/>
      </c>
      <c r="K327" s="60" t="str">
        <f t="array" ref="K327">IFERROR(INDEX('testmo-export-repository'!$B$2:$Y$1000,MATCH($B327,'testmo-export-repository'!$A$2:$A$1000,false),MATCH(K$2,'testmo-export-repository'!$B$1:$Y$1,false)),"")</f>
        <v/>
      </c>
    </row>
    <row r="328">
      <c r="B328" s="60" t="str">
        <f>'testmo-export-repository'!A327</f>
        <v/>
      </c>
      <c r="C328" s="60" t="str">
        <f t="array" ref="C328">IFERROR(INDEX('testmo-export-repository'!$B$2:$X$1000,MATCH($B328,'testmo-export-repository'!$A$2:$A$1000,false),MATCH(C$2,'testmo-export-repository'!$B$1:$X$1,false)),"")</f>
        <v/>
      </c>
      <c r="D328" s="60" t="str">
        <f t="array" ref="D328">IFERROR(INDEX('testmo-export-repository'!$B$2:$X$1000,MATCH($B328,'testmo-export-repository'!$A$2:$A$1000,false),MATCH(D$2,'testmo-export-repository'!$B$1:$X$1,false)),"")</f>
        <v/>
      </c>
      <c r="E328" s="60" t="str">
        <f>IFERROR(VLOOKUP($C328,instructions!$N$3:$O$5,2,false),"")</f>
        <v/>
      </c>
      <c r="F328" s="60" t="str">
        <f>IFERROR(VLOOKUP($D328,instructions!$N$3:$O$5,2,false),"")</f>
        <v/>
      </c>
      <c r="G328" s="60" t="str">
        <f t="array" ref="G328">IFERROR(INDEX('testmo-export-repository'!$B$2:$X$1000,MATCH($B328,'testmo-export-repository'!$A$2:$A$1000,false),MATCH(G$2,'testmo-export-repository'!$B$1:$X$1,false)),"")</f>
        <v/>
      </c>
      <c r="H328" s="60" t="str">
        <f t="array" ref="H328">IFERROR(INDEX('testmo-export-repository'!$B$2:$X$1000,MATCH($B328,'testmo-export-repository'!$A$2:$A$1000,false),MATCH(H$2,'testmo-export-repository'!$B$1:$X$1,false)),"")</f>
        <v/>
      </c>
      <c r="I328" s="60" t="str">
        <f t="array" ref="I328">IFERROR(INDEX('testmo-export-repository'!$B$2:$X$1000,MATCH($B328,'testmo-export-repository'!$A$2:$A$1000,false),MATCH(I$2,'testmo-export-repository'!$B$1:$X$1,false)),"")</f>
        <v/>
      </c>
      <c r="J328" s="60" t="str">
        <f t="array" ref="J328">IFERROR(INDEX('testmo-export-repository'!$B$2:$Y$1000,MATCH($B328,'testmo-export-repository'!$A$2:$A$1000,false),MATCH(J$2,'testmo-export-repository'!$B$1:$Y$1,false)),"")</f>
        <v/>
      </c>
      <c r="K328" s="60" t="str">
        <f t="array" ref="K328">IFERROR(INDEX('testmo-export-repository'!$B$2:$Y$1000,MATCH($B328,'testmo-export-repository'!$A$2:$A$1000,false),MATCH(K$2,'testmo-export-repository'!$B$1:$Y$1,false)),"")</f>
        <v/>
      </c>
    </row>
    <row r="329">
      <c r="B329" s="60" t="str">
        <f>'testmo-export-repository'!A328</f>
        <v/>
      </c>
      <c r="C329" s="60" t="str">
        <f t="array" ref="C329">IFERROR(INDEX('testmo-export-repository'!$B$2:$X$1000,MATCH($B329,'testmo-export-repository'!$A$2:$A$1000,false),MATCH(C$2,'testmo-export-repository'!$B$1:$X$1,false)),"")</f>
        <v/>
      </c>
      <c r="D329" s="60" t="str">
        <f t="array" ref="D329">IFERROR(INDEX('testmo-export-repository'!$B$2:$X$1000,MATCH($B329,'testmo-export-repository'!$A$2:$A$1000,false),MATCH(D$2,'testmo-export-repository'!$B$1:$X$1,false)),"")</f>
        <v/>
      </c>
      <c r="E329" s="60" t="str">
        <f>IFERROR(VLOOKUP($C329,instructions!$N$3:$O$5,2,false),"")</f>
        <v/>
      </c>
      <c r="F329" s="60" t="str">
        <f>IFERROR(VLOOKUP($D329,instructions!$N$3:$O$5,2,false),"")</f>
        <v/>
      </c>
      <c r="G329" s="60" t="str">
        <f t="array" ref="G329">IFERROR(INDEX('testmo-export-repository'!$B$2:$X$1000,MATCH($B329,'testmo-export-repository'!$A$2:$A$1000,false),MATCH(G$2,'testmo-export-repository'!$B$1:$X$1,false)),"")</f>
        <v/>
      </c>
      <c r="H329" s="60" t="str">
        <f t="array" ref="H329">IFERROR(INDEX('testmo-export-repository'!$B$2:$X$1000,MATCH($B329,'testmo-export-repository'!$A$2:$A$1000,false),MATCH(H$2,'testmo-export-repository'!$B$1:$X$1,false)),"")</f>
        <v/>
      </c>
      <c r="I329" s="60" t="str">
        <f t="array" ref="I329">IFERROR(INDEX('testmo-export-repository'!$B$2:$X$1000,MATCH($B329,'testmo-export-repository'!$A$2:$A$1000,false),MATCH(I$2,'testmo-export-repository'!$B$1:$X$1,false)),"")</f>
        <v/>
      </c>
      <c r="J329" s="60" t="str">
        <f t="array" ref="J329">IFERROR(INDEX('testmo-export-repository'!$B$2:$Y$1000,MATCH($B329,'testmo-export-repository'!$A$2:$A$1000,false),MATCH(J$2,'testmo-export-repository'!$B$1:$Y$1,false)),"")</f>
        <v/>
      </c>
      <c r="K329" s="60" t="str">
        <f t="array" ref="K329">IFERROR(INDEX('testmo-export-repository'!$B$2:$Y$1000,MATCH($B329,'testmo-export-repository'!$A$2:$A$1000,false),MATCH(K$2,'testmo-export-repository'!$B$1:$Y$1,false)),"")</f>
        <v/>
      </c>
    </row>
    <row r="330">
      <c r="B330" s="60" t="str">
        <f>'testmo-export-repository'!A329</f>
        <v/>
      </c>
      <c r="C330" s="60" t="str">
        <f t="array" ref="C330">IFERROR(INDEX('testmo-export-repository'!$B$2:$X$1000,MATCH($B330,'testmo-export-repository'!$A$2:$A$1000,false),MATCH(C$2,'testmo-export-repository'!$B$1:$X$1,false)),"")</f>
        <v/>
      </c>
      <c r="D330" s="60" t="str">
        <f t="array" ref="D330">IFERROR(INDEX('testmo-export-repository'!$B$2:$X$1000,MATCH($B330,'testmo-export-repository'!$A$2:$A$1000,false),MATCH(D$2,'testmo-export-repository'!$B$1:$X$1,false)),"")</f>
        <v/>
      </c>
      <c r="E330" s="60" t="str">
        <f>IFERROR(VLOOKUP($C330,instructions!$N$3:$O$5,2,false),"")</f>
        <v/>
      </c>
      <c r="F330" s="60" t="str">
        <f>IFERROR(VLOOKUP($D330,instructions!$N$3:$O$5,2,false),"")</f>
        <v/>
      </c>
      <c r="G330" s="60" t="str">
        <f t="array" ref="G330">IFERROR(INDEX('testmo-export-repository'!$B$2:$X$1000,MATCH($B330,'testmo-export-repository'!$A$2:$A$1000,false),MATCH(G$2,'testmo-export-repository'!$B$1:$X$1,false)),"")</f>
        <v/>
      </c>
      <c r="H330" s="60" t="str">
        <f t="array" ref="H330">IFERROR(INDEX('testmo-export-repository'!$B$2:$X$1000,MATCH($B330,'testmo-export-repository'!$A$2:$A$1000,false),MATCH(H$2,'testmo-export-repository'!$B$1:$X$1,false)),"")</f>
        <v/>
      </c>
      <c r="I330" s="60" t="str">
        <f t="array" ref="I330">IFERROR(INDEX('testmo-export-repository'!$B$2:$X$1000,MATCH($B330,'testmo-export-repository'!$A$2:$A$1000,false),MATCH(I$2,'testmo-export-repository'!$B$1:$X$1,false)),"")</f>
        <v/>
      </c>
      <c r="J330" s="60" t="str">
        <f t="array" ref="J330">IFERROR(INDEX('testmo-export-repository'!$B$2:$Y$1000,MATCH($B330,'testmo-export-repository'!$A$2:$A$1000,false),MATCH(J$2,'testmo-export-repository'!$B$1:$Y$1,false)),"")</f>
        <v/>
      </c>
      <c r="K330" s="60" t="str">
        <f t="array" ref="K330">IFERROR(INDEX('testmo-export-repository'!$B$2:$Y$1000,MATCH($B330,'testmo-export-repository'!$A$2:$A$1000,false),MATCH(K$2,'testmo-export-repository'!$B$1:$Y$1,false)),"")</f>
        <v/>
      </c>
    </row>
    <row r="331">
      <c r="B331" s="60" t="str">
        <f>'testmo-export-repository'!A330</f>
        <v/>
      </c>
      <c r="C331" s="60" t="str">
        <f t="array" ref="C331">IFERROR(INDEX('testmo-export-repository'!$B$2:$X$1000,MATCH($B331,'testmo-export-repository'!$A$2:$A$1000,false),MATCH(C$2,'testmo-export-repository'!$B$1:$X$1,false)),"")</f>
        <v/>
      </c>
      <c r="D331" s="60" t="str">
        <f t="array" ref="D331">IFERROR(INDEX('testmo-export-repository'!$B$2:$X$1000,MATCH($B331,'testmo-export-repository'!$A$2:$A$1000,false),MATCH(D$2,'testmo-export-repository'!$B$1:$X$1,false)),"")</f>
        <v/>
      </c>
      <c r="E331" s="60" t="str">
        <f>IFERROR(VLOOKUP($C331,instructions!$N$3:$O$5,2,false),"")</f>
        <v/>
      </c>
      <c r="F331" s="60" t="str">
        <f>IFERROR(VLOOKUP($D331,instructions!$N$3:$O$5,2,false),"")</f>
        <v/>
      </c>
      <c r="G331" s="60" t="str">
        <f t="array" ref="G331">IFERROR(INDEX('testmo-export-repository'!$B$2:$X$1000,MATCH($B331,'testmo-export-repository'!$A$2:$A$1000,false),MATCH(G$2,'testmo-export-repository'!$B$1:$X$1,false)),"")</f>
        <v/>
      </c>
      <c r="H331" s="60" t="str">
        <f t="array" ref="H331">IFERROR(INDEX('testmo-export-repository'!$B$2:$X$1000,MATCH($B331,'testmo-export-repository'!$A$2:$A$1000,false),MATCH(H$2,'testmo-export-repository'!$B$1:$X$1,false)),"")</f>
        <v/>
      </c>
      <c r="I331" s="60" t="str">
        <f t="array" ref="I331">IFERROR(INDEX('testmo-export-repository'!$B$2:$X$1000,MATCH($B331,'testmo-export-repository'!$A$2:$A$1000,false),MATCH(I$2,'testmo-export-repository'!$B$1:$X$1,false)),"")</f>
        <v/>
      </c>
      <c r="J331" s="60" t="str">
        <f t="array" ref="J331">IFERROR(INDEX('testmo-export-repository'!$B$2:$Y$1000,MATCH($B331,'testmo-export-repository'!$A$2:$A$1000,false),MATCH(J$2,'testmo-export-repository'!$B$1:$Y$1,false)),"")</f>
        <v/>
      </c>
      <c r="K331" s="60" t="str">
        <f t="array" ref="K331">IFERROR(INDEX('testmo-export-repository'!$B$2:$Y$1000,MATCH($B331,'testmo-export-repository'!$A$2:$A$1000,false),MATCH(K$2,'testmo-export-repository'!$B$1:$Y$1,false)),"")</f>
        <v/>
      </c>
    </row>
    <row r="332">
      <c r="B332" s="60" t="str">
        <f>'testmo-export-repository'!A331</f>
        <v/>
      </c>
      <c r="C332" s="60" t="str">
        <f t="array" ref="C332">IFERROR(INDEX('testmo-export-repository'!$B$2:$X$1000,MATCH($B332,'testmo-export-repository'!$A$2:$A$1000,false),MATCH(C$2,'testmo-export-repository'!$B$1:$X$1,false)),"")</f>
        <v/>
      </c>
      <c r="D332" s="60" t="str">
        <f t="array" ref="D332">IFERROR(INDEX('testmo-export-repository'!$B$2:$X$1000,MATCH($B332,'testmo-export-repository'!$A$2:$A$1000,false),MATCH(D$2,'testmo-export-repository'!$B$1:$X$1,false)),"")</f>
        <v/>
      </c>
      <c r="E332" s="60" t="str">
        <f>IFERROR(VLOOKUP($C332,instructions!$N$3:$O$5,2,false),"")</f>
        <v/>
      </c>
      <c r="F332" s="60" t="str">
        <f>IFERROR(VLOOKUP($D332,instructions!$N$3:$O$5,2,false),"")</f>
        <v/>
      </c>
      <c r="G332" s="60" t="str">
        <f t="array" ref="G332">IFERROR(INDEX('testmo-export-repository'!$B$2:$X$1000,MATCH($B332,'testmo-export-repository'!$A$2:$A$1000,false),MATCH(G$2,'testmo-export-repository'!$B$1:$X$1,false)),"")</f>
        <v/>
      </c>
      <c r="H332" s="60" t="str">
        <f t="array" ref="H332">IFERROR(INDEX('testmo-export-repository'!$B$2:$X$1000,MATCH($B332,'testmo-export-repository'!$A$2:$A$1000,false),MATCH(H$2,'testmo-export-repository'!$B$1:$X$1,false)),"")</f>
        <v/>
      </c>
      <c r="I332" s="60" t="str">
        <f t="array" ref="I332">IFERROR(INDEX('testmo-export-repository'!$B$2:$X$1000,MATCH($B332,'testmo-export-repository'!$A$2:$A$1000,false),MATCH(I$2,'testmo-export-repository'!$B$1:$X$1,false)),"")</f>
        <v/>
      </c>
      <c r="J332" s="60" t="str">
        <f t="array" ref="J332">IFERROR(INDEX('testmo-export-repository'!$B$2:$Y$1000,MATCH($B332,'testmo-export-repository'!$A$2:$A$1000,false),MATCH(J$2,'testmo-export-repository'!$B$1:$Y$1,false)),"")</f>
        <v/>
      </c>
      <c r="K332" s="60" t="str">
        <f t="array" ref="K332">IFERROR(INDEX('testmo-export-repository'!$B$2:$Y$1000,MATCH($B332,'testmo-export-repository'!$A$2:$A$1000,false),MATCH(K$2,'testmo-export-repository'!$B$1:$Y$1,false)),"")</f>
        <v/>
      </c>
    </row>
    <row r="333">
      <c r="B333" s="60" t="str">
        <f>'testmo-export-repository'!A332</f>
        <v/>
      </c>
      <c r="C333" s="60" t="str">
        <f t="array" ref="C333">IFERROR(INDEX('testmo-export-repository'!$B$2:$X$1000,MATCH($B333,'testmo-export-repository'!$A$2:$A$1000,false),MATCH(C$2,'testmo-export-repository'!$B$1:$X$1,false)),"")</f>
        <v/>
      </c>
      <c r="D333" s="60" t="str">
        <f t="array" ref="D333">IFERROR(INDEX('testmo-export-repository'!$B$2:$X$1000,MATCH($B333,'testmo-export-repository'!$A$2:$A$1000,false),MATCH(D$2,'testmo-export-repository'!$B$1:$X$1,false)),"")</f>
        <v/>
      </c>
      <c r="E333" s="60" t="str">
        <f>IFERROR(VLOOKUP($C333,instructions!$N$3:$O$5,2,false),"")</f>
        <v/>
      </c>
      <c r="F333" s="60" t="str">
        <f>IFERROR(VLOOKUP($D333,instructions!$N$3:$O$5,2,false),"")</f>
        <v/>
      </c>
      <c r="G333" s="60" t="str">
        <f t="array" ref="G333">IFERROR(INDEX('testmo-export-repository'!$B$2:$X$1000,MATCH($B333,'testmo-export-repository'!$A$2:$A$1000,false),MATCH(G$2,'testmo-export-repository'!$B$1:$X$1,false)),"")</f>
        <v/>
      </c>
      <c r="H333" s="60" t="str">
        <f t="array" ref="H333">IFERROR(INDEX('testmo-export-repository'!$B$2:$X$1000,MATCH($B333,'testmo-export-repository'!$A$2:$A$1000,false),MATCH(H$2,'testmo-export-repository'!$B$1:$X$1,false)),"")</f>
        <v/>
      </c>
      <c r="I333" s="60" t="str">
        <f t="array" ref="I333">IFERROR(INDEX('testmo-export-repository'!$B$2:$X$1000,MATCH($B333,'testmo-export-repository'!$A$2:$A$1000,false),MATCH(I$2,'testmo-export-repository'!$B$1:$X$1,false)),"")</f>
        <v/>
      </c>
      <c r="J333" s="60" t="str">
        <f t="array" ref="J333">IFERROR(INDEX('testmo-export-repository'!$B$2:$Y$1000,MATCH($B333,'testmo-export-repository'!$A$2:$A$1000,false),MATCH(J$2,'testmo-export-repository'!$B$1:$Y$1,false)),"")</f>
        <v/>
      </c>
      <c r="K333" s="60" t="str">
        <f t="array" ref="K333">IFERROR(INDEX('testmo-export-repository'!$B$2:$Y$1000,MATCH($B333,'testmo-export-repository'!$A$2:$A$1000,false),MATCH(K$2,'testmo-export-repository'!$B$1:$Y$1,false)),"")</f>
        <v/>
      </c>
    </row>
    <row r="334">
      <c r="B334" s="60" t="str">
        <f>'testmo-export-repository'!A333</f>
        <v/>
      </c>
      <c r="C334" s="60" t="str">
        <f t="array" ref="C334">IFERROR(INDEX('testmo-export-repository'!$B$2:$X$1000,MATCH($B334,'testmo-export-repository'!$A$2:$A$1000,false),MATCH(C$2,'testmo-export-repository'!$B$1:$X$1,false)),"")</f>
        <v/>
      </c>
      <c r="D334" s="60" t="str">
        <f t="array" ref="D334">IFERROR(INDEX('testmo-export-repository'!$B$2:$X$1000,MATCH($B334,'testmo-export-repository'!$A$2:$A$1000,false),MATCH(D$2,'testmo-export-repository'!$B$1:$X$1,false)),"")</f>
        <v/>
      </c>
      <c r="E334" s="60" t="str">
        <f>IFERROR(VLOOKUP($C334,instructions!$N$3:$O$5,2,false),"")</f>
        <v/>
      </c>
      <c r="F334" s="60" t="str">
        <f>IFERROR(VLOOKUP($D334,instructions!$N$3:$O$5,2,false),"")</f>
        <v/>
      </c>
      <c r="G334" s="60" t="str">
        <f t="array" ref="G334">IFERROR(INDEX('testmo-export-repository'!$B$2:$X$1000,MATCH($B334,'testmo-export-repository'!$A$2:$A$1000,false),MATCH(G$2,'testmo-export-repository'!$B$1:$X$1,false)),"")</f>
        <v/>
      </c>
      <c r="H334" s="60" t="str">
        <f t="array" ref="H334">IFERROR(INDEX('testmo-export-repository'!$B$2:$X$1000,MATCH($B334,'testmo-export-repository'!$A$2:$A$1000,false),MATCH(H$2,'testmo-export-repository'!$B$1:$X$1,false)),"")</f>
        <v/>
      </c>
      <c r="I334" s="60" t="str">
        <f t="array" ref="I334">IFERROR(INDEX('testmo-export-repository'!$B$2:$X$1000,MATCH($B334,'testmo-export-repository'!$A$2:$A$1000,false),MATCH(I$2,'testmo-export-repository'!$B$1:$X$1,false)),"")</f>
        <v/>
      </c>
      <c r="J334" s="60" t="str">
        <f t="array" ref="J334">IFERROR(INDEX('testmo-export-repository'!$B$2:$Y$1000,MATCH($B334,'testmo-export-repository'!$A$2:$A$1000,false),MATCH(J$2,'testmo-export-repository'!$B$1:$Y$1,false)),"")</f>
        <v/>
      </c>
      <c r="K334" s="60" t="str">
        <f t="array" ref="K334">IFERROR(INDEX('testmo-export-repository'!$B$2:$Y$1000,MATCH($B334,'testmo-export-repository'!$A$2:$A$1000,false),MATCH(K$2,'testmo-export-repository'!$B$1:$Y$1,false)),"")</f>
        <v/>
      </c>
    </row>
    <row r="335">
      <c r="B335" s="60" t="str">
        <f>'testmo-export-repository'!A334</f>
        <v/>
      </c>
      <c r="C335" s="60" t="str">
        <f t="array" ref="C335">IFERROR(INDEX('testmo-export-repository'!$B$2:$X$1000,MATCH($B335,'testmo-export-repository'!$A$2:$A$1000,false),MATCH(C$2,'testmo-export-repository'!$B$1:$X$1,false)),"")</f>
        <v/>
      </c>
      <c r="D335" s="60" t="str">
        <f t="array" ref="D335">IFERROR(INDEX('testmo-export-repository'!$B$2:$X$1000,MATCH($B335,'testmo-export-repository'!$A$2:$A$1000,false),MATCH(D$2,'testmo-export-repository'!$B$1:$X$1,false)),"")</f>
        <v/>
      </c>
      <c r="E335" s="60" t="str">
        <f>IFERROR(VLOOKUP($C335,instructions!$N$3:$O$5,2,false),"")</f>
        <v/>
      </c>
      <c r="F335" s="60" t="str">
        <f>IFERROR(VLOOKUP($D335,instructions!$N$3:$O$5,2,false),"")</f>
        <v/>
      </c>
      <c r="G335" s="60" t="str">
        <f t="array" ref="G335">IFERROR(INDEX('testmo-export-repository'!$B$2:$X$1000,MATCH($B335,'testmo-export-repository'!$A$2:$A$1000,false),MATCH(G$2,'testmo-export-repository'!$B$1:$X$1,false)),"")</f>
        <v/>
      </c>
      <c r="H335" s="60" t="str">
        <f t="array" ref="H335">IFERROR(INDEX('testmo-export-repository'!$B$2:$X$1000,MATCH($B335,'testmo-export-repository'!$A$2:$A$1000,false),MATCH(H$2,'testmo-export-repository'!$B$1:$X$1,false)),"")</f>
        <v/>
      </c>
      <c r="I335" s="60" t="str">
        <f t="array" ref="I335">IFERROR(INDEX('testmo-export-repository'!$B$2:$X$1000,MATCH($B335,'testmo-export-repository'!$A$2:$A$1000,false),MATCH(I$2,'testmo-export-repository'!$B$1:$X$1,false)),"")</f>
        <v/>
      </c>
      <c r="J335" s="60" t="str">
        <f t="array" ref="J335">IFERROR(INDEX('testmo-export-repository'!$B$2:$Y$1000,MATCH($B335,'testmo-export-repository'!$A$2:$A$1000,false),MATCH(J$2,'testmo-export-repository'!$B$1:$Y$1,false)),"")</f>
        <v/>
      </c>
      <c r="K335" s="60" t="str">
        <f t="array" ref="K335">IFERROR(INDEX('testmo-export-repository'!$B$2:$Y$1000,MATCH($B335,'testmo-export-repository'!$A$2:$A$1000,false),MATCH(K$2,'testmo-export-repository'!$B$1:$Y$1,false)),"")</f>
        <v/>
      </c>
    </row>
    <row r="336">
      <c r="B336" s="60" t="str">
        <f>'testmo-export-repository'!A335</f>
        <v/>
      </c>
      <c r="C336" s="60" t="str">
        <f t="array" ref="C336">IFERROR(INDEX('testmo-export-repository'!$B$2:$X$1000,MATCH($B336,'testmo-export-repository'!$A$2:$A$1000,false),MATCH(C$2,'testmo-export-repository'!$B$1:$X$1,false)),"")</f>
        <v/>
      </c>
      <c r="D336" s="60" t="str">
        <f t="array" ref="D336">IFERROR(INDEX('testmo-export-repository'!$B$2:$X$1000,MATCH($B336,'testmo-export-repository'!$A$2:$A$1000,false),MATCH(D$2,'testmo-export-repository'!$B$1:$X$1,false)),"")</f>
        <v/>
      </c>
      <c r="E336" s="60" t="str">
        <f>IFERROR(VLOOKUP($C336,instructions!$N$3:$O$5,2,false),"")</f>
        <v/>
      </c>
      <c r="F336" s="60" t="str">
        <f>IFERROR(VLOOKUP($D336,instructions!$N$3:$O$5,2,false),"")</f>
        <v/>
      </c>
      <c r="G336" s="60" t="str">
        <f t="array" ref="G336">IFERROR(INDEX('testmo-export-repository'!$B$2:$X$1000,MATCH($B336,'testmo-export-repository'!$A$2:$A$1000,false),MATCH(G$2,'testmo-export-repository'!$B$1:$X$1,false)),"")</f>
        <v/>
      </c>
      <c r="H336" s="60" t="str">
        <f t="array" ref="H336">IFERROR(INDEX('testmo-export-repository'!$B$2:$X$1000,MATCH($B336,'testmo-export-repository'!$A$2:$A$1000,false),MATCH(H$2,'testmo-export-repository'!$B$1:$X$1,false)),"")</f>
        <v/>
      </c>
      <c r="I336" s="60" t="str">
        <f t="array" ref="I336">IFERROR(INDEX('testmo-export-repository'!$B$2:$X$1000,MATCH($B336,'testmo-export-repository'!$A$2:$A$1000,false),MATCH(I$2,'testmo-export-repository'!$B$1:$X$1,false)),"")</f>
        <v/>
      </c>
      <c r="J336" s="60" t="str">
        <f t="array" ref="J336">IFERROR(INDEX('testmo-export-repository'!$B$2:$Y$1000,MATCH($B336,'testmo-export-repository'!$A$2:$A$1000,false),MATCH(J$2,'testmo-export-repository'!$B$1:$Y$1,false)),"")</f>
        <v/>
      </c>
      <c r="K336" s="60" t="str">
        <f t="array" ref="K336">IFERROR(INDEX('testmo-export-repository'!$B$2:$Y$1000,MATCH($B336,'testmo-export-repository'!$A$2:$A$1000,false),MATCH(K$2,'testmo-export-repository'!$B$1:$Y$1,false)),"")</f>
        <v/>
      </c>
    </row>
    <row r="337">
      <c r="B337" s="60" t="str">
        <f>'testmo-export-repository'!A336</f>
        <v/>
      </c>
      <c r="C337" s="60" t="str">
        <f t="array" ref="C337">IFERROR(INDEX('testmo-export-repository'!$B$2:$X$1000,MATCH($B337,'testmo-export-repository'!$A$2:$A$1000,false),MATCH(C$2,'testmo-export-repository'!$B$1:$X$1,false)),"")</f>
        <v/>
      </c>
      <c r="D337" s="60" t="str">
        <f t="array" ref="D337">IFERROR(INDEX('testmo-export-repository'!$B$2:$X$1000,MATCH($B337,'testmo-export-repository'!$A$2:$A$1000,false),MATCH(D$2,'testmo-export-repository'!$B$1:$X$1,false)),"")</f>
        <v/>
      </c>
      <c r="E337" s="60" t="str">
        <f>IFERROR(VLOOKUP($C337,instructions!$N$3:$O$5,2,false),"")</f>
        <v/>
      </c>
      <c r="F337" s="60" t="str">
        <f>IFERROR(VLOOKUP($D337,instructions!$N$3:$O$5,2,false),"")</f>
        <v/>
      </c>
      <c r="G337" s="60" t="str">
        <f t="array" ref="G337">IFERROR(INDEX('testmo-export-repository'!$B$2:$X$1000,MATCH($B337,'testmo-export-repository'!$A$2:$A$1000,false),MATCH(G$2,'testmo-export-repository'!$B$1:$X$1,false)),"")</f>
        <v/>
      </c>
      <c r="H337" s="60" t="str">
        <f t="array" ref="H337">IFERROR(INDEX('testmo-export-repository'!$B$2:$X$1000,MATCH($B337,'testmo-export-repository'!$A$2:$A$1000,false),MATCH(H$2,'testmo-export-repository'!$B$1:$X$1,false)),"")</f>
        <v/>
      </c>
      <c r="I337" s="60" t="str">
        <f t="array" ref="I337">IFERROR(INDEX('testmo-export-repository'!$B$2:$X$1000,MATCH($B337,'testmo-export-repository'!$A$2:$A$1000,false),MATCH(I$2,'testmo-export-repository'!$B$1:$X$1,false)),"")</f>
        <v/>
      </c>
      <c r="J337" s="60" t="str">
        <f t="array" ref="J337">IFERROR(INDEX('testmo-export-repository'!$B$2:$Y$1000,MATCH($B337,'testmo-export-repository'!$A$2:$A$1000,false),MATCH(J$2,'testmo-export-repository'!$B$1:$Y$1,false)),"")</f>
        <v/>
      </c>
      <c r="K337" s="60" t="str">
        <f t="array" ref="K337">IFERROR(INDEX('testmo-export-repository'!$B$2:$Y$1000,MATCH($B337,'testmo-export-repository'!$A$2:$A$1000,false),MATCH(K$2,'testmo-export-repository'!$B$1:$Y$1,false)),"")</f>
        <v/>
      </c>
    </row>
    <row r="338">
      <c r="B338" s="60" t="str">
        <f>'testmo-export-repository'!A337</f>
        <v/>
      </c>
      <c r="C338" s="60" t="str">
        <f t="array" ref="C338">IFERROR(INDEX('testmo-export-repository'!$B$2:$X$1000,MATCH($B338,'testmo-export-repository'!$A$2:$A$1000,false),MATCH(C$2,'testmo-export-repository'!$B$1:$X$1,false)),"")</f>
        <v/>
      </c>
      <c r="D338" s="60" t="str">
        <f t="array" ref="D338">IFERROR(INDEX('testmo-export-repository'!$B$2:$X$1000,MATCH($B338,'testmo-export-repository'!$A$2:$A$1000,false),MATCH(D$2,'testmo-export-repository'!$B$1:$X$1,false)),"")</f>
        <v/>
      </c>
      <c r="E338" s="60" t="str">
        <f>IFERROR(VLOOKUP($C338,instructions!$N$3:$O$5,2,false),"")</f>
        <v/>
      </c>
      <c r="F338" s="60" t="str">
        <f>IFERROR(VLOOKUP($D338,instructions!$N$3:$O$5,2,false),"")</f>
        <v/>
      </c>
      <c r="G338" s="60" t="str">
        <f t="array" ref="G338">IFERROR(INDEX('testmo-export-repository'!$B$2:$X$1000,MATCH($B338,'testmo-export-repository'!$A$2:$A$1000,false),MATCH(G$2,'testmo-export-repository'!$B$1:$X$1,false)),"")</f>
        <v/>
      </c>
      <c r="H338" s="60" t="str">
        <f t="array" ref="H338">IFERROR(INDEX('testmo-export-repository'!$B$2:$X$1000,MATCH($B338,'testmo-export-repository'!$A$2:$A$1000,false),MATCH(H$2,'testmo-export-repository'!$B$1:$X$1,false)),"")</f>
        <v/>
      </c>
      <c r="I338" s="60" t="str">
        <f t="array" ref="I338">IFERROR(INDEX('testmo-export-repository'!$B$2:$X$1000,MATCH($B338,'testmo-export-repository'!$A$2:$A$1000,false),MATCH(I$2,'testmo-export-repository'!$B$1:$X$1,false)),"")</f>
        <v/>
      </c>
      <c r="J338" s="60" t="str">
        <f t="array" ref="J338">IFERROR(INDEX('testmo-export-repository'!$B$2:$Y$1000,MATCH($B338,'testmo-export-repository'!$A$2:$A$1000,false),MATCH(J$2,'testmo-export-repository'!$B$1:$Y$1,false)),"")</f>
        <v/>
      </c>
      <c r="K338" s="60" t="str">
        <f t="array" ref="K338">IFERROR(INDEX('testmo-export-repository'!$B$2:$Y$1000,MATCH($B338,'testmo-export-repository'!$A$2:$A$1000,false),MATCH(K$2,'testmo-export-repository'!$B$1:$Y$1,false)),"")</f>
        <v/>
      </c>
    </row>
    <row r="339">
      <c r="B339" s="60" t="str">
        <f>'testmo-export-repository'!A338</f>
        <v/>
      </c>
      <c r="C339" s="60" t="str">
        <f t="array" ref="C339">IFERROR(INDEX('testmo-export-repository'!$B$2:$X$1000,MATCH($B339,'testmo-export-repository'!$A$2:$A$1000,false),MATCH(C$2,'testmo-export-repository'!$B$1:$X$1,false)),"")</f>
        <v/>
      </c>
      <c r="D339" s="60" t="str">
        <f t="array" ref="D339">IFERROR(INDEX('testmo-export-repository'!$B$2:$X$1000,MATCH($B339,'testmo-export-repository'!$A$2:$A$1000,false),MATCH(D$2,'testmo-export-repository'!$B$1:$X$1,false)),"")</f>
        <v/>
      </c>
      <c r="E339" s="60" t="str">
        <f>IFERROR(VLOOKUP($C339,instructions!$N$3:$O$5,2,false),"")</f>
        <v/>
      </c>
      <c r="F339" s="60" t="str">
        <f>IFERROR(VLOOKUP($D339,instructions!$N$3:$O$5,2,false),"")</f>
        <v/>
      </c>
      <c r="G339" s="60" t="str">
        <f t="array" ref="G339">IFERROR(INDEX('testmo-export-repository'!$B$2:$X$1000,MATCH($B339,'testmo-export-repository'!$A$2:$A$1000,false),MATCH(G$2,'testmo-export-repository'!$B$1:$X$1,false)),"")</f>
        <v/>
      </c>
      <c r="H339" s="60" t="str">
        <f t="array" ref="H339">IFERROR(INDEX('testmo-export-repository'!$B$2:$X$1000,MATCH($B339,'testmo-export-repository'!$A$2:$A$1000,false),MATCH(H$2,'testmo-export-repository'!$B$1:$X$1,false)),"")</f>
        <v/>
      </c>
      <c r="I339" s="60" t="str">
        <f t="array" ref="I339">IFERROR(INDEX('testmo-export-repository'!$B$2:$X$1000,MATCH($B339,'testmo-export-repository'!$A$2:$A$1000,false),MATCH(I$2,'testmo-export-repository'!$B$1:$X$1,false)),"")</f>
        <v/>
      </c>
      <c r="J339" s="60" t="str">
        <f t="array" ref="J339">IFERROR(INDEX('testmo-export-repository'!$B$2:$Y$1000,MATCH($B339,'testmo-export-repository'!$A$2:$A$1000,false),MATCH(J$2,'testmo-export-repository'!$B$1:$Y$1,false)),"")</f>
        <v/>
      </c>
      <c r="K339" s="60" t="str">
        <f t="array" ref="K339">IFERROR(INDEX('testmo-export-repository'!$B$2:$Y$1000,MATCH($B339,'testmo-export-repository'!$A$2:$A$1000,false),MATCH(K$2,'testmo-export-repository'!$B$1:$Y$1,false)),"")</f>
        <v/>
      </c>
    </row>
    <row r="340">
      <c r="B340" s="60" t="str">
        <f>'testmo-export-repository'!A339</f>
        <v/>
      </c>
      <c r="C340" s="60" t="str">
        <f t="array" ref="C340">IFERROR(INDEX('testmo-export-repository'!$B$2:$X$1000,MATCH($B340,'testmo-export-repository'!$A$2:$A$1000,false),MATCH(C$2,'testmo-export-repository'!$B$1:$X$1,false)),"")</f>
        <v/>
      </c>
      <c r="D340" s="60" t="str">
        <f t="array" ref="D340">IFERROR(INDEX('testmo-export-repository'!$B$2:$X$1000,MATCH($B340,'testmo-export-repository'!$A$2:$A$1000,false),MATCH(D$2,'testmo-export-repository'!$B$1:$X$1,false)),"")</f>
        <v/>
      </c>
      <c r="E340" s="60" t="str">
        <f>IFERROR(VLOOKUP($C340,instructions!$N$3:$O$5,2,false),"")</f>
        <v/>
      </c>
      <c r="F340" s="60" t="str">
        <f>IFERROR(VLOOKUP($D340,instructions!$N$3:$O$5,2,false),"")</f>
        <v/>
      </c>
      <c r="G340" s="60" t="str">
        <f t="array" ref="G340">IFERROR(INDEX('testmo-export-repository'!$B$2:$X$1000,MATCH($B340,'testmo-export-repository'!$A$2:$A$1000,false),MATCH(G$2,'testmo-export-repository'!$B$1:$X$1,false)),"")</f>
        <v/>
      </c>
      <c r="H340" s="60" t="str">
        <f t="array" ref="H340">IFERROR(INDEX('testmo-export-repository'!$B$2:$X$1000,MATCH($B340,'testmo-export-repository'!$A$2:$A$1000,false),MATCH(H$2,'testmo-export-repository'!$B$1:$X$1,false)),"")</f>
        <v/>
      </c>
      <c r="I340" s="60" t="str">
        <f t="array" ref="I340">IFERROR(INDEX('testmo-export-repository'!$B$2:$X$1000,MATCH($B340,'testmo-export-repository'!$A$2:$A$1000,false),MATCH(I$2,'testmo-export-repository'!$B$1:$X$1,false)),"")</f>
        <v/>
      </c>
      <c r="J340" s="60" t="str">
        <f t="array" ref="J340">IFERROR(INDEX('testmo-export-repository'!$B$2:$Y$1000,MATCH($B340,'testmo-export-repository'!$A$2:$A$1000,false),MATCH(J$2,'testmo-export-repository'!$B$1:$Y$1,false)),"")</f>
        <v/>
      </c>
      <c r="K340" s="60" t="str">
        <f t="array" ref="K340">IFERROR(INDEX('testmo-export-repository'!$B$2:$Y$1000,MATCH($B340,'testmo-export-repository'!$A$2:$A$1000,false),MATCH(K$2,'testmo-export-repository'!$B$1:$Y$1,false)),"")</f>
        <v/>
      </c>
    </row>
    <row r="341">
      <c r="B341" s="60" t="str">
        <f>'testmo-export-repository'!A340</f>
        <v/>
      </c>
      <c r="C341" s="60" t="str">
        <f t="array" ref="C341">IFERROR(INDEX('testmo-export-repository'!$B$2:$X$1000,MATCH($B341,'testmo-export-repository'!$A$2:$A$1000,false),MATCH(C$2,'testmo-export-repository'!$B$1:$X$1,false)),"")</f>
        <v/>
      </c>
      <c r="D341" s="60" t="str">
        <f t="array" ref="D341">IFERROR(INDEX('testmo-export-repository'!$B$2:$X$1000,MATCH($B341,'testmo-export-repository'!$A$2:$A$1000,false),MATCH(D$2,'testmo-export-repository'!$B$1:$X$1,false)),"")</f>
        <v/>
      </c>
      <c r="E341" s="60" t="str">
        <f>IFERROR(VLOOKUP($C341,instructions!$N$3:$O$5,2,false),"")</f>
        <v/>
      </c>
      <c r="F341" s="60" t="str">
        <f>IFERROR(VLOOKUP($D341,instructions!$N$3:$O$5,2,false),"")</f>
        <v/>
      </c>
      <c r="G341" s="60" t="str">
        <f t="array" ref="G341">IFERROR(INDEX('testmo-export-repository'!$B$2:$X$1000,MATCH($B341,'testmo-export-repository'!$A$2:$A$1000,false),MATCH(G$2,'testmo-export-repository'!$B$1:$X$1,false)),"")</f>
        <v/>
      </c>
      <c r="H341" s="60" t="str">
        <f t="array" ref="H341">IFERROR(INDEX('testmo-export-repository'!$B$2:$X$1000,MATCH($B341,'testmo-export-repository'!$A$2:$A$1000,false),MATCH(H$2,'testmo-export-repository'!$B$1:$X$1,false)),"")</f>
        <v/>
      </c>
      <c r="I341" s="60" t="str">
        <f t="array" ref="I341">IFERROR(INDEX('testmo-export-repository'!$B$2:$X$1000,MATCH($B341,'testmo-export-repository'!$A$2:$A$1000,false),MATCH(I$2,'testmo-export-repository'!$B$1:$X$1,false)),"")</f>
        <v/>
      </c>
      <c r="J341" s="60" t="str">
        <f t="array" ref="J341">IFERROR(INDEX('testmo-export-repository'!$B$2:$Y$1000,MATCH($B341,'testmo-export-repository'!$A$2:$A$1000,false),MATCH(J$2,'testmo-export-repository'!$B$1:$Y$1,false)),"")</f>
        <v/>
      </c>
      <c r="K341" s="60" t="str">
        <f t="array" ref="K341">IFERROR(INDEX('testmo-export-repository'!$B$2:$Y$1000,MATCH($B341,'testmo-export-repository'!$A$2:$A$1000,false),MATCH(K$2,'testmo-export-repository'!$B$1:$Y$1,false)),"")</f>
        <v/>
      </c>
    </row>
    <row r="342">
      <c r="B342" s="60" t="str">
        <f>'testmo-export-repository'!A341</f>
        <v/>
      </c>
      <c r="C342" s="60" t="str">
        <f t="array" ref="C342">IFERROR(INDEX('testmo-export-repository'!$B$2:$X$1000,MATCH($B342,'testmo-export-repository'!$A$2:$A$1000,false),MATCH(C$2,'testmo-export-repository'!$B$1:$X$1,false)),"")</f>
        <v/>
      </c>
      <c r="D342" s="60" t="str">
        <f t="array" ref="D342">IFERROR(INDEX('testmo-export-repository'!$B$2:$X$1000,MATCH($B342,'testmo-export-repository'!$A$2:$A$1000,false),MATCH(D$2,'testmo-export-repository'!$B$1:$X$1,false)),"")</f>
        <v/>
      </c>
      <c r="E342" s="60" t="str">
        <f>IFERROR(VLOOKUP($C342,instructions!$N$3:$O$5,2,false),"")</f>
        <v/>
      </c>
      <c r="F342" s="60" t="str">
        <f>IFERROR(VLOOKUP($D342,instructions!$N$3:$O$5,2,false),"")</f>
        <v/>
      </c>
      <c r="G342" s="60" t="str">
        <f t="array" ref="G342">IFERROR(INDEX('testmo-export-repository'!$B$2:$X$1000,MATCH($B342,'testmo-export-repository'!$A$2:$A$1000,false),MATCH(G$2,'testmo-export-repository'!$B$1:$X$1,false)),"")</f>
        <v/>
      </c>
      <c r="H342" s="60" t="str">
        <f t="array" ref="H342">IFERROR(INDEX('testmo-export-repository'!$B$2:$X$1000,MATCH($B342,'testmo-export-repository'!$A$2:$A$1000,false),MATCH(H$2,'testmo-export-repository'!$B$1:$X$1,false)),"")</f>
        <v/>
      </c>
      <c r="I342" s="60" t="str">
        <f t="array" ref="I342">IFERROR(INDEX('testmo-export-repository'!$B$2:$X$1000,MATCH($B342,'testmo-export-repository'!$A$2:$A$1000,false),MATCH(I$2,'testmo-export-repository'!$B$1:$X$1,false)),"")</f>
        <v/>
      </c>
      <c r="J342" s="60" t="str">
        <f t="array" ref="J342">IFERROR(INDEX('testmo-export-repository'!$B$2:$Y$1000,MATCH($B342,'testmo-export-repository'!$A$2:$A$1000,false),MATCH(J$2,'testmo-export-repository'!$B$1:$Y$1,false)),"")</f>
        <v/>
      </c>
      <c r="K342" s="60" t="str">
        <f t="array" ref="K342">IFERROR(INDEX('testmo-export-repository'!$B$2:$Y$1000,MATCH($B342,'testmo-export-repository'!$A$2:$A$1000,false),MATCH(K$2,'testmo-export-repository'!$B$1:$Y$1,false)),"")</f>
        <v/>
      </c>
    </row>
    <row r="343">
      <c r="B343" s="60" t="str">
        <f>'testmo-export-repository'!A342</f>
        <v/>
      </c>
      <c r="C343" s="60" t="str">
        <f t="array" ref="C343">IFERROR(INDEX('testmo-export-repository'!$B$2:$X$1000,MATCH($B343,'testmo-export-repository'!$A$2:$A$1000,false),MATCH(C$2,'testmo-export-repository'!$B$1:$X$1,false)),"")</f>
        <v/>
      </c>
      <c r="D343" s="60" t="str">
        <f t="array" ref="D343">IFERROR(INDEX('testmo-export-repository'!$B$2:$X$1000,MATCH($B343,'testmo-export-repository'!$A$2:$A$1000,false),MATCH(D$2,'testmo-export-repository'!$B$1:$X$1,false)),"")</f>
        <v/>
      </c>
      <c r="E343" s="60" t="str">
        <f>IFERROR(VLOOKUP($C343,instructions!$N$3:$O$5,2,false),"")</f>
        <v/>
      </c>
      <c r="F343" s="60" t="str">
        <f>IFERROR(VLOOKUP($D343,instructions!$N$3:$O$5,2,false),"")</f>
        <v/>
      </c>
      <c r="G343" s="60" t="str">
        <f t="array" ref="G343">IFERROR(INDEX('testmo-export-repository'!$B$2:$X$1000,MATCH($B343,'testmo-export-repository'!$A$2:$A$1000,false),MATCH(G$2,'testmo-export-repository'!$B$1:$X$1,false)),"")</f>
        <v/>
      </c>
      <c r="H343" s="60" t="str">
        <f t="array" ref="H343">IFERROR(INDEX('testmo-export-repository'!$B$2:$X$1000,MATCH($B343,'testmo-export-repository'!$A$2:$A$1000,false),MATCH(H$2,'testmo-export-repository'!$B$1:$X$1,false)),"")</f>
        <v/>
      </c>
      <c r="I343" s="60" t="str">
        <f t="array" ref="I343">IFERROR(INDEX('testmo-export-repository'!$B$2:$X$1000,MATCH($B343,'testmo-export-repository'!$A$2:$A$1000,false),MATCH(I$2,'testmo-export-repository'!$B$1:$X$1,false)),"")</f>
        <v/>
      </c>
      <c r="J343" s="60" t="str">
        <f t="array" ref="J343">IFERROR(INDEX('testmo-export-repository'!$B$2:$Y$1000,MATCH($B343,'testmo-export-repository'!$A$2:$A$1000,false),MATCH(J$2,'testmo-export-repository'!$B$1:$Y$1,false)),"")</f>
        <v/>
      </c>
      <c r="K343" s="60" t="str">
        <f t="array" ref="K343">IFERROR(INDEX('testmo-export-repository'!$B$2:$Y$1000,MATCH($B343,'testmo-export-repository'!$A$2:$A$1000,false),MATCH(K$2,'testmo-export-repository'!$B$1:$Y$1,false)),"")</f>
        <v/>
      </c>
    </row>
    <row r="344">
      <c r="B344" s="60" t="str">
        <f>'testmo-export-repository'!A343</f>
        <v/>
      </c>
      <c r="C344" s="60" t="str">
        <f t="array" ref="C344">IFERROR(INDEX('testmo-export-repository'!$B$2:$X$1000,MATCH($B344,'testmo-export-repository'!$A$2:$A$1000,false),MATCH(C$2,'testmo-export-repository'!$B$1:$X$1,false)),"")</f>
        <v/>
      </c>
      <c r="D344" s="60" t="str">
        <f t="array" ref="D344">IFERROR(INDEX('testmo-export-repository'!$B$2:$X$1000,MATCH($B344,'testmo-export-repository'!$A$2:$A$1000,false),MATCH(D$2,'testmo-export-repository'!$B$1:$X$1,false)),"")</f>
        <v/>
      </c>
      <c r="E344" s="60" t="str">
        <f>IFERROR(VLOOKUP($C344,instructions!$N$3:$O$5,2,false),"")</f>
        <v/>
      </c>
      <c r="F344" s="60" t="str">
        <f>IFERROR(VLOOKUP($D344,instructions!$N$3:$O$5,2,false),"")</f>
        <v/>
      </c>
      <c r="G344" s="60" t="str">
        <f t="array" ref="G344">IFERROR(INDEX('testmo-export-repository'!$B$2:$X$1000,MATCH($B344,'testmo-export-repository'!$A$2:$A$1000,false),MATCH(G$2,'testmo-export-repository'!$B$1:$X$1,false)),"")</f>
        <v/>
      </c>
      <c r="H344" s="60" t="str">
        <f t="array" ref="H344">IFERROR(INDEX('testmo-export-repository'!$B$2:$X$1000,MATCH($B344,'testmo-export-repository'!$A$2:$A$1000,false),MATCH(H$2,'testmo-export-repository'!$B$1:$X$1,false)),"")</f>
        <v/>
      </c>
      <c r="I344" s="60" t="str">
        <f t="array" ref="I344">IFERROR(INDEX('testmo-export-repository'!$B$2:$X$1000,MATCH($B344,'testmo-export-repository'!$A$2:$A$1000,false),MATCH(I$2,'testmo-export-repository'!$B$1:$X$1,false)),"")</f>
        <v/>
      </c>
      <c r="J344" s="60" t="str">
        <f t="array" ref="J344">IFERROR(INDEX('testmo-export-repository'!$B$2:$Y$1000,MATCH($B344,'testmo-export-repository'!$A$2:$A$1000,false),MATCH(J$2,'testmo-export-repository'!$B$1:$Y$1,false)),"")</f>
        <v/>
      </c>
      <c r="K344" s="60" t="str">
        <f t="array" ref="K344">IFERROR(INDEX('testmo-export-repository'!$B$2:$Y$1000,MATCH($B344,'testmo-export-repository'!$A$2:$A$1000,false),MATCH(K$2,'testmo-export-repository'!$B$1:$Y$1,false)),"")</f>
        <v/>
      </c>
    </row>
    <row r="345">
      <c r="B345" s="60" t="str">
        <f>'testmo-export-repository'!A344</f>
        <v/>
      </c>
      <c r="C345" s="60" t="str">
        <f t="array" ref="C345">IFERROR(INDEX('testmo-export-repository'!$B$2:$X$1000,MATCH($B345,'testmo-export-repository'!$A$2:$A$1000,false),MATCH(C$2,'testmo-export-repository'!$B$1:$X$1,false)),"")</f>
        <v/>
      </c>
      <c r="D345" s="60" t="str">
        <f t="array" ref="D345">IFERROR(INDEX('testmo-export-repository'!$B$2:$X$1000,MATCH($B345,'testmo-export-repository'!$A$2:$A$1000,false),MATCH(D$2,'testmo-export-repository'!$B$1:$X$1,false)),"")</f>
        <v/>
      </c>
      <c r="E345" s="60" t="str">
        <f>IFERROR(VLOOKUP($C345,instructions!$N$3:$O$5,2,false),"")</f>
        <v/>
      </c>
      <c r="F345" s="60" t="str">
        <f>IFERROR(VLOOKUP($D345,instructions!$N$3:$O$5,2,false),"")</f>
        <v/>
      </c>
      <c r="G345" s="60" t="str">
        <f t="array" ref="G345">IFERROR(INDEX('testmo-export-repository'!$B$2:$X$1000,MATCH($B345,'testmo-export-repository'!$A$2:$A$1000,false),MATCH(G$2,'testmo-export-repository'!$B$1:$X$1,false)),"")</f>
        <v/>
      </c>
      <c r="H345" s="60" t="str">
        <f t="array" ref="H345">IFERROR(INDEX('testmo-export-repository'!$B$2:$X$1000,MATCH($B345,'testmo-export-repository'!$A$2:$A$1000,false),MATCH(H$2,'testmo-export-repository'!$B$1:$X$1,false)),"")</f>
        <v/>
      </c>
      <c r="I345" s="60" t="str">
        <f t="array" ref="I345">IFERROR(INDEX('testmo-export-repository'!$B$2:$X$1000,MATCH($B345,'testmo-export-repository'!$A$2:$A$1000,false),MATCH(I$2,'testmo-export-repository'!$B$1:$X$1,false)),"")</f>
        <v/>
      </c>
      <c r="J345" s="60" t="str">
        <f t="array" ref="J345">IFERROR(INDEX('testmo-export-repository'!$B$2:$Y$1000,MATCH($B345,'testmo-export-repository'!$A$2:$A$1000,false),MATCH(J$2,'testmo-export-repository'!$B$1:$Y$1,false)),"")</f>
        <v/>
      </c>
      <c r="K345" s="60" t="str">
        <f t="array" ref="K345">IFERROR(INDEX('testmo-export-repository'!$B$2:$Y$1000,MATCH($B345,'testmo-export-repository'!$A$2:$A$1000,false),MATCH(K$2,'testmo-export-repository'!$B$1:$Y$1,false)),"")</f>
        <v/>
      </c>
    </row>
    <row r="346">
      <c r="B346" s="60" t="str">
        <f>'testmo-export-repository'!A345</f>
        <v/>
      </c>
      <c r="C346" s="60" t="str">
        <f t="array" ref="C346">IFERROR(INDEX('testmo-export-repository'!$B$2:$X$1000,MATCH($B346,'testmo-export-repository'!$A$2:$A$1000,false),MATCH(C$2,'testmo-export-repository'!$B$1:$X$1,false)),"")</f>
        <v/>
      </c>
      <c r="D346" s="60" t="str">
        <f t="array" ref="D346">IFERROR(INDEX('testmo-export-repository'!$B$2:$X$1000,MATCH($B346,'testmo-export-repository'!$A$2:$A$1000,false),MATCH(D$2,'testmo-export-repository'!$B$1:$X$1,false)),"")</f>
        <v/>
      </c>
      <c r="E346" s="60" t="str">
        <f>IFERROR(VLOOKUP($C346,instructions!$N$3:$O$5,2,false),"")</f>
        <v/>
      </c>
      <c r="F346" s="60" t="str">
        <f>IFERROR(VLOOKUP($D346,instructions!$N$3:$O$5,2,false),"")</f>
        <v/>
      </c>
      <c r="G346" s="60" t="str">
        <f t="array" ref="G346">IFERROR(INDEX('testmo-export-repository'!$B$2:$X$1000,MATCH($B346,'testmo-export-repository'!$A$2:$A$1000,false),MATCH(G$2,'testmo-export-repository'!$B$1:$X$1,false)),"")</f>
        <v/>
      </c>
      <c r="H346" s="60" t="str">
        <f t="array" ref="H346">IFERROR(INDEX('testmo-export-repository'!$B$2:$X$1000,MATCH($B346,'testmo-export-repository'!$A$2:$A$1000,false),MATCH(H$2,'testmo-export-repository'!$B$1:$X$1,false)),"")</f>
        <v/>
      </c>
      <c r="I346" s="60" t="str">
        <f t="array" ref="I346">IFERROR(INDEX('testmo-export-repository'!$B$2:$X$1000,MATCH($B346,'testmo-export-repository'!$A$2:$A$1000,false),MATCH(I$2,'testmo-export-repository'!$B$1:$X$1,false)),"")</f>
        <v/>
      </c>
      <c r="J346" s="60" t="str">
        <f t="array" ref="J346">IFERROR(INDEX('testmo-export-repository'!$B$2:$Y$1000,MATCH($B346,'testmo-export-repository'!$A$2:$A$1000,false),MATCH(J$2,'testmo-export-repository'!$B$1:$Y$1,false)),"")</f>
        <v/>
      </c>
      <c r="K346" s="60" t="str">
        <f t="array" ref="K346">IFERROR(INDEX('testmo-export-repository'!$B$2:$Y$1000,MATCH($B346,'testmo-export-repository'!$A$2:$A$1000,false),MATCH(K$2,'testmo-export-repository'!$B$1:$Y$1,false)),"")</f>
        <v/>
      </c>
    </row>
    <row r="347">
      <c r="B347" s="60" t="str">
        <f>'testmo-export-repository'!A346</f>
        <v/>
      </c>
      <c r="C347" s="60" t="str">
        <f t="array" ref="C347">IFERROR(INDEX('testmo-export-repository'!$B$2:$X$1000,MATCH($B347,'testmo-export-repository'!$A$2:$A$1000,false),MATCH(C$2,'testmo-export-repository'!$B$1:$X$1,false)),"")</f>
        <v/>
      </c>
      <c r="D347" s="60" t="str">
        <f t="array" ref="D347">IFERROR(INDEX('testmo-export-repository'!$B$2:$X$1000,MATCH($B347,'testmo-export-repository'!$A$2:$A$1000,false),MATCH(D$2,'testmo-export-repository'!$B$1:$X$1,false)),"")</f>
        <v/>
      </c>
      <c r="E347" s="60" t="str">
        <f>IFERROR(VLOOKUP($C347,instructions!$N$3:$O$5,2,false),"")</f>
        <v/>
      </c>
      <c r="F347" s="60" t="str">
        <f>IFERROR(VLOOKUP($D347,instructions!$N$3:$O$5,2,false),"")</f>
        <v/>
      </c>
      <c r="G347" s="60" t="str">
        <f t="array" ref="G347">IFERROR(INDEX('testmo-export-repository'!$B$2:$X$1000,MATCH($B347,'testmo-export-repository'!$A$2:$A$1000,false),MATCH(G$2,'testmo-export-repository'!$B$1:$X$1,false)),"")</f>
        <v/>
      </c>
      <c r="H347" s="60" t="str">
        <f t="array" ref="H347">IFERROR(INDEX('testmo-export-repository'!$B$2:$X$1000,MATCH($B347,'testmo-export-repository'!$A$2:$A$1000,false),MATCH(H$2,'testmo-export-repository'!$B$1:$X$1,false)),"")</f>
        <v/>
      </c>
      <c r="I347" s="60" t="str">
        <f t="array" ref="I347">IFERROR(INDEX('testmo-export-repository'!$B$2:$X$1000,MATCH($B347,'testmo-export-repository'!$A$2:$A$1000,false),MATCH(I$2,'testmo-export-repository'!$B$1:$X$1,false)),"")</f>
        <v/>
      </c>
      <c r="J347" s="60" t="str">
        <f t="array" ref="J347">IFERROR(INDEX('testmo-export-repository'!$B$2:$Y$1000,MATCH($B347,'testmo-export-repository'!$A$2:$A$1000,false),MATCH(J$2,'testmo-export-repository'!$B$1:$Y$1,false)),"")</f>
        <v/>
      </c>
      <c r="K347" s="60" t="str">
        <f t="array" ref="K347">IFERROR(INDEX('testmo-export-repository'!$B$2:$Y$1000,MATCH($B347,'testmo-export-repository'!$A$2:$A$1000,false),MATCH(K$2,'testmo-export-repository'!$B$1:$Y$1,false)),"")</f>
        <v/>
      </c>
    </row>
    <row r="348">
      <c r="B348" s="60" t="str">
        <f>'testmo-export-repository'!A347</f>
        <v/>
      </c>
      <c r="C348" s="60" t="str">
        <f t="array" ref="C348">IFERROR(INDEX('testmo-export-repository'!$B$2:$X$1000,MATCH($B348,'testmo-export-repository'!$A$2:$A$1000,false),MATCH(C$2,'testmo-export-repository'!$B$1:$X$1,false)),"")</f>
        <v/>
      </c>
      <c r="D348" s="60" t="str">
        <f t="array" ref="D348">IFERROR(INDEX('testmo-export-repository'!$B$2:$X$1000,MATCH($B348,'testmo-export-repository'!$A$2:$A$1000,false),MATCH(D$2,'testmo-export-repository'!$B$1:$X$1,false)),"")</f>
        <v/>
      </c>
      <c r="E348" s="60" t="str">
        <f>IFERROR(VLOOKUP($C348,instructions!$N$3:$O$5,2,false),"")</f>
        <v/>
      </c>
      <c r="F348" s="60" t="str">
        <f>IFERROR(VLOOKUP($D348,instructions!$N$3:$O$5,2,false),"")</f>
        <v/>
      </c>
      <c r="G348" s="60" t="str">
        <f t="array" ref="G348">IFERROR(INDEX('testmo-export-repository'!$B$2:$X$1000,MATCH($B348,'testmo-export-repository'!$A$2:$A$1000,false),MATCH(G$2,'testmo-export-repository'!$B$1:$X$1,false)),"")</f>
        <v/>
      </c>
      <c r="H348" s="60" t="str">
        <f t="array" ref="H348">IFERROR(INDEX('testmo-export-repository'!$B$2:$X$1000,MATCH($B348,'testmo-export-repository'!$A$2:$A$1000,false),MATCH(H$2,'testmo-export-repository'!$B$1:$X$1,false)),"")</f>
        <v/>
      </c>
      <c r="I348" s="60" t="str">
        <f t="array" ref="I348">IFERROR(INDEX('testmo-export-repository'!$B$2:$X$1000,MATCH($B348,'testmo-export-repository'!$A$2:$A$1000,false),MATCH(I$2,'testmo-export-repository'!$B$1:$X$1,false)),"")</f>
        <v/>
      </c>
      <c r="J348" s="60" t="str">
        <f t="array" ref="J348">IFERROR(INDEX('testmo-export-repository'!$B$2:$Y$1000,MATCH($B348,'testmo-export-repository'!$A$2:$A$1000,false),MATCH(J$2,'testmo-export-repository'!$B$1:$Y$1,false)),"")</f>
        <v/>
      </c>
      <c r="K348" s="60" t="str">
        <f t="array" ref="K348">IFERROR(INDEX('testmo-export-repository'!$B$2:$Y$1000,MATCH($B348,'testmo-export-repository'!$A$2:$A$1000,false),MATCH(K$2,'testmo-export-repository'!$B$1:$Y$1,false)),"")</f>
        <v/>
      </c>
    </row>
    <row r="349">
      <c r="B349" s="60" t="str">
        <f>'testmo-export-repository'!A348</f>
        <v/>
      </c>
      <c r="C349" s="60" t="str">
        <f t="array" ref="C349">IFERROR(INDEX('testmo-export-repository'!$B$2:$X$1000,MATCH($B349,'testmo-export-repository'!$A$2:$A$1000,false),MATCH(C$2,'testmo-export-repository'!$B$1:$X$1,false)),"")</f>
        <v/>
      </c>
      <c r="D349" s="60" t="str">
        <f t="array" ref="D349">IFERROR(INDEX('testmo-export-repository'!$B$2:$X$1000,MATCH($B349,'testmo-export-repository'!$A$2:$A$1000,false),MATCH(D$2,'testmo-export-repository'!$B$1:$X$1,false)),"")</f>
        <v/>
      </c>
      <c r="E349" s="60" t="str">
        <f>IFERROR(VLOOKUP($C349,instructions!$N$3:$O$5,2,false),"")</f>
        <v/>
      </c>
      <c r="F349" s="60" t="str">
        <f>IFERROR(VLOOKUP($D349,instructions!$N$3:$O$5,2,false),"")</f>
        <v/>
      </c>
      <c r="G349" s="60" t="str">
        <f t="array" ref="G349">IFERROR(INDEX('testmo-export-repository'!$B$2:$X$1000,MATCH($B349,'testmo-export-repository'!$A$2:$A$1000,false),MATCH(G$2,'testmo-export-repository'!$B$1:$X$1,false)),"")</f>
        <v/>
      </c>
      <c r="H349" s="60" t="str">
        <f t="array" ref="H349">IFERROR(INDEX('testmo-export-repository'!$B$2:$X$1000,MATCH($B349,'testmo-export-repository'!$A$2:$A$1000,false),MATCH(H$2,'testmo-export-repository'!$B$1:$X$1,false)),"")</f>
        <v/>
      </c>
      <c r="I349" s="60" t="str">
        <f t="array" ref="I349">IFERROR(INDEX('testmo-export-repository'!$B$2:$X$1000,MATCH($B349,'testmo-export-repository'!$A$2:$A$1000,false),MATCH(I$2,'testmo-export-repository'!$B$1:$X$1,false)),"")</f>
        <v/>
      </c>
      <c r="J349" s="60" t="str">
        <f t="array" ref="J349">IFERROR(INDEX('testmo-export-repository'!$B$2:$Y$1000,MATCH($B349,'testmo-export-repository'!$A$2:$A$1000,false),MATCH(J$2,'testmo-export-repository'!$B$1:$Y$1,false)),"")</f>
        <v/>
      </c>
      <c r="K349" s="60" t="str">
        <f t="array" ref="K349">IFERROR(INDEX('testmo-export-repository'!$B$2:$Y$1000,MATCH($B349,'testmo-export-repository'!$A$2:$A$1000,false),MATCH(K$2,'testmo-export-repository'!$B$1:$Y$1,false)),"")</f>
        <v/>
      </c>
    </row>
    <row r="350">
      <c r="B350" s="60" t="str">
        <f>'testmo-export-repository'!A349</f>
        <v/>
      </c>
      <c r="C350" s="60" t="str">
        <f t="array" ref="C350">IFERROR(INDEX('testmo-export-repository'!$B$2:$X$1000,MATCH($B350,'testmo-export-repository'!$A$2:$A$1000,false),MATCH(C$2,'testmo-export-repository'!$B$1:$X$1,false)),"")</f>
        <v/>
      </c>
      <c r="D350" s="60" t="str">
        <f t="array" ref="D350">IFERROR(INDEX('testmo-export-repository'!$B$2:$X$1000,MATCH($B350,'testmo-export-repository'!$A$2:$A$1000,false),MATCH(D$2,'testmo-export-repository'!$B$1:$X$1,false)),"")</f>
        <v/>
      </c>
      <c r="E350" s="60" t="str">
        <f>IFERROR(VLOOKUP($C350,instructions!$N$3:$O$5,2,false),"")</f>
        <v/>
      </c>
      <c r="F350" s="60" t="str">
        <f>IFERROR(VLOOKUP($D350,instructions!$N$3:$O$5,2,false),"")</f>
        <v/>
      </c>
      <c r="G350" s="60" t="str">
        <f t="array" ref="G350">IFERROR(INDEX('testmo-export-repository'!$B$2:$X$1000,MATCH($B350,'testmo-export-repository'!$A$2:$A$1000,false),MATCH(G$2,'testmo-export-repository'!$B$1:$X$1,false)),"")</f>
        <v/>
      </c>
      <c r="H350" s="60" t="str">
        <f t="array" ref="H350">IFERROR(INDEX('testmo-export-repository'!$B$2:$X$1000,MATCH($B350,'testmo-export-repository'!$A$2:$A$1000,false),MATCH(H$2,'testmo-export-repository'!$B$1:$X$1,false)),"")</f>
        <v/>
      </c>
      <c r="I350" s="60" t="str">
        <f t="array" ref="I350">IFERROR(INDEX('testmo-export-repository'!$B$2:$X$1000,MATCH($B350,'testmo-export-repository'!$A$2:$A$1000,false),MATCH(I$2,'testmo-export-repository'!$B$1:$X$1,false)),"")</f>
        <v/>
      </c>
      <c r="J350" s="60" t="str">
        <f t="array" ref="J350">IFERROR(INDEX('testmo-export-repository'!$B$2:$Y$1000,MATCH($B350,'testmo-export-repository'!$A$2:$A$1000,false),MATCH(J$2,'testmo-export-repository'!$B$1:$Y$1,false)),"")</f>
        <v/>
      </c>
      <c r="K350" s="60" t="str">
        <f t="array" ref="K350">IFERROR(INDEX('testmo-export-repository'!$B$2:$Y$1000,MATCH($B350,'testmo-export-repository'!$A$2:$A$1000,false),MATCH(K$2,'testmo-export-repository'!$B$1:$Y$1,false)),"")</f>
        <v/>
      </c>
    </row>
    <row r="351">
      <c r="B351" s="60" t="str">
        <f>'testmo-export-repository'!A350</f>
        <v/>
      </c>
      <c r="C351" s="60" t="str">
        <f t="array" ref="C351">IFERROR(INDEX('testmo-export-repository'!$B$2:$X$1000,MATCH($B351,'testmo-export-repository'!$A$2:$A$1000,false),MATCH(C$2,'testmo-export-repository'!$B$1:$X$1,false)),"")</f>
        <v/>
      </c>
      <c r="D351" s="60" t="str">
        <f t="array" ref="D351">IFERROR(INDEX('testmo-export-repository'!$B$2:$X$1000,MATCH($B351,'testmo-export-repository'!$A$2:$A$1000,false),MATCH(D$2,'testmo-export-repository'!$B$1:$X$1,false)),"")</f>
        <v/>
      </c>
      <c r="E351" s="60" t="str">
        <f>IFERROR(VLOOKUP($C351,instructions!$N$3:$O$5,2,false),"")</f>
        <v/>
      </c>
      <c r="F351" s="60" t="str">
        <f>IFERROR(VLOOKUP($D351,instructions!$N$3:$O$5,2,false),"")</f>
        <v/>
      </c>
      <c r="G351" s="60" t="str">
        <f t="array" ref="G351">IFERROR(INDEX('testmo-export-repository'!$B$2:$X$1000,MATCH($B351,'testmo-export-repository'!$A$2:$A$1000,false),MATCH(G$2,'testmo-export-repository'!$B$1:$X$1,false)),"")</f>
        <v/>
      </c>
      <c r="H351" s="60" t="str">
        <f t="array" ref="H351">IFERROR(INDEX('testmo-export-repository'!$B$2:$X$1000,MATCH($B351,'testmo-export-repository'!$A$2:$A$1000,false),MATCH(H$2,'testmo-export-repository'!$B$1:$X$1,false)),"")</f>
        <v/>
      </c>
      <c r="I351" s="60" t="str">
        <f t="array" ref="I351">IFERROR(INDEX('testmo-export-repository'!$B$2:$X$1000,MATCH($B351,'testmo-export-repository'!$A$2:$A$1000,false),MATCH(I$2,'testmo-export-repository'!$B$1:$X$1,false)),"")</f>
        <v/>
      </c>
      <c r="J351" s="60" t="str">
        <f t="array" ref="J351">IFERROR(INDEX('testmo-export-repository'!$B$2:$Y$1000,MATCH($B351,'testmo-export-repository'!$A$2:$A$1000,false),MATCH(J$2,'testmo-export-repository'!$B$1:$Y$1,false)),"")</f>
        <v/>
      </c>
      <c r="K351" s="60" t="str">
        <f t="array" ref="K351">IFERROR(INDEX('testmo-export-repository'!$B$2:$Y$1000,MATCH($B351,'testmo-export-repository'!$A$2:$A$1000,false),MATCH(K$2,'testmo-export-repository'!$B$1:$Y$1,false)),"")</f>
        <v/>
      </c>
    </row>
    <row r="352">
      <c r="B352" s="60" t="str">
        <f>'testmo-export-repository'!A351</f>
        <v/>
      </c>
      <c r="C352" s="60" t="str">
        <f t="array" ref="C352">IFERROR(INDEX('testmo-export-repository'!$B$2:$X$1000,MATCH($B352,'testmo-export-repository'!$A$2:$A$1000,false),MATCH(C$2,'testmo-export-repository'!$B$1:$X$1,false)),"")</f>
        <v/>
      </c>
      <c r="D352" s="60" t="str">
        <f t="array" ref="D352">IFERROR(INDEX('testmo-export-repository'!$B$2:$X$1000,MATCH($B352,'testmo-export-repository'!$A$2:$A$1000,false),MATCH(D$2,'testmo-export-repository'!$B$1:$X$1,false)),"")</f>
        <v/>
      </c>
      <c r="E352" s="60" t="str">
        <f>IFERROR(VLOOKUP($C352,instructions!$N$3:$O$5,2,false),"")</f>
        <v/>
      </c>
      <c r="F352" s="60" t="str">
        <f>IFERROR(VLOOKUP($D352,instructions!$N$3:$O$5,2,false),"")</f>
        <v/>
      </c>
      <c r="G352" s="60" t="str">
        <f t="array" ref="G352">IFERROR(INDEX('testmo-export-repository'!$B$2:$X$1000,MATCH($B352,'testmo-export-repository'!$A$2:$A$1000,false),MATCH(G$2,'testmo-export-repository'!$B$1:$X$1,false)),"")</f>
        <v/>
      </c>
      <c r="H352" s="60" t="str">
        <f t="array" ref="H352">IFERROR(INDEX('testmo-export-repository'!$B$2:$X$1000,MATCH($B352,'testmo-export-repository'!$A$2:$A$1000,false),MATCH(H$2,'testmo-export-repository'!$B$1:$X$1,false)),"")</f>
        <v/>
      </c>
      <c r="I352" s="60" t="str">
        <f t="array" ref="I352">IFERROR(INDEX('testmo-export-repository'!$B$2:$X$1000,MATCH($B352,'testmo-export-repository'!$A$2:$A$1000,false),MATCH(I$2,'testmo-export-repository'!$B$1:$X$1,false)),"")</f>
        <v/>
      </c>
      <c r="J352" s="60" t="str">
        <f t="array" ref="J352">IFERROR(INDEX('testmo-export-repository'!$B$2:$Y$1000,MATCH($B352,'testmo-export-repository'!$A$2:$A$1000,false),MATCH(J$2,'testmo-export-repository'!$B$1:$Y$1,false)),"")</f>
        <v/>
      </c>
      <c r="K352" s="60" t="str">
        <f t="array" ref="K352">IFERROR(INDEX('testmo-export-repository'!$B$2:$Y$1000,MATCH($B352,'testmo-export-repository'!$A$2:$A$1000,false),MATCH(K$2,'testmo-export-repository'!$B$1:$Y$1,false)),"")</f>
        <v/>
      </c>
    </row>
    <row r="353">
      <c r="B353" s="60" t="str">
        <f>'testmo-export-repository'!A352</f>
        <v/>
      </c>
      <c r="C353" s="60" t="str">
        <f t="array" ref="C353">IFERROR(INDEX('testmo-export-repository'!$B$2:$X$1000,MATCH($B353,'testmo-export-repository'!$A$2:$A$1000,false),MATCH(C$2,'testmo-export-repository'!$B$1:$X$1,false)),"")</f>
        <v/>
      </c>
      <c r="D353" s="60" t="str">
        <f t="array" ref="D353">IFERROR(INDEX('testmo-export-repository'!$B$2:$X$1000,MATCH($B353,'testmo-export-repository'!$A$2:$A$1000,false),MATCH(D$2,'testmo-export-repository'!$B$1:$X$1,false)),"")</f>
        <v/>
      </c>
      <c r="E353" s="60" t="str">
        <f>IFERROR(VLOOKUP($C353,instructions!$N$3:$O$5,2,false),"")</f>
        <v/>
      </c>
      <c r="F353" s="60" t="str">
        <f>IFERROR(VLOOKUP($D353,instructions!$N$3:$O$5,2,false),"")</f>
        <v/>
      </c>
      <c r="G353" s="60" t="str">
        <f t="array" ref="G353">IFERROR(INDEX('testmo-export-repository'!$B$2:$X$1000,MATCH($B353,'testmo-export-repository'!$A$2:$A$1000,false),MATCH(G$2,'testmo-export-repository'!$B$1:$X$1,false)),"")</f>
        <v/>
      </c>
      <c r="H353" s="60" t="str">
        <f t="array" ref="H353">IFERROR(INDEX('testmo-export-repository'!$B$2:$X$1000,MATCH($B353,'testmo-export-repository'!$A$2:$A$1000,false),MATCH(H$2,'testmo-export-repository'!$B$1:$X$1,false)),"")</f>
        <v/>
      </c>
      <c r="I353" s="60" t="str">
        <f t="array" ref="I353">IFERROR(INDEX('testmo-export-repository'!$B$2:$X$1000,MATCH($B353,'testmo-export-repository'!$A$2:$A$1000,false),MATCH(I$2,'testmo-export-repository'!$B$1:$X$1,false)),"")</f>
        <v/>
      </c>
      <c r="J353" s="60" t="str">
        <f t="array" ref="J353">IFERROR(INDEX('testmo-export-repository'!$B$2:$Y$1000,MATCH($B353,'testmo-export-repository'!$A$2:$A$1000,false),MATCH(J$2,'testmo-export-repository'!$B$1:$Y$1,false)),"")</f>
        <v/>
      </c>
      <c r="K353" s="60" t="str">
        <f t="array" ref="K353">IFERROR(INDEX('testmo-export-repository'!$B$2:$Y$1000,MATCH($B353,'testmo-export-repository'!$A$2:$A$1000,false),MATCH(K$2,'testmo-export-repository'!$B$1:$Y$1,false)),"")</f>
        <v/>
      </c>
    </row>
    <row r="354">
      <c r="B354" s="60" t="str">
        <f>'testmo-export-repository'!A353</f>
        <v/>
      </c>
      <c r="C354" s="60" t="str">
        <f t="array" ref="C354">IFERROR(INDEX('testmo-export-repository'!$B$2:$X$1000,MATCH($B354,'testmo-export-repository'!$A$2:$A$1000,false),MATCH(C$2,'testmo-export-repository'!$B$1:$X$1,false)),"")</f>
        <v/>
      </c>
      <c r="D354" s="60" t="str">
        <f t="array" ref="D354">IFERROR(INDEX('testmo-export-repository'!$B$2:$X$1000,MATCH($B354,'testmo-export-repository'!$A$2:$A$1000,false),MATCH(D$2,'testmo-export-repository'!$B$1:$X$1,false)),"")</f>
        <v/>
      </c>
      <c r="E354" s="60" t="str">
        <f>IFERROR(VLOOKUP($C354,instructions!$N$3:$O$5,2,false),"")</f>
        <v/>
      </c>
      <c r="F354" s="60" t="str">
        <f>IFERROR(VLOOKUP($D354,instructions!$N$3:$O$5,2,false),"")</f>
        <v/>
      </c>
      <c r="G354" s="60" t="str">
        <f t="array" ref="G354">IFERROR(INDEX('testmo-export-repository'!$B$2:$X$1000,MATCH($B354,'testmo-export-repository'!$A$2:$A$1000,false),MATCH(G$2,'testmo-export-repository'!$B$1:$X$1,false)),"")</f>
        <v/>
      </c>
      <c r="H354" s="60" t="str">
        <f t="array" ref="H354">IFERROR(INDEX('testmo-export-repository'!$B$2:$X$1000,MATCH($B354,'testmo-export-repository'!$A$2:$A$1000,false),MATCH(H$2,'testmo-export-repository'!$B$1:$X$1,false)),"")</f>
        <v/>
      </c>
      <c r="I354" s="60" t="str">
        <f t="array" ref="I354">IFERROR(INDEX('testmo-export-repository'!$B$2:$X$1000,MATCH($B354,'testmo-export-repository'!$A$2:$A$1000,false),MATCH(I$2,'testmo-export-repository'!$B$1:$X$1,false)),"")</f>
        <v/>
      </c>
      <c r="J354" s="60" t="str">
        <f t="array" ref="J354">IFERROR(INDEX('testmo-export-repository'!$B$2:$Y$1000,MATCH($B354,'testmo-export-repository'!$A$2:$A$1000,false),MATCH(J$2,'testmo-export-repository'!$B$1:$Y$1,false)),"")</f>
        <v/>
      </c>
      <c r="K354" s="60" t="str">
        <f t="array" ref="K354">IFERROR(INDEX('testmo-export-repository'!$B$2:$Y$1000,MATCH($B354,'testmo-export-repository'!$A$2:$A$1000,false),MATCH(K$2,'testmo-export-repository'!$B$1:$Y$1,false)),"")</f>
        <v/>
      </c>
    </row>
    <row r="355">
      <c r="B355" s="60" t="str">
        <f>'testmo-export-repository'!A354</f>
        <v/>
      </c>
      <c r="C355" s="60" t="str">
        <f t="array" ref="C355">IFERROR(INDEX('testmo-export-repository'!$B$2:$X$1000,MATCH($B355,'testmo-export-repository'!$A$2:$A$1000,false),MATCH(C$2,'testmo-export-repository'!$B$1:$X$1,false)),"")</f>
        <v/>
      </c>
      <c r="D355" s="60" t="str">
        <f t="array" ref="D355">IFERROR(INDEX('testmo-export-repository'!$B$2:$X$1000,MATCH($B355,'testmo-export-repository'!$A$2:$A$1000,false),MATCH(D$2,'testmo-export-repository'!$B$1:$X$1,false)),"")</f>
        <v/>
      </c>
      <c r="E355" s="60" t="str">
        <f>IFERROR(VLOOKUP($C355,instructions!$N$3:$O$5,2,false),"")</f>
        <v/>
      </c>
      <c r="F355" s="60" t="str">
        <f>IFERROR(VLOOKUP($D355,instructions!$N$3:$O$5,2,false),"")</f>
        <v/>
      </c>
      <c r="G355" s="60" t="str">
        <f t="array" ref="G355">IFERROR(INDEX('testmo-export-repository'!$B$2:$X$1000,MATCH($B355,'testmo-export-repository'!$A$2:$A$1000,false),MATCH(G$2,'testmo-export-repository'!$B$1:$X$1,false)),"")</f>
        <v/>
      </c>
      <c r="H355" s="60" t="str">
        <f t="array" ref="H355">IFERROR(INDEX('testmo-export-repository'!$B$2:$X$1000,MATCH($B355,'testmo-export-repository'!$A$2:$A$1000,false),MATCH(H$2,'testmo-export-repository'!$B$1:$X$1,false)),"")</f>
        <v/>
      </c>
      <c r="I355" s="60" t="str">
        <f t="array" ref="I355">IFERROR(INDEX('testmo-export-repository'!$B$2:$X$1000,MATCH($B355,'testmo-export-repository'!$A$2:$A$1000,false),MATCH(I$2,'testmo-export-repository'!$B$1:$X$1,false)),"")</f>
        <v/>
      </c>
      <c r="J355" s="60" t="str">
        <f t="array" ref="J355">IFERROR(INDEX('testmo-export-repository'!$B$2:$Y$1000,MATCH($B355,'testmo-export-repository'!$A$2:$A$1000,false),MATCH(J$2,'testmo-export-repository'!$B$1:$Y$1,false)),"")</f>
        <v/>
      </c>
      <c r="K355" s="60" t="str">
        <f t="array" ref="K355">IFERROR(INDEX('testmo-export-repository'!$B$2:$Y$1000,MATCH($B355,'testmo-export-repository'!$A$2:$A$1000,false),MATCH(K$2,'testmo-export-repository'!$B$1:$Y$1,false)),"")</f>
        <v/>
      </c>
    </row>
    <row r="356">
      <c r="B356" s="60" t="str">
        <f>'testmo-export-repository'!A355</f>
        <v/>
      </c>
      <c r="C356" s="60" t="str">
        <f t="array" ref="C356">IFERROR(INDEX('testmo-export-repository'!$B$2:$X$1000,MATCH($B356,'testmo-export-repository'!$A$2:$A$1000,false),MATCH(C$2,'testmo-export-repository'!$B$1:$X$1,false)),"")</f>
        <v/>
      </c>
      <c r="D356" s="60" t="str">
        <f t="array" ref="D356">IFERROR(INDEX('testmo-export-repository'!$B$2:$X$1000,MATCH($B356,'testmo-export-repository'!$A$2:$A$1000,false),MATCH(D$2,'testmo-export-repository'!$B$1:$X$1,false)),"")</f>
        <v/>
      </c>
      <c r="E356" s="60" t="str">
        <f>IFERROR(VLOOKUP($C356,instructions!$N$3:$O$5,2,false),"")</f>
        <v/>
      </c>
      <c r="F356" s="60" t="str">
        <f>IFERROR(VLOOKUP($D356,instructions!$N$3:$O$5,2,false),"")</f>
        <v/>
      </c>
      <c r="G356" s="60" t="str">
        <f t="array" ref="G356">IFERROR(INDEX('testmo-export-repository'!$B$2:$X$1000,MATCH($B356,'testmo-export-repository'!$A$2:$A$1000,false),MATCH(G$2,'testmo-export-repository'!$B$1:$X$1,false)),"")</f>
        <v/>
      </c>
      <c r="H356" s="60" t="str">
        <f t="array" ref="H356">IFERROR(INDEX('testmo-export-repository'!$B$2:$X$1000,MATCH($B356,'testmo-export-repository'!$A$2:$A$1000,false),MATCH(H$2,'testmo-export-repository'!$B$1:$X$1,false)),"")</f>
        <v/>
      </c>
      <c r="I356" s="60" t="str">
        <f t="array" ref="I356">IFERROR(INDEX('testmo-export-repository'!$B$2:$X$1000,MATCH($B356,'testmo-export-repository'!$A$2:$A$1000,false),MATCH(I$2,'testmo-export-repository'!$B$1:$X$1,false)),"")</f>
        <v/>
      </c>
      <c r="J356" s="60" t="str">
        <f t="array" ref="J356">IFERROR(INDEX('testmo-export-repository'!$B$2:$Y$1000,MATCH($B356,'testmo-export-repository'!$A$2:$A$1000,false),MATCH(J$2,'testmo-export-repository'!$B$1:$Y$1,false)),"")</f>
        <v/>
      </c>
      <c r="K356" s="60" t="str">
        <f t="array" ref="K356">IFERROR(INDEX('testmo-export-repository'!$B$2:$Y$1000,MATCH($B356,'testmo-export-repository'!$A$2:$A$1000,false),MATCH(K$2,'testmo-export-repository'!$B$1:$Y$1,false)),"")</f>
        <v/>
      </c>
    </row>
    <row r="357">
      <c r="B357" s="60" t="str">
        <f>'testmo-export-repository'!A356</f>
        <v/>
      </c>
      <c r="C357" s="60" t="str">
        <f t="array" ref="C357">IFERROR(INDEX('testmo-export-repository'!$B$2:$X$1000,MATCH($B357,'testmo-export-repository'!$A$2:$A$1000,false),MATCH(C$2,'testmo-export-repository'!$B$1:$X$1,false)),"")</f>
        <v/>
      </c>
      <c r="D357" s="60" t="str">
        <f t="array" ref="D357">IFERROR(INDEX('testmo-export-repository'!$B$2:$X$1000,MATCH($B357,'testmo-export-repository'!$A$2:$A$1000,false),MATCH(D$2,'testmo-export-repository'!$B$1:$X$1,false)),"")</f>
        <v/>
      </c>
      <c r="E357" s="60" t="str">
        <f>IFERROR(VLOOKUP($C357,instructions!$N$3:$O$5,2,false),"")</f>
        <v/>
      </c>
      <c r="F357" s="60" t="str">
        <f>IFERROR(VLOOKUP($D357,instructions!$N$3:$O$5,2,false),"")</f>
        <v/>
      </c>
      <c r="G357" s="60" t="str">
        <f t="array" ref="G357">IFERROR(INDEX('testmo-export-repository'!$B$2:$X$1000,MATCH($B357,'testmo-export-repository'!$A$2:$A$1000,false),MATCH(G$2,'testmo-export-repository'!$B$1:$X$1,false)),"")</f>
        <v/>
      </c>
      <c r="H357" s="60" t="str">
        <f t="array" ref="H357">IFERROR(INDEX('testmo-export-repository'!$B$2:$X$1000,MATCH($B357,'testmo-export-repository'!$A$2:$A$1000,false),MATCH(H$2,'testmo-export-repository'!$B$1:$X$1,false)),"")</f>
        <v/>
      </c>
      <c r="I357" s="60" t="str">
        <f t="array" ref="I357">IFERROR(INDEX('testmo-export-repository'!$B$2:$X$1000,MATCH($B357,'testmo-export-repository'!$A$2:$A$1000,false),MATCH(I$2,'testmo-export-repository'!$B$1:$X$1,false)),"")</f>
        <v/>
      </c>
      <c r="J357" s="60" t="str">
        <f t="array" ref="J357">IFERROR(INDEX('testmo-export-repository'!$B$2:$Y$1000,MATCH($B357,'testmo-export-repository'!$A$2:$A$1000,false),MATCH(J$2,'testmo-export-repository'!$B$1:$Y$1,false)),"")</f>
        <v/>
      </c>
      <c r="K357" s="60" t="str">
        <f t="array" ref="K357">IFERROR(INDEX('testmo-export-repository'!$B$2:$Y$1000,MATCH($B357,'testmo-export-repository'!$A$2:$A$1000,false),MATCH(K$2,'testmo-export-repository'!$B$1:$Y$1,false)),"")</f>
        <v/>
      </c>
    </row>
    <row r="358">
      <c r="B358" s="60" t="str">
        <f>'testmo-export-repository'!A357</f>
        <v/>
      </c>
      <c r="C358" s="60" t="str">
        <f t="array" ref="C358">IFERROR(INDEX('testmo-export-repository'!$B$2:$X$1000,MATCH($B358,'testmo-export-repository'!$A$2:$A$1000,false),MATCH(C$2,'testmo-export-repository'!$B$1:$X$1,false)),"")</f>
        <v/>
      </c>
      <c r="D358" s="60" t="str">
        <f t="array" ref="D358">IFERROR(INDEX('testmo-export-repository'!$B$2:$X$1000,MATCH($B358,'testmo-export-repository'!$A$2:$A$1000,false),MATCH(D$2,'testmo-export-repository'!$B$1:$X$1,false)),"")</f>
        <v/>
      </c>
      <c r="E358" s="60" t="str">
        <f>IFERROR(VLOOKUP($C358,instructions!$N$3:$O$5,2,false),"")</f>
        <v/>
      </c>
      <c r="F358" s="60" t="str">
        <f>IFERROR(VLOOKUP($D358,instructions!$N$3:$O$5,2,false),"")</f>
        <v/>
      </c>
      <c r="G358" s="60" t="str">
        <f t="array" ref="G358">IFERROR(INDEX('testmo-export-repository'!$B$2:$X$1000,MATCH($B358,'testmo-export-repository'!$A$2:$A$1000,false),MATCH(G$2,'testmo-export-repository'!$B$1:$X$1,false)),"")</f>
        <v/>
      </c>
      <c r="H358" s="60" t="str">
        <f t="array" ref="H358">IFERROR(INDEX('testmo-export-repository'!$B$2:$X$1000,MATCH($B358,'testmo-export-repository'!$A$2:$A$1000,false),MATCH(H$2,'testmo-export-repository'!$B$1:$X$1,false)),"")</f>
        <v/>
      </c>
      <c r="I358" s="60" t="str">
        <f t="array" ref="I358">IFERROR(INDEX('testmo-export-repository'!$B$2:$X$1000,MATCH($B358,'testmo-export-repository'!$A$2:$A$1000,false),MATCH(I$2,'testmo-export-repository'!$B$1:$X$1,false)),"")</f>
        <v/>
      </c>
      <c r="J358" s="60" t="str">
        <f t="array" ref="J358">IFERROR(INDEX('testmo-export-repository'!$B$2:$Y$1000,MATCH($B358,'testmo-export-repository'!$A$2:$A$1000,false),MATCH(J$2,'testmo-export-repository'!$B$1:$Y$1,false)),"")</f>
        <v/>
      </c>
      <c r="K358" s="60" t="str">
        <f t="array" ref="K358">IFERROR(INDEX('testmo-export-repository'!$B$2:$Y$1000,MATCH($B358,'testmo-export-repository'!$A$2:$A$1000,false),MATCH(K$2,'testmo-export-repository'!$B$1:$Y$1,false)),"")</f>
        <v/>
      </c>
    </row>
    <row r="359">
      <c r="B359" s="60" t="str">
        <f>'testmo-export-repository'!A358</f>
        <v/>
      </c>
      <c r="C359" s="60" t="str">
        <f t="array" ref="C359">IFERROR(INDEX('testmo-export-repository'!$B$2:$X$1000,MATCH($B359,'testmo-export-repository'!$A$2:$A$1000,false),MATCH(C$2,'testmo-export-repository'!$B$1:$X$1,false)),"")</f>
        <v/>
      </c>
      <c r="D359" s="60" t="str">
        <f t="array" ref="D359">IFERROR(INDEX('testmo-export-repository'!$B$2:$X$1000,MATCH($B359,'testmo-export-repository'!$A$2:$A$1000,false),MATCH(D$2,'testmo-export-repository'!$B$1:$X$1,false)),"")</f>
        <v/>
      </c>
      <c r="E359" s="60" t="str">
        <f>IFERROR(VLOOKUP($C359,instructions!$N$3:$O$5,2,false),"")</f>
        <v/>
      </c>
      <c r="F359" s="60" t="str">
        <f>IFERROR(VLOOKUP($D359,instructions!$N$3:$O$5,2,false),"")</f>
        <v/>
      </c>
      <c r="G359" s="60" t="str">
        <f t="array" ref="G359">IFERROR(INDEX('testmo-export-repository'!$B$2:$X$1000,MATCH($B359,'testmo-export-repository'!$A$2:$A$1000,false),MATCH(G$2,'testmo-export-repository'!$B$1:$X$1,false)),"")</f>
        <v/>
      </c>
      <c r="H359" s="60" t="str">
        <f t="array" ref="H359">IFERROR(INDEX('testmo-export-repository'!$B$2:$X$1000,MATCH($B359,'testmo-export-repository'!$A$2:$A$1000,false),MATCH(H$2,'testmo-export-repository'!$B$1:$X$1,false)),"")</f>
        <v/>
      </c>
      <c r="I359" s="60" t="str">
        <f t="array" ref="I359">IFERROR(INDEX('testmo-export-repository'!$B$2:$X$1000,MATCH($B359,'testmo-export-repository'!$A$2:$A$1000,false),MATCH(I$2,'testmo-export-repository'!$B$1:$X$1,false)),"")</f>
        <v/>
      </c>
      <c r="J359" s="60" t="str">
        <f t="array" ref="J359">IFERROR(INDEX('testmo-export-repository'!$B$2:$Y$1000,MATCH($B359,'testmo-export-repository'!$A$2:$A$1000,false),MATCH(J$2,'testmo-export-repository'!$B$1:$Y$1,false)),"")</f>
        <v/>
      </c>
      <c r="K359" s="60" t="str">
        <f t="array" ref="K359">IFERROR(INDEX('testmo-export-repository'!$B$2:$Y$1000,MATCH($B359,'testmo-export-repository'!$A$2:$A$1000,false),MATCH(K$2,'testmo-export-repository'!$B$1:$Y$1,false)),"")</f>
        <v/>
      </c>
    </row>
    <row r="360">
      <c r="B360" s="60" t="str">
        <f>'testmo-export-repository'!A359</f>
        <v/>
      </c>
      <c r="C360" s="60" t="str">
        <f t="array" ref="C360">IFERROR(INDEX('testmo-export-repository'!$B$2:$X$1000,MATCH($B360,'testmo-export-repository'!$A$2:$A$1000,false),MATCH(C$2,'testmo-export-repository'!$B$1:$X$1,false)),"")</f>
        <v/>
      </c>
      <c r="D360" s="60" t="str">
        <f t="array" ref="D360">IFERROR(INDEX('testmo-export-repository'!$B$2:$X$1000,MATCH($B360,'testmo-export-repository'!$A$2:$A$1000,false),MATCH(D$2,'testmo-export-repository'!$B$1:$X$1,false)),"")</f>
        <v/>
      </c>
      <c r="E360" s="60" t="str">
        <f>IFERROR(VLOOKUP($C360,instructions!$N$3:$O$5,2,false),"")</f>
        <v/>
      </c>
      <c r="F360" s="60" t="str">
        <f>IFERROR(VLOOKUP($D360,instructions!$N$3:$O$5,2,false),"")</f>
        <v/>
      </c>
      <c r="G360" s="60" t="str">
        <f t="array" ref="G360">IFERROR(INDEX('testmo-export-repository'!$B$2:$X$1000,MATCH($B360,'testmo-export-repository'!$A$2:$A$1000,false),MATCH(G$2,'testmo-export-repository'!$B$1:$X$1,false)),"")</f>
        <v/>
      </c>
      <c r="H360" s="60" t="str">
        <f t="array" ref="H360">IFERROR(INDEX('testmo-export-repository'!$B$2:$X$1000,MATCH($B360,'testmo-export-repository'!$A$2:$A$1000,false),MATCH(H$2,'testmo-export-repository'!$B$1:$X$1,false)),"")</f>
        <v/>
      </c>
      <c r="I360" s="60" t="str">
        <f t="array" ref="I360">IFERROR(INDEX('testmo-export-repository'!$B$2:$X$1000,MATCH($B360,'testmo-export-repository'!$A$2:$A$1000,false),MATCH(I$2,'testmo-export-repository'!$B$1:$X$1,false)),"")</f>
        <v/>
      </c>
      <c r="J360" s="60" t="str">
        <f t="array" ref="J360">IFERROR(INDEX('testmo-export-repository'!$B$2:$Y$1000,MATCH($B360,'testmo-export-repository'!$A$2:$A$1000,false),MATCH(J$2,'testmo-export-repository'!$B$1:$Y$1,false)),"")</f>
        <v/>
      </c>
      <c r="K360" s="60" t="str">
        <f t="array" ref="K360">IFERROR(INDEX('testmo-export-repository'!$B$2:$Y$1000,MATCH($B360,'testmo-export-repository'!$A$2:$A$1000,false),MATCH(K$2,'testmo-export-repository'!$B$1:$Y$1,false)),"")</f>
        <v/>
      </c>
    </row>
    <row r="361">
      <c r="B361" s="60" t="str">
        <f>'testmo-export-repository'!A360</f>
        <v/>
      </c>
      <c r="C361" s="60" t="str">
        <f t="array" ref="C361">IFERROR(INDEX('testmo-export-repository'!$B$2:$X$1000,MATCH($B361,'testmo-export-repository'!$A$2:$A$1000,false),MATCH(C$2,'testmo-export-repository'!$B$1:$X$1,false)),"")</f>
        <v/>
      </c>
      <c r="D361" s="60" t="str">
        <f t="array" ref="D361">IFERROR(INDEX('testmo-export-repository'!$B$2:$X$1000,MATCH($B361,'testmo-export-repository'!$A$2:$A$1000,false),MATCH(D$2,'testmo-export-repository'!$B$1:$X$1,false)),"")</f>
        <v/>
      </c>
      <c r="E361" s="60" t="str">
        <f>IFERROR(VLOOKUP($C361,instructions!$N$3:$O$5,2,false),"")</f>
        <v/>
      </c>
      <c r="F361" s="60" t="str">
        <f>IFERROR(VLOOKUP($D361,instructions!$N$3:$O$5,2,false),"")</f>
        <v/>
      </c>
      <c r="G361" s="60" t="str">
        <f t="array" ref="G361">IFERROR(INDEX('testmo-export-repository'!$B$2:$X$1000,MATCH($B361,'testmo-export-repository'!$A$2:$A$1000,false),MATCH(G$2,'testmo-export-repository'!$B$1:$X$1,false)),"")</f>
        <v/>
      </c>
      <c r="H361" s="60" t="str">
        <f t="array" ref="H361">IFERROR(INDEX('testmo-export-repository'!$B$2:$X$1000,MATCH($B361,'testmo-export-repository'!$A$2:$A$1000,false),MATCH(H$2,'testmo-export-repository'!$B$1:$X$1,false)),"")</f>
        <v/>
      </c>
      <c r="I361" s="60" t="str">
        <f t="array" ref="I361">IFERROR(INDEX('testmo-export-repository'!$B$2:$X$1000,MATCH($B361,'testmo-export-repository'!$A$2:$A$1000,false),MATCH(I$2,'testmo-export-repository'!$B$1:$X$1,false)),"")</f>
        <v/>
      </c>
      <c r="J361" s="60" t="str">
        <f t="array" ref="J361">IFERROR(INDEX('testmo-export-repository'!$B$2:$Y$1000,MATCH($B361,'testmo-export-repository'!$A$2:$A$1000,false),MATCH(J$2,'testmo-export-repository'!$B$1:$Y$1,false)),"")</f>
        <v/>
      </c>
      <c r="K361" s="60" t="str">
        <f t="array" ref="K361">IFERROR(INDEX('testmo-export-repository'!$B$2:$Y$1000,MATCH($B361,'testmo-export-repository'!$A$2:$A$1000,false),MATCH(K$2,'testmo-export-repository'!$B$1:$Y$1,false)),"")</f>
        <v/>
      </c>
    </row>
    <row r="362">
      <c r="B362" s="60" t="str">
        <f>'testmo-export-repository'!A361</f>
        <v/>
      </c>
      <c r="C362" s="60" t="str">
        <f t="array" ref="C362">IFERROR(INDEX('testmo-export-repository'!$B$2:$X$1000,MATCH($B362,'testmo-export-repository'!$A$2:$A$1000,false),MATCH(C$2,'testmo-export-repository'!$B$1:$X$1,false)),"")</f>
        <v/>
      </c>
      <c r="D362" s="60" t="str">
        <f t="array" ref="D362">IFERROR(INDEX('testmo-export-repository'!$B$2:$X$1000,MATCH($B362,'testmo-export-repository'!$A$2:$A$1000,false),MATCH(D$2,'testmo-export-repository'!$B$1:$X$1,false)),"")</f>
        <v/>
      </c>
      <c r="E362" s="60" t="str">
        <f>IFERROR(VLOOKUP($C362,instructions!$N$3:$O$5,2,false),"")</f>
        <v/>
      </c>
      <c r="F362" s="60" t="str">
        <f>IFERROR(VLOOKUP($D362,instructions!$N$3:$O$5,2,false),"")</f>
        <v/>
      </c>
      <c r="G362" s="60" t="str">
        <f t="array" ref="G362">IFERROR(INDEX('testmo-export-repository'!$B$2:$X$1000,MATCH($B362,'testmo-export-repository'!$A$2:$A$1000,false),MATCH(G$2,'testmo-export-repository'!$B$1:$X$1,false)),"")</f>
        <v/>
      </c>
      <c r="H362" s="60" t="str">
        <f t="array" ref="H362">IFERROR(INDEX('testmo-export-repository'!$B$2:$X$1000,MATCH($B362,'testmo-export-repository'!$A$2:$A$1000,false),MATCH(H$2,'testmo-export-repository'!$B$1:$X$1,false)),"")</f>
        <v/>
      </c>
      <c r="I362" s="60" t="str">
        <f t="array" ref="I362">IFERROR(INDEX('testmo-export-repository'!$B$2:$X$1000,MATCH($B362,'testmo-export-repository'!$A$2:$A$1000,false),MATCH(I$2,'testmo-export-repository'!$B$1:$X$1,false)),"")</f>
        <v/>
      </c>
      <c r="J362" s="60" t="str">
        <f t="array" ref="J362">IFERROR(INDEX('testmo-export-repository'!$B$2:$Y$1000,MATCH($B362,'testmo-export-repository'!$A$2:$A$1000,false),MATCH(J$2,'testmo-export-repository'!$B$1:$Y$1,false)),"")</f>
        <v/>
      </c>
      <c r="K362" s="60" t="str">
        <f t="array" ref="K362">IFERROR(INDEX('testmo-export-repository'!$B$2:$Y$1000,MATCH($B362,'testmo-export-repository'!$A$2:$A$1000,false),MATCH(K$2,'testmo-export-repository'!$B$1:$Y$1,false)),"")</f>
        <v/>
      </c>
    </row>
    <row r="363">
      <c r="B363" s="60" t="str">
        <f>'testmo-export-repository'!A362</f>
        <v/>
      </c>
      <c r="C363" s="60" t="str">
        <f t="array" ref="C363">IFERROR(INDEX('testmo-export-repository'!$B$2:$X$1000,MATCH($B363,'testmo-export-repository'!$A$2:$A$1000,false),MATCH(C$2,'testmo-export-repository'!$B$1:$X$1,false)),"")</f>
        <v/>
      </c>
      <c r="D363" s="60" t="str">
        <f t="array" ref="D363">IFERROR(INDEX('testmo-export-repository'!$B$2:$X$1000,MATCH($B363,'testmo-export-repository'!$A$2:$A$1000,false),MATCH(D$2,'testmo-export-repository'!$B$1:$X$1,false)),"")</f>
        <v/>
      </c>
      <c r="E363" s="60" t="str">
        <f>IFERROR(VLOOKUP($C363,instructions!$N$3:$O$5,2,false),"")</f>
        <v/>
      </c>
      <c r="F363" s="60" t="str">
        <f>IFERROR(VLOOKUP($D363,instructions!$N$3:$O$5,2,false),"")</f>
        <v/>
      </c>
      <c r="G363" s="60" t="str">
        <f t="array" ref="G363">IFERROR(INDEX('testmo-export-repository'!$B$2:$X$1000,MATCH($B363,'testmo-export-repository'!$A$2:$A$1000,false),MATCH(G$2,'testmo-export-repository'!$B$1:$X$1,false)),"")</f>
        <v/>
      </c>
      <c r="H363" s="60" t="str">
        <f t="array" ref="H363">IFERROR(INDEX('testmo-export-repository'!$B$2:$X$1000,MATCH($B363,'testmo-export-repository'!$A$2:$A$1000,false),MATCH(H$2,'testmo-export-repository'!$B$1:$X$1,false)),"")</f>
        <v/>
      </c>
      <c r="I363" s="60" t="str">
        <f t="array" ref="I363">IFERROR(INDEX('testmo-export-repository'!$B$2:$X$1000,MATCH($B363,'testmo-export-repository'!$A$2:$A$1000,false),MATCH(I$2,'testmo-export-repository'!$B$1:$X$1,false)),"")</f>
        <v/>
      </c>
      <c r="J363" s="60" t="str">
        <f t="array" ref="J363">IFERROR(INDEX('testmo-export-repository'!$B$2:$Y$1000,MATCH($B363,'testmo-export-repository'!$A$2:$A$1000,false),MATCH(J$2,'testmo-export-repository'!$B$1:$Y$1,false)),"")</f>
        <v/>
      </c>
      <c r="K363" s="60" t="str">
        <f t="array" ref="K363">IFERROR(INDEX('testmo-export-repository'!$B$2:$Y$1000,MATCH($B363,'testmo-export-repository'!$A$2:$A$1000,false),MATCH(K$2,'testmo-export-repository'!$B$1:$Y$1,false)),"")</f>
        <v/>
      </c>
    </row>
    <row r="364">
      <c r="B364" s="60" t="str">
        <f>'testmo-export-repository'!A363</f>
        <v/>
      </c>
      <c r="C364" s="60" t="str">
        <f t="array" ref="C364">IFERROR(INDEX('testmo-export-repository'!$B$2:$X$1000,MATCH($B364,'testmo-export-repository'!$A$2:$A$1000,false),MATCH(C$2,'testmo-export-repository'!$B$1:$X$1,false)),"")</f>
        <v/>
      </c>
      <c r="D364" s="60" t="str">
        <f t="array" ref="D364">IFERROR(INDEX('testmo-export-repository'!$B$2:$X$1000,MATCH($B364,'testmo-export-repository'!$A$2:$A$1000,false),MATCH(D$2,'testmo-export-repository'!$B$1:$X$1,false)),"")</f>
        <v/>
      </c>
      <c r="E364" s="60" t="str">
        <f>IFERROR(VLOOKUP($C364,instructions!$N$3:$O$5,2,false),"")</f>
        <v/>
      </c>
      <c r="F364" s="60" t="str">
        <f>IFERROR(VLOOKUP($D364,instructions!$N$3:$O$5,2,false),"")</f>
        <v/>
      </c>
      <c r="G364" s="60" t="str">
        <f t="array" ref="G364">IFERROR(INDEX('testmo-export-repository'!$B$2:$X$1000,MATCH($B364,'testmo-export-repository'!$A$2:$A$1000,false),MATCH(G$2,'testmo-export-repository'!$B$1:$X$1,false)),"")</f>
        <v/>
      </c>
      <c r="H364" s="60" t="str">
        <f t="array" ref="H364">IFERROR(INDEX('testmo-export-repository'!$B$2:$X$1000,MATCH($B364,'testmo-export-repository'!$A$2:$A$1000,false),MATCH(H$2,'testmo-export-repository'!$B$1:$X$1,false)),"")</f>
        <v/>
      </c>
      <c r="I364" s="60" t="str">
        <f t="array" ref="I364">IFERROR(INDEX('testmo-export-repository'!$B$2:$X$1000,MATCH($B364,'testmo-export-repository'!$A$2:$A$1000,false),MATCH(I$2,'testmo-export-repository'!$B$1:$X$1,false)),"")</f>
        <v/>
      </c>
      <c r="J364" s="60" t="str">
        <f t="array" ref="J364">IFERROR(INDEX('testmo-export-repository'!$B$2:$Y$1000,MATCH($B364,'testmo-export-repository'!$A$2:$A$1000,false),MATCH(J$2,'testmo-export-repository'!$B$1:$Y$1,false)),"")</f>
        <v/>
      </c>
      <c r="K364" s="60" t="str">
        <f t="array" ref="K364">IFERROR(INDEX('testmo-export-repository'!$B$2:$Y$1000,MATCH($B364,'testmo-export-repository'!$A$2:$A$1000,false),MATCH(K$2,'testmo-export-repository'!$B$1:$Y$1,false)),"")</f>
        <v/>
      </c>
    </row>
    <row r="365">
      <c r="B365" s="60" t="str">
        <f>'testmo-export-repository'!A364</f>
        <v/>
      </c>
      <c r="C365" s="60" t="str">
        <f t="array" ref="C365">IFERROR(INDEX('testmo-export-repository'!$B$2:$X$1000,MATCH($B365,'testmo-export-repository'!$A$2:$A$1000,false),MATCH(C$2,'testmo-export-repository'!$B$1:$X$1,false)),"")</f>
        <v/>
      </c>
      <c r="D365" s="60" t="str">
        <f t="array" ref="D365">IFERROR(INDEX('testmo-export-repository'!$B$2:$X$1000,MATCH($B365,'testmo-export-repository'!$A$2:$A$1000,false),MATCH(D$2,'testmo-export-repository'!$B$1:$X$1,false)),"")</f>
        <v/>
      </c>
      <c r="E365" s="60" t="str">
        <f>IFERROR(VLOOKUP($C365,instructions!$N$3:$O$5,2,false),"")</f>
        <v/>
      </c>
      <c r="F365" s="60" t="str">
        <f>IFERROR(VLOOKUP($D365,instructions!$N$3:$O$5,2,false),"")</f>
        <v/>
      </c>
      <c r="G365" s="60" t="str">
        <f t="array" ref="G365">IFERROR(INDEX('testmo-export-repository'!$B$2:$X$1000,MATCH($B365,'testmo-export-repository'!$A$2:$A$1000,false),MATCH(G$2,'testmo-export-repository'!$B$1:$X$1,false)),"")</f>
        <v/>
      </c>
      <c r="H365" s="60" t="str">
        <f t="array" ref="H365">IFERROR(INDEX('testmo-export-repository'!$B$2:$X$1000,MATCH($B365,'testmo-export-repository'!$A$2:$A$1000,false),MATCH(H$2,'testmo-export-repository'!$B$1:$X$1,false)),"")</f>
        <v/>
      </c>
      <c r="I365" s="60" t="str">
        <f t="array" ref="I365">IFERROR(INDEX('testmo-export-repository'!$B$2:$X$1000,MATCH($B365,'testmo-export-repository'!$A$2:$A$1000,false),MATCH(I$2,'testmo-export-repository'!$B$1:$X$1,false)),"")</f>
        <v/>
      </c>
      <c r="J365" s="60" t="str">
        <f t="array" ref="J365">IFERROR(INDEX('testmo-export-repository'!$B$2:$Y$1000,MATCH($B365,'testmo-export-repository'!$A$2:$A$1000,false),MATCH(J$2,'testmo-export-repository'!$B$1:$Y$1,false)),"")</f>
        <v/>
      </c>
      <c r="K365" s="60" t="str">
        <f t="array" ref="K365">IFERROR(INDEX('testmo-export-repository'!$B$2:$Y$1000,MATCH($B365,'testmo-export-repository'!$A$2:$A$1000,false),MATCH(K$2,'testmo-export-repository'!$B$1:$Y$1,false)),"")</f>
        <v/>
      </c>
    </row>
    <row r="366">
      <c r="B366" s="60" t="str">
        <f>'testmo-export-repository'!A365</f>
        <v/>
      </c>
      <c r="C366" s="60" t="str">
        <f t="array" ref="C366">IFERROR(INDEX('testmo-export-repository'!$B$2:$X$1000,MATCH($B366,'testmo-export-repository'!$A$2:$A$1000,false),MATCH(C$2,'testmo-export-repository'!$B$1:$X$1,false)),"")</f>
        <v/>
      </c>
      <c r="D366" s="60" t="str">
        <f t="array" ref="D366">IFERROR(INDEX('testmo-export-repository'!$B$2:$X$1000,MATCH($B366,'testmo-export-repository'!$A$2:$A$1000,false),MATCH(D$2,'testmo-export-repository'!$B$1:$X$1,false)),"")</f>
        <v/>
      </c>
      <c r="E366" s="60" t="str">
        <f>IFERROR(VLOOKUP($C366,instructions!$N$3:$O$5,2,false),"")</f>
        <v/>
      </c>
      <c r="F366" s="60" t="str">
        <f>IFERROR(VLOOKUP($D366,instructions!$N$3:$O$5,2,false),"")</f>
        <v/>
      </c>
      <c r="G366" s="60" t="str">
        <f t="array" ref="G366">IFERROR(INDEX('testmo-export-repository'!$B$2:$X$1000,MATCH($B366,'testmo-export-repository'!$A$2:$A$1000,false),MATCH(G$2,'testmo-export-repository'!$B$1:$X$1,false)),"")</f>
        <v/>
      </c>
      <c r="H366" s="60" t="str">
        <f t="array" ref="H366">IFERROR(INDEX('testmo-export-repository'!$B$2:$X$1000,MATCH($B366,'testmo-export-repository'!$A$2:$A$1000,false),MATCH(H$2,'testmo-export-repository'!$B$1:$X$1,false)),"")</f>
        <v/>
      </c>
      <c r="I366" s="60" t="str">
        <f t="array" ref="I366">IFERROR(INDEX('testmo-export-repository'!$B$2:$X$1000,MATCH($B366,'testmo-export-repository'!$A$2:$A$1000,false),MATCH(I$2,'testmo-export-repository'!$B$1:$X$1,false)),"")</f>
        <v/>
      </c>
      <c r="J366" s="60" t="str">
        <f t="array" ref="J366">IFERROR(INDEX('testmo-export-repository'!$B$2:$Y$1000,MATCH($B366,'testmo-export-repository'!$A$2:$A$1000,false),MATCH(J$2,'testmo-export-repository'!$B$1:$Y$1,false)),"")</f>
        <v/>
      </c>
      <c r="K366" s="60" t="str">
        <f t="array" ref="K366">IFERROR(INDEX('testmo-export-repository'!$B$2:$Y$1000,MATCH($B366,'testmo-export-repository'!$A$2:$A$1000,false),MATCH(K$2,'testmo-export-repository'!$B$1:$Y$1,false)),"")</f>
        <v/>
      </c>
    </row>
    <row r="367">
      <c r="B367" s="60" t="str">
        <f>'testmo-export-repository'!A366</f>
        <v/>
      </c>
      <c r="C367" s="60" t="str">
        <f t="array" ref="C367">IFERROR(INDEX('testmo-export-repository'!$B$2:$X$1000,MATCH($B367,'testmo-export-repository'!$A$2:$A$1000,false),MATCH(C$2,'testmo-export-repository'!$B$1:$X$1,false)),"")</f>
        <v/>
      </c>
      <c r="D367" s="60" t="str">
        <f t="array" ref="D367">IFERROR(INDEX('testmo-export-repository'!$B$2:$X$1000,MATCH($B367,'testmo-export-repository'!$A$2:$A$1000,false),MATCH(D$2,'testmo-export-repository'!$B$1:$X$1,false)),"")</f>
        <v/>
      </c>
      <c r="E367" s="60" t="str">
        <f>IFERROR(VLOOKUP($C367,instructions!$N$3:$O$5,2,false),"")</f>
        <v/>
      </c>
      <c r="F367" s="60" t="str">
        <f>IFERROR(VLOOKUP($D367,instructions!$N$3:$O$5,2,false),"")</f>
        <v/>
      </c>
      <c r="G367" s="60" t="str">
        <f t="array" ref="G367">IFERROR(INDEX('testmo-export-repository'!$B$2:$X$1000,MATCH($B367,'testmo-export-repository'!$A$2:$A$1000,false),MATCH(G$2,'testmo-export-repository'!$B$1:$X$1,false)),"")</f>
        <v/>
      </c>
      <c r="H367" s="60" t="str">
        <f t="array" ref="H367">IFERROR(INDEX('testmo-export-repository'!$B$2:$X$1000,MATCH($B367,'testmo-export-repository'!$A$2:$A$1000,false),MATCH(H$2,'testmo-export-repository'!$B$1:$X$1,false)),"")</f>
        <v/>
      </c>
      <c r="I367" s="60" t="str">
        <f t="array" ref="I367">IFERROR(INDEX('testmo-export-repository'!$B$2:$X$1000,MATCH($B367,'testmo-export-repository'!$A$2:$A$1000,false),MATCH(I$2,'testmo-export-repository'!$B$1:$X$1,false)),"")</f>
        <v/>
      </c>
      <c r="J367" s="60" t="str">
        <f t="array" ref="J367">IFERROR(INDEX('testmo-export-repository'!$B$2:$Y$1000,MATCH($B367,'testmo-export-repository'!$A$2:$A$1000,false),MATCH(J$2,'testmo-export-repository'!$B$1:$Y$1,false)),"")</f>
        <v/>
      </c>
      <c r="K367" s="60" t="str">
        <f t="array" ref="K367">IFERROR(INDEX('testmo-export-repository'!$B$2:$Y$1000,MATCH($B367,'testmo-export-repository'!$A$2:$A$1000,false),MATCH(K$2,'testmo-export-repository'!$B$1:$Y$1,false)),"")</f>
        <v/>
      </c>
    </row>
    <row r="368">
      <c r="B368" s="60" t="str">
        <f>'testmo-export-repository'!A367</f>
        <v/>
      </c>
      <c r="C368" s="60" t="str">
        <f t="array" ref="C368">IFERROR(INDEX('testmo-export-repository'!$B$2:$X$1000,MATCH($B368,'testmo-export-repository'!$A$2:$A$1000,false),MATCH(C$2,'testmo-export-repository'!$B$1:$X$1,false)),"")</f>
        <v/>
      </c>
      <c r="D368" s="60" t="str">
        <f t="array" ref="D368">IFERROR(INDEX('testmo-export-repository'!$B$2:$X$1000,MATCH($B368,'testmo-export-repository'!$A$2:$A$1000,false),MATCH(D$2,'testmo-export-repository'!$B$1:$X$1,false)),"")</f>
        <v/>
      </c>
      <c r="E368" s="60" t="str">
        <f>IFERROR(VLOOKUP($C368,instructions!$N$3:$O$5,2,false),"")</f>
        <v/>
      </c>
      <c r="F368" s="60" t="str">
        <f>IFERROR(VLOOKUP($D368,instructions!$N$3:$O$5,2,false),"")</f>
        <v/>
      </c>
      <c r="G368" s="60" t="str">
        <f t="array" ref="G368">IFERROR(INDEX('testmo-export-repository'!$B$2:$X$1000,MATCH($B368,'testmo-export-repository'!$A$2:$A$1000,false),MATCH(G$2,'testmo-export-repository'!$B$1:$X$1,false)),"")</f>
        <v/>
      </c>
      <c r="H368" s="60" t="str">
        <f t="array" ref="H368">IFERROR(INDEX('testmo-export-repository'!$B$2:$X$1000,MATCH($B368,'testmo-export-repository'!$A$2:$A$1000,false),MATCH(H$2,'testmo-export-repository'!$B$1:$X$1,false)),"")</f>
        <v/>
      </c>
      <c r="I368" s="60" t="str">
        <f t="array" ref="I368">IFERROR(INDEX('testmo-export-repository'!$B$2:$X$1000,MATCH($B368,'testmo-export-repository'!$A$2:$A$1000,false),MATCH(I$2,'testmo-export-repository'!$B$1:$X$1,false)),"")</f>
        <v/>
      </c>
      <c r="J368" s="60" t="str">
        <f t="array" ref="J368">IFERROR(INDEX('testmo-export-repository'!$B$2:$Y$1000,MATCH($B368,'testmo-export-repository'!$A$2:$A$1000,false),MATCH(J$2,'testmo-export-repository'!$B$1:$Y$1,false)),"")</f>
        <v/>
      </c>
      <c r="K368" s="60" t="str">
        <f t="array" ref="K368">IFERROR(INDEX('testmo-export-repository'!$B$2:$Y$1000,MATCH($B368,'testmo-export-repository'!$A$2:$A$1000,false),MATCH(K$2,'testmo-export-repository'!$B$1:$Y$1,false)),"")</f>
        <v/>
      </c>
    </row>
    <row r="369">
      <c r="B369" s="60" t="str">
        <f>'testmo-export-repository'!A368</f>
        <v/>
      </c>
      <c r="C369" s="60" t="str">
        <f t="array" ref="C369">IFERROR(INDEX('testmo-export-repository'!$B$2:$X$1000,MATCH($B369,'testmo-export-repository'!$A$2:$A$1000,false),MATCH(C$2,'testmo-export-repository'!$B$1:$X$1,false)),"")</f>
        <v/>
      </c>
      <c r="D369" s="60" t="str">
        <f t="array" ref="D369">IFERROR(INDEX('testmo-export-repository'!$B$2:$X$1000,MATCH($B369,'testmo-export-repository'!$A$2:$A$1000,false),MATCH(D$2,'testmo-export-repository'!$B$1:$X$1,false)),"")</f>
        <v/>
      </c>
      <c r="E369" s="60" t="str">
        <f>IFERROR(VLOOKUP($C369,instructions!$N$3:$O$5,2,false),"")</f>
        <v/>
      </c>
      <c r="F369" s="60" t="str">
        <f>IFERROR(VLOOKUP($D369,instructions!$N$3:$O$5,2,false),"")</f>
        <v/>
      </c>
      <c r="G369" s="60" t="str">
        <f t="array" ref="G369">IFERROR(INDEX('testmo-export-repository'!$B$2:$X$1000,MATCH($B369,'testmo-export-repository'!$A$2:$A$1000,false),MATCH(G$2,'testmo-export-repository'!$B$1:$X$1,false)),"")</f>
        <v/>
      </c>
      <c r="H369" s="60" t="str">
        <f t="array" ref="H369">IFERROR(INDEX('testmo-export-repository'!$B$2:$X$1000,MATCH($B369,'testmo-export-repository'!$A$2:$A$1000,false),MATCH(H$2,'testmo-export-repository'!$B$1:$X$1,false)),"")</f>
        <v/>
      </c>
      <c r="I369" s="60" t="str">
        <f t="array" ref="I369">IFERROR(INDEX('testmo-export-repository'!$B$2:$X$1000,MATCH($B369,'testmo-export-repository'!$A$2:$A$1000,false),MATCH(I$2,'testmo-export-repository'!$B$1:$X$1,false)),"")</f>
        <v/>
      </c>
      <c r="J369" s="60" t="str">
        <f t="array" ref="J369">IFERROR(INDEX('testmo-export-repository'!$B$2:$Y$1000,MATCH($B369,'testmo-export-repository'!$A$2:$A$1000,false),MATCH(J$2,'testmo-export-repository'!$B$1:$Y$1,false)),"")</f>
        <v/>
      </c>
      <c r="K369" s="60" t="str">
        <f t="array" ref="K369">IFERROR(INDEX('testmo-export-repository'!$B$2:$Y$1000,MATCH($B369,'testmo-export-repository'!$A$2:$A$1000,false),MATCH(K$2,'testmo-export-repository'!$B$1:$Y$1,false)),"")</f>
        <v/>
      </c>
    </row>
    <row r="370">
      <c r="B370" s="60" t="str">
        <f>'testmo-export-repository'!A369</f>
        <v/>
      </c>
      <c r="C370" s="60" t="str">
        <f t="array" ref="C370">IFERROR(INDEX('testmo-export-repository'!$B$2:$X$1000,MATCH($B370,'testmo-export-repository'!$A$2:$A$1000,false),MATCH(C$2,'testmo-export-repository'!$B$1:$X$1,false)),"")</f>
        <v/>
      </c>
      <c r="D370" s="60" t="str">
        <f t="array" ref="D370">IFERROR(INDEX('testmo-export-repository'!$B$2:$X$1000,MATCH($B370,'testmo-export-repository'!$A$2:$A$1000,false),MATCH(D$2,'testmo-export-repository'!$B$1:$X$1,false)),"")</f>
        <v/>
      </c>
      <c r="E370" s="60" t="str">
        <f>IFERROR(VLOOKUP($C370,instructions!$N$3:$O$5,2,false),"")</f>
        <v/>
      </c>
      <c r="F370" s="60" t="str">
        <f>IFERROR(VLOOKUP($D370,instructions!$N$3:$O$5,2,false),"")</f>
        <v/>
      </c>
      <c r="G370" s="60" t="str">
        <f t="array" ref="G370">IFERROR(INDEX('testmo-export-repository'!$B$2:$X$1000,MATCH($B370,'testmo-export-repository'!$A$2:$A$1000,false),MATCH(G$2,'testmo-export-repository'!$B$1:$X$1,false)),"")</f>
        <v/>
      </c>
      <c r="H370" s="60" t="str">
        <f t="array" ref="H370">IFERROR(INDEX('testmo-export-repository'!$B$2:$X$1000,MATCH($B370,'testmo-export-repository'!$A$2:$A$1000,false),MATCH(H$2,'testmo-export-repository'!$B$1:$X$1,false)),"")</f>
        <v/>
      </c>
      <c r="I370" s="60" t="str">
        <f t="array" ref="I370">IFERROR(INDEX('testmo-export-repository'!$B$2:$X$1000,MATCH($B370,'testmo-export-repository'!$A$2:$A$1000,false),MATCH(I$2,'testmo-export-repository'!$B$1:$X$1,false)),"")</f>
        <v/>
      </c>
      <c r="J370" s="60" t="str">
        <f t="array" ref="J370">IFERROR(INDEX('testmo-export-repository'!$B$2:$Y$1000,MATCH($B370,'testmo-export-repository'!$A$2:$A$1000,false),MATCH(J$2,'testmo-export-repository'!$B$1:$Y$1,false)),"")</f>
        <v/>
      </c>
      <c r="K370" s="60" t="str">
        <f t="array" ref="K370">IFERROR(INDEX('testmo-export-repository'!$B$2:$Y$1000,MATCH($B370,'testmo-export-repository'!$A$2:$A$1000,false),MATCH(K$2,'testmo-export-repository'!$B$1:$Y$1,false)),"")</f>
        <v/>
      </c>
    </row>
    <row r="371">
      <c r="B371" s="60" t="str">
        <f>'testmo-export-repository'!A370</f>
        <v/>
      </c>
      <c r="C371" s="60" t="str">
        <f t="array" ref="C371">IFERROR(INDEX('testmo-export-repository'!$B$2:$X$1000,MATCH($B371,'testmo-export-repository'!$A$2:$A$1000,false),MATCH(C$2,'testmo-export-repository'!$B$1:$X$1,false)),"")</f>
        <v/>
      </c>
      <c r="D371" s="60" t="str">
        <f t="array" ref="D371">IFERROR(INDEX('testmo-export-repository'!$B$2:$X$1000,MATCH($B371,'testmo-export-repository'!$A$2:$A$1000,false),MATCH(D$2,'testmo-export-repository'!$B$1:$X$1,false)),"")</f>
        <v/>
      </c>
      <c r="E371" s="60" t="str">
        <f>IFERROR(VLOOKUP($C371,instructions!$N$3:$O$5,2,false),"")</f>
        <v/>
      </c>
      <c r="F371" s="60" t="str">
        <f>IFERROR(VLOOKUP($D371,instructions!$N$3:$O$5,2,false),"")</f>
        <v/>
      </c>
      <c r="G371" s="60" t="str">
        <f t="array" ref="G371">IFERROR(INDEX('testmo-export-repository'!$B$2:$X$1000,MATCH($B371,'testmo-export-repository'!$A$2:$A$1000,false),MATCH(G$2,'testmo-export-repository'!$B$1:$X$1,false)),"")</f>
        <v/>
      </c>
      <c r="H371" s="60" t="str">
        <f t="array" ref="H371">IFERROR(INDEX('testmo-export-repository'!$B$2:$X$1000,MATCH($B371,'testmo-export-repository'!$A$2:$A$1000,false),MATCH(H$2,'testmo-export-repository'!$B$1:$X$1,false)),"")</f>
        <v/>
      </c>
      <c r="I371" s="60" t="str">
        <f t="array" ref="I371">IFERROR(INDEX('testmo-export-repository'!$B$2:$X$1000,MATCH($B371,'testmo-export-repository'!$A$2:$A$1000,false),MATCH(I$2,'testmo-export-repository'!$B$1:$X$1,false)),"")</f>
        <v/>
      </c>
      <c r="J371" s="60" t="str">
        <f t="array" ref="J371">IFERROR(INDEX('testmo-export-repository'!$B$2:$Y$1000,MATCH($B371,'testmo-export-repository'!$A$2:$A$1000,false),MATCH(J$2,'testmo-export-repository'!$B$1:$Y$1,false)),"")</f>
        <v/>
      </c>
      <c r="K371" s="60" t="str">
        <f t="array" ref="K371">IFERROR(INDEX('testmo-export-repository'!$B$2:$Y$1000,MATCH($B371,'testmo-export-repository'!$A$2:$A$1000,false),MATCH(K$2,'testmo-export-repository'!$B$1:$Y$1,false)),"")</f>
        <v/>
      </c>
    </row>
    <row r="372">
      <c r="B372" s="60" t="str">
        <f>'testmo-export-repository'!A371</f>
        <v/>
      </c>
      <c r="C372" s="60" t="str">
        <f t="array" ref="C372">IFERROR(INDEX('testmo-export-repository'!$B$2:$X$1000,MATCH($B372,'testmo-export-repository'!$A$2:$A$1000,false),MATCH(C$2,'testmo-export-repository'!$B$1:$X$1,false)),"")</f>
        <v/>
      </c>
      <c r="D372" s="60" t="str">
        <f t="array" ref="D372">IFERROR(INDEX('testmo-export-repository'!$B$2:$X$1000,MATCH($B372,'testmo-export-repository'!$A$2:$A$1000,false),MATCH(D$2,'testmo-export-repository'!$B$1:$X$1,false)),"")</f>
        <v/>
      </c>
      <c r="E372" s="60" t="str">
        <f>IFERROR(VLOOKUP($C372,instructions!$N$3:$O$5,2,false),"")</f>
        <v/>
      </c>
      <c r="F372" s="60" t="str">
        <f>IFERROR(VLOOKUP($D372,instructions!$N$3:$O$5,2,false),"")</f>
        <v/>
      </c>
      <c r="G372" s="60" t="str">
        <f t="array" ref="G372">IFERROR(INDEX('testmo-export-repository'!$B$2:$X$1000,MATCH($B372,'testmo-export-repository'!$A$2:$A$1000,false),MATCH(G$2,'testmo-export-repository'!$B$1:$X$1,false)),"")</f>
        <v/>
      </c>
      <c r="H372" s="60" t="str">
        <f t="array" ref="H372">IFERROR(INDEX('testmo-export-repository'!$B$2:$X$1000,MATCH($B372,'testmo-export-repository'!$A$2:$A$1000,false),MATCH(H$2,'testmo-export-repository'!$B$1:$X$1,false)),"")</f>
        <v/>
      </c>
      <c r="I372" s="60" t="str">
        <f t="array" ref="I372">IFERROR(INDEX('testmo-export-repository'!$B$2:$X$1000,MATCH($B372,'testmo-export-repository'!$A$2:$A$1000,false),MATCH(I$2,'testmo-export-repository'!$B$1:$X$1,false)),"")</f>
        <v/>
      </c>
      <c r="J372" s="60" t="str">
        <f t="array" ref="J372">IFERROR(INDEX('testmo-export-repository'!$B$2:$Y$1000,MATCH($B372,'testmo-export-repository'!$A$2:$A$1000,false),MATCH(J$2,'testmo-export-repository'!$B$1:$Y$1,false)),"")</f>
        <v/>
      </c>
      <c r="K372" s="60" t="str">
        <f t="array" ref="K372">IFERROR(INDEX('testmo-export-repository'!$B$2:$Y$1000,MATCH($B372,'testmo-export-repository'!$A$2:$A$1000,false),MATCH(K$2,'testmo-export-repository'!$B$1:$Y$1,false)),"")</f>
        <v/>
      </c>
    </row>
    <row r="373">
      <c r="B373" s="60" t="str">
        <f>'testmo-export-repository'!A372</f>
        <v/>
      </c>
      <c r="C373" s="60" t="str">
        <f t="array" ref="C373">IFERROR(INDEX('testmo-export-repository'!$B$2:$X$1000,MATCH($B373,'testmo-export-repository'!$A$2:$A$1000,false),MATCH(C$2,'testmo-export-repository'!$B$1:$X$1,false)),"")</f>
        <v/>
      </c>
      <c r="D373" s="60" t="str">
        <f t="array" ref="D373">IFERROR(INDEX('testmo-export-repository'!$B$2:$X$1000,MATCH($B373,'testmo-export-repository'!$A$2:$A$1000,false),MATCH(D$2,'testmo-export-repository'!$B$1:$X$1,false)),"")</f>
        <v/>
      </c>
      <c r="E373" s="60" t="str">
        <f>IFERROR(VLOOKUP($C373,instructions!$N$3:$O$5,2,false),"")</f>
        <v/>
      </c>
      <c r="F373" s="60" t="str">
        <f>IFERROR(VLOOKUP($D373,instructions!$N$3:$O$5,2,false),"")</f>
        <v/>
      </c>
      <c r="G373" s="60" t="str">
        <f t="array" ref="G373">IFERROR(INDEX('testmo-export-repository'!$B$2:$X$1000,MATCH($B373,'testmo-export-repository'!$A$2:$A$1000,false),MATCH(G$2,'testmo-export-repository'!$B$1:$X$1,false)),"")</f>
        <v/>
      </c>
      <c r="H373" s="60" t="str">
        <f t="array" ref="H373">IFERROR(INDEX('testmo-export-repository'!$B$2:$X$1000,MATCH($B373,'testmo-export-repository'!$A$2:$A$1000,false),MATCH(H$2,'testmo-export-repository'!$B$1:$X$1,false)),"")</f>
        <v/>
      </c>
      <c r="I373" s="60" t="str">
        <f t="array" ref="I373">IFERROR(INDEX('testmo-export-repository'!$B$2:$X$1000,MATCH($B373,'testmo-export-repository'!$A$2:$A$1000,false),MATCH(I$2,'testmo-export-repository'!$B$1:$X$1,false)),"")</f>
        <v/>
      </c>
      <c r="J373" s="60" t="str">
        <f t="array" ref="J373">IFERROR(INDEX('testmo-export-repository'!$B$2:$Y$1000,MATCH($B373,'testmo-export-repository'!$A$2:$A$1000,false),MATCH(J$2,'testmo-export-repository'!$B$1:$Y$1,false)),"")</f>
        <v/>
      </c>
      <c r="K373" s="60" t="str">
        <f t="array" ref="K373">IFERROR(INDEX('testmo-export-repository'!$B$2:$Y$1000,MATCH($B373,'testmo-export-repository'!$A$2:$A$1000,false),MATCH(K$2,'testmo-export-repository'!$B$1:$Y$1,false)),"")</f>
        <v/>
      </c>
    </row>
    <row r="374">
      <c r="B374" s="60" t="str">
        <f>'testmo-export-repository'!A373</f>
        <v/>
      </c>
      <c r="C374" s="60" t="str">
        <f t="array" ref="C374">IFERROR(INDEX('testmo-export-repository'!$B$2:$X$1000,MATCH($B374,'testmo-export-repository'!$A$2:$A$1000,false),MATCH(C$2,'testmo-export-repository'!$B$1:$X$1,false)),"")</f>
        <v/>
      </c>
      <c r="D374" s="60" t="str">
        <f t="array" ref="D374">IFERROR(INDEX('testmo-export-repository'!$B$2:$X$1000,MATCH($B374,'testmo-export-repository'!$A$2:$A$1000,false),MATCH(D$2,'testmo-export-repository'!$B$1:$X$1,false)),"")</f>
        <v/>
      </c>
      <c r="E374" s="60" t="str">
        <f>IFERROR(VLOOKUP($C374,instructions!$N$3:$O$5,2,false),"")</f>
        <v/>
      </c>
      <c r="F374" s="60" t="str">
        <f>IFERROR(VLOOKUP($D374,instructions!$N$3:$O$5,2,false),"")</f>
        <v/>
      </c>
      <c r="G374" s="60" t="str">
        <f t="array" ref="G374">IFERROR(INDEX('testmo-export-repository'!$B$2:$X$1000,MATCH($B374,'testmo-export-repository'!$A$2:$A$1000,false),MATCH(G$2,'testmo-export-repository'!$B$1:$X$1,false)),"")</f>
        <v/>
      </c>
      <c r="H374" s="60" t="str">
        <f t="array" ref="H374">IFERROR(INDEX('testmo-export-repository'!$B$2:$X$1000,MATCH($B374,'testmo-export-repository'!$A$2:$A$1000,false),MATCH(H$2,'testmo-export-repository'!$B$1:$X$1,false)),"")</f>
        <v/>
      </c>
      <c r="I374" s="60" t="str">
        <f t="array" ref="I374">IFERROR(INDEX('testmo-export-repository'!$B$2:$X$1000,MATCH($B374,'testmo-export-repository'!$A$2:$A$1000,false),MATCH(I$2,'testmo-export-repository'!$B$1:$X$1,false)),"")</f>
        <v/>
      </c>
      <c r="J374" s="60" t="str">
        <f t="array" ref="J374">IFERROR(INDEX('testmo-export-repository'!$B$2:$Y$1000,MATCH($B374,'testmo-export-repository'!$A$2:$A$1000,false),MATCH(J$2,'testmo-export-repository'!$B$1:$Y$1,false)),"")</f>
        <v/>
      </c>
      <c r="K374" s="60" t="str">
        <f t="array" ref="K374">IFERROR(INDEX('testmo-export-repository'!$B$2:$Y$1000,MATCH($B374,'testmo-export-repository'!$A$2:$A$1000,false),MATCH(K$2,'testmo-export-repository'!$B$1:$Y$1,false)),"")</f>
        <v/>
      </c>
    </row>
    <row r="375">
      <c r="B375" s="60" t="str">
        <f>'testmo-export-repository'!A374</f>
        <v/>
      </c>
      <c r="C375" s="60" t="str">
        <f t="array" ref="C375">IFERROR(INDEX('testmo-export-repository'!$B$2:$X$1000,MATCH($B375,'testmo-export-repository'!$A$2:$A$1000,false),MATCH(C$2,'testmo-export-repository'!$B$1:$X$1,false)),"")</f>
        <v/>
      </c>
      <c r="D375" s="60" t="str">
        <f t="array" ref="D375">IFERROR(INDEX('testmo-export-repository'!$B$2:$X$1000,MATCH($B375,'testmo-export-repository'!$A$2:$A$1000,false),MATCH(D$2,'testmo-export-repository'!$B$1:$X$1,false)),"")</f>
        <v/>
      </c>
      <c r="E375" s="60" t="str">
        <f>IFERROR(VLOOKUP($C375,instructions!$N$3:$O$5,2,false),"")</f>
        <v/>
      </c>
      <c r="F375" s="60" t="str">
        <f>IFERROR(VLOOKUP($D375,instructions!$N$3:$O$5,2,false),"")</f>
        <v/>
      </c>
      <c r="G375" s="60" t="str">
        <f t="array" ref="G375">IFERROR(INDEX('testmo-export-repository'!$B$2:$X$1000,MATCH($B375,'testmo-export-repository'!$A$2:$A$1000,false),MATCH(G$2,'testmo-export-repository'!$B$1:$X$1,false)),"")</f>
        <v/>
      </c>
      <c r="H375" s="60" t="str">
        <f t="array" ref="H375">IFERROR(INDEX('testmo-export-repository'!$B$2:$X$1000,MATCH($B375,'testmo-export-repository'!$A$2:$A$1000,false),MATCH(H$2,'testmo-export-repository'!$B$1:$X$1,false)),"")</f>
        <v/>
      </c>
      <c r="I375" s="60" t="str">
        <f t="array" ref="I375">IFERROR(INDEX('testmo-export-repository'!$B$2:$X$1000,MATCH($B375,'testmo-export-repository'!$A$2:$A$1000,false),MATCH(I$2,'testmo-export-repository'!$B$1:$X$1,false)),"")</f>
        <v/>
      </c>
      <c r="J375" s="60" t="str">
        <f t="array" ref="J375">IFERROR(INDEX('testmo-export-repository'!$B$2:$Y$1000,MATCH($B375,'testmo-export-repository'!$A$2:$A$1000,false),MATCH(J$2,'testmo-export-repository'!$B$1:$Y$1,false)),"")</f>
        <v/>
      </c>
      <c r="K375" s="60" t="str">
        <f t="array" ref="K375">IFERROR(INDEX('testmo-export-repository'!$B$2:$Y$1000,MATCH($B375,'testmo-export-repository'!$A$2:$A$1000,false),MATCH(K$2,'testmo-export-repository'!$B$1:$Y$1,false)),"")</f>
        <v/>
      </c>
    </row>
    <row r="376">
      <c r="B376" s="60" t="str">
        <f>'testmo-export-repository'!A375</f>
        <v/>
      </c>
      <c r="C376" s="60" t="str">
        <f t="array" ref="C376">IFERROR(INDEX('testmo-export-repository'!$B$2:$X$1000,MATCH($B376,'testmo-export-repository'!$A$2:$A$1000,false),MATCH(C$2,'testmo-export-repository'!$B$1:$X$1,false)),"")</f>
        <v/>
      </c>
      <c r="D376" s="60" t="str">
        <f t="array" ref="D376">IFERROR(INDEX('testmo-export-repository'!$B$2:$X$1000,MATCH($B376,'testmo-export-repository'!$A$2:$A$1000,false),MATCH(D$2,'testmo-export-repository'!$B$1:$X$1,false)),"")</f>
        <v/>
      </c>
      <c r="E376" s="60" t="str">
        <f>IFERROR(VLOOKUP($C376,instructions!$N$3:$O$5,2,false),"")</f>
        <v/>
      </c>
      <c r="F376" s="60" t="str">
        <f>IFERROR(VLOOKUP($D376,instructions!$N$3:$O$5,2,false),"")</f>
        <v/>
      </c>
      <c r="G376" s="60" t="str">
        <f t="array" ref="G376">IFERROR(INDEX('testmo-export-repository'!$B$2:$X$1000,MATCH($B376,'testmo-export-repository'!$A$2:$A$1000,false),MATCH(G$2,'testmo-export-repository'!$B$1:$X$1,false)),"")</f>
        <v/>
      </c>
      <c r="H376" s="60" t="str">
        <f t="array" ref="H376">IFERROR(INDEX('testmo-export-repository'!$B$2:$X$1000,MATCH($B376,'testmo-export-repository'!$A$2:$A$1000,false),MATCH(H$2,'testmo-export-repository'!$B$1:$X$1,false)),"")</f>
        <v/>
      </c>
      <c r="I376" s="60" t="str">
        <f t="array" ref="I376">IFERROR(INDEX('testmo-export-repository'!$B$2:$X$1000,MATCH($B376,'testmo-export-repository'!$A$2:$A$1000,false),MATCH(I$2,'testmo-export-repository'!$B$1:$X$1,false)),"")</f>
        <v/>
      </c>
      <c r="J376" s="60" t="str">
        <f t="array" ref="J376">IFERROR(INDEX('testmo-export-repository'!$B$2:$Y$1000,MATCH($B376,'testmo-export-repository'!$A$2:$A$1000,false),MATCH(J$2,'testmo-export-repository'!$B$1:$Y$1,false)),"")</f>
        <v/>
      </c>
      <c r="K376" s="60" t="str">
        <f t="array" ref="K376">IFERROR(INDEX('testmo-export-repository'!$B$2:$Y$1000,MATCH($B376,'testmo-export-repository'!$A$2:$A$1000,false),MATCH(K$2,'testmo-export-repository'!$B$1:$Y$1,false)),"")</f>
        <v/>
      </c>
    </row>
    <row r="377">
      <c r="B377" s="60" t="str">
        <f>'testmo-export-repository'!A376</f>
        <v/>
      </c>
      <c r="C377" s="60" t="str">
        <f t="array" ref="C377">IFERROR(INDEX('testmo-export-repository'!$B$2:$X$1000,MATCH($B377,'testmo-export-repository'!$A$2:$A$1000,false),MATCH(C$2,'testmo-export-repository'!$B$1:$X$1,false)),"")</f>
        <v/>
      </c>
      <c r="D377" s="60" t="str">
        <f t="array" ref="D377">IFERROR(INDEX('testmo-export-repository'!$B$2:$X$1000,MATCH($B377,'testmo-export-repository'!$A$2:$A$1000,false),MATCH(D$2,'testmo-export-repository'!$B$1:$X$1,false)),"")</f>
        <v/>
      </c>
      <c r="E377" s="60" t="str">
        <f>IFERROR(VLOOKUP($C377,instructions!$N$3:$O$5,2,false),"")</f>
        <v/>
      </c>
      <c r="F377" s="60" t="str">
        <f>IFERROR(VLOOKUP($D377,instructions!$N$3:$O$5,2,false),"")</f>
        <v/>
      </c>
      <c r="G377" s="60" t="str">
        <f t="array" ref="G377">IFERROR(INDEX('testmo-export-repository'!$B$2:$X$1000,MATCH($B377,'testmo-export-repository'!$A$2:$A$1000,false),MATCH(G$2,'testmo-export-repository'!$B$1:$X$1,false)),"")</f>
        <v/>
      </c>
      <c r="H377" s="60" t="str">
        <f t="array" ref="H377">IFERROR(INDEX('testmo-export-repository'!$B$2:$X$1000,MATCH($B377,'testmo-export-repository'!$A$2:$A$1000,false),MATCH(H$2,'testmo-export-repository'!$B$1:$X$1,false)),"")</f>
        <v/>
      </c>
      <c r="I377" s="60" t="str">
        <f t="array" ref="I377">IFERROR(INDEX('testmo-export-repository'!$B$2:$X$1000,MATCH($B377,'testmo-export-repository'!$A$2:$A$1000,false),MATCH(I$2,'testmo-export-repository'!$B$1:$X$1,false)),"")</f>
        <v/>
      </c>
      <c r="J377" s="60" t="str">
        <f t="array" ref="J377">IFERROR(INDEX('testmo-export-repository'!$B$2:$Y$1000,MATCH($B377,'testmo-export-repository'!$A$2:$A$1000,false),MATCH(J$2,'testmo-export-repository'!$B$1:$Y$1,false)),"")</f>
        <v/>
      </c>
      <c r="K377" s="60" t="str">
        <f t="array" ref="K377">IFERROR(INDEX('testmo-export-repository'!$B$2:$Y$1000,MATCH($B377,'testmo-export-repository'!$A$2:$A$1000,false),MATCH(K$2,'testmo-export-repository'!$B$1:$Y$1,false)),"")</f>
        <v/>
      </c>
    </row>
    <row r="378">
      <c r="B378" s="60" t="str">
        <f>'testmo-export-repository'!A377</f>
        <v/>
      </c>
      <c r="C378" s="60" t="str">
        <f t="array" ref="C378">IFERROR(INDEX('testmo-export-repository'!$B$2:$X$1000,MATCH($B378,'testmo-export-repository'!$A$2:$A$1000,false),MATCH(C$2,'testmo-export-repository'!$B$1:$X$1,false)),"")</f>
        <v/>
      </c>
      <c r="D378" s="60" t="str">
        <f t="array" ref="D378">IFERROR(INDEX('testmo-export-repository'!$B$2:$X$1000,MATCH($B378,'testmo-export-repository'!$A$2:$A$1000,false),MATCH(D$2,'testmo-export-repository'!$B$1:$X$1,false)),"")</f>
        <v/>
      </c>
      <c r="E378" s="60" t="str">
        <f>IFERROR(VLOOKUP($C378,instructions!$N$3:$O$5,2,false),"")</f>
        <v/>
      </c>
      <c r="F378" s="60" t="str">
        <f>IFERROR(VLOOKUP($D378,instructions!$N$3:$O$5,2,false),"")</f>
        <v/>
      </c>
      <c r="G378" s="60" t="str">
        <f t="array" ref="G378">IFERROR(INDEX('testmo-export-repository'!$B$2:$X$1000,MATCH($B378,'testmo-export-repository'!$A$2:$A$1000,false),MATCH(G$2,'testmo-export-repository'!$B$1:$X$1,false)),"")</f>
        <v/>
      </c>
      <c r="H378" s="60" t="str">
        <f t="array" ref="H378">IFERROR(INDEX('testmo-export-repository'!$B$2:$X$1000,MATCH($B378,'testmo-export-repository'!$A$2:$A$1000,false),MATCH(H$2,'testmo-export-repository'!$B$1:$X$1,false)),"")</f>
        <v/>
      </c>
      <c r="I378" s="60" t="str">
        <f t="array" ref="I378">IFERROR(INDEX('testmo-export-repository'!$B$2:$X$1000,MATCH($B378,'testmo-export-repository'!$A$2:$A$1000,false),MATCH(I$2,'testmo-export-repository'!$B$1:$X$1,false)),"")</f>
        <v/>
      </c>
      <c r="J378" s="60" t="str">
        <f t="array" ref="J378">IFERROR(INDEX('testmo-export-repository'!$B$2:$Y$1000,MATCH($B378,'testmo-export-repository'!$A$2:$A$1000,false),MATCH(J$2,'testmo-export-repository'!$B$1:$Y$1,false)),"")</f>
        <v/>
      </c>
      <c r="K378" s="60" t="str">
        <f t="array" ref="K378">IFERROR(INDEX('testmo-export-repository'!$B$2:$Y$1000,MATCH($B378,'testmo-export-repository'!$A$2:$A$1000,false),MATCH(K$2,'testmo-export-repository'!$B$1:$Y$1,false)),"")</f>
        <v/>
      </c>
    </row>
    <row r="379">
      <c r="B379" s="60" t="str">
        <f>'testmo-export-repository'!A378</f>
        <v/>
      </c>
      <c r="C379" s="60" t="str">
        <f t="array" ref="C379">IFERROR(INDEX('testmo-export-repository'!$B$2:$X$1000,MATCH($B379,'testmo-export-repository'!$A$2:$A$1000,false),MATCH(C$2,'testmo-export-repository'!$B$1:$X$1,false)),"")</f>
        <v/>
      </c>
      <c r="D379" s="60" t="str">
        <f t="array" ref="D379">IFERROR(INDEX('testmo-export-repository'!$B$2:$X$1000,MATCH($B379,'testmo-export-repository'!$A$2:$A$1000,false),MATCH(D$2,'testmo-export-repository'!$B$1:$X$1,false)),"")</f>
        <v/>
      </c>
      <c r="E379" s="60" t="str">
        <f>IFERROR(VLOOKUP($C379,instructions!$N$3:$O$5,2,false),"")</f>
        <v/>
      </c>
      <c r="F379" s="60" t="str">
        <f>IFERROR(VLOOKUP($D379,instructions!$N$3:$O$5,2,false),"")</f>
        <v/>
      </c>
      <c r="G379" s="60" t="str">
        <f t="array" ref="G379">IFERROR(INDEX('testmo-export-repository'!$B$2:$X$1000,MATCH($B379,'testmo-export-repository'!$A$2:$A$1000,false),MATCH(G$2,'testmo-export-repository'!$B$1:$X$1,false)),"")</f>
        <v/>
      </c>
      <c r="H379" s="60" t="str">
        <f t="array" ref="H379">IFERROR(INDEX('testmo-export-repository'!$B$2:$X$1000,MATCH($B379,'testmo-export-repository'!$A$2:$A$1000,false),MATCH(H$2,'testmo-export-repository'!$B$1:$X$1,false)),"")</f>
        <v/>
      </c>
      <c r="I379" s="60" t="str">
        <f t="array" ref="I379">IFERROR(INDEX('testmo-export-repository'!$B$2:$X$1000,MATCH($B379,'testmo-export-repository'!$A$2:$A$1000,false),MATCH(I$2,'testmo-export-repository'!$B$1:$X$1,false)),"")</f>
        <v/>
      </c>
      <c r="J379" s="60" t="str">
        <f t="array" ref="J379">IFERROR(INDEX('testmo-export-repository'!$B$2:$Y$1000,MATCH($B379,'testmo-export-repository'!$A$2:$A$1000,false),MATCH(J$2,'testmo-export-repository'!$B$1:$Y$1,false)),"")</f>
        <v/>
      </c>
      <c r="K379" s="60" t="str">
        <f t="array" ref="K379">IFERROR(INDEX('testmo-export-repository'!$B$2:$Y$1000,MATCH($B379,'testmo-export-repository'!$A$2:$A$1000,false),MATCH(K$2,'testmo-export-repository'!$B$1:$Y$1,false)),"")</f>
        <v/>
      </c>
    </row>
    <row r="380">
      <c r="B380" s="60" t="str">
        <f>'testmo-export-repository'!A379</f>
        <v/>
      </c>
      <c r="C380" s="60" t="str">
        <f t="array" ref="C380">IFERROR(INDEX('testmo-export-repository'!$B$2:$X$1000,MATCH($B380,'testmo-export-repository'!$A$2:$A$1000,false),MATCH(C$2,'testmo-export-repository'!$B$1:$X$1,false)),"")</f>
        <v/>
      </c>
      <c r="D380" s="60" t="str">
        <f t="array" ref="D380">IFERROR(INDEX('testmo-export-repository'!$B$2:$X$1000,MATCH($B380,'testmo-export-repository'!$A$2:$A$1000,false),MATCH(D$2,'testmo-export-repository'!$B$1:$X$1,false)),"")</f>
        <v/>
      </c>
      <c r="E380" s="60" t="str">
        <f>IFERROR(VLOOKUP($C380,instructions!$N$3:$O$5,2,false),"")</f>
        <v/>
      </c>
      <c r="F380" s="60" t="str">
        <f>IFERROR(VLOOKUP($D380,instructions!$N$3:$O$5,2,false),"")</f>
        <v/>
      </c>
      <c r="G380" s="60" t="str">
        <f t="array" ref="G380">IFERROR(INDEX('testmo-export-repository'!$B$2:$X$1000,MATCH($B380,'testmo-export-repository'!$A$2:$A$1000,false),MATCH(G$2,'testmo-export-repository'!$B$1:$X$1,false)),"")</f>
        <v/>
      </c>
      <c r="H380" s="60" t="str">
        <f t="array" ref="H380">IFERROR(INDEX('testmo-export-repository'!$B$2:$X$1000,MATCH($B380,'testmo-export-repository'!$A$2:$A$1000,false),MATCH(H$2,'testmo-export-repository'!$B$1:$X$1,false)),"")</f>
        <v/>
      </c>
      <c r="I380" s="60" t="str">
        <f t="array" ref="I380">IFERROR(INDEX('testmo-export-repository'!$B$2:$X$1000,MATCH($B380,'testmo-export-repository'!$A$2:$A$1000,false),MATCH(I$2,'testmo-export-repository'!$B$1:$X$1,false)),"")</f>
        <v/>
      </c>
      <c r="J380" s="60" t="str">
        <f t="array" ref="J380">IFERROR(INDEX('testmo-export-repository'!$B$2:$Y$1000,MATCH($B380,'testmo-export-repository'!$A$2:$A$1000,false),MATCH(J$2,'testmo-export-repository'!$B$1:$Y$1,false)),"")</f>
        <v/>
      </c>
      <c r="K380" s="60" t="str">
        <f t="array" ref="K380">IFERROR(INDEX('testmo-export-repository'!$B$2:$Y$1000,MATCH($B380,'testmo-export-repository'!$A$2:$A$1000,false),MATCH(K$2,'testmo-export-repository'!$B$1:$Y$1,false)),"")</f>
        <v/>
      </c>
    </row>
    <row r="381">
      <c r="B381" s="60" t="str">
        <f>'testmo-export-repository'!A380</f>
        <v/>
      </c>
      <c r="C381" s="60" t="str">
        <f t="array" ref="C381">IFERROR(INDEX('testmo-export-repository'!$B$2:$X$1000,MATCH($B381,'testmo-export-repository'!$A$2:$A$1000,false),MATCH(C$2,'testmo-export-repository'!$B$1:$X$1,false)),"")</f>
        <v/>
      </c>
      <c r="D381" s="60" t="str">
        <f t="array" ref="D381">IFERROR(INDEX('testmo-export-repository'!$B$2:$X$1000,MATCH($B381,'testmo-export-repository'!$A$2:$A$1000,false),MATCH(D$2,'testmo-export-repository'!$B$1:$X$1,false)),"")</f>
        <v/>
      </c>
      <c r="E381" s="60" t="str">
        <f>IFERROR(VLOOKUP($C381,instructions!$N$3:$O$5,2,false),"")</f>
        <v/>
      </c>
      <c r="F381" s="60" t="str">
        <f>IFERROR(VLOOKUP($D381,instructions!$N$3:$O$5,2,false),"")</f>
        <v/>
      </c>
      <c r="G381" s="60" t="str">
        <f t="array" ref="G381">IFERROR(INDEX('testmo-export-repository'!$B$2:$X$1000,MATCH($B381,'testmo-export-repository'!$A$2:$A$1000,false),MATCH(G$2,'testmo-export-repository'!$B$1:$X$1,false)),"")</f>
        <v/>
      </c>
      <c r="H381" s="60" t="str">
        <f t="array" ref="H381">IFERROR(INDEX('testmo-export-repository'!$B$2:$X$1000,MATCH($B381,'testmo-export-repository'!$A$2:$A$1000,false),MATCH(H$2,'testmo-export-repository'!$B$1:$X$1,false)),"")</f>
        <v/>
      </c>
      <c r="I381" s="60" t="str">
        <f t="array" ref="I381">IFERROR(INDEX('testmo-export-repository'!$B$2:$X$1000,MATCH($B381,'testmo-export-repository'!$A$2:$A$1000,false),MATCH(I$2,'testmo-export-repository'!$B$1:$X$1,false)),"")</f>
        <v/>
      </c>
      <c r="J381" s="60" t="str">
        <f t="array" ref="J381">IFERROR(INDEX('testmo-export-repository'!$B$2:$Y$1000,MATCH($B381,'testmo-export-repository'!$A$2:$A$1000,false),MATCH(J$2,'testmo-export-repository'!$B$1:$Y$1,false)),"")</f>
        <v/>
      </c>
      <c r="K381" s="60" t="str">
        <f t="array" ref="K381">IFERROR(INDEX('testmo-export-repository'!$B$2:$Y$1000,MATCH($B381,'testmo-export-repository'!$A$2:$A$1000,false),MATCH(K$2,'testmo-export-repository'!$B$1:$Y$1,false)),"")</f>
        <v/>
      </c>
    </row>
    <row r="382">
      <c r="B382" s="60" t="str">
        <f>'testmo-export-repository'!A381</f>
        <v/>
      </c>
      <c r="C382" s="60" t="str">
        <f t="array" ref="C382">IFERROR(INDEX('testmo-export-repository'!$B$2:$X$1000,MATCH($B382,'testmo-export-repository'!$A$2:$A$1000,false),MATCH(C$2,'testmo-export-repository'!$B$1:$X$1,false)),"")</f>
        <v/>
      </c>
      <c r="D382" s="60" t="str">
        <f t="array" ref="D382">IFERROR(INDEX('testmo-export-repository'!$B$2:$X$1000,MATCH($B382,'testmo-export-repository'!$A$2:$A$1000,false),MATCH(D$2,'testmo-export-repository'!$B$1:$X$1,false)),"")</f>
        <v/>
      </c>
      <c r="E382" s="60" t="str">
        <f>IFERROR(VLOOKUP($C382,instructions!$N$3:$O$5,2,false),"")</f>
        <v/>
      </c>
      <c r="F382" s="60" t="str">
        <f>IFERROR(VLOOKUP($D382,instructions!$N$3:$O$5,2,false),"")</f>
        <v/>
      </c>
      <c r="G382" s="60" t="str">
        <f t="array" ref="G382">IFERROR(INDEX('testmo-export-repository'!$B$2:$X$1000,MATCH($B382,'testmo-export-repository'!$A$2:$A$1000,false),MATCH(G$2,'testmo-export-repository'!$B$1:$X$1,false)),"")</f>
        <v/>
      </c>
      <c r="H382" s="60" t="str">
        <f t="array" ref="H382">IFERROR(INDEX('testmo-export-repository'!$B$2:$X$1000,MATCH($B382,'testmo-export-repository'!$A$2:$A$1000,false),MATCH(H$2,'testmo-export-repository'!$B$1:$X$1,false)),"")</f>
        <v/>
      </c>
      <c r="I382" s="60" t="str">
        <f t="array" ref="I382">IFERROR(INDEX('testmo-export-repository'!$B$2:$X$1000,MATCH($B382,'testmo-export-repository'!$A$2:$A$1000,false),MATCH(I$2,'testmo-export-repository'!$B$1:$X$1,false)),"")</f>
        <v/>
      </c>
      <c r="J382" s="60" t="str">
        <f t="array" ref="J382">IFERROR(INDEX('testmo-export-repository'!$B$2:$Y$1000,MATCH($B382,'testmo-export-repository'!$A$2:$A$1000,false),MATCH(J$2,'testmo-export-repository'!$B$1:$Y$1,false)),"")</f>
        <v/>
      </c>
      <c r="K382" s="60" t="str">
        <f t="array" ref="K382">IFERROR(INDEX('testmo-export-repository'!$B$2:$Y$1000,MATCH($B382,'testmo-export-repository'!$A$2:$A$1000,false),MATCH(K$2,'testmo-export-repository'!$B$1:$Y$1,false)),"")</f>
        <v/>
      </c>
    </row>
    <row r="383">
      <c r="B383" s="60" t="str">
        <f>'testmo-export-repository'!A382</f>
        <v/>
      </c>
      <c r="C383" s="60" t="str">
        <f t="array" ref="C383">IFERROR(INDEX('testmo-export-repository'!$B$2:$X$1000,MATCH($B383,'testmo-export-repository'!$A$2:$A$1000,false),MATCH(C$2,'testmo-export-repository'!$B$1:$X$1,false)),"")</f>
        <v/>
      </c>
      <c r="D383" s="60" t="str">
        <f t="array" ref="D383">IFERROR(INDEX('testmo-export-repository'!$B$2:$X$1000,MATCH($B383,'testmo-export-repository'!$A$2:$A$1000,false),MATCH(D$2,'testmo-export-repository'!$B$1:$X$1,false)),"")</f>
        <v/>
      </c>
      <c r="E383" s="60" t="str">
        <f>IFERROR(VLOOKUP($C383,instructions!$N$3:$O$5,2,false),"")</f>
        <v/>
      </c>
      <c r="F383" s="60" t="str">
        <f>IFERROR(VLOOKUP($D383,instructions!$N$3:$O$5,2,false),"")</f>
        <v/>
      </c>
      <c r="G383" s="60" t="str">
        <f t="array" ref="G383">IFERROR(INDEX('testmo-export-repository'!$B$2:$X$1000,MATCH($B383,'testmo-export-repository'!$A$2:$A$1000,false),MATCH(G$2,'testmo-export-repository'!$B$1:$X$1,false)),"")</f>
        <v/>
      </c>
      <c r="H383" s="60" t="str">
        <f t="array" ref="H383">IFERROR(INDEX('testmo-export-repository'!$B$2:$X$1000,MATCH($B383,'testmo-export-repository'!$A$2:$A$1000,false),MATCH(H$2,'testmo-export-repository'!$B$1:$X$1,false)),"")</f>
        <v/>
      </c>
      <c r="I383" s="60" t="str">
        <f t="array" ref="I383">IFERROR(INDEX('testmo-export-repository'!$B$2:$X$1000,MATCH($B383,'testmo-export-repository'!$A$2:$A$1000,false),MATCH(I$2,'testmo-export-repository'!$B$1:$X$1,false)),"")</f>
        <v/>
      </c>
      <c r="J383" s="60" t="str">
        <f t="array" ref="J383">IFERROR(INDEX('testmo-export-repository'!$B$2:$Y$1000,MATCH($B383,'testmo-export-repository'!$A$2:$A$1000,false),MATCH(J$2,'testmo-export-repository'!$B$1:$Y$1,false)),"")</f>
        <v/>
      </c>
      <c r="K383" s="60" t="str">
        <f t="array" ref="K383">IFERROR(INDEX('testmo-export-repository'!$B$2:$Y$1000,MATCH($B383,'testmo-export-repository'!$A$2:$A$1000,false),MATCH(K$2,'testmo-export-repository'!$B$1:$Y$1,false)),"")</f>
        <v/>
      </c>
    </row>
    <row r="384">
      <c r="B384" s="60" t="str">
        <f>'testmo-export-repository'!A383</f>
        <v/>
      </c>
      <c r="C384" s="60" t="str">
        <f t="array" ref="C384">IFERROR(INDEX('testmo-export-repository'!$B$2:$X$1000,MATCH($B384,'testmo-export-repository'!$A$2:$A$1000,false),MATCH(C$2,'testmo-export-repository'!$B$1:$X$1,false)),"")</f>
        <v/>
      </c>
      <c r="D384" s="60" t="str">
        <f t="array" ref="D384">IFERROR(INDEX('testmo-export-repository'!$B$2:$X$1000,MATCH($B384,'testmo-export-repository'!$A$2:$A$1000,false),MATCH(D$2,'testmo-export-repository'!$B$1:$X$1,false)),"")</f>
        <v/>
      </c>
      <c r="E384" s="60" t="str">
        <f>IFERROR(VLOOKUP($C384,instructions!$N$3:$O$5,2,false),"")</f>
        <v/>
      </c>
      <c r="F384" s="60" t="str">
        <f>IFERROR(VLOOKUP($D384,instructions!$N$3:$O$5,2,false),"")</f>
        <v/>
      </c>
      <c r="G384" s="60" t="str">
        <f t="array" ref="G384">IFERROR(INDEX('testmo-export-repository'!$B$2:$X$1000,MATCH($B384,'testmo-export-repository'!$A$2:$A$1000,false),MATCH(G$2,'testmo-export-repository'!$B$1:$X$1,false)),"")</f>
        <v/>
      </c>
      <c r="H384" s="60" t="str">
        <f t="array" ref="H384">IFERROR(INDEX('testmo-export-repository'!$B$2:$X$1000,MATCH($B384,'testmo-export-repository'!$A$2:$A$1000,false),MATCH(H$2,'testmo-export-repository'!$B$1:$X$1,false)),"")</f>
        <v/>
      </c>
      <c r="I384" s="60" t="str">
        <f t="array" ref="I384">IFERROR(INDEX('testmo-export-repository'!$B$2:$X$1000,MATCH($B384,'testmo-export-repository'!$A$2:$A$1000,false),MATCH(I$2,'testmo-export-repository'!$B$1:$X$1,false)),"")</f>
        <v/>
      </c>
      <c r="J384" s="60" t="str">
        <f t="array" ref="J384">IFERROR(INDEX('testmo-export-repository'!$B$2:$Y$1000,MATCH($B384,'testmo-export-repository'!$A$2:$A$1000,false),MATCH(J$2,'testmo-export-repository'!$B$1:$Y$1,false)),"")</f>
        <v/>
      </c>
      <c r="K384" s="60" t="str">
        <f t="array" ref="K384">IFERROR(INDEX('testmo-export-repository'!$B$2:$Y$1000,MATCH($B384,'testmo-export-repository'!$A$2:$A$1000,false),MATCH(K$2,'testmo-export-repository'!$B$1:$Y$1,false)),"")</f>
        <v/>
      </c>
    </row>
    <row r="385">
      <c r="B385" s="60" t="str">
        <f>'testmo-export-repository'!A384</f>
        <v/>
      </c>
      <c r="C385" s="60" t="str">
        <f t="array" ref="C385">IFERROR(INDEX('testmo-export-repository'!$B$2:$X$1000,MATCH($B385,'testmo-export-repository'!$A$2:$A$1000,false),MATCH(C$2,'testmo-export-repository'!$B$1:$X$1,false)),"")</f>
        <v/>
      </c>
      <c r="D385" s="60" t="str">
        <f t="array" ref="D385">IFERROR(INDEX('testmo-export-repository'!$B$2:$X$1000,MATCH($B385,'testmo-export-repository'!$A$2:$A$1000,false),MATCH(D$2,'testmo-export-repository'!$B$1:$X$1,false)),"")</f>
        <v/>
      </c>
      <c r="E385" s="60" t="str">
        <f>IFERROR(VLOOKUP($C385,instructions!$N$3:$O$5,2,false),"")</f>
        <v/>
      </c>
      <c r="F385" s="60" t="str">
        <f>IFERROR(VLOOKUP($D385,instructions!$N$3:$O$5,2,false),"")</f>
        <v/>
      </c>
      <c r="G385" s="60" t="str">
        <f t="array" ref="G385">IFERROR(INDEX('testmo-export-repository'!$B$2:$X$1000,MATCH($B385,'testmo-export-repository'!$A$2:$A$1000,false),MATCH(G$2,'testmo-export-repository'!$B$1:$X$1,false)),"")</f>
        <v/>
      </c>
      <c r="H385" s="60" t="str">
        <f t="array" ref="H385">IFERROR(INDEX('testmo-export-repository'!$B$2:$X$1000,MATCH($B385,'testmo-export-repository'!$A$2:$A$1000,false),MATCH(H$2,'testmo-export-repository'!$B$1:$X$1,false)),"")</f>
        <v/>
      </c>
      <c r="I385" s="60" t="str">
        <f t="array" ref="I385">IFERROR(INDEX('testmo-export-repository'!$B$2:$X$1000,MATCH($B385,'testmo-export-repository'!$A$2:$A$1000,false),MATCH(I$2,'testmo-export-repository'!$B$1:$X$1,false)),"")</f>
        <v/>
      </c>
      <c r="J385" s="60" t="str">
        <f t="array" ref="J385">IFERROR(INDEX('testmo-export-repository'!$B$2:$Y$1000,MATCH($B385,'testmo-export-repository'!$A$2:$A$1000,false),MATCH(J$2,'testmo-export-repository'!$B$1:$Y$1,false)),"")</f>
        <v/>
      </c>
      <c r="K385" s="60" t="str">
        <f t="array" ref="K385">IFERROR(INDEX('testmo-export-repository'!$B$2:$Y$1000,MATCH($B385,'testmo-export-repository'!$A$2:$A$1000,false),MATCH(K$2,'testmo-export-repository'!$B$1:$Y$1,false)),"")</f>
        <v/>
      </c>
    </row>
    <row r="386">
      <c r="B386" s="60" t="str">
        <f>'testmo-export-repository'!A385</f>
        <v/>
      </c>
      <c r="C386" s="60" t="str">
        <f t="array" ref="C386">IFERROR(INDEX('testmo-export-repository'!$B$2:$X$1000,MATCH($B386,'testmo-export-repository'!$A$2:$A$1000,false),MATCH(C$2,'testmo-export-repository'!$B$1:$X$1,false)),"")</f>
        <v/>
      </c>
      <c r="D386" s="60" t="str">
        <f t="array" ref="D386">IFERROR(INDEX('testmo-export-repository'!$B$2:$X$1000,MATCH($B386,'testmo-export-repository'!$A$2:$A$1000,false),MATCH(D$2,'testmo-export-repository'!$B$1:$X$1,false)),"")</f>
        <v/>
      </c>
      <c r="E386" s="60" t="str">
        <f>IFERROR(VLOOKUP($C386,instructions!$N$3:$O$5,2,false),"")</f>
        <v/>
      </c>
      <c r="F386" s="60" t="str">
        <f>IFERROR(VLOOKUP($D386,instructions!$N$3:$O$5,2,false),"")</f>
        <v/>
      </c>
      <c r="G386" s="60" t="str">
        <f t="array" ref="G386">IFERROR(INDEX('testmo-export-repository'!$B$2:$X$1000,MATCH($B386,'testmo-export-repository'!$A$2:$A$1000,false),MATCH(G$2,'testmo-export-repository'!$B$1:$X$1,false)),"")</f>
        <v/>
      </c>
      <c r="H386" s="60" t="str">
        <f t="array" ref="H386">IFERROR(INDEX('testmo-export-repository'!$B$2:$X$1000,MATCH($B386,'testmo-export-repository'!$A$2:$A$1000,false),MATCH(H$2,'testmo-export-repository'!$B$1:$X$1,false)),"")</f>
        <v/>
      </c>
      <c r="I386" s="60" t="str">
        <f t="array" ref="I386">IFERROR(INDEX('testmo-export-repository'!$B$2:$X$1000,MATCH($B386,'testmo-export-repository'!$A$2:$A$1000,false),MATCH(I$2,'testmo-export-repository'!$B$1:$X$1,false)),"")</f>
        <v/>
      </c>
      <c r="J386" s="60" t="str">
        <f t="array" ref="J386">IFERROR(INDEX('testmo-export-repository'!$B$2:$Y$1000,MATCH($B386,'testmo-export-repository'!$A$2:$A$1000,false),MATCH(J$2,'testmo-export-repository'!$B$1:$Y$1,false)),"")</f>
        <v/>
      </c>
      <c r="K386" s="60" t="str">
        <f t="array" ref="K386">IFERROR(INDEX('testmo-export-repository'!$B$2:$Y$1000,MATCH($B386,'testmo-export-repository'!$A$2:$A$1000,false),MATCH(K$2,'testmo-export-repository'!$B$1:$Y$1,false)),"")</f>
        <v/>
      </c>
    </row>
    <row r="387">
      <c r="B387" s="60" t="str">
        <f>'testmo-export-repository'!A386</f>
        <v/>
      </c>
      <c r="C387" s="60" t="str">
        <f t="array" ref="C387">IFERROR(INDEX('testmo-export-repository'!$B$2:$X$1000,MATCH($B387,'testmo-export-repository'!$A$2:$A$1000,false),MATCH(C$2,'testmo-export-repository'!$B$1:$X$1,false)),"")</f>
        <v/>
      </c>
      <c r="D387" s="60" t="str">
        <f t="array" ref="D387">IFERROR(INDEX('testmo-export-repository'!$B$2:$X$1000,MATCH($B387,'testmo-export-repository'!$A$2:$A$1000,false),MATCH(D$2,'testmo-export-repository'!$B$1:$X$1,false)),"")</f>
        <v/>
      </c>
      <c r="E387" s="60" t="str">
        <f>IFERROR(VLOOKUP($C387,instructions!$N$3:$O$5,2,false),"")</f>
        <v/>
      </c>
      <c r="F387" s="60" t="str">
        <f>IFERROR(VLOOKUP($D387,instructions!$N$3:$O$5,2,false),"")</f>
        <v/>
      </c>
      <c r="G387" s="60" t="str">
        <f t="array" ref="G387">IFERROR(INDEX('testmo-export-repository'!$B$2:$X$1000,MATCH($B387,'testmo-export-repository'!$A$2:$A$1000,false),MATCH(G$2,'testmo-export-repository'!$B$1:$X$1,false)),"")</f>
        <v/>
      </c>
      <c r="H387" s="60" t="str">
        <f t="array" ref="H387">IFERROR(INDEX('testmo-export-repository'!$B$2:$X$1000,MATCH($B387,'testmo-export-repository'!$A$2:$A$1000,false),MATCH(H$2,'testmo-export-repository'!$B$1:$X$1,false)),"")</f>
        <v/>
      </c>
      <c r="I387" s="60" t="str">
        <f t="array" ref="I387">IFERROR(INDEX('testmo-export-repository'!$B$2:$X$1000,MATCH($B387,'testmo-export-repository'!$A$2:$A$1000,false),MATCH(I$2,'testmo-export-repository'!$B$1:$X$1,false)),"")</f>
        <v/>
      </c>
      <c r="J387" s="60" t="str">
        <f t="array" ref="J387">IFERROR(INDEX('testmo-export-repository'!$B$2:$Y$1000,MATCH($B387,'testmo-export-repository'!$A$2:$A$1000,false),MATCH(J$2,'testmo-export-repository'!$B$1:$Y$1,false)),"")</f>
        <v/>
      </c>
      <c r="K387" s="60" t="str">
        <f t="array" ref="K387">IFERROR(INDEX('testmo-export-repository'!$B$2:$Y$1000,MATCH($B387,'testmo-export-repository'!$A$2:$A$1000,false),MATCH(K$2,'testmo-export-repository'!$B$1:$Y$1,false)),"")</f>
        <v/>
      </c>
    </row>
    <row r="388">
      <c r="B388" s="60" t="str">
        <f>'testmo-export-repository'!A387</f>
        <v/>
      </c>
      <c r="C388" s="60" t="str">
        <f t="array" ref="C388">IFERROR(INDEX('testmo-export-repository'!$B$2:$X$1000,MATCH($B388,'testmo-export-repository'!$A$2:$A$1000,false),MATCH(C$2,'testmo-export-repository'!$B$1:$X$1,false)),"")</f>
        <v/>
      </c>
      <c r="D388" s="60" t="str">
        <f t="array" ref="D388">IFERROR(INDEX('testmo-export-repository'!$B$2:$X$1000,MATCH($B388,'testmo-export-repository'!$A$2:$A$1000,false),MATCH(D$2,'testmo-export-repository'!$B$1:$X$1,false)),"")</f>
        <v/>
      </c>
      <c r="E388" s="60" t="str">
        <f>IFERROR(VLOOKUP($C388,instructions!$N$3:$O$5,2,false),"")</f>
        <v/>
      </c>
      <c r="F388" s="60" t="str">
        <f>IFERROR(VLOOKUP($D388,instructions!$N$3:$O$5,2,false),"")</f>
        <v/>
      </c>
      <c r="G388" s="60" t="str">
        <f t="array" ref="G388">IFERROR(INDEX('testmo-export-repository'!$B$2:$X$1000,MATCH($B388,'testmo-export-repository'!$A$2:$A$1000,false),MATCH(G$2,'testmo-export-repository'!$B$1:$X$1,false)),"")</f>
        <v/>
      </c>
      <c r="H388" s="60" t="str">
        <f t="array" ref="H388">IFERROR(INDEX('testmo-export-repository'!$B$2:$X$1000,MATCH($B388,'testmo-export-repository'!$A$2:$A$1000,false),MATCH(H$2,'testmo-export-repository'!$B$1:$X$1,false)),"")</f>
        <v/>
      </c>
      <c r="I388" s="60" t="str">
        <f t="array" ref="I388">IFERROR(INDEX('testmo-export-repository'!$B$2:$X$1000,MATCH($B388,'testmo-export-repository'!$A$2:$A$1000,false),MATCH(I$2,'testmo-export-repository'!$B$1:$X$1,false)),"")</f>
        <v/>
      </c>
      <c r="J388" s="60" t="str">
        <f t="array" ref="J388">IFERROR(INDEX('testmo-export-repository'!$B$2:$Y$1000,MATCH($B388,'testmo-export-repository'!$A$2:$A$1000,false),MATCH(J$2,'testmo-export-repository'!$B$1:$Y$1,false)),"")</f>
        <v/>
      </c>
      <c r="K388" s="60" t="str">
        <f t="array" ref="K388">IFERROR(INDEX('testmo-export-repository'!$B$2:$Y$1000,MATCH($B388,'testmo-export-repository'!$A$2:$A$1000,false),MATCH(K$2,'testmo-export-repository'!$B$1:$Y$1,false)),"")</f>
        <v/>
      </c>
    </row>
    <row r="389">
      <c r="B389" s="60" t="str">
        <f>'testmo-export-repository'!A388</f>
        <v/>
      </c>
      <c r="C389" s="60" t="str">
        <f t="array" ref="C389">IFERROR(INDEX('testmo-export-repository'!$B$2:$X$1000,MATCH($B389,'testmo-export-repository'!$A$2:$A$1000,false),MATCH(C$2,'testmo-export-repository'!$B$1:$X$1,false)),"")</f>
        <v/>
      </c>
      <c r="D389" s="60" t="str">
        <f t="array" ref="D389">IFERROR(INDEX('testmo-export-repository'!$B$2:$X$1000,MATCH($B389,'testmo-export-repository'!$A$2:$A$1000,false),MATCH(D$2,'testmo-export-repository'!$B$1:$X$1,false)),"")</f>
        <v/>
      </c>
      <c r="E389" s="60" t="str">
        <f>IFERROR(VLOOKUP($C389,instructions!$N$3:$O$5,2,false),"")</f>
        <v/>
      </c>
      <c r="F389" s="60" t="str">
        <f>IFERROR(VLOOKUP($D389,instructions!$N$3:$O$5,2,false),"")</f>
        <v/>
      </c>
      <c r="G389" s="60" t="str">
        <f t="array" ref="G389">IFERROR(INDEX('testmo-export-repository'!$B$2:$X$1000,MATCH($B389,'testmo-export-repository'!$A$2:$A$1000,false),MATCH(G$2,'testmo-export-repository'!$B$1:$X$1,false)),"")</f>
        <v/>
      </c>
      <c r="H389" s="60" t="str">
        <f t="array" ref="H389">IFERROR(INDEX('testmo-export-repository'!$B$2:$X$1000,MATCH($B389,'testmo-export-repository'!$A$2:$A$1000,false),MATCH(H$2,'testmo-export-repository'!$B$1:$X$1,false)),"")</f>
        <v/>
      </c>
      <c r="I389" s="60" t="str">
        <f t="array" ref="I389">IFERROR(INDEX('testmo-export-repository'!$B$2:$X$1000,MATCH($B389,'testmo-export-repository'!$A$2:$A$1000,false),MATCH(I$2,'testmo-export-repository'!$B$1:$X$1,false)),"")</f>
        <v/>
      </c>
      <c r="J389" s="60" t="str">
        <f t="array" ref="J389">IFERROR(INDEX('testmo-export-repository'!$B$2:$Y$1000,MATCH($B389,'testmo-export-repository'!$A$2:$A$1000,false),MATCH(J$2,'testmo-export-repository'!$B$1:$Y$1,false)),"")</f>
        <v/>
      </c>
      <c r="K389" s="60" t="str">
        <f t="array" ref="K389">IFERROR(INDEX('testmo-export-repository'!$B$2:$Y$1000,MATCH($B389,'testmo-export-repository'!$A$2:$A$1000,false),MATCH(K$2,'testmo-export-repository'!$B$1:$Y$1,false)),"")</f>
        <v/>
      </c>
    </row>
    <row r="390">
      <c r="B390" s="60" t="str">
        <f>'testmo-export-repository'!A389</f>
        <v/>
      </c>
      <c r="C390" s="60" t="str">
        <f t="array" ref="C390">IFERROR(INDEX('testmo-export-repository'!$B$2:$X$1000,MATCH($B390,'testmo-export-repository'!$A$2:$A$1000,false),MATCH(C$2,'testmo-export-repository'!$B$1:$X$1,false)),"")</f>
        <v/>
      </c>
      <c r="D390" s="60" t="str">
        <f t="array" ref="D390">IFERROR(INDEX('testmo-export-repository'!$B$2:$X$1000,MATCH($B390,'testmo-export-repository'!$A$2:$A$1000,false),MATCH(D$2,'testmo-export-repository'!$B$1:$X$1,false)),"")</f>
        <v/>
      </c>
      <c r="E390" s="60" t="str">
        <f>IFERROR(VLOOKUP($C390,instructions!$N$3:$O$5,2,false),"")</f>
        <v/>
      </c>
      <c r="F390" s="60" t="str">
        <f>IFERROR(VLOOKUP($D390,instructions!$N$3:$O$5,2,false),"")</f>
        <v/>
      </c>
      <c r="G390" s="60" t="str">
        <f t="array" ref="G390">IFERROR(INDEX('testmo-export-repository'!$B$2:$X$1000,MATCH($B390,'testmo-export-repository'!$A$2:$A$1000,false),MATCH(G$2,'testmo-export-repository'!$B$1:$X$1,false)),"")</f>
        <v/>
      </c>
      <c r="H390" s="60" t="str">
        <f t="array" ref="H390">IFERROR(INDEX('testmo-export-repository'!$B$2:$X$1000,MATCH($B390,'testmo-export-repository'!$A$2:$A$1000,false),MATCH(H$2,'testmo-export-repository'!$B$1:$X$1,false)),"")</f>
        <v/>
      </c>
      <c r="I390" s="60" t="str">
        <f t="array" ref="I390">IFERROR(INDEX('testmo-export-repository'!$B$2:$X$1000,MATCH($B390,'testmo-export-repository'!$A$2:$A$1000,false),MATCH(I$2,'testmo-export-repository'!$B$1:$X$1,false)),"")</f>
        <v/>
      </c>
      <c r="J390" s="60" t="str">
        <f t="array" ref="J390">IFERROR(INDEX('testmo-export-repository'!$B$2:$Y$1000,MATCH($B390,'testmo-export-repository'!$A$2:$A$1000,false),MATCH(J$2,'testmo-export-repository'!$B$1:$Y$1,false)),"")</f>
        <v/>
      </c>
      <c r="K390" s="60" t="str">
        <f t="array" ref="K390">IFERROR(INDEX('testmo-export-repository'!$B$2:$Y$1000,MATCH($B390,'testmo-export-repository'!$A$2:$A$1000,false),MATCH(K$2,'testmo-export-repository'!$B$1:$Y$1,false)),"")</f>
        <v/>
      </c>
    </row>
    <row r="391">
      <c r="B391" s="60" t="str">
        <f>'testmo-export-repository'!A390</f>
        <v/>
      </c>
      <c r="C391" s="60" t="str">
        <f t="array" ref="C391">IFERROR(INDEX('testmo-export-repository'!$B$2:$X$1000,MATCH($B391,'testmo-export-repository'!$A$2:$A$1000,false),MATCH(C$2,'testmo-export-repository'!$B$1:$X$1,false)),"")</f>
        <v/>
      </c>
      <c r="D391" s="60" t="str">
        <f t="array" ref="D391">IFERROR(INDEX('testmo-export-repository'!$B$2:$X$1000,MATCH($B391,'testmo-export-repository'!$A$2:$A$1000,false),MATCH(D$2,'testmo-export-repository'!$B$1:$X$1,false)),"")</f>
        <v/>
      </c>
      <c r="E391" s="60" t="str">
        <f>IFERROR(VLOOKUP($C391,instructions!$N$3:$O$5,2,false),"")</f>
        <v/>
      </c>
      <c r="F391" s="60" t="str">
        <f>IFERROR(VLOOKUP($D391,instructions!$N$3:$O$5,2,false),"")</f>
        <v/>
      </c>
      <c r="G391" s="60" t="str">
        <f t="array" ref="G391">IFERROR(INDEX('testmo-export-repository'!$B$2:$X$1000,MATCH($B391,'testmo-export-repository'!$A$2:$A$1000,false),MATCH(G$2,'testmo-export-repository'!$B$1:$X$1,false)),"")</f>
        <v/>
      </c>
      <c r="H391" s="60" t="str">
        <f t="array" ref="H391">IFERROR(INDEX('testmo-export-repository'!$B$2:$X$1000,MATCH($B391,'testmo-export-repository'!$A$2:$A$1000,false),MATCH(H$2,'testmo-export-repository'!$B$1:$X$1,false)),"")</f>
        <v/>
      </c>
      <c r="I391" s="60" t="str">
        <f t="array" ref="I391">IFERROR(INDEX('testmo-export-repository'!$B$2:$X$1000,MATCH($B391,'testmo-export-repository'!$A$2:$A$1000,false),MATCH(I$2,'testmo-export-repository'!$B$1:$X$1,false)),"")</f>
        <v/>
      </c>
      <c r="J391" s="60" t="str">
        <f t="array" ref="J391">IFERROR(INDEX('testmo-export-repository'!$B$2:$Y$1000,MATCH($B391,'testmo-export-repository'!$A$2:$A$1000,false),MATCH(J$2,'testmo-export-repository'!$B$1:$Y$1,false)),"")</f>
        <v/>
      </c>
      <c r="K391" s="60" t="str">
        <f t="array" ref="K391">IFERROR(INDEX('testmo-export-repository'!$B$2:$Y$1000,MATCH($B391,'testmo-export-repository'!$A$2:$A$1000,false),MATCH(K$2,'testmo-export-repository'!$B$1:$Y$1,false)),"")</f>
        <v/>
      </c>
    </row>
    <row r="392">
      <c r="B392" s="60" t="str">
        <f>'testmo-export-repository'!A391</f>
        <v/>
      </c>
      <c r="C392" s="60" t="str">
        <f t="array" ref="C392">IFERROR(INDEX('testmo-export-repository'!$B$2:$X$1000,MATCH($B392,'testmo-export-repository'!$A$2:$A$1000,false),MATCH(C$2,'testmo-export-repository'!$B$1:$X$1,false)),"")</f>
        <v/>
      </c>
      <c r="D392" s="60" t="str">
        <f t="array" ref="D392">IFERROR(INDEX('testmo-export-repository'!$B$2:$X$1000,MATCH($B392,'testmo-export-repository'!$A$2:$A$1000,false),MATCH(D$2,'testmo-export-repository'!$B$1:$X$1,false)),"")</f>
        <v/>
      </c>
      <c r="E392" s="60" t="str">
        <f>IFERROR(VLOOKUP($C392,instructions!$N$3:$O$5,2,false),"")</f>
        <v/>
      </c>
      <c r="F392" s="60" t="str">
        <f>IFERROR(VLOOKUP($D392,instructions!$N$3:$O$5,2,false),"")</f>
        <v/>
      </c>
      <c r="G392" s="60" t="str">
        <f t="array" ref="G392">IFERROR(INDEX('testmo-export-repository'!$B$2:$X$1000,MATCH($B392,'testmo-export-repository'!$A$2:$A$1000,false),MATCH(G$2,'testmo-export-repository'!$B$1:$X$1,false)),"")</f>
        <v/>
      </c>
      <c r="H392" s="60" t="str">
        <f t="array" ref="H392">IFERROR(INDEX('testmo-export-repository'!$B$2:$X$1000,MATCH($B392,'testmo-export-repository'!$A$2:$A$1000,false),MATCH(H$2,'testmo-export-repository'!$B$1:$X$1,false)),"")</f>
        <v/>
      </c>
      <c r="I392" s="60" t="str">
        <f t="array" ref="I392">IFERROR(INDEX('testmo-export-repository'!$B$2:$X$1000,MATCH($B392,'testmo-export-repository'!$A$2:$A$1000,false),MATCH(I$2,'testmo-export-repository'!$B$1:$X$1,false)),"")</f>
        <v/>
      </c>
      <c r="J392" s="60" t="str">
        <f t="array" ref="J392">IFERROR(INDEX('testmo-export-repository'!$B$2:$Y$1000,MATCH($B392,'testmo-export-repository'!$A$2:$A$1000,false),MATCH(J$2,'testmo-export-repository'!$B$1:$Y$1,false)),"")</f>
        <v/>
      </c>
      <c r="K392" s="60" t="str">
        <f t="array" ref="K392">IFERROR(INDEX('testmo-export-repository'!$B$2:$Y$1000,MATCH($B392,'testmo-export-repository'!$A$2:$A$1000,false),MATCH(K$2,'testmo-export-repository'!$B$1:$Y$1,false)),"")</f>
        <v/>
      </c>
    </row>
    <row r="393">
      <c r="B393" s="60" t="str">
        <f>'testmo-export-repository'!A392</f>
        <v/>
      </c>
      <c r="C393" s="60" t="str">
        <f t="array" ref="C393">IFERROR(INDEX('testmo-export-repository'!$B$2:$X$1000,MATCH($B393,'testmo-export-repository'!$A$2:$A$1000,false),MATCH(C$2,'testmo-export-repository'!$B$1:$X$1,false)),"")</f>
        <v/>
      </c>
      <c r="D393" s="60" t="str">
        <f t="array" ref="D393">IFERROR(INDEX('testmo-export-repository'!$B$2:$X$1000,MATCH($B393,'testmo-export-repository'!$A$2:$A$1000,false),MATCH(D$2,'testmo-export-repository'!$B$1:$X$1,false)),"")</f>
        <v/>
      </c>
      <c r="E393" s="60" t="str">
        <f>IFERROR(VLOOKUP($C393,instructions!$N$3:$O$5,2,false),"")</f>
        <v/>
      </c>
      <c r="F393" s="60" t="str">
        <f>IFERROR(VLOOKUP($D393,instructions!$N$3:$O$5,2,false),"")</f>
        <v/>
      </c>
      <c r="G393" s="60" t="str">
        <f t="array" ref="G393">IFERROR(INDEX('testmo-export-repository'!$B$2:$X$1000,MATCH($B393,'testmo-export-repository'!$A$2:$A$1000,false),MATCH(G$2,'testmo-export-repository'!$B$1:$X$1,false)),"")</f>
        <v/>
      </c>
      <c r="H393" s="60" t="str">
        <f t="array" ref="H393">IFERROR(INDEX('testmo-export-repository'!$B$2:$X$1000,MATCH($B393,'testmo-export-repository'!$A$2:$A$1000,false),MATCH(H$2,'testmo-export-repository'!$B$1:$X$1,false)),"")</f>
        <v/>
      </c>
      <c r="I393" s="60" t="str">
        <f t="array" ref="I393">IFERROR(INDEX('testmo-export-repository'!$B$2:$X$1000,MATCH($B393,'testmo-export-repository'!$A$2:$A$1000,false),MATCH(I$2,'testmo-export-repository'!$B$1:$X$1,false)),"")</f>
        <v/>
      </c>
      <c r="J393" s="60" t="str">
        <f t="array" ref="J393">IFERROR(INDEX('testmo-export-repository'!$B$2:$Y$1000,MATCH($B393,'testmo-export-repository'!$A$2:$A$1000,false),MATCH(J$2,'testmo-export-repository'!$B$1:$Y$1,false)),"")</f>
        <v/>
      </c>
      <c r="K393" s="60" t="str">
        <f t="array" ref="K393">IFERROR(INDEX('testmo-export-repository'!$B$2:$Y$1000,MATCH($B393,'testmo-export-repository'!$A$2:$A$1000,false),MATCH(K$2,'testmo-export-repository'!$B$1:$Y$1,false)),"")</f>
        <v/>
      </c>
    </row>
    <row r="394">
      <c r="B394" s="60" t="str">
        <f>'testmo-export-repository'!A393</f>
        <v/>
      </c>
      <c r="C394" s="60" t="str">
        <f t="array" ref="C394">IFERROR(INDEX('testmo-export-repository'!$B$2:$X$1000,MATCH($B394,'testmo-export-repository'!$A$2:$A$1000,false),MATCH(C$2,'testmo-export-repository'!$B$1:$X$1,false)),"")</f>
        <v/>
      </c>
      <c r="D394" s="60" t="str">
        <f t="array" ref="D394">IFERROR(INDEX('testmo-export-repository'!$B$2:$X$1000,MATCH($B394,'testmo-export-repository'!$A$2:$A$1000,false),MATCH(D$2,'testmo-export-repository'!$B$1:$X$1,false)),"")</f>
        <v/>
      </c>
      <c r="E394" s="60" t="str">
        <f>IFERROR(VLOOKUP($C394,instructions!$N$3:$O$5,2,false),"")</f>
        <v/>
      </c>
      <c r="F394" s="60" t="str">
        <f>IFERROR(VLOOKUP($D394,instructions!$N$3:$O$5,2,false),"")</f>
        <v/>
      </c>
      <c r="G394" s="60" t="str">
        <f t="array" ref="G394">IFERROR(INDEX('testmo-export-repository'!$B$2:$X$1000,MATCH($B394,'testmo-export-repository'!$A$2:$A$1000,false),MATCH(G$2,'testmo-export-repository'!$B$1:$X$1,false)),"")</f>
        <v/>
      </c>
      <c r="H394" s="60" t="str">
        <f t="array" ref="H394">IFERROR(INDEX('testmo-export-repository'!$B$2:$X$1000,MATCH($B394,'testmo-export-repository'!$A$2:$A$1000,false),MATCH(H$2,'testmo-export-repository'!$B$1:$X$1,false)),"")</f>
        <v/>
      </c>
      <c r="I394" s="60" t="str">
        <f t="array" ref="I394">IFERROR(INDEX('testmo-export-repository'!$B$2:$X$1000,MATCH($B394,'testmo-export-repository'!$A$2:$A$1000,false),MATCH(I$2,'testmo-export-repository'!$B$1:$X$1,false)),"")</f>
        <v/>
      </c>
      <c r="J394" s="60" t="str">
        <f t="array" ref="J394">IFERROR(INDEX('testmo-export-repository'!$B$2:$Y$1000,MATCH($B394,'testmo-export-repository'!$A$2:$A$1000,false),MATCH(J$2,'testmo-export-repository'!$B$1:$Y$1,false)),"")</f>
        <v/>
      </c>
      <c r="K394" s="60" t="str">
        <f t="array" ref="K394">IFERROR(INDEX('testmo-export-repository'!$B$2:$Y$1000,MATCH($B394,'testmo-export-repository'!$A$2:$A$1000,false),MATCH(K$2,'testmo-export-repository'!$B$1:$Y$1,false)),"")</f>
        <v/>
      </c>
    </row>
    <row r="395">
      <c r="B395" s="60" t="str">
        <f>'testmo-export-repository'!A394</f>
        <v/>
      </c>
      <c r="C395" s="60" t="str">
        <f t="array" ref="C395">IFERROR(INDEX('testmo-export-repository'!$B$2:$X$1000,MATCH($B395,'testmo-export-repository'!$A$2:$A$1000,false),MATCH(C$2,'testmo-export-repository'!$B$1:$X$1,false)),"")</f>
        <v/>
      </c>
      <c r="D395" s="60" t="str">
        <f t="array" ref="D395">IFERROR(INDEX('testmo-export-repository'!$B$2:$X$1000,MATCH($B395,'testmo-export-repository'!$A$2:$A$1000,false),MATCH(D$2,'testmo-export-repository'!$B$1:$X$1,false)),"")</f>
        <v/>
      </c>
      <c r="E395" s="60" t="str">
        <f>IFERROR(VLOOKUP($C395,instructions!$N$3:$O$5,2,false),"")</f>
        <v/>
      </c>
      <c r="F395" s="60" t="str">
        <f>IFERROR(VLOOKUP($D395,instructions!$N$3:$O$5,2,false),"")</f>
        <v/>
      </c>
      <c r="G395" s="60" t="str">
        <f t="array" ref="G395">IFERROR(INDEX('testmo-export-repository'!$B$2:$X$1000,MATCH($B395,'testmo-export-repository'!$A$2:$A$1000,false),MATCH(G$2,'testmo-export-repository'!$B$1:$X$1,false)),"")</f>
        <v/>
      </c>
      <c r="H395" s="60" t="str">
        <f t="array" ref="H395">IFERROR(INDEX('testmo-export-repository'!$B$2:$X$1000,MATCH($B395,'testmo-export-repository'!$A$2:$A$1000,false),MATCH(H$2,'testmo-export-repository'!$B$1:$X$1,false)),"")</f>
        <v/>
      </c>
      <c r="I395" s="60" t="str">
        <f t="array" ref="I395">IFERROR(INDEX('testmo-export-repository'!$B$2:$X$1000,MATCH($B395,'testmo-export-repository'!$A$2:$A$1000,false),MATCH(I$2,'testmo-export-repository'!$B$1:$X$1,false)),"")</f>
        <v/>
      </c>
      <c r="J395" s="60" t="str">
        <f t="array" ref="J395">IFERROR(INDEX('testmo-export-repository'!$B$2:$Y$1000,MATCH($B395,'testmo-export-repository'!$A$2:$A$1000,false),MATCH(J$2,'testmo-export-repository'!$B$1:$Y$1,false)),"")</f>
        <v/>
      </c>
      <c r="K395" s="60" t="str">
        <f t="array" ref="K395">IFERROR(INDEX('testmo-export-repository'!$B$2:$Y$1000,MATCH($B395,'testmo-export-repository'!$A$2:$A$1000,false),MATCH(K$2,'testmo-export-repository'!$B$1:$Y$1,false)),"")</f>
        <v/>
      </c>
    </row>
    <row r="396">
      <c r="B396" s="60" t="str">
        <f>'testmo-export-repository'!A395</f>
        <v/>
      </c>
      <c r="C396" s="60" t="str">
        <f t="array" ref="C396">IFERROR(INDEX('testmo-export-repository'!$B$2:$X$1000,MATCH($B396,'testmo-export-repository'!$A$2:$A$1000,false),MATCH(C$2,'testmo-export-repository'!$B$1:$X$1,false)),"")</f>
        <v/>
      </c>
      <c r="D396" s="60" t="str">
        <f t="array" ref="D396">IFERROR(INDEX('testmo-export-repository'!$B$2:$X$1000,MATCH($B396,'testmo-export-repository'!$A$2:$A$1000,false),MATCH(D$2,'testmo-export-repository'!$B$1:$X$1,false)),"")</f>
        <v/>
      </c>
      <c r="E396" s="60" t="str">
        <f>IFERROR(VLOOKUP($C396,instructions!$N$3:$O$5,2,false),"")</f>
        <v/>
      </c>
      <c r="F396" s="60" t="str">
        <f>IFERROR(VLOOKUP($D396,instructions!$N$3:$O$5,2,false),"")</f>
        <v/>
      </c>
      <c r="G396" s="60" t="str">
        <f t="array" ref="G396">IFERROR(INDEX('testmo-export-repository'!$B$2:$X$1000,MATCH($B396,'testmo-export-repository'!$A$2:$A$1000,false),MATCH(G$2,'testmo-export-repository'!$B$1:$X$1,false)),"")</f>
        <v/>
      </c>
      <c r="H396" s="60" t="str">
        <f t="array" ref="H396">IFERROR(INDEX('testmo-export-repository'!$B$2:$X$1000,MATCH($B396,'testmo-export-repository'!$A$2:$A$1000,false),MATCH(H$2,'testmo-export-repository'!$B$1:$X$1,false)),"")</f>
        <v/>
      </c>
      <c r="I396" s="60" t="str">
        <f t="array" ref="I396">IFERROR(INDEX('testmo-export-repository'!$B$2:$X$1000,MATCH($B396,'testmo-export-repository'!$A$2:$A$1000,false),MATCH(I$2,'testmo-export-repository'!$B$1:$X$1,false)),"")</f>
        <v/>
      </c>
      <c r="J396" s="60" t="str">
        <f t="array" ref="J396">IFERROR(INDEX('testmo-export-repository'!$B$2:$Y$1000,MATCH($B396,'testmo-export-repository'!$A$2:$A$1000,false),MATCH(J$2,'testmo-export-repository'!$B$1:$Y$1,false)),"")</f>
        <v/>
      </c>
      <c r="K396" s="60" t="str">
        <f t="array" ref="K396">IFERROR(INDEX('testmo-export-repository'!$B$2:$Y$1000,MATCH($B396,'testmo-export-repository'!$A$2:$A$1000,false),MATCH(K$2,'testmo-export-repository'!$B$1:$Y$1,false)),"")</f>
        <v/>
      </c>
    </row>
    <row r="397">
      <c r="B397" s="60" t="str">
        <f>'testmo-export-repository'!A396</f>
        <v/>
      </c>
      <c r="C397" s="60" t="str">
        <f t="array" ref="C397">IFERROR(INDEX('testmo-export-repository'!$B$2:$X$1000,MATCH($B397,'testmo-export-repository'!$A$2:$A$1000,false),MATCH(C$2,'testmo-export-repository'!$B$1:$X$1,false)),"")</f>
        <v/>
      </c>
      <c r="D397" s="60" t="str">
        <f t="array" ref="D397">IFERROR(INDEX('testmo-export-repository'!$B$2:$X$1000,MATCH($B397,'testmo-export-repository'!$A$2:$A$1000,false),MATCH(D$2,'testmo-export-repository'!$B$1:$X$1,false)),"")</f>
        <v/>
      </c>
      <c r="E397" s="60" t="str">
        <f>IFERROR(VLOOKUP($C397,instructions!$N$3:$O$5,2,false),"")</f>
        <v/>
      </c>
      <c r="F397" s="60" t="str">
        <f>IFERROR(VLOOKUP($D397,instructions!$N$3:$O$5,2,false),"")</f>
        <v/>
      </c>
      <c r="G397" s="60" t="str">
        <f t="array" ref="G397">IFERROR(INDEX('testmo-export-repository'!$B$2:$X$1000,MATCH($B397,'testmo-export-repository'!$A$2:$A$1000,false),MATCH(G$2,'testmo-export-repository'!$B$1:$X$1,false)),"")</f>
        <v/>
      </c>
      <c r="H397" s="60" t="str">
        <f t="array" ref="H397">IFERROR(INDEX('testmo-export-repository'!$B$2:$X$1000,MATCH($B397,'testmo-export-repository'!$A$2:$A$1000,false),MATCH(H$2,'testmo-export-repository'!$B$1:$X$1,false)),"")</f>
        <v/>
      </c>
      <c r="I397" s="60" t="str">
        <f t="array" ref="I397">IFERROR(INDEX('testmo-export-repository'!$B$2:$X$1000,MATCH($B397,'testmo-export-repository'!$A$2:$A$1000,false),MATCH(I$2,'testmo-export-repository'!$B$1:$X$1,false)),"")</f>
        <v/>
      </c>
      <c r="J397" s="60" t="str">
        <f t="array" ref="J397">IFERROR(INDEX('testmo-export-repository'!$B$2:$Y$1000,MATCH($B397,'testmo-export-repository'!$A$2:$A$1000,false),MATCH(J$2,'testmo-export-repository'!$B$1:$Y$1,false)),"")</f>
        <v/>
      </c>
      <c r="K397" s="60" t="str">
        <f t="array" ref="K397">IFERROR(INDEX('testmo-export-repository'!$B$2:$Y$1000,MATCH($B397,'testmo-export-repository'!$A$2:$A$1000,false),MATCH(K$2,'testmo-export-repository'!$B$1:$Y$1,false)),"")</f>
        <v/>
      </c>
    </row>
    <row r="398">
      <c r="B398" s="60" t="str">
        <f>'testmo-export-repository'!A397</f>
        <v/>
      </c>
      <c r="C398" s="60" t="str">
        <f t="array" ref="C398">IFERROR(INDEX('testmo-export-repository'!$B$2:$X$1000,MATCH($B398,'testmo-export-repository'!$A$2:$A$1000,false),MATCH(C$2,'testmo-export-repository'!$B$1:$X$1,false)),"")</f>
        <v/>
      </c>
      <c r="D398" s="60" t="str">
        <f t="array" ref="D398">IFERROR(INDEX('testmo-export-repository'!$B$2:$X$1000,MATCH($B398,'testmo-export-repository'!$A$2:$A$1000,false),MATCH(D$2,'testmo-export-repository'!$B$1:$X$1,false)),"")</f>
        <v/>
      </c>
      <c r="E398" s="60" t="str">
        <f>IFERROR(VLOOKUP($C398,instructions!$N$3:$O$5,2,false),"")</f>
        <v/>
      </c>
      <c r="F398" s="60" t="str">
        <f>IFERROR(VLOOKUP($D398,instructions!$N$3:$O$5,2,false),"")</f>
        <v/>
      </c>
      <c r="G398" s="60" t="str">
        <f t="array" ref="G398">IFERROR(INDEX('testmo-export-repository'!$B$2:$X$1000,MATCH($B398,'testmo-export-repository'!$A$2:$A$1000,false),MATCH(G$2,'testmo-export-repository'!$B$1:$X$1,false)),"")</f>
        <v/>
      </c>
      <c r="H398" s="60" t="str">
        <f t="array" ref="H398">IFERROR(INDEX('testmo-export-repository'!$B$2:$X$1000,MATCH($B398,'testmo-export-repository'!$A$2:$A$1000,false),MATCH(H$2,'testmo-export-repository'!$B$1:$X$1,false)),"")</f>
        <v/>
      </c>
      <c r="I398" s="60" t="str">
        <f t="array" ref="I398">IFERROR(INDEX('testmo-export-repository'!$B$2:$X$1000,MATCH($B398,'testmo-export-repository'!$A$2:$A$1000,false),MATCH(I$2,'testmo-export-repository'!$B$1:$X$1,false)),"")</f>
        <v/>
      </c>
      <c r="J398" s="60" t="str">
        <f t="array" ref="J398">IFERROR(INDEX('testmo-export-repository'!$B$2:$Y$1000,MATCH($B398,'testmo-export-repository'!$A$2:$A$1000,false),MATCH(J$2,'testmo-export-repository'!$B$1:$Y$1,false)),"")</f>
        <v/>
      </c>
      <c r="K398" s="60" t="str">
        <f t="array" ref="K398">IFERROR(INDEX('testmo-export-repository'!$B$2:$Y$1000,MATCH($B398,'testmo-export-repository'!$A$2:$A$1000,false),MATCH(K$2,'testmo-export-repository'!$B$1:$Y$1,false)),"")</f>
        <v/>
      </c>
    </row>
    <row r="399">
      <c r="B399" s="60" t="str">
        <f>'testmo-export-repository'!A398</f>
        <v/>
      </c>
      <c r="C399" s="60" t="str">
        <f t="array" ref="C399">IFERROR(INDEX('testmo-export-repository'!$B$2:$X$1000,MATCH($B399,'testmo-export-repository'!$A$2:$A$1000,false),MATCH(C$2,'testmo-export-repository'!$B$1:$X$1,false)),"")</f>
        <v/>
      </c>
      <c r="D399" s="60" t="str">
        <f t="array" ref="D399">IFERROR(INDEX('testmo-export-repository'!$B$2:$X$1000,MATCH($B399,'testmo-export-repository'!$A$2:$A$1000,false),MATCH(D$2,'testmo-export-repository'!$B$1:$X$1,false)),"")</f>
        <v/>
      </c>
      <c r="E399" s="60" t="str">
        <f>IFERROR(VLOOKUP($C399,instructions!$N$3:$O$5,2,false),"")</f>
        <v/>
      </c>
      <c r="F399" s="60" t="str">
        <f>IFERROR(VLOOKUP($D399,instructions!$N$3:$O$5,2,false),"")</f>
        <v/>
      </c>
      <c r="G399" s="60" t="str">
        <f t="array" ref="G399">IFERROR(INDEX('testmo-export-repository'!$B$2:$X$1000,MATCH($B399,'testmo-export-repository'!$A$2:$A$1000,false),MATCH(G$2,'testmo-export-repository'!$B$1:$X$1,false)),"")</f>
        <v/>
      </c>
      <c r="H399" s="60" t="str">
        <f t="array" ref="H399">IFERROR(INDEX('testmo-export-repository'!$B$2:$X$1000,MATCH($B399,'testmo-export-repository'!$A$2:$A$1000,false),MATCH(H$2,'testmo-export-repository'!$B$1:$X$1,false)),"")</f>
        <v/>
      </c>
      <c r="I399" s="60" t="str">
        <f t="array" ref="I399">IFERROR(INDEX('testmo-export-repository'!$B$2:$X$1000,MATCH($B399,'testmo-export-repository'!$A$2:$A$1000,false),MATCH(I$2,'testmo-export-repository'!$B$1:$X$1,false)),"")</f>
        <v/>
      </c>
      <c r="J399" s="60" t="str">
        <f t="array" ref="J399">IFERROR(INDEX('testmo-export-repository'!$B$2:$Y$1000,MATCH($B399,'testmo-export-repository'!$A$2:$A$1000,false),MATCH(J$2,'testmo-export-repository'!$B$1:$Y$1,false)),"")</f>
        <v/>
      </c>
      <c r="K399" s="60" t="str">
        <f t="array" ref="K399">IFERROR(INDEX('testmo-export-repository'!$B$2:$Y$1000,MATCH($B399,'testmo-export-repository'!$A$2:$A$1000,false),MATCH(K$2,'testmo-export-repository'!$B$1:$Y$1,false)),"")</f>
        <v/>
      </c>
    </row>
    <row r="400">
      <c r="B400" s="60" t="str">
        <f>'testmo-export-repository'!A399</f>
        <v/>
      </c>
      <c r="C400" s="60" t="str">
        <f t="array" ref="C400">IFERROR(INDEX('testmo-export-repository'!$B$2:$X$1000,MATCH($B400,'testmo-export-repository'!$A$2:$A$1000,false),MATCH(C$2,'testmo-export-repository'!$B$1:$X$1,false)),"")</f>
        <v/>
      </c>
      <c r="D400" s="60" t="str">
        <f t="array" ref="D400">IFERROR(INDEX('testmo-export-repository'!$B$2:$X$1000,MATCH($B400,'testmo-export-repository'!$A$2:$A$1000,false),MATCH(D$2,'testmo-export-repository'!$B$1:$X$1,false)),"")</f>
        <v/>
      </c>
      <c r="E400" s="60" t="str">
        <f>IFERROR(VLOOKUP($C400,instructions!$N$3:$O$5,2,false),"")</f>
        <v/>
      </c>
      <c r="F400" s="60" t="str">
        <f>IFERROR(VLOOKUP($D400,instructions!$N$3:$O$5,2,false),"")</f>
        <v/>
      </c>
      <c r="G400" s="60" t="str">
        <f t="array" ref="G400">IFERROR(INDEX('testmo-export-repository'!$B$2:$X$1000,MATCH($B400,'testmo-export-repository'!$A$2:$A$1000,false),MATCH(G$2,'testmo-export-repository'!$B$1:$X$1,false)),"")</f>
        <v/>
      </c>
      <c r="H400" s="60" t="str">
        <f t="array" ref="H400">IFERROR(INDEX('testmo-export-repository'!$B$2:$X$1000,MATCH($B400,'testmo-export-repository'!$A$2:$A$1000,false),MATCH(H$2,'testmo-export-repository'!$B$1:$X$1,false)),"")</f>
        <v/>
      </c>
      <c r="I400" s="60" t="str">
        <f t="array" ref="I400">IFERROR(INDEX('testmo-export-repository'!$B$2:$X$1000,MATCH($B400,'testmo-export-repository'!$A$2:$A$1000,false),MATCH(I$2,'testmo-export-repository'!$B$1:$X$1,false)),"")</f>
        <v/>
      </c>
      <c r="J400" s="60" t="str">
        <f t="array" ref="J400">IFERROR(INDEX('testmo-export-repository'!$B$2:$Y$1000,MATCH($B400,'testmo-export-repository'!$A$2:$A$1000,false),MATCH(J$2,'testmo-export-repository'!$B$1:$Y$1,false)),"")</f>
        <v/>
      </c>
      <c r="K400" s="60" t="str">
        <f t="array" ref="K400">IFERROR(INDEX('testmo-export-repository'!$B$2:$Y$1000,MATCH($B400,'testmo-export-repository'!$A$2:$A$1000,false),MATCH(K$2,'testmo-export-repository'!$B$1:$Y$1,false)),"")</f>
        <v/>
      </c>
    </row>
    <row r="401">
      <c r="B401" s="60" t="str">
        <f>'testmo-export-repository'!A400</f>
        <v/>
      </c>
      <c r="C401" s="60" t="str">
        <f t="array" ref="C401">IFERROR(INDEX('testmo-export-repository'!$B$2:$X$1000,MATCH($B401,'testmo-export-repository'!$A$2:$A$1000,false),MATCH(C$2,'testmo-export-repository'!$B$1:$X$1,false)),"")</f>
        <v/>
      </c>
      <c r="D401" s="60" t="str">
        <f t="array" ref="D401">IFERROR(INDEX('testmo-export-repository'!$B$2:$X$1000,MATCH($B401,'testmo-export-repository'!$A$2:$A$1000,false),MATCH(D$2,'testmo-export-repository'!$B$1:$X$1,false)),"")</f>
        <v/>
      </c>
      <c r="E401" s="60" t="str">
        <f>IFERROR(VLOOKUP($C401,instructions!$N$3:$O$5,2,false),"")</f>
        <v/>
      </c>
      <c r="F401" s="60" t="str">
        <f>IFERROR(VLOOKUP($D401,instructions!$N$3:$O$5,2,false),"")</f>
        <v/>
      </c>
      <c r="G401" s="60" t="str">
        <f t="array" ref="G401">IFERROR(INDEX('testmo-export-repository'!$B$2:$X$1000,MATCH($B401,'testmo-export-repository'!$A$2:$A$1000,false),MATCH(G$2,'testmo-export-repository'!$B$1:$X$1,false)),"")</f>
        <v/>
      </c>
      <c r="H401" s="60" t="str">
        <f t="array" ref="H401">IFERROR(INDEX('testmo-export-repository'!$B$2:$X$1000,MATCH($B401,'testmo-export-repository'!$A$2:$A$1000,false),MATCH(H$2,'testmo-export-repository'!$B$1:$X$1,false)),"")</f>
        <v/>
      </c>
      <c r="I401" s="60" t="str">
        <f t="array" ref="I401">IFERROR(INDEX('testmo-export-repository'!$B$2:$X$1000,MATCH($B401,'testmo-export-repository'!$A$2:$A$1000,false),MATCH(I$2,'testmo-export-repository'!$B$1:$X$1,false)),"")</f>
        <v/>
      </c>
      <c r="J401" s="60" t="str">
        <f t="array" ref="J401">IFERROR(INDEX('testmo-export-repository'!$B$2:$Y$1000,MATCH($B401,'testmo-export-repository'!$A$2:$A$1000,false),MATCH(J$2,'testmo-export-repository'!$B$1:$Y$1,false)),"")</f>
        <v/>
      </c>
      <c r="K401" s="60" t="str">
        <f t="array" ref="K401">IFERROR(INDEX('testmo-export-repository'!$B$2:$Y$1000,MATCH($B401,'testmo-export-repository'!$A$2:$A$1000,false),MATCH(K$2,'testmo-export-repository'!$B$1:$Y$1,false)),"")</f>
        <v/>
      </c>
    </row>
    <row r="402">
      <c r="B402" s="60" t="str">
        <f>'testmo-export-repository'!A401</f>
        <v/>
      </c>
      <c r="C402" s="60" t="str">
        <f t="array" ref="C402">IFERROR(INDEX('testmo-export-repository'!$B$2:$X$1000,MATCH($B402,'testmo-export-repository'!$A$2:$A$1000,false),MATCH(C$2,'testmo-export-repository'!$B$1:$X$1,false)),"")</f>
        <v/>
      </c>
      <c r="D402" s="60" t="str">
        <f t="array" ref="D402">IFERROR(INDEX('testmo-export-repository'!$B$2:$X$1000,MATCH($B402,'testmo-export-repository'!$A$2:$A$1000,false),MATCH(D$2,'testmo-export-repository'!$B$1:$X$1,false)),"")</f>
        <v/>
      </c>
      <c r="E402" s="60" t="str">
        <f>IFERROR(VLOOKUP($C402,instructions!$N$3:$O$5,2,false),"")</f>
        <v/>
      </c>
      <c r="F402" s="60" t="str">
        <f>IFERROR(VLOOKUP($D402,instructions!$N$3:$O$5,2,false),"")</f>
        <v/>
      </c>
      <c r="G402" s="60" t="str">
        <f t="array" ref="G402">IFERROR(INDEX('testmo-export-repository'!$B$2:$X$1000,MATCH($B402,'testmo-export-repository'!$A$2:$A$1000,false),MATCH(G$2,'testmo-export-repository'!$B$1:$X$1,false)),"")</f>
        <v/>
      </c>
      <c r="H402" s="60" t="str">
        <f t="array" ref="H402">IFERROR(INDEX('testmo-export-repository'!$B$2:$X$1000,MATCH($B402,'testmo-export-repository'!$A$2:$A$1000,false),MATCH(H$2,'testmo-export-repository'!$B$1:$X$1,false)),"")</f>
        <v/>
      </c>
      <c r="I402" s="60" t="str">
        <f t="array" ref="I402">IFERROR(INDEX('testmo-export-repository'!$B$2:$X$1000,MATCH($B402,'testmo-export-repository'!$A$2:$A$1000,false),MATCH(I$2,'testmo-export-repository'!$B$1:$X$1,false)),"")</f>
        <v/>
      </c>
      <c r="J402" s="60" t="str">
        <f t="array" ref="J402">IFERROR(INDEX('testmo-export-repository'!$B$2:$Y$1000,MATCH($B402,'testmo-export-repository'!$A$2:$A$1000,false),MATCH(J$2,'testmo-export-repository'!$B$1:$Y$1,false)),"")</f>
        <v/>
      </c>
      <c r="K402" s="60" t="str">
        <f t="array" ref="K402">IFERROR(INDEX('testmo-export-repository'!$B$2:$Y$1000,MATCH($B402,'testmo-export-repository'!$A$2:$A$1000,false),MATCH(K$2,'testmo-export-repository'!$B$1:$Y$1,false)),"")</f>
        <v/>
      </c>
    </row>
    <row r="403">
      <c r="B403" s="60" t="str">
        <f>'testmo-export-repository'!A402</f>
        <v/>
      </c>
      <c r="C403" s="60" t="str">
        <f t="array" ref="C403">IFERROR(INDEX('testmo-export-repository'!$B$2:$X$1000,MATCH($B403,'testmo-export-repository'!$A$2:$A$1000,false),MATCH(C$2,'testmo-export-repository'!$B$1:$X$1,false)),"")</f>
        <v/>
      </c>
      <c r="D403" s="60" t="str">
        <f t="array" ref="D403">IFERROR(INDEX('testmo-export-repository'!$B$2:$X$1000,MATCH($B403,'testmo-export-repository'!$A$2:$A$1000,false),MATCH(D$2,'testmo-export-repository'!$B$1:$X$1,false)),"")</f>
        <v/>
      </c>
      <c r="E403" s="60" t="str">
        <f>IFERROR(VLOOKUP($C403,instructions!$N$3:$O$5,2,false),"")</f>
        <v/>
      </c>
      <c r="F403" s="60" t="str">
        <f>IFERROR(VLOOKUP($D403,instructions!$N$3:$O$5,2,false),"")</f>
        <v/>
      </c>
      <c r="G403" s="60" t="str">
        <f t="array" ref="G403">IFERROR(INDEX('testmo-export-repository'!$B$2:$X$1000,MATCH($B403,'testmo-export-repository'!$A$2:$A$1000,false),MATCH(G$2,'testmo-export-repository'!$B$1:$X$1,false)),"")</f>
        <v/>
      </c>
      <c r="H403" s="60" t="str">
        <f t="array" ref="H403">IFERROR(INDEX('testmo-export-repository'!$B$2:$X$1000,MATCH($B403,'testmo-export-repository'!$A$2:$A$1000,false),MATCH(H$2,'testmo-export-repository'!$B$1:$X$1,false)),"")</f>
        <v/>
      </c>
      <c r="I403" s="60" t="str">
        <f t="array" ref="I403">IFERROR(INDEX('testmo-export-repository'!$B$2:$X$1000,MATCH($B403,'testmo-export-repository'!$A$2:$A$1000,false),MATCH(I$2,'testmo-export-repository'!$B$1:$X$1,false)),"")</f>
        <v/>
      </c>
      <c r="J403" s="60" t="str">
        <f t="array" ref="J403">IFERROR(INDEX('testmo-export-repository'!$B$2:$Y$1000,MATCH($B403,'testmo-export-repository'!$A$2:$A$1000,false),MATCH(J$2,'testmo-export-repository'!$B$1:$Y$1,false)),"")</f>
        <v/>
      </c>
      <c r="K403" s="60" t="str">
        <f t="array" ref="K403">IFERROR(INDEX('testmo-export-repository'!$B$2:$Y$1000,MATCH($B403,'testmo-export-repository'!$A$2:$A$1000,false),MATCH(K$2,'testmo-export-repository'!$B$1:$Y$1,false)),"")</f>
        <v/>
      </c>
    </row>
    <row r="404">
      <c r="B404" s="60" t="str">
        <f>'testmo-export-repository'!A403</f>
        <v/>
      </c>
      <c r="C404" s="60" t="str">
        <f t="array" ref="C404">IFERROR(INDEX('testmo-export-repository'!$B$2:$X$1000,MATCH($B404,'testmo-export-repository'!$A$2:$A$1000,false),MATCH(C$2,'testmo-export-repository'!$B$1:$X$1,false)),"")</f>
        <v/>
      </c>
      <c r="D404" s="60" t="str">
        <f t="array" ref="D404">IFERROR(INDEX('testmo-export-repository'!$B$2:$X$1000,MATCH($B404,'testmo-export-repository'!$A$2:$A$1000,false),MATCH(D$2,'testmo-export-repository'!$B$1:$X$1,false)),"")</f>
        <v/>
      </c>
      <c r="E404" s="60" t="str">
        <f>IFERROR(VLOOKUP($C404,instructions!$N$3:$O$5,2,false),"")</f>
        <v/>
      </c>
      <c r="F404" s="60" t="str">
        <f>IFERROR(VLOOKUP($D404,instructions!$N$3:$O$5,2,false),"")</f>
        <v/>
      </c>
      <c r="G404" s="60" t="str">
        <f t="array" ref="G404">IFERROR(INDEX('testmo-export-repository'!$B$2:$X$1000,MATCH($B404,'testmo-export-repository'!$A$2:$A$1000,false),MATCH(G$2,'testmo-export-repository'!$B$1:$X$1,false)),"")</f>
        <v/>
      </c>
      <c r="H404" s="60" t="str">
        <f t="array" ref="H404">IFERROR(INDEX('testmo-export-repository'!$B$2:$X$1000,MATCH($B404,'testmo-export-repository'!$A$2:$A$1000,false),MATCH(H$2,'testmo-export-repository'!$B$1:$X$1,false)),"")</f>
        <v/>
      </c>
      <c r="I404" s="60" t="str">
        <f t="array" ref="I404">IFERROR(INDEX('testmo-export-repository'!$B$2:$X$1000,MATCH($B404,'testmo-export-repository'!$A$2:$A$1000,false),MATCH(I$2,'testmo-export-repository'!$B$1:$X$1,false)),"")</f>
        <v/>
      </c>
      <c r="J404" s="60" t="str">
        <f t="array" ref="J404">IFERROR(INDEX('testmo-export-repository'!$B$2:$Y$1000,MATCH($B404,'testmo-export-repository'!$A$2:$A$1000,false),MATCH(J$2,'testmo-export-repository'!$B$1:$Y$1,false)),"")</f>
        <v/>
      </c>
      <c r="K404" s="60" t="str">
        <f t="array" ref="K404">IFERROR(INDEX('testmo-export-repository'!$B$2:$Y$1000,MATCH($B404,'testmo-export-repository'!$A$2:$A$1000,false),MATCH(K$2,'testmo-export-repository'!$B$1:$Y$1,false)),"")</f>
        <v/>
      </c>
    </row>
    <row r="405">
      <c r="B405" s="60" t="str">
        <f>'testmo-export-repository'!A404</f>
        <v/>
      </c>
      <c r="C405" s="60" t="str">
        <f t="array" ref="C405">IFERROR(INDEX('testmo-export-repository'!$B$2:$X$1000,MATCH($B405,'testmo-export-repository'!$A$2:$A$1000,false),MATCH(C$2,'testmo-export-repository'!$B$1:$X$1,false)),"")</f>
        <v/>
      </c>
      <c r="D405" s="60" t="str">
        <f t="array" ref="D405">IFERROR(INDEX('testmo-export-repository'!$B$2:$X$1000,MATCH($B405,'testmo-export-repository'!$A$2:$A$1000,false),MATCH(D$2,'testmo-export-repository'!$B$1:$X$1,false)),"")</f>
        <v/>
      </c>
      <c r="E405" s="60" t="str">
        <f>IFERROR(VLOOKUP($C405,instructions!$N$3:$O$5,2,false),"")</f>
        <v/>
      </c>
      <c r="F405" s="60" t="str">
        <f>IFERROR(VLOOKUP($D405,instructions!$N$3:$O$5,2,false),"")</f>
        <v/>
      </c>
      <c r="G405" s="60" t="str">
        <f t="array" ref="G405">IFERROR(INDEX('testmo-export-repository'!$B$2:$X$1000,MATCH($B405,'testmo-export-repository'!$A$2:$A$1000,false),MATCH(G$2,'testmo-export-repository'!$B$1:$X$1,false)),"")</f>
        <v/>
      </c>
      <c r="H405" s="60" t="str">
        <f t="array" ref="H405">IFERROR(INDEX('testmo-export-repository'!$B$2:$X$1000,MATCH($B405,'testmo-export-repository'!$A$2:$A$1000,false),MATCH(H$2,'testmo-export-repository'!$B$1:$X$1,false)),"")</f>
        <v/>
      </c>
      <c r="I405" s="60" t="str">
        <f t="array" ref="I405">IFERROR(INDEX('testmo-export-repository'!$B$2:$X$1000,MATCH($B405,'testmo-export-repository'!$A$2:$A$1000,false),MATCH(I$2,'testmo-export-repository'!$B$1:$X$1,false)),"")</f>
        <v/>
      </c>
      <c r="J405" s="60" t="str">
        <f t="array" ref="J405">IFERROR(INDEX('testmo-export-repository'!$B$2:$Y$1000,MATCH($B405,'testmo-export-repository'!$A$2:$A$1000,false),MATCH(J$2,'testmo-export-repository'!$B$1:$Y$1,false)),"")</f>
        <v/>
      </c>
      <c r="K405" s="60" t="str">
        <f t="array" ref="K405">IFERROR(INDEX('testmo-export-repository'!$B$2:$Y$1000,MATCH($B405,'testmo-export-repository'!$A$2:$A$1000,false),MATCH(K$2,'testmo-export-repository'!$B$1:$Y$1,false)),"")</f>
        <v/>
      </c>
    </row>
    <row r="406">
      <c r="B406" s="60" t="str">
        <f>'testmo-export-repository'!A405</f>
        <v/>
      </c>
      <c r="C406" s="60" t="str">
        <f t="array" ref="C406">IFERROR(INDEX('testmo-export-repository'!$B$2:$X$1000,MATCH($B406,'testmo-export-repository'!$A$2:$A$1000,false),MATCH(C$2,'testmo-export-repository'!$B$1:$X$1,false)),"")</f>
        <v/>
      </c>
      <c r="D406" s="60" t="str">
        <f t="array" ref="D406">IFERROR(INDEX('testmo-export-repository'!$B$2:$X$1000,MATCH($B406,'testmo-export-repository'!$A$2:$A$1000,false),MATCH(D$2,'testmo-export-repository'!$B$1:$X$1,false)),"")</f>
        <v/>
      </c>
      <c r="E406" s="60" t="str">
        <f>IFERROR(VLOOKUP($C406,instructions!$N$3:$O$5,2,false),"")</f>
        <v/>
      </c>
      <c r="F406" s="60" t="str">
        <f>IFERROR(VLOOKUP($D406,instructions!$N$3:$O$5,2,false),"")</f>
        <v/>
      </c>
      <c r="G406" s="60" t="str">
        <f t="array" ref="G406">IFERROR(INDEX('testmo-export-repository'!$B$2:$X$1000,MATCH($B406,'testmo-export-repository'!$A$2:$A$1000,false),MATCH(G$2,'testmo-export-repository'!$B$1:$X$1,false)),"")</f>
        <v/>
      </c>
      <c r="H406" s="60" t="str">
        <f t="array" ref="H406">IFERROR(INDEX('testmo-export-repository'!$B$2:$X$1000,MATCH($B406,'testmo-export-repository'!$A$2:$A$1000,false),MATCH(H$2,'testmo-export-repository'!$B$1:$X$1,false)),"")</f>
        <v/>
      </c>
      <c r="I406" s="60" t="str">
        <f t="array" ref="I406">IFERROR(INDEX('testmo-export-repository'!$B$2:$X$1000,MATCH($B406,'testmo-export-repository'!$A$2:$A$1000,false),MATCH(I$2,'testmo-export-repository'!$B$1:$X$1,false)),"")</f>
        <v/>
      </c>
      <c r="J406" s="60" t="str">
        <f t="array" ref="J406">IFERROR(INDEX('testmo-export-repository'!$B$2:$Y$1000,MATCH($B406,'testmo-export-repository'!$A$2:$A$1000,false),MATCH(J$2,'testmo-export-repository'!$B$1:$Y$1,false)),"")</f>
        <v/>
      </c>
      <c r="K406" s="60" t="str">
        <f t="array" ref="K406">IFERROR(INDEX('testmo-export-repository'!$B$2:$Y$1000,MATCH($B406,'testmo-export-repository'!$A$2:$A$1000,false),MATCH(K$2,'testmo-export-repository'!$B$1:$Y$1,false)),"")</f>
        <v/>
      </c>
    </row>
    <row r="407">
      <c r="B407" s="60" t="str">
        <f>'testmo-export-repository'!A406</f>
        <v/>
      </c>
      <c r="C407" s="60" t="str">
        <f t="array" ref="C407">IFERROR(INDEX('testmo-export-repository'!$B$2:$X$1000,MATCH($B407,'testmo-export-repository'!$A$2:$A$1000,false),MATCH(C$2,'testmo-export-repository'!$B$1:$X$1,false)),"")</f>
        <v/>
      </c>
      <c r="D407" s="60" t="str">
        <f t="array" ref="D407">IFERROR(INDEX('testmo-export-repository'!$B$2:$X$1000,MATCH($B407,'testmo-export-repository'!$A$2:$A$1000,false),MATCH(D$2,'testmo-export-repository'!$B$1:$X$1,false)),"")</f>
        <v/>
      </c>
      <c r="E407" s="60" t="str">
        <f>IFERROR(VLOOKUP($C407,instructions!$N$3:$O$5,2,false),"")</f>
        <v/>
      </c>
      <c r="F407" s="60" t="str">
        <f>IFERROR(VLOOKUP($D407,instructions!$N$3:$O$5,2,false),"")</f>
        <v/>
      </c>
      <c r="G407" s="60" t="str">
        <f t="array" ref="G407">IFERROR(INDEX('testmo-export-repository'!$B$2:$X$1000,MATCH($B407,'testmo-export-repository'!$A$2:$A$1000,false),MATCH(G$2,'testmo-export-repository'!$B$1:$X$1,false)),"")</f>
        <v/>
      </c>
      <c r="H407" s="60" t="str">
        <f t="array" ref="H407">IFERROR(INDEX('testmo-export-repository'!$B$2:$X$1000,MATCH($B407,'testmo-export-repository'!$A$2:$A$1000,false),MATCH(H$2,'testmo-export-repository'!$B$1:$X$1,false)),"")</f>
        <v/>
      </c>
      <c r="I407" s="60" t="str">
        <f t="array" ref="I407">IFERROR(INDEX('testmo-export-repository'!$B$2:$X$1000,MATCH($B407,'testmo-export-repository'!$A$2:$A$1000,false),MATCH(I$2,'testmo-export-repository'!$B$1:$X$1,false)),"")</f>
        <v/>
      </c>
      <c r="J407" s="60" t="str">
        <f t="array" ref="J407">IFERROR(INDEX('testmo-export-repository'!$B$2:$Y$1000,MATCH($B407,'testmo-export-repository'!$A$2:$A$1000,false),MATCH(J$2,'testmo-export-repository'!$B$1:$Y$1,false)),"")</f>
        <v/>
      </c>
      <c r="K407" s="60" t="str">
        <f t="array" ref="K407">IFERROR(INDEX('testmo-export-repository'!$B$2:$Y$1000,MATCH($B407,'testmo-export-repository'!$A$2:$A$1000,false),MATCH(K$2,'testmo-export-repository'!$B$1:$Y$1,false)),"")</f>
        <v/>
      </c>
    </row>
    <row r="408">
      <c r="B408" s="60" t="str">
        <f>'testmo-export-repository'!A407</f>
        <v/>
      </c>
      <c r="C408" s="60" t="str">
        <f t="array" ref="C408">IFERROR(INDEX('testmo-export-repository'!$B$2:$X$1000,MATCH($B408,'testmo-export-repository'!$A$2:$A$1000,false),MATCH(C$2,'testmo-export-repository'!$B$1:$X$1,false)),"")</f>
        <v/>
      </c>
      <c r="D408" s="60" t="str">
        <f t="array" ref="D408">IFERROR(INDEX('testmo-export-repository'!$B$2:$X$1000,MATCH($B408,'testmo-export-repository'!$A$2:$A$1000,false),MATCH(D$2,'testmo-export-repository'!$B$1:$X$1,false)),"")</f>
        <v/>
      </c>
      <c r="E408" s="60" t="str">
        <f>IFERROR(VLOOKUP($C408,instructions!$N$3:$O$5,2,false),"")</f>
        <v/>
      </c>
      <c r="F408" s="60" t="str">
        <f>IFERROR(VLOOKUP($D408,instructions!$N$3:$O$5,2,false),"")</f>
        <v/>
      </c>
      <c r="G408" s="60" t="str">
        <f t="array" ref="G408">IFERROR(INDEX('testmo-export-repository'!$B$2:$X$1000,MATCH($B408,'testmo-export-repository'!$A$2:$A$1000,false),MATCH(G$2,'testmo-export-repository'!$B$1:$X$1,false)),"")</f>
        <v/>
      </c>
      <c r="H408" s="60" t="str">
        <f t="array" ref="H408">IFERROR(INDEX('testmo-export-repository'!$B$2:$X$1000,MATCH($B408,'testmo-export-repository'!$A$2:$A$1000,false),MATCH(H$2,'testmo-export-repository'!$B$1:$X$1,false)),"")</f>
        <v/>
      </c>
      <c r="I408" s="60" t="str">
        <f t="array" ref="I408">IFERROR(INDEX('testmo-export-repository'!$B$2:$X$1000,MATCH($B408,'testmo-export-repository'!$A$2:$A$1000,false),MATCH(I$2,'testmo-export-repository'!$B$1:$X$1,false)),"")</f>
        <v/>
      </c>
      <c r="J408" s="60" t="str">
        <f t="array" ref="J408">IFERROR(INDEX('testmo-export-repository'!$B$2:$Y$1000,MATCH($B408,'testmo-export-repository'!$A$2:$A$1000,false),MATCH(J$2,'testmo-export-repository'!$B$1:$Y$1,false)),"")</f>
        <v/>
      </c>
      <c r="K408" s="60" t="str">
        <f t="array" ref="K408">IFERROR(INDEX('testmo-export-repository'!$B$2:$Y$1000,MATCH($B408,'testmo-export-repository'!$A$2:$A$1000,false),MATCH(K$2,'testmo-export-repository'!$B$1:$Y$1,false)),"")</f>
        <v/>
      </c>
    </row>
    <row r="409">
      <c r="B409" s="60" t="str">
        <f>'testmo-export-repository'!A408</f>
        <v/>
      </c>
      <c r="C409" s="60" t="str">
        <f t="array" ref="C409">IFERROR(INDEX('testmo-export-repository'!$B$2:$X$1000,MATCH($B409,'testmo-export-repository'!$A$2:$A$1000,false),MATCH(C$2,'testmo-export-repository'!$B$1:$X$1,false)),"")</f>
        <v/>
      </c>
      <c r="D409" s="60" t="str">
        <f t="array" ref="D409">IFERROR(INDEX('testmo-export-repository'!$B$2:$X$1000,MATCH($B409,'testmo-export-repository'!$A$2:$A$1000,false),MATCH(D$2,'testmo-export-repository'!$B$1:$X$1,false)),"")</f>
        <v/>
      </c>
      <c r="E409" s="60" t="str">
        <f>IFERROR(VLOOKUP($C409,instructions!$N$3:$O$5,2,false),"")</f>
        <v/>
      </c>
      <c r="F409" s="60" t="str">
        <f>IFERROR(VLOOKUP($D409,instructions!$N$3:$O$5,2,false),"")</f>
        <v/>
      </c>
      <c r="G409" s="60" t="str">
        <f t="array" ref="G409">IFERROR(INDEX('testmo-export-repository'!$B$2:$X$1000,MATCH($B409,'testmo-export-repository'!$A$2:$A$1000,false),MATCH(G$2,'testmo-export-repository'!$B$1:$X$1,false)),"")</f>
        <v/>
      </c>
      <c r="H409" s="60" t="str">
        <f t="array" ref="H409">IFERROR(INDEX('testmo-export-repository'!$B$2:$X$1000,MATCH($B409,'testmo-export-repository'!$A$2:$A$1000,false),MATCH(H$2,'testmo-export-repository'!$B$1:$X$1,false)),"")</f>
        <v/>
      </c>
      <c r="I409" s="60" t="str">
        <f t="array" ref="I409">IFERROR(INDEX('testmo-export-repository'!$B$2:$X$1000,MATCH($B409,'testmo-export-repository'!$A$2:$A$1000,false),MATCH(I$2,'testmo-export-repository'!$B$1:$X$1,false)),"")</f>
        <v/>
      </c>
      <c r="J409" s="60" t="str">
        <f t="array" ref="J409">IFERROR(INDEX('testmo-export-repository'!$B$2:$Y$1000,MATCH($B409,'testmo-export-repository'!$A$2:$A$1000,false),MATCH(J$2,'testmo-export-repository'!$B$1:$Y$1,false)),"")</f>
        <v/>
      </c>
      <c r="K409" s="60" t="str">
        <f t="array" ref="K409">IFERROR(INDEX('testmo-export-repository'!$B$2:$Y$1000,MATCH($B409,'testmo-export-repository'!$A$2:$A$1000,false),MATCH(K$2,'testmo-export-repository'!$B$1:$Y$1,false)),"")</f>
        <v/>
      </c>
    </row>
    <row r="410">
      <c r="B410" s="60" t="str">
        <f>'testmo-export-repository'!A409</f>
        <v/>
      </c>
      <c r="C410" s="60" t="str">
        <f t="array" ref="C410">IFERROR(INDEX('testmo-export-repository'!$B$2:$X$1000,MATCH($B410,'testmo-export-repository'!$A$2:$A$1000,false),MATCH(C$2,'testmo-export-repository'!$B$1:$X$1,false)),"")</f>
        <v/>
      </c>
      <c r="D410" s="60" t="str">
        <f t="array" ref="D410">IFERROR(INDEX('testmo-export-repository'!$B$2:$X$1000,MATCH($B410,'testmo-export-repository'!$A$2:$A$1000,false),MATCH(D$2,'testmo-export-repository'!$B$1:$X$1,false)),"")</f>
        <v/>
      </c>
      <c r="E410" s="60" t="str">
        <f>IFERROR(VLOOKUP($C410,instructions!$N$3:$O$5,2,false),"")</f>
        <v/>
      </c>
      <c r="F410" s="60" t="str">
        <f>IFERROR(VLOOKUP($D410,instructions!$N$3:$O$5,2,false),"")</f>
        <v/>
      </c>
      <c r="G410" s="60" t="str">
        <f t="array" ref="G410">IFERROR(INDEX('testmo-export-repository'!$B$2:$X$1000,MATCH($B410,'testmo-export-repository'!$A$2:$A$1000,false),MATCH(G$2,'testmo-export-repository'!$B$1:$X$1,false)),"")</f>
        <v/>
      </c>
      <c r="H410" s="60" t="str">
        <f t="array" ref="H410">IFERROR(INDEX('testmo-export-repository'!$B$2:$X$1000,MATCH($B410,'testmo-export-repository'!$A$2:$A$1000,false),MATCH(H$2,'testmo-export-repository'!$B$1:$X$1,false)),"")</f>
        <v/>
      </c>
      <c r="I410" s="60" t="str">
        <f t="array" ref="I410">IFERROR(INDEX('testmo-export-repository'!$B$2:$X$1000,MATCH($B410,'testmo-export-repository'!$A$2:$A$1000,false),MATCH(I$2,'testmo-export-repository'!$B$1:$X$1,false)),"")</f>
        <v/>
      </c>
      <c r="J410" s="60" t="str">
        <f t="array" ref="J410">IFERROR(INDEX('testmo-export-repository'!$B$2:$Y$1000,MATCH($B410,'testmo-export-repository'!$A$2:$A$1000,false),MATCH(J$2,'testmo-export-repository'!$B$1:$Y$1,false)),"")</f>
        <v/>
      </c>
      <c r="K410" s="60" t="str">
        <f t="array" ref="K410">IFERROR(INDEX('testmo-export-repository'!$B$2:$Y$1000,MATCH($B410,'testmo-export-repository'!$A$2:$A$1000,false),MATCH(K$2,'testmo-export-repository'!$B$1:$Y$1,false)),"")</f>
        <v/>
      </c>
    </row>
    <row r="411">
      <c r="B411" s="60" t="str">
        <f>'testmo-export-repository'!A410</f>
        <v/>
      </c>
      <c r="C411" s="60" t="str">
        <f t="array" ref="C411">IFERROR(INDEX('testmo-export-repository'!$B$2:$X$1000,MATCH($B411,'testmo-export-repository'!$A$2:$A$1000,false),MATCH(C$2,'testmo-export-repository'!$B$1:$X$1,false)),"")</f>
        <v/>
      </c>
      <c r="D411" s="60" t="str">
        <f t="array" ref="D411">IFERROR(INDEX('testmo-export-repository'!$B$2:$X$1000,MATCH($B411,'testmo-export-repository'!$A$2:$A$1000,false),MATCH(D$2,'testmo-export-repository'!$B$1:$X$1,false)),"")</f>
        <v/>
      </c>
      <c r="E411" s="60" t="str">
        <f>IFERROR(VLOOKUP($C411,instructions!$N$3:$O$5,2,false),"")</f>
        <v/>
      </c>
      <c r="F411" s="60" t="str">
        <f>IFERROR(VLOOKUP($D411,instructions!$N$3:$O$5,2,false),"")</f>
        <v/>
      </c>
      <c r="G411" s="60" t="str">
        <f t="array" ref="G411">IFERROR(INDEX('testmo-export-repository'!$B$2:$X$1000,MATCH($B411,'testmo-export-repository'!$A$2:$A$1000,false),MATCH(G$2,'testmo-export-repository'!$B$1:$X$1,false)),"")</f>
        <v/>
      </c>
      <c r="H411" s="60" t="str">
        <f t="array" ref="H411">IFERROR(INDEX('testmo-export-repository'!$B$2:$X$1000,MATCH($B411,'testmo-export-repository'!$A$2:$A$1000,false),MATCH(H$2,'testmo-export-repository'!$B$1:$X$1,false)),"")</f>
        <v/>
      </c>
      <c r="I411" s="60" t="str">
        <f t="array" ref="I411">IFERROR(INDEX('testmo-export-repository'!$B$2:$X$1000,MATCH($B411,'testmo-export-repository'!$A$2:$A$1000,false),MATCH(I$2,'testmo-export-repository'!$B$1:$X$1,false)),"")</f>
        <v/>
      </c>
      <c r="J411" s="60" t="str">
        <f t="array" ref="J411">IFERROR(INDEX('testmo-export-repository'!$B$2:$Y$1000,MATCH($B411,'testmo-export-repository'!$A$2:$A$1000,false),MATCH(J$2,'testmo-export-repository'!$B$1:$Y$1,false)),"")</f>
        <v/>
      </c>
      <c r="K411" s="60" t="str">
        <f t="array" ref="K411">IFERROR(INDEX('testmo-export-repository'!$B$2:$Y$1000,MATCH($B411,'testmo-export-repository'!$A$2:$A$1000,false),MATCH(K$2,'testmo-export-repository'!$B$1:$Y$1,false)),"")</f>
        <v/>
      </c>
    </row>
    <row r="412">
      <c r="B412" s="60" t="str">
        <f>'testmo-export-repository'!A411</f>
        <v/>
      </c>
      <c r="C412" s="60" t="str">
        <f t="array" ref="C412">IFERROR(INDEX('testmo-export-repository'!$B$2:$X$1000,MATCH($B412,'testmo-export-repository'!$A$2:$A$1000,false),MATCH(C$2,'testmo-export-repository'!$B$1:$X$1,false)),"")</f>
        <v/>
      </c>
      <c r="D412" s="60" t="str">
        <f t="array" ref="D412">IFERROR(INDEX('testmo-export-repository'!$B$2:$X$1000,MATCH($B412,'testmo-export-repository'!$A$2:$A$1000,false),MATCH(D$2,'testmo-export-repository'!$B$1:$X$1,false)),"")</f>
        <v/>
      </c>
      <c r="E412" s="60" t="str">
        <f>IFERROR(VLOOKUP($C412,instructions!$N$3:$O$5,2,false),"")</f>
        <v/>
      </c>
      <c r="F412" s="60" t="str">
        <f>IFERROR(VLOOKUP($D412,instructions!$N$3:$O$5,2,false),"")</f>
        <v/>
      </c>
      <c r="G412" s="60" t="str">
        <f t="array" ref="G412">IFERROR(INDEX('testmo-export-repository'!$B$2:$X$1000,MATCH($B412,'testmo-export-repository'!$A$2:$A$1000,false),MATCH(G$2,'testmo-export-repository'!$B$1:$X$1,false)),"")</f>
        <v/>
      </c>
      <c r="H412" s="60" t="str">
        <f t="array" ref="H412">IFERROR(INDEX('testmo-export-repository'!$B$2:$X$1000,MATCH($B412,'testmo-export-repository'!$A$2:$A$1000,false),MATCH(H$2,'testmo-export-repository'!$B$1:$X$1,false)),"")</f>
        <v/>
      </c>
      <c r="I412" s="60" t="str">
        <f t="array" ref="I412">IFERROR(INDEX('testmo-export-repository'!$B$2:$X$1000,MATCH($B412,'testmo-export-repository'!$A$2:$A$1000,false),MATCH(I$2,'testmo-export-repository'!$B$1:$X$1,false)),"")</f>
        <v/>
      </c>
      <c r="J412" s="60" t="str">
        <f t="array" ref="J412">IFERROR(INDEX('testmo-export-repository'!$B$2:$Y$1000,MATCH($B412,'testmo-export-repository'!$A$2:$A$1000,false),MATCH(J$2,'testmo-export-repository'!$B$1:$Y$1,false)),"")</f>
        <v/>
      </c>
      <c r="K412" s="60" t="str">
        <f t="array" ref="K412">IFERROR(INDEX('testmo-export-repository'!$B$2:$Y$1000,MATCH($B412,'testmo-export-repository'!$A$2:$A$1000,false),MATCH(K$2,'testmo-export-repository'!$B$1:$Y$1,false)),"")</f>
        <v/>
      </c>
    </row>
    <row r="413">
      <c r="B413" s="60" t="str">
        <f>'testmo-export-repository'!A412</f>
        <v/>
      </c>
      <c r="C413" s="60" t="str">
        <f t="array" ref="C413">IFERROR(INDEX('testmo-export-repository'!$B$2:$X$1000,MATCH($B413,'testmo-export-repository'!$A$2:$A$1000,false),MATCH(C$2,'testmo-export-repository'!$B$1:$X$1,false)),"")</f>
        <v/>
      </c>
      <c r="D413" s="60" t="str">
        <f t="array" ref="D413">IFERROR(INDEX('testmo-export-repository'!$B$2:$X$1000,MATCH($B413,'testmo-export-repository'!$A$2:$A$1000,false),MATCH(D$2,'testmo-export-repository'!$B$1:$X$1,false)),"")</f>
        <v/>
      </c>
      <c r="E413" s="60" t="str">
        <f>IFERROR(VLOOKUP($C413,instructions!$N$3:$O$5,2,false),"")</f>
        <v/>
      </c>
      <c r="F413" s="60" t="str">
        <f>IFERROR(VLOOKUP($D413,instructions!$N$3:$O$5,2,false),"")</f>
        <v/>
      </c>
      <c r="G413" s="60" t="str">
        <f t="array" ref="G413">IFERROR(INDEX('testmo-export-repository'!$B$2:$X$1000,MATCH($B413,'testmo-export-repository'!$A$2:$A$1000,false),MATCH(G$2,'testmo-export-repository'!$B$1:$X$1,false)),"")</f>
        <v/>
      </c>
      <c r="H413" s="60" t="str">
        <f t="array" ref="H413">IFERROR(INDEX('testmo-export-repository'!$B$2:$X$1000,MATCH($B413,'testmo-export-repository'!$A$2:$A$1000,false),MATCH(H$2,'testmo-export-repository'!$B$1:$X$1,false)),"")</f>
        <v/>
      </c>
      <c r="I413" s="60" t="str">
        <f t="array" ref="I413">IFERROR(INDEX('testmo-export-repository'!$B$2:$X$1000,MATCH($B413,'testmo-export-repository'!$A$2:$A$1000,false),MATCH(I$2,'testmo-export-repository'!$B$1:$X$1,false)),"")</f>
        <v/>
      </c>
      <c r="J413" s="60" t="str">
        <f t="array" ref="J413">IFERROR(INDEX('testmo-export-repository'!$B$2:$Y$1000,MATCH($B413,'testmo-export-repository'!$A$2:$A$1000,false),MATCH(J$2,'testmo-export-repository'!$B$1:$Y$1,false)),"")</f>
        <v/>
      </c>
      <c r="K413" s="60" t="str">
        <f t="array" ref="K413">IFERROR(INDEX('testmo-export-repository'!$B$2:$Y$1000,MATCH($B413,'testmo-export-repository'!$A$2:$A$1000,false),MATCH(K$2,'testmo-export-repository'!$B$1:$Y$1,false)),"")</f>
        <v/>
      </c>
    </row>
    <row r="414">
      <c r="B414" s="60" t="str">
        <f>'testmo-export-repository'!A413</f>
        <v/>
      </c>
      <c r="C414" s="60" t="str">
        <f t="array" ref="C414">IFERROR(INDEX('testmo-export-repository'!$B$2:$X$1000,MATCH($B414,'testmo-export-repository'!$A$2:$A$1000,false),MATCH(C$2,'testmo-export-repository'!$B$1:$X$1,false)),"")</f>
        <v/>
      </c>
      <c r="D414" s="60" t="str">
        <f t="array" ref="D414">IFERROR(INDEX('testmo-export-repository'!$B$2:$X$1000,MATCH($B414,'testmo-export-repository'!$A$2:$A$1000,false),MATCH(D$2,'testmo-export-repository'!$B$1:$X$1,false)),"")</f>
        <v/>
      </c>
      <c r="E414" s="60" t="str">
        <f>IFERROR(VLOOKUP($C414,instructions!$N$3:$O$5,2,false),"")</f>
        <v/>
      </c>
      <c r="F414" s="60" t="str">
        <f>IFERROR(VLOOKUP($D414,instructions!$N$3:$O$5,2,false),"")</f>
        <v/>
      </c>
      <c r="G414" s="60" t="str">
        <f t="array" ref="G414">IFERROR(INDEX('testmo-export-repository'!$B$2:$X$1000,MATCH($B414,'testmo-export-repository'!$A$2:$A$1000,false),MATCH(G$2,'testmo-export-repository'!$B$1:$X$1,false)),"")</f>
        <v/>
      </c>
      <c r="H414" s="60" t="str">
        <f t="array" ref="H414">IFERROR(INDEX('testmo-export-repository'!$B$2:$X$1000,MATCH($B414,'testmo-export-repository'!$A$2:$A$1000,false),MATCH(H$2,'testmo-export-repository'!$B$1:$X$1,false)),"")</f>
        <v/>
      </c>
      <c r="I414" s="60" t="str">
        <f t="array" ref="I414">IFERROR(INDEX('testmo-export-repository'!$B$2:$X$1000,MATCH($B414,'testmo-export-repository'!$A$2:$A$1000,false),MATCH(I$2,'testmo-export-repository'!$B$1:$X$1,false)),"")</f>
        <v/>
      </c>
      <c r="J414" s="60" t="str">
        <f t="array" ref="J414">IFERROR(INDEX('testmo-export-repository'!$B$2:$Y$1000,MATCH($B414,'testmo-export-repository'!$A$2:$A$1000,false),MATCH(J$2,'testmo-export-repository'!$B$1:$Y$1,false)),"")</f>
        <v/>
      </c>
      <c r="K414" s="60" t="str">
        <f t="array" ref="K414">IFERROR(INDEX('testmo-export-repository'!$B$2:$Y$1000,MATCH($B414,'testmo-export-repository'!$A$2:$A$1000,false),MATCH(K$2,'testmo-export-repository'!$B$1:$Y$1,false)),"")</f>
        <v/>
      </c>
    </row>
    <row r="415">
      <c r="B415" s="60" t="str">
        <f>'testmo-export-repository'!A414</f>
        <v/>
      </c>
      <c r="C415" s="60" t="str">
        <f t="array" ref="C415">IFERROR(INDEX('testmo-export-repository'!$B$2:$X$1000,MATCH($B415,'testmo-export-repository'!$A$2:$A$1000,false),MATCH(C$2,'testmo-export-repository'!$B$1:$X$1,false)),"")</f>
        <v/>
      </c>
      <c r="D415" s="60" t="str">
        <f t="array" ref="D415">IFERROR(INDEX('testmo-export-repository'!$B$2:$X$1000,MATCH($B415,'testmo-export-repository'!$A$2:$A$1000,false),MATCH(D$2,'testmo-export-repository'!$B$1:$X$1,false)),"")</f>
        <v/>
      </c>
      <c r="E415" s="60" t="str">
        <f>IFERROR(VLOOKUP($C415,instructions!$N$3:$O$5,2,false),"")</f>
        <v/>
      </c>
      <c r="F415" s="60" t="str">
        <f>IFERROR(VLOOKUP($D415,instructions!$N$3:$O$5,2,false),"")</f>
        <v/>
      </c>
      <c r="G415" s="60" t="str">
        <f t="array" ref="G415">IFERROR(INDEX('testmo-export-repository'!$B$2:$X$1000,MATCH($B415,'testmo-export-repository'!$A$2:$A$1000,false),MATCH(G$2,'testmo-export-repository'!$B$1:$X$1,false)),"")</f>
        <v/>
      </c>
      <c r="H415" s="60" t="str">
        <f t="array" ref="H415">IFERROR(INDEX('testmo-export-repository'!$B$2:$X$1000,MATCH($B415,'testmo-export-repository'!$A$2:$A$1000,false),MATCH(H$2,'testmo-export-repository'!$B$1:$X$1,false)),"")</f>
        <v/>
      </c>
      <c r="I415" s="60" t="str">
        <f t="array" ref="I415">IFERROR(INDEX('testmo-export-repository'!$B$2:$X$1000,MATCH($B415,'testmo-export-repository'!$A$2:$A$1000,false),MATCH(I$2,'testmo-export-repository'!$B$1:$X$1,false)),"")</f>
        <v/>
      </c>
      <c r="J415" s="60" t="str">
        <f t="array" ref="J415">IFERROR(INDEX('testmo-export-repository'!$B$2:$Y$1000,MATCH($B415,'testmo-export-repository'!$A$2:$A$1000,false),MATCH(J$2,'testmo-export-repository'!$B$1:$Y$1,false)),"")</f>
        <v/>
      </c>
      <c r="K415" s="60" t="str">
        <f t="array" ref="K415">IFERROR(INDEX('testmo-export-repository'!$B$2:$Y$1000,MATCH($B415,'testmo-export-repository'!$A$2:$A$1000,false),MATCH(K$2,'testmo-export-repository'!$B$1:$Y$1,false)),"")</f>
        <v/>
      </c>
    </row>
    <row r="416">
      <c r="B416" s="60" t="str">
        <f>'testmo-export-repository'!A415</f>
        <v/>
      </c>
      <c r="C416" s="60" t="str">
        <f t="array" ref="C416">IFERROR(INDEX('testmo-export-repository'!$B$2:$X$1000,MATCH($B416,'testmo-export-repository'!$A$2:$A$1000,false),MATCH(C$2,'testmo-export-repository'!$B$1:$X$1,false)),"")</f>
        <v/>
      </c>
      <c r="D416" s="60" t="str">
        <f t="array" ref="D416">IFERROR(INDEX('testmo-export-repository'!$B$2:$X$1000,MATCH($B416,'testmo-export-repository'!$A$2:$A$1000,false),MATCH(D$2,'testmo-export-repository'!$B$1:$X$1,false)),"")</f>
        <v/>
      </c>
      <c r="E416" s="60" t="str">
        <f>IFERROR(VLOOKUP($C416,instructions!$N$3:$O$5,2,false),"")</f>
        <v/>
      </c>
      <c r="F416" s="60" t="str">
        <f>IFERROR(VLOOKUP($D416,instructions!$N$3:$O$5,2,false),"")</f>
        <v/>
      </c>
      <c r="G416" s="60" t="str">
        <f t="array" ref="G416">IFERROR(INDEX('testmo-export-repository'!$B$2:$X$1000,MATCH($B416,'testmo-export-repository'!$A$2:$A$1000,false),MATCH(G$2,'testmo-export-repository'!$B$1:$X$1,false)),"")</f>
        <v/>
      </c>
      <c r="H416" s="60" t="str">
        <f t="array" ref="H416">IFERROR(INDEX('testmo-export-repository'!$B$2:$X$1000,MATCH($B416,'testmo-export-repository'!$A$2:$A$1000,false),MATCH(H$2,'testmo-export-repository'!$B$1:$X$1,false)),"")</f>
        <v/>
      </c>
      <c r="I416" s="60" t="str">
        <f t="array" ref="I416">IFERROR(INDEX('testmo-export-repository'!$B$2:$X$1000,MATCH($B416,'testmo-export-repository'!$A$2:$A$1000,false),MATCH(I$2,'testmo-export-repository'!$B$1:$X$1,false)),"")</f>
        <v/>
      </c>
      <c r="J416" s="60" t="str">
        <f t="array" ref="J416">IFERROR(INDEX('testmo-export-repository'!$B$2:$Y$1000,MATCH($B416,'testmo-export-repository'!$A$2:$A$1000,false),MATCH(J$2,'testmo-export-repository'!$B$1:$Y$1,false)),"")</f>
        <v/>
      </c>
      <c r="K416" s="60" t="str">
        <f t="array" ref="K416">IFERROR(INDEX('testmo-export-repository'!$B$2:$Y$1000,MATCH($B416,'testmo-export-repository'!$A$2:$A$1000,false),MATCH(K$2,'testmo-export-repository'!$B$1:$Y$1,false)),"")</f>
        <v/>
      </c>
    </row>
    <row r="417">
      <c r="B417" s="60" t="str">
        <f>'testmo-export-repository'!A416</f>
        <v/>
      </c>
      <c r="C417" s="60" t="str">
        <f t="array" ref="C417">IFERROR(INDEX('testmo-export-repository'!$B$2:$X$1000,MATCH($B417,'testmo-export-repository'!$A$2:$A$1000,false),MATCH(C$2,'testmo-export-repository'!$B$1:$X$1,false)),"")</f>
        <v/>
      </c>
      <c r="D417" s="60" t="str">
        <f t="array" ref="D417">IFERROR(INDEX('testmo-export-repository'!$B$2:$X$1000,MATCH($B417,'testmo-export-repository'!$A$2:$A$1000,false),MATCH(D$2,'testmo-export-repository'!$B$1:$X$1,false)),"")</f>
        <v/>
      </c>
      <c r="E417" s="60" t="str">
        <f>IFERROR(VLOOKUP($C417,instructions!$N$3:$O$5,2,false),"")</f>
        <v/>
      </c>
      <c r="F417" s="60" t="str">
        <f>IFERROR(VLOOKUP($D417,instructions!$N$3:$O$5,2,false),"")</f>
        <v/>
      </c>
      <c r="G417" s="60" t="str">
        <f t="array" ref="G417">IFERROR(INDEX('testmo-export-repository'!$B$2:$X$1000,MATCH($B417,'testmo-export-repository'!$A$2:$A$1000,false),MATCH(G$2,'testmo-export-repository'!$B$1:$X$1,false)),"")</f>
        <v/>
      </c>
      <c r="H417" s="60" t="str">
        <f t="array" ref="H417">IFERROR(INDEX('testmo-export-repository'!$B$2:$X$1000,MATCH($B417,'testmo-export-repository'!$A$2:$A$1000,false),MATCH(H$2,'testmo-export-repository'!$B$1:$X$1,false)),"")</f>
        <v/>
      </c>
      <c r="I417" s="60" t="str">
        <f t="array" ref="I417">IFERROR(INDEX('testmo-export-repository'!$B$2:$X$1000,MATCH($B417,'testmo-export-repository'!$A$2:$A$1000,false),MATCH(I$2,'testmo-export-repository'!$B$1:$X$1,false)),"")</f>
        <v/>
      </c>
      <c r="J417" s="60" t="str">
        <f t="array" ref="J417">IFERROR(INDEX('testmo-export-repository'!$B$2:$Y$1000,MATCH($B417,'testmo-export-repository'!$A$2:$A$1000,false),MATCH(J$2,'testmo-export-repository'!$B$1:$Y$1,false)),"")</f>
        <v/>
      </c>
      <c r="K417" s="60" t="str">
        <f t="array" ref="K417">IFERROR(INDEX('testmo-export-repository'!$B$2:$Y$1000,MATCH($B417,'testmo-export-repository'!$A$2:$A$1000,false),MATCH(K$2,'testmo-export-repository'!$B$1:$Y$1,false)),"")</f>
        <v/>
      </c>
    </row>
    <row r="418">
      <c r="B418" s="60" t="str">
        <f>'testmo-export-repository'!A417</f>
        <v/>
      </c>
      <c r="C418" s="60" t="str">
        <f t="array" ref="C418">IFERROR(INDEX('testmo-export-repository'!$B$2:$X$1000,MATCH($B418,'testmo-export-repository'!$A$2:$A$1000,false),MATCH(C$2,'testmo-export-repository'!$B$1:$X$1,false)),"")</f>
        <v/>
      </c>
      <c r="D418" s="60" t="str">
        <f t="array" ref="D418">IFERROR(INDEX('testmo-export-repository'!$B$2:$X$1000,MATCH($B418,'testmo-export-repository'!$A$2:$A$1000,false),MATCH(D$2,'testmo-export-repository'!$B$1:$X$1,false)),"")</f>
        <v/>
      </c>
      <c r="E418" s="60" t="str">
        <f>IFERROR(VLOOKUP($C418,instructions!$N$3:$O$5,2,false),"")</f>
        <v/>
      </c>
      <c r="F418" s="60" t="str">
        <f>IFERROR(VLOOKUP($D418,instructions!$N$3:$O$5,2,false),"")</f>
        <v/>
      </c>
      <c r="G418" s="60" t="str">
        <f t="array" ref="G418">IFERROR(INDEX('testmo-export-repository'!$B$2:$X$1000,MATCH($B418,'testmo-export-repository'!$A$2:$A$1000,false),MATCH(G$2,'testmo-export-repository'!$B$1:$X$1,false)),"")</f>
        <v/>
      </c>
      <c r="H418" s="60" t="str">
        <f t="array" ref="H418">IFERROR(INDEX('testmo-export-repository'!$B$2:$X$1000,MATCH($B418,'testmo-export-repository'!$A$2:$A$1000,false),MATCH(H$2,'testmo-export-repository'!$B$1:$X$1,false)),"")</f>
        <v/>
      </c>
      <c r="I418" s="60" t="str">
        <f t="array" ref="I418">IFERROR(INDEX('testmo-export-repository'!$B$2:$X$1000,MATCH($B418,'testmo-export-repository'!$A$2:$A$1000,false),MATCH(I$2,'testmo-export-repository'!$B$1:$X$1,false)),"")</f>
        <v/>
      </c>
      <c r="J418" s="60" t="str">
        <f t="array" ref="J418">IFERROR(INDEX('testmo-export-repository'!$B$2:$Y$1000,MATCH($B418,'testmo-export-repository'!$A$2:$A$1000,false),MATCH(J$2,'testmo-export-repository'!$B$1:$Y$1,false)),"")</f>
        <v/>
      </c>
      <c r="K418" s="60" t="str">
        <f t="array" ref="K418">IFERROR(INDEX('testmo-export-repository'!$B$2:$Y$1000,MATCH($B418,'testmo-export-repository'!$A$2:$A$1000,false),MATCH(K$2,'testmo-export-repository'!$B$1:$Y$1,false)),"")</f>
        <v/>
      </c>
    </row>
    <row r="419">
      <c r="B419" s="60" t="str">
        <f>'testmo-export-repository'!A418</f>
        <v/>
      </c>
      <c r="C419" s="60" t="str">
        <f t="array" ref="C419">IFERROR(INDEX('testmo-export-repository'!$B$2:$X$1000,MATCH($B419,'testmo-export-repository'!$A$2:$A$1000,false),MATCH(C$2,'testmo-export-repository'!$B$1:$X$1,false)),"")</f>
        <v/>
      </c>
      <c r="D419" s="60" t="str">
        <f t="array" ref="D419">IFERROR(INDEX('testmo-export-repository'!$B$2:$X$1000,MATCH($B419,'testmo-export-repository'!$A$2:$A$1000,false),MATCH(D$2,'testmo-export-repository'!$B$1:$X$1,false)),"")</f>
        <v/>
      </c>
      <c r="E419" s="60" t="str">
        <f>IFERROR(VLOOKUP($C419,instructions!$N$3:$O$5,2,false),"")</f>
        <v/>
      </c>
      <c r="F419" s="60" t="str">
        <f>IFERROR(VLOOKUP($D419,instructions!$N$3:$O$5,2,false),"")</f>
        <v/>
      </c>
      <c r="G419" s="60" t="str">
        <f t="array" ref="G419">IFERROR(INDEX('testmo-export-repository'!$B$2:$X$1000,MATCH($B419,'testmo-export-repository'!$A$2:$A$1000,false),MATCH(G$2,'testmo-export-repository'!$B$1:$X$1,false)),"")</f>
        <v/>
      </c>
      <c r="H419" s="60" t="str">
        <f t="array" ref="H419">IFERROR(INDEX('testmo-export-repository'!$B$2:$X$1000,MATCH($B419,'testmo-export-repository'!$A$2:$A$1000,false),MATCH(H$2,'testmo-export-repository'!$B$1:$X$1,false)),"")</f>
        <v/>
      </c>
      <c r="I419" s="60" t="str">
        <f t="array" ref="I419">IFERROR(INDEX('testmo-export-repository'!$B$2:$X$1000,MATCH($B419,'testmo-export-repository'!$A$2:$A$1000,false),MATCH(I$2,'testmo-export-repository'!$B$1:$X$1,false)),"")</f>
        <v/>
      </c>
      <c r="J419" s="60" t="str">
        <f t="array" ref="J419">IFERROR(INDEX('testmo-export-repository'!$B$2:$Y$1000,MATCH($B419,'testmo-export-repository'!$A$2:$A$1000,false),MATCH(J$2,'testmo-export-repository'!$B$1:$Y$1,false)),"")</f>
        <v/>
      </c>
      <c r="K419" s="60" t="str">
        <f t="array" ref="K419">IFERROR(INDEX('testmo-export-repository'!$B$2:$Y$1000,MATCH($B419,'testmo-export-repository'!$A$2:$A$1000,false),MATCH(K$2,'testmo-export-repository'!$B$1:$Y$1,false)),"")</f>
        <v/>
      </c>
    </row>
    <row r="420">
      <c r="B420" s="60" t="str">
        <f>'testmo-export-repository'!A419</f>
        <v/>
      </c>
      <c r="C420" s="60" t="str">
        <f t="array" ref="C420">IFERROR(INDEX('testmo-export-repository'!$B$2:$X$1000,MATCH($B420,'testmo-export-repository'!$A$2:$A$1000,false),MATCH(C$2,'testmo-export-repository'!$B$1:$X$1,false)),"")</f>
        <v/>
      </c>
      <c r="D420" s="60" t="str">
        <f t="array" ref="D420">IFERROR(INDEX('testmo-export-repository'!$B$2:$X$1000,MATCH($B420,'testmo-export-repository'!$A$2:$A$1000,false),MATCH(D$2,'testmo-export-repository'!$B$1:$X$1,false)),"")</f>
        <v/>
      </c>
      <c r="E420" s="60" t="str">
        <f>IFERROR(VLOOKUP($C420,instructions!$N$3:$O$5,2,false),"")</f>
        <v/>
      </c>
      <c r="F420" s="60" t="str">
        <f>IFERROR(VLOOKUP($D420,instructions!$N$3:$O$5,2,false),"")</f>
        <v/>
      </c>
      <c r="G420" s="60" t="str">
        <f t="array" ref="G420">IFERROR(INDEX('testmo-export-repository'!$B$2:$X$1000,MATCH($B420,'testmo-export-repository'!$A$2:$A$1000,false),MATCH(G$2,'testmo-export-repository'!$B$1:$X$1,false)),"")</f>
        <v/>
      </c>
      <c r="H420" s="60" t="str">
        <f t="array" ref="H420">IFERROR(INDEX('testmo-export-repository'!$B$2:$X$1000,MATCH($B420,'testmo-export-repository'!$A$2:$A$1000,false),MATCH(H$2,'testmo-export-repository'!$B$1:$X$1,false)),"")</f>
        <v/>
      </c>
      <c r="I420" s="60" t="str">
        <f t="array" ref="I420">IFERROR(INDEX('testmo-export-repository'!$B$2:$X$1000,MATCH($B420,'testmo-export-repository'!$A$2:$A$1000,false),MATCH(I$2,'testmo-export-repository'!$B$1:$X$1,false)),"")</f>
        <v/>
      </c>
      <c r="J420" s="60" t="str">
        <f t="array" ref="J420">IFERROR(INDEX('testmo-export-repository'!$B$2:$Y$1000,MATCH($B420,'testmo-export-repository'!$A$2:$A$1000,false),MATCH(J$2,'testmo-export-repository'!$B$1:$Y$1,false)),"")</f>
        <v/>
      </c>
      <c r="K420" s="60" t="str">
        <f t="array" ref="K420">IFERROR(INDEX('testmo-export-repository'!$B$2:$Y$1000,MATCH($B420,'testmo-export-repository'!$A$2:$A$1000,false),MATCH(K$2,'testmo-export-repository'!$B$1:$Y$1,false)),"")</f>
        <v/>
      </c>
    </row>
    <row r="421">
      <c r="B421" s="60" t="str">
        <f>'testmo-export-repository'!A420</f>
        <v/>
      </c>
      <c r="C421" s="60" t="str">
        <f t="array" ref="C421">IFERROR(INDEX('testmo-export-repository'!$B$2:$X$1000,MATCH($B421,'testmo-export-repository'!$A$2:$A$1000,false),MATCH(C$2,'testmo-export-repository'!$B$1:$X$1,false)),"")</f>
        <v/>
      </c>
      <c r="D421" s="60" t="str">
        <f t="array" ref="D421">IFERROR(INDEX('testmo-export-repository'!$B$2:$X$1000,MATCH($B421,'testmo-export-repository'!$A$2:$A$1000,false),MATCH(D$2,'testmo-export-repository'!$B$1:$X$1,false)),"")</f>
        <v/>
      </c>
      <c r="E421" s="60" t="str">
        <f>IFERROR(VLOOKUP($C421,instructions!$N$3:$O$5,2,false),"")</f>
        <v/>
      </c>
      <c r="F421" s="60" t="str">
        <f>IFERROR(VLOOKUP($D421,instructions!$N$3:$O$5,2,false),"")</f>
        <v/>
      </c>
      <c r="G421" s="60" t="str">
        <f t="array" ref="G421">IFERROR(INDEX('testmo-export-repository'!$B$2:$X$1000,MATCH($B421,'testmo-export-repository'!$A$2:$A$1000,false),MATCH(G$2,'testmo-export-repository'!$B$1:$X$1,false)),"")</f>
        <v/>
      </c>
      <c r="H421" s="60" t="str">
        <f t="array" ref="H421">IFERROR(INDEX('testmo-export-repository'!$B$2:$X$1000,MATCH($B421,'testmo-export-repository'!$A$2:$A$1000,false),MATCH(H$2,'testmo-export-repository'!$B$1:$X$1,false)),"")</f>
        <v/>
      </c>
      <c r="I421" s="60" t="str">
        <f t="array" ref="I421">IFERROR(INDEX('testmo-export-repository'!$B$2:$X$1000,MATCH($B421,'testmo-export-repository'!$A$2:$A$1000,false),MATCH(I$2,'testmo-export-repository'!$B$1:$X$1,false)),"")</f>
        <v/>
      </c>
      <c r="J421" s="60" t="str">
        <f t="array" ref="J421">IFERROR(INDEX('testmo-export-repository'!$B$2:$Y$1000,MATCH($B421,'testmo-export-repository'!$A$2:$A$1000,false),MATCH(J$2,'testmo-export-repository'!$B$1:$Y$1,false)),"")</f>
        <v/>
      </c>
      <c r="K421" s="60" t="str">
        <f t="array" ref="K421">IFERROR(INDEX('testmo-export-repository'!$B$2:$Y$1000,MATCH($B421,'testmo-export-repository'!$A$2:$A$1000,false),MATCH(K$2,'testmo-export-repository'!$B$1:$Y$1,false)),"")</f>
        <v/>
      </c>
    </row>
    <row r="422">
      <c r="B422" s="60" t="str">
        <f>'testmo-export-repository'!A421</f>
        <v/>
      </c>
      <c r="C422" s="60" t="str">
        <f t="array" ref="C422">IFERROR(INDEX('testmo-export-repository'!$B$2:$X$1000,MATCH($B422,'testmo-export-repository'!$A$2:$A$1000,false),MATCH(C$2,'testmo-export-repository'!$B$1:$X$1,false)),"")</f>
        <v/>
      </c>
      <c r="D422" s="60" t="str">
        <f t="array" ref="D422">IFERROR(INDEX('testmo-export-repository'!$B$2:$X$1000,MATCH($B422,'testmo-export-repository'!$A$2:$A$1000,false),MATCH(D$2,'testmo-export-repository'!$B$1:$X$1,false)),"")</f>
        <v/>
      </c>
      <c r="E422" s="60" t="str">
        <f>IFERROR(VLOOKUP($C422,instructions!$N$3:$O$5,2,false),"")</f>
        <v/>
      </c>
      <c r="F422" s="60" t="str">
        <f>IFERROR(VLOOKUP($D422,instructions!$N$3:$O$5,2,false),"")</f>
        <v/>
      </c>
      <c r="G422" s="60" t="str">
        <f t="array" ref="G422">IFERROR(INDEX('testmo-export-repository'!$B$2:$X$1000,MATCH($B422,'testmo-export-repository'!$A$2:$A$1000,false),MATCH(G$2,'testmo-export-repository'!$B$1:$X$1,false)),"")</f>
        <v/>
      </c>
      <c r="H422" s="60" t="str">
        <f t="array" ref="H422">IFERROR(INDEX('testmo-export-repository'!$B$2:$X$1000,MATCH($B422,'testmo-export-repository'!$A$2:$A$1000,false),MATCH(H$2,'testmo-export-repository'!$B$1:$X$1,false)),"")</f>
        <v/>
      </c>
      <c r="I422" s="60" t="str">
        <f t="array" ref="I422">IFERROR(INDEX('testmo-export-repository'!$B$2:$X$1000,MATCH($B422,'testmo-export-repository'!$A$2:$A$1000,false),MATCH(I$2,'testmo-export-repository'!$B$1:$X$1,false)),"")</f>
        <v/>
      </c>
      <c r="J422" s="60" t="str">
        <f t="array" ref="J422">IFERROR(INDEX('testmo-export-repository'!$B$2:$Y$1000,MATCH($B422,'testmo-export-repository'!$A$2:$A$1000,false),MATCH(J$2,'testmo-export-repository'!$B$1:$Y$1,false)),"")</f>
        <v/>
      </c>
      <c r="K422" s="60" t="str">
        <f t="array" ref="K422">IFERROR(INDEX('testmo-export-repository'!$B$2:$Y$1000,MATCH($B422,'testmo-export-repository'!$A$2:$A$1000,false),MATCH(K$2,'testmo-export-repository'!$B$1:$Y$1,false)),"")</f>
        <v/>
      </c>
    </row>
    <row r="423">
      <c r="B423" s="60" t="str">
        <f>'testmo-export-repository'!A422</f>
        <v/>
      </c>
      <c r="C423" s="60" t="str">
        <f t="array" ref="C423">IFERROR(INDEX('testmo-export-repository'!$B$2:$X$1000,MATCH($B423,'testmo-export-repository'!$A$2:$A$1000,false),MATCH(C$2,'testmo-export-repository'!$B$1:$X$1,false)),"")</f>
        <v/>
      </c>
      <c r="D423" s="60" t="str">
        <f t="array" ref="D423">IFERROR(INDEX('testmo-export-repository'!$B$2:$X$1000,MATCH($B423,'testmo-export-repository'!$A$2:$A$1000,false),MATCH(D$2,'testmo-export-repository'!$B$1:$X$1,false)),"")</f>
        <v/>
      </c>
      <c r="E423" s="60" t="str">
        <f>IFERROR(VLOOKUP($C423,instructions!$N$3:$O$5,2,false),"")</f>
        <v/>
      </c>
      <c r="F423" s="60" t="str">
        <f>IFERROR(VLOOKUP($D423,instructions!$N$3:$O$5,2,false),"")</f>
        <v/>
      </c>
      <c r="G423" s="60" t="str">
        <f t="array" ref="G423">IFERROR(INDEX('testmo-export-repository'!$B$2:$X$1000,MATCH($B423,'testmo-export-repository'!$A$2:$A$1000,false),MATCH(G$2,'testmo-export-repository'!$B$1:$X$1,false)),"")</f>
        <v/>
      </c>
      <c r="H423" s="60" t="str">
        <f t="array" ref="H423">IFERROR(INDEX('testmo-export-repository'!$B$2:$X$1000,MATCH($B423,'testmo-export-repository'!$A$2:$A$1000,false),MATCH(H$2,'testmo-export-repository'!$B$1:$X$1,false)),"")</f>
        <v/>
      </c>
      <c r="I423" s="60" t="str">
        <f t="array" ref="I423">IFERROR(INDEX('testmo-export-repository'!$B$2:$X$1000,MATCH($B423,'testmo-export-repository'!$A$2:$A$1000,false),MATCH(I$2,'testmo-export-repository'!$B$1:$X$1,false)),"")</f>
        <v/>
      </c>
      <c r="J423" s="60" t="str">
        <f t="array" ref="J423">IFERROR(INDEX('testmo-export-repository'!$B$2:$Y$1000,MATCH($B423,'testmo-export-repository'!$A$2:$A$1000,false),MATCH(J$2,'testmo-export-repository'!$B$1:$Y$1,false)),"")</f>
        <v/>
      </c>
      <c r="K423" s="60" t="str">
        <f t="array" ref="K423">IFERROR(INDEX('testmo-export-repository'!$B$2:$Y$1000,MATCH($B423,'testmo-export-repository'!$A$2:$A$1000,false),MATCH(K$2,'testmo-export-repository'!$B$1:$Y$1,false)),"")</f>
        <v/>
      </c>
    </row>
    <row r="424">
      <c r="B424" s="60" t="str">
        <f>'testmo-export-repository'!A423</f>
        <v/>
      </c>
      <c r="C424" s="60" t="str">
        <f t="array" ref="C424">IFERROR(INDEX('testmo-export-repository'!$B$2:$X$1000,MATCH($B424,'testmo-export-repository'!$A$2:$A$1000,false),MATCH(C$2,'testmo-export-repository'!$B$1:$X$1,false)),"")</f>
        <v/>
      </c>
      <c r="D424" s="60" t="str">
        <f t="array" ref="D424">IFERROR(INDEX('testmo-export-repository'!$B$2:$X$1000,MATCH($B424,'testmo-export-repository'!$A$2:$A$1000,false),MATCH(D$2,'testmo-export-repository'!$B$1:$X$1,false)),"")</f>
        <v/>
      </c>
      <c r="E424" s="60" t="str">
        <f>IFERROR(VLOOKUP($C424,instructions!$N$3:$O$5,2,false),"")</f>
        <v/>
      </c>
      <c r="F424" s="60" t="str">
        <f>IFERROR(VLOOKUP($D424,instructions!$N$3:$O$5,2,false),"")</f>
        <v/>
      </c>
      <c r="G424" s="60" t="str">
        <f t="array" ref="G424">IFERROR(INDEX('testmo-export-repository'!$B$2:$X$1000,MATCH($B424,'testmo-export-repository'!$A$2:$A$1000,false),MATCH(G$2,'testmo-export-repository'!$B$1:$X$1,false)),"")</f>
        <v/>
      </c>
      <c r="H424" s="60" t="str">
        <f t="array" ref="H424">IFERROR(INDEX('testmo-export-repository'!$B$2:$X$1000,MATCH($B424,'testmo-export-repository'!$A$2:$A$1000,false),MATCH(H$2,'testmo-export-repository'!$B$1:$X$1,false)),"")</f>
        <v/>
      </c>
      <c r="I424" s="60" t="str">
        <f t="array" ref="I424">IFERROR(INDEX('testmo-export-repository'!$B$2:$X$1000,MATCH($B424,'testmo-export-repository'!$A$2:$A$1000,false),MATCH(I$2,'testmo-export-repository'!$B$1:$X$1,false)),"")</f>
        <v/>
      </c>
      <c r="J424" s="60" t="str">
        <f t="array" ref="J424">IFERROR(INDEX('testmo-export-repository'!$B$2:$Y$1000,MATCH($B424,'testmo-export-repository'!$A$2:$A$1000,false),MATCH(J$2,'testmo-export-repository'!$B$1:$Y$1,false)),"")</f>
        <v/>
      </c>
      <c r="K424" s="60" t="str">
        <f t="array" ref="K424">IFERROR(INDEX('testmo-export-repository'!$B$2:$Y$1000,MATCH($B424,'testmo-export-repository'!$A$2:$A$1000,false),MATCH(K$2,'testmo-export-repository'!$B$1:$Y$1,false)),"")</f>
        <v/>
      </c>
    </row>
    <row r="425">
      <c r="B425" s="60" t="str">
        <f>'testmo-export-repository'!A424</f>
        <v/>
      </c>
      <c r="C425" s="60" t="str">
        <f t="array" ref="C425">IFERROR(INDEX('testmo-export-repository'!$B$2:$X$1000,MATCH($B425,'testmo-export-repository'!$A$2:$A$1000,false),MATCH(C$2,'testmo-export-repository'!$B$1:$X$1,false)),"")</f>
        <v/>
      </c>
      <c r="D425" s="60" t="str">
        <f t="array" ref="D425">IFERROR(INDEX('testmo-export-repository'!$B$2:$X$1000,MATCH($B425,'testmo-export-repository'!$A$2:$A$1000,false),MATCH(D$2,'testmo-export-repository'!$B$1:$X$1,false)),"")</f>
        <v/>
      </c>
      <c r="E425" s="60" t="str">
        <f>IFERROR(VLOOKUP($C425,instructions!$N$3:$O$5,2,false),"")</f>
        <v/>
      </c>
      <c r="F425" s="60" t="str">
        <f>IFERROR(VLOOKUP($D425,instructions!$N$3:$O$5,2,false),"")</f>
        <v/>
      </c>
      <c r="G425" s="60" t="str">
        <f t="array" ref="G425">IFERROR(INDEX('testmo-export-repository'!$B$2:$X$1000,MATCH($B425,'testmo-export-repository'!$A$2:$A$1000,false),MATCH(G$2,'testmo-export-repository'!$B$1:$X$1,false)),"")</f>
        <v/>
      </c>
      <c r="H425" s="60" t="str">
        <f t="array" ref="H425">IFERROR(INDEX('testmo-export-repository'!$B$2:$X$1000,MATCH($B425,'testmo-export-repository'!$A$2:$A$1000,false),MATCH(H$2,'testmo-export-repository'!$B$1:$X$1,false)),"")</f>
        <v/>
      </c>
      <c r="I425" s="60" t="str">
        <f t="array" ref="I425">IFERROR(INDEX('testmo-export-repository'!$B$2:$X$1000,MATCH($B425,'testmo-export-repository'!$A$2:$A$1000,false),MATCH(I$2,'testmo-export-repository'!$B$1:$X$1,false)),"")</f>
        <v/>
      </c>
      <c r="J425" s="60" t="str">
        <f t="array" ref="J425">IFERROR(INDEX('testmo-export-repository'!$B$2:$Y$1000,MATCH($B425,'testmo-export-repository'!$A$2:$A$1000,false),MATCH(J$2,'testmo-export-repository'!$B$1:$Y$1,false)),"")</f>
        <v/>
      </c>
      <c r="K425" s="60" t="str">
        <f t="array" ref="K425">IFERROR(INDEX('testmo-export-repository'!$B$2:$Y$1000,MATCH($B425,'testmo-export-repository'!$A$2:$A$1000,false),MATCH(K$2,'testmo-export-repository'!$B$1:$Y$1,false)),"")</f>
        <v/>
      </c>
    </row>
    <row r="426">
      <c r="B426" s="60" t="str">
        <f>'testmo-export-repository'!A425</f>
        <v/>
      </c>
      <c r="C426" s="60" t="str">
        <f t="array" ref="C426">IFERROR(INDEX('testmo-export-repository'!$B$2:$X$1000,MATCH($B426,'testmo-export-repository'!$A$2:$A$1000,false),MATCH(C$2,'testmo-export-repository'!$B$1:$X$1,false)),"")</f>
        <v/>
      </c>
      <c r="D426" s="60" t="str">
        <f t="array" ref="D426">IFERROR(INDEX('testmo-export-repository'!$B$2:$X$1000,MATCH($B426,'testmo-export-repository'!$A$2:$A$1000,false),MATCH(D$2,'testmo-export-repository'!$B$1:$X$1,false)),"")</f>
        <v/>
      </c>
      <c r="E426" s="60" t="str">
        <f>IFERROR(VLOOKUP($C426,instructions!$N$3:$O$5,2,false),"")</f>
        <v/>
      </c>
      <c r="F426" s="60" t="str">
        <f>IFERROR(VLOOKUP($D426,instructions!$N$3:$O$5,2,false),"")</f>
        <v/>
      </c>
      <c r="G426" s="60" t="str">
        <f t="array" ref="G426">IFERROR(INDEX('testmo-export-repository'!$B$2:$X$1000,MATCH($B426,'testmo-export-repository'!$A$2:$A$1000,false),MATCH(G$2,'testmo-export-repository'!$B$1:$X$1,false)),"")</f>
        <v/>
      </c>
      <c r="H426" s="60" t="str">
        <f t="array" ref="H426">IFERROR(INDEX('testmo-export-repository'!$B$2:$X$1000,MATCH($B426,'testmo-export-repository'!$A$2:$A$1000,false),MATCH(H$2,'testmo-export-repository'!$B$1:$X$1,false)),"")</f>
        <v/>
      </c>
      <c r="I426" s="60" t="str">
        <f t="array" ref="I426">IFERROR(INDEX('testmo-export-repository'!$B$2:$X$1000,MATCH($B426,'testmo-export-repository'!$A$2:$A$1000,false),MATCH(I$2,'testmo-export-repository'!$B$1:$X$1,false)),"")</f>
        <v/>
      </c>
      <c r="J426" s="60" t="str">
        <f t="array" ref="J426">IFERROR(INDEX('testmo-export-repository'!$B$2:$Y$1000,MATCH($B426,'testmo-export-repository'!$A$2:$A$1000,false),MATCH(J$2,'testmo-export-repository'!$B$1:$Y$1,false)),"")</f>
        <v/>
      </c>
      <c r="K426" s="60" t="str">
        <f t="array" ref="K426">IFERROR(INDEX('testmo-export-repository'!$B$2:$Y$1000,MATCH($B426,'testmo-export-repository'!$A$2:$A$1000,false),MATCH(K$2,'testmo-export-repository'!$B$1:$Y$1,false)),"")</f>
        <v/>
      </c>
    </row>
    <row r="427">
      <c r="B427" s="60" t="str">
        <f>'testmo-export-repository'!A426</f>
        <v/>
      </c>
      <c r="C427" s="60" t="str">
        <f t="array" ref="C427">IFERROR(INDEX('testmo-export-repository'!$B$2:$X$1000,MATCH($B427,'testmo-export-repository'!$A$2:$A$1000,false),MATCH(C$2,'testmo-export-repository'!$B$1:$X$1,false)),"")</f>
        <v/>
      </c>
      <c r="D427" s="60" t="str">
        <f t="array" ref="D427">IFERROR(INDEX('testmo-export-repository'!$B$2:$X$1000,MATCH($B427,'testmo-export-repository'!$A$2:$A$1000,false),MATCH(D$2,'testmo-export-repository'!$B$1:$X$1,false)),"")</f>
        <v/>
      </c>
      <c r="E427" s="60" t="str">
        <f>IFERROR(VLOOKUP($C427,instructions!$N$3:$O$5,2,false),"")</f>
        <v/>
      </c>
      <c r="F427" s="60" t="str">
        <f>IFERROR(VLOOKUP($D427,instructions!$N$3:$O$5,2,false),"")</f>
        <v/>
      </c>
      <c r="G427" s="60" t="str">
        <f t="array" ref="G427">IFERROR(INDEX('testmo-export-repository'!$B$2:$X$1000,MATCH($B427,'testmo-export-repository'!$A$2:$A$1000,false),MATCH(G$2,'testmo-export-repository'!$B$1:$X$1,false)),"")</f>
        <v/>
      </c>
      <c r="H427" s="60" t="str">
        <f t="array" ref="H427">IFERROR(INDEX('testmo-export-repository'!$B$2:$X$1000,MATCH($B427,'testmo-export-repository'!$A$2:$A$1000,false),MATCH(H$2,'testmo-export-repository'!$B$1:$X$1,false)),"")</f>
        <v/>
      </c>
      <c r="I427" s="60" t="str">
        <f t="array" ref="I427">IFERROR(INDEX('testmo-export-repository'!$B$2:$X$1000,MATCH($B427,'testmo-export-repository'!$A$2:$A$1000,false),MATCH(I$2,'testmo-export-repository'!$B$1:$X$1,false)),"")</f>
        <v/>
      </c>
      <c r="J427" s="60" t="str">
        <f t="array" ref="J427">IFERROR(INDEX('testmo-export-repository'!$B$2:$Y$1000,MATCH($B427,'testmo-export-repository'!$A$2:$A$1000,false),MATCH(J$2,'testmo-export-repository'!$B$1:$Y$1,false)),"")</f>
        <v/>
      </c>
      <c r="K427" s="60" t="str">
        <f t="array" ref="K427">IFERROR(INDEX('testmo-export-repository'!$B$2:$Y$1000,MATCH($B427,'testmo-export-repository'!$A$2:$A$1000,false),MATCH(K$2,'testmo-export-repository'!$B$1:$Y$1,false)),"")</f>
        <v/>
      </c>
    </row>
    <row r="428">
      <c r="B428" s="60" t="str">
        <f>'testmo-export-repository'!A427</f>
        <v/>
      </c>
      <c r="C428" s="60" t="str">
        <f t="array" ref="C428">IFERROR(INDEX('testmo-export-repository'!$B$2:$X$1000,MATCH($B428,'testmo-export-repository'!$A$2:$A$1000,false),MATCH(C$2,'testmo-export-repository'!$B$1:$X$1,false)),"")</f>
        <v/>
      </c>
      <c r="D428" s="60" t="str">
        <f t="array" ref="D428">IFERROR(INDEX('testmo-export-repository'!$B$2:$X$1000,MATCH($B428,'testmo-export-repository'!$A$2:$A$1000,false),MATCH(D$2,'testmo-export-repository'!$B$1:$X$1,false)),"")</f>
        <v/>
      </c>
      <c r="E428" s="60" t="str">
        <f>IFERROR(VLOOKUP($C428,instructions!$N$3:$O$5,2,false),"")</f>
        <v/>
      </c>
      <c r="F428" s="60" t="str">
        <f>IFERROR(VLOOKUP($D428,instructions!$N$3:$O$5,2,false),"")</f>
        <v/>
      </c>
      <c r="G428" s="60" t="str">
        <f t="array" ref="G428">IFERROR(INDEX('testmo-export-repository'!$B$2:$X$1000,MATCH($B428,'testmo-export-repository'!$A$2:$A$1000,false),MATCH(G$2,'testmo-export-repository'!$B$1:$X$1,false)),"")</f>
        <v/>
      </c>
      <c r="H428" s="60" t="str">
        <f t="array" ref="H428">IFERROR(INDEX('testmo-export-repository'!$B$2:$X$1000,MATCH($B428,'testmo-export-repository'!$A$2:$A$1000,false),MATCH(H$2,'testmo-export-repository'!$B$1:$X$1,false)),"")</f>
        <v/>
      </c>
      <c r="I428" s="60" t="str">
        <f t="array" ref="I428">IFERROR(INDEX('testmo-export-repository'!$B$2:$X$1000,MATCH($B428,'testmo-export-repository'!$A$2:$A$1000,false),MATCH(I$2,'testmo-export-repository'!$B$1:$X$1,false)),"")</f>
        <v/>
      </c>
      <c r="J428" s="60" t="str">
        <f t="array" ref="J428">IFERROR(INDEX('testmo-export-repository'!$B$2:$Y$1000,MATCH($B428,'testmo-export-repository'!$A$2:$A$1000,false),MATCH(J$2,'testmo-export-repository'!$B$1:$Y$1,false)),"")</f>
        <v/>
      </c>
      <c r="K428" s="60" t="str">
        <f t="array" ref="K428">IFERROR(INDEX('testmo-export-repository'!$B$2:$Y$1000,MATCH($B428,'testmo-export-repository'!$A$2:$A$1000,false),MATCH(K$2,'testmo-export-repository'!$B$1:$Y$1,false)),"")</f>
        <v/>
      </c>
    </row>
    <row r="429">
      <c r="B429" s="60" t="str">
        <f>'testmo-export-repository'!A428</f>
        <v/>
      </c>
      <c r="C429" s="60" t="str">
        <f t="array" ref="C429">IFERROR(INDEX('testmo-export-repository'!$B$2:$X$1000,MATCH($B429,'testmo-export-repository'!$A$2:$A$1000,false),MATCH(C$2,'testmo-export-repository'!$B$1:$X$1,false)),"")</f>
        <v/>
      </c>
      <c r="D429" s="60" t="str">
        <f t="array" ref="D429">IFERROR(INDEX('testmo-export-repository'!$B$2:$X$1000,MATCH($B429,'testmo-export-repository'!$A$2:$A$1000,false),MATCH(D$2,'testmo-export-repository'!$B$1:$X$1,false)),"")</f>
        <v/>
      </c>
      <c r="E429" s="60" t="str">
        <f>IFERROR(VLOOKUP($C429,instructions!$N$3:$O$5,2,false),"")</f>
        <v/>
      </c>
      <c r="F429" s="60" t="str">
        <f>IFERROR(VLOOKUP($D429,instructions!$N$3:$O$5,2,false),"")</f>
        <v/>
      </c>
      <c r="G429" s="60" t="str">
        <f t="array" ref="G429">IFERROR(INDEX('testmo-export-repository'!$B$2:$X$1000,MATCH($B429,'testmo-export-repository'!$A$2:$A$1000,false),MATCH(G$2,'testmo-export-repository'!$B$1:$X$1,false)),"")</f>
        <v/>
      </c>
      <c r="H429" s="60" t="str">
        <f t="array" ref="H429">IFERROR(INDEX('testmo-export-repository'!$B$2:$X$1000,MATCH($B429,'testmo-export-repository'!$A$2:$A$1000,false),MATCH(H$2,'testmo-export-repository'!$B$1:$X$1,false)),"")</f>
        <v/>
      </c>
      <c r="I429" s="60" t="str">
        <f t="array" ref="I429">IFERROR(INDEX('testmo-export-repository'!$B$2:$X$1000,MATCH($B429,'testmo-export-repository'!$A$2:$A$1000,false),MATCH(I$2,'testmo-export-repository'!$B$1:$X$1,false)),"")</f>
        <v/>
      </c>
      <c r="J429" s="60" t="str">
        <f t="array" ref="J429">IFERROR(INDEX('testmo-export-repository'!$B$2:$Y$1000,MATCH($B429,'testmo-export-repository'!$A$2:$A$1000,false),MATCH(J$2,'testmo-export-repository'!$B$1:$Y$1,false)),"")</f>
        <v/>
      </c>
      <c r="K429" s="60" t="str">
        <f t="array" ref="K429">IFERROR(INDEX('testmo-export-repository'!$B$2:$Y$1000,MATCH($B429,'testmo-export-repository'!$A$2:$A$1000,false),MATCH(K$2,'testmo-export-repository'!$B$1:$Y$1,false)),"")</f>
        <v/>
      </c>
    </row>
    <row r="430">
      <c r="B430" s="60" t="str">
        <f>'testmo-export-repository'!A429</f>
        <v/>
      </c>
      <c r="C430" s="60" t="str">
        <f t="array" ref="C430">IFERROR(INDEX('testmo-export-repository'!$B$2:$X$1000,MATCH($B430,'testmo-export-repository'!$A$2:$A$1000,false),MATCH(C$2,'testmo-export-repository'!$B$1:$X$1,false)),"")</f>
        <v/>
      </c>
      <c r="D430" s="60" t="str">
        <f t="array" ref="D430">IFERROR(INDEX('testmo-export-repository'!$B$2:$X$1000,MATCH($B430,'testmo-export-repository'!$A$2:$A$1000,false),MATCH(D$2,'testmo-export-repository'!$B$1:$X$1,false)),"")</f>
        <v/>
      </c>
      <c r="E430" s="60" t="str">
        <f>IFERROR(VLOOKUP($C430,instructions!$N$3:$O$5,2,false),"")</f>
        <v/>
      </c>
      <c r="F430" s="60" t="str">
        <f>IFERROR(VLOOKUP($D430,instructions!$N$3:$O$5,2,false),"")</f>
        <v/>
      </c>
      <c r="G430" s="60" t="str">
        <f t="array" ref="G430">IFERROR(INDEX('testmo-export-repository'!$B$2:$X$1000,MATCH($B430,'testmo-export-repository'!$A$2:$A$1000,false),MATCH(G$2,'testmo-export-repository'!$B$1:$X$1,false)),"")</f>
        <v/>
      </c>
      <c r="H430" s="60" t="str">
        <f t="array" ref="H430">IFERROR(INDEX('testmo-export-repository'!$B$2:$X$1000,MATCH($B430,'testmo-export-repository'!$A$2:$A$1000,false),MATCH(H$2,'testmo-export-repository'!$B$1:$X$1,false)),"")</f>
        <v/>
      </c>
      <c r="I430" s="60" t="str">
        <f t="array" ref="I430">IFERROR(INDEX('testmo-export-repository'!$B$2:$X$1000,MATCH($B430,'testmo-export-repository'!$A$2:$A$1000,false),MATCH(I$2,'testmo-export-repository'!$B$1:$X$1,false)),"")</f>
        <v/>
      </c>
      <c r="J430" s="60" t="str">
        <f t="array" ref="J430">IFERROR(INDEX('testmo-export-repository'!$B$2:$Y$1000,MATCH($B430,'testmo-export-repository'!$A$2:$A$1000,false),MATCH(J$2,'testmo-export-repository'!$B$1:$Y$1,false)),"")</f>
        <v/>
      </c>
      <c r="K430" s="60" t="str">
        <f t="array" ref="K430">IFERROR(INDEX('testmo-export-repository'!$B$2:$Y$1000,MATCH($B430,'testmo-export-repository'!$A$2:$A$1000,false),MATCH(K$2,'testmo-export-repository'!$B$1:$Y$1,false)),"")</f>
        <v/>
      </c>
    </row>
    <row r="431">
      <c r="B431" s="60" t="str">
        <f>'testmo-export-repository'!A430</f>
        <v/>
      </c>
      <c r="C431" s="60" t="str">
        <f t="array" ref="C431">IFERROR(INDEX('testmo-export-repository'!$B$2:$X$1000,MATCH($B431,'testmo-export-repository'!$A$2:$A$1000,false),MATCH(C$2,'testmo-export-repository'!$B$1:$X$1,false)),"")</f>
        <v/>
      </c>
      <c r="D431" s="60" t="str">
        <f t="array" ref="D431">IFERROR(INDEX('testmo-export-repository'!$B$2:$X$1000,MATCH($B431,'testmo-export-repository'!$A$2:$A$1000,false),MATCH(D$2,'testmo-export-repository'!$B$1:$X$1,false)),"")</f>
        <v/>
      </c>
      <c r="E431" s="60" t="str">
        <f>IFERROR(VLOOKUP($C431,instructions!$N$3:$O$5,2,false),"")</f>
        <v/>
      </c>
      <c r="F431" s="60" t="str">
        <f>IFERROR(VLOOKUP($D431,instructions!$N$3:$O$5,2,false),"")</f>
        <v/>
      </c>
      <c r="G431" s="60" t="str">
        <f t="array" ref="G431">IFERROR(INDEX('testmo-export-repository'!$B$2:$X$1000,MATCH($B431,'testmo-export-repository'!$A$2:$A$1000,false),MATCH(G$2,'testmo-export-repository'!$B$1:$X$1,false)),"")</f>
        <v/>
      </c>
      <c r="H431" s="60" t="str">
        <f t="array" ref="H431">IFERROR(INDEX('testmo-export-repository'!$B$2:$X$1000,MATCH($B431,'testmo-export-repository'!$A$2:$A$1000,false),MATCH(H$2,'testmo-export-repository'!$B$1:$X$1,false)),"")</f>
        <v/>
      </c>
      <c r="I431" s="60" t="str">
        <f t="array" ref="I431">IFERROR(INDEX('testmo-export-repository'!$B$2:$X$1000,MATCH($B431,'testmo-export-repository'!$A$2:$A$1000,false),MATCH(I$2,'testmo-export-repository'!$B$1:$X$1,false)),"")</f>
        <v/>
      </c>
      <c r="J431" s="60" t="str">
        <f t="array" ref="J431">IFERROR(INDEX('testmo-export-repository'!$B$2:$Y$1000,MATCH($B431,'testmo-export-repository'!$A$2:$A$1000,false),MATCH(J$2,'testmo-export-repository'!$B$1:$Y$1,false)),"")</f>
        <v/>
      </c>
      <c r="K431" s="60" t="str">
        <f t="array" ref="K431">IFERROR(INDEX('testmo-export-repository'!$B$2:$Y$1000,MATCH($B431,'testmo-export-repository'!$A$2:$A$1000,false),MATCH(K$2,'testmo-export-repository'!$B$1:$Y$1,false)),"")</f>
        <v/>
      </c>
    </row>
    <row r="432">
      <c r="B432" s="60" t="str">
        <f>'testmo-export-repository'!A431</f>
        <v/>
      </c>
      <c r="C432" s="60" t="str">
        <f t="array" ref="C432">IFERROR(INDEX('testmo-export-repository'!$B$2:$X$1000,MATCH($B432,'testmo-export-repository'!$A$2:$A$1000,false),MATCH(C$2,'testmo-export-repository'!$B$1:$X$1,false)),"")</f>
        <v/>
      </c>
      <c r="D432" s="60" t="str">
        <f t="array" ref="D432">IFERROR(INDEX('testmo-export-repository'!$B$2:$X$1000,MATCH($B432,'testmo-export-repository'!$A$2:$A$1000,false),MATCH(D$2,'testmo-export-repository'!$B$1:$X$1,false)),"")</f>
        <v/>
      </c>
      <c r="E432" s="60" t="str">
        <f>IFERROR(VLOOKUP($C432,instructions!$N$3:$O$5,2,false),"")</f>
        <v/>
      </c>
      <c r="F432" s="60" t="str">
        <f>IFERROR(VLOOKUP($D432,instructions!$N$3:$O$5,2,false),"")</f>
        <v/>
      </c>
      <c r="G432" s="60" t="str">
        <f t="array" ref="G432">IFERROR(INDEX('testmo-export-repository'!$B$2:$X$1000,MATCH($B432,'testmo-export-repository'!$A$2:$A$1000,false),MATCH(G$2,'testmo-export-repository'!$B$1:$X$1,false)),"")</f>
        <v/>
      </c>
      <c r="H432" s="60" t="str">
        <f t="array" ref="H432">IFERROR(INDEX('testmo-export-repository'!$B$2:$X$1000,MATCH($B432,'testmo-export-repository'!$A$2:$A$1000,false),MATCH(H$2,'testmo-export-repository'!$B$1:$X$1,false)),"")</f>
        <v/>
      </c>
      <c r="I432" s="60" t="str">
        <f t="array" ref="I432">IFERROR(INDEX('testmo-export-repository'!$B$2:$X$1000,MATCH($B432,'testmo-export-repository'!$A$2:$A$1000,false),MATCH(I$2,'testmo-export-repository'!$B$1:$X$1,false)),"")</f>
        <v/>
      </c>
      <c r="J432" s="60" t="str">
        <f t="array" ref="J432">IFERROR(INDEX('testmo-export-repository'!$B$2:$Y$1000,MATCH($B432,'testmo-export-repository'!$A$2:$A$1000,false),MATCH(J$2,'testmo-export-repository'!$B$1:$Y$1,false)),"")</f>
        <v/>
      </c>
      <c r="K432" s="60" t="str">
        <f t="array" ref="K432">IFERROR(INDEX('testmo-export-repository'!$B$2:$Y$1000,MATCH($B432,'testmo-export-repository'!$A$2:$A$1000,false),MATCH(K$2,'testmo-export-repository'!$B$1:$Y$1,false)),"")</f>
        <v/>
      </c>
    </row>
    <row r="433">
      <c r="B433" s="60" t="str">
        <f>'testmo-export-repository'!A432</f>
        <v/>
      </c>
      <c r="C433" s="60" t="str">
        <f t="array" ref="C433">IFERROR(INDEX('testmo-export-repository'!$B$2:$X$1000,MATCH($B433,'testmo-export-repository'!$A$2:$A$1000,false),MATCH(C$2,'testmo-export-repository'!$B$1:$X$1,false)),"")</f>
        <v/>
      </c>
      <c r="D433" s="60" t="str">
        <f t="array" ref="D433">IFERROR(INDEX('testmo-export-repository'!$B$2:$X$1000,MATCH($B433,'testmo-export-repository'!$A$2:$A$1000,false),MATCH(D$2,'testmo-export-repository'!$B$1:$X$1,false)),"")</f>
        <v/>
      </c>
      <c r="E433" s="60" t="str">
        <f>IFERROR(VLOOKUP($C433,instructions!$N$3:$O$5,2,false),"")</f>
        <v/>
      </c>
      <c r="F433" s="60" t="str">
        <f>IFERROR(VLOOKUP($D433,instructions!$N$3:$O$5,2,false),"")</f>
        <v/>
      </c>
      <c r="G433" s="60" t="str">
        <f t="array" ref="G433">IFERROR(INDEX('testmo-export-repository'!$B$2:$X$1000,MATCH($B433,'testmo-export-repository'!$A$2:$A$1000,false),MATCH(G$2,'testmo-export-repository'!$B$1:$X$1,false)),"")</f>
        <v/>
      </c>
      <c r="H433" s="60" t="str">
        <f t="array" ref="H433">IFERROR(INDEX('testmo-export-repository'!$B$2:$X$1000,MATCH($B433,'testmo-export-repository'!$A$2:$A$1000,false),MATCH(H$2,'testmo-export-repository'!$B$1:$X$1,false)),"")</f>
        <v/>
      </c>
      <c r="I433" s="60" t="str">
        <f t="array" ref="I433">IFERROR(INDEX('testmo-export-repository'!$B$2:$X$1000,MATCH($B433,'testmo-export-repository'!$A$2:$A$1000,false),MATCH(I$2,'testmo-export-repository'!$B$1:$X$1,false)),"")</f>
        <v/>
      </c>
      <c r="J433" s="60" t="str">
        <f t="array" ref="J433">IFERROR(INDEX('testmo-export-repository'!$B$2:$Y$1000,MATCH($B433,'testmo-export-repository'!$A$2:$A$1000,false),MATCH(J$2,'testmo-export-repository'!$B$1:$Y$1,false)),"")</f>
        <v/>
      </c>
      <c r="K433" s="60" t="str">
        <f t="array" ref="K433">IFERROR(INDEX('testmo-export-repository'!$B$2:$Y$1000,MATCH($B433,'testmo-export-repository'!$A$2:$A$1000,false),MATCH(K$2,'testmo-export-repository'!$B$1:$Y$1,false)),"")</f>
        <v/>
      </c>
    </row>
    <row r="434">
      <c r="B434" s="60" t="str">
        <f>'testmo-export-repository'!A433</f>
        <v/>
      </c>
      <c r="C434" s="60" t="str">
        <f t="array" ref="C434">IFERROR(INDEX('testmo-export-repository'!$B$2:$X$1000,MATCH($B434,'testmo-export-repository'!$A$2:$A$1000,false),MATCH(C$2,'testmo-export-repository'!$B$1:$X$1,false)),"")</f>
        <v/>
      </c>
      <c r="D434" s="60" t="str">
        <f t="array" ref="D434">IFERROR(INDEX('testmo-export-repository'!$B$2:$X$1000,MATCH($B434,'testmo-export-repository'!$A$2:$A$1000,false),MATCH(D$2,'testmo-export-repository'!$B$1:$X$1,false)),"")</f>
        <v/>
      </c>
      <c r="E434" s="60" t="str">
        <f>IFERROR(VLOOKUP($C434,instructions!$N$3:$O$5,2,false),"")</f>
        <v/>
      </c>
      <c r="F434" s="60" t="str">
        <f>IFERROR(VLOOKUP($D434,instructions!$N$3:$O$5,2,false),"")</f>
        <v/>
      </c>
      <c r="G434" s="60" t="str">
        <f t="array" ref="G434">IFERROR(INDEX('testmo-export-repository'!$B$2:$X$1000,MATCH($B434,'testmo-export-repository'!$A$2:$A$1000,false),MATCH(G$2,'testmo-export-repository'!$B$1:$X$1,false)),"")</f>
        <v/>
      </c>
      <c r="H434" s="60" t="str">
        <f t="array" ref="H434">IFERROR(INDEX('testmo-export-repository'!$B$2:$X$1000,MATCH($B434,'testmo-export-repository'!$A$2:$A$1000,false),MATCH(H$2,'testmo-export-repository'!$B$1:$X$1,false)),"")</f>
        <v/>
      </c>
      <c r="I434" s="60" t="str">
        <f t="array" ref="I434">IFERROR(INDEX('testmo-export-repository'!$B$2:$X$1000,MATCH($B434,'testmo-export-repository'!$A$2:$A$1000,false),MATCH(I$2,'testmo-export-repository'!$B$1:$X$1,false)),"")</f>
        <v/>
      </c>
      <c r="J434" s="60" t="str">
        <f t="array" ref="J434">IFERROR(INDEX('testmo-export-repository'!$B$2:$Y$1000,MATCH($B434,'testmo-export-repository'!$A$2:$A$1000,false),MATCH(J$2,'testmo-export-repository'!$B$1:$Y$1,false)),"")</f>
        <v/>
      </c>
      <c r="K434" s="60" t="str">
        <f t="array" ref="K434">IFERROR(INDEX('testmo-export-repository'!$B$2:$Y$1000,MATCH($B434,'testmo-export-repository'!$A$2:$A$1000,false),MATCH(K$2,'testmo-export-repository'!$B$1:$Y$1,false)),"")</f>
        <v/>
      </c>
    </row>
    <row r="435">
      <c r="B435" s="60" t="str">
        <f>'testmo-export-repository'!A434</f>
        <v/>
      </c>
      <c r="C435" s="60" t="str">
        <f t="array" ref="C435">IFERROR(INDEX('testmo-export-repository'!$B$2:$X$1000,MATCH($B435,'testmo-export-repository'!$A$2:$A$1000,false),MATCH(C$2,'testmo-export-repository'!$B$1:$X$1,false)),"")</f>
        <v/>
      </c>
      <c r="D435" s="60" t="str">
        <f t="array" ref="D435">IFERROR(INDEX('testmo-export-repository'!$B$2:$X$1000,MATCH($B435,'testmo-export-repository'!$A$2:$A$1000,false),MATCH(D$2,'testmo-export-repository'!$B$1:$X$1,false)),"")</f>
        <v/>
      </c>
      <c r="E435" s="60" t="str">
        <f>IFERROR(VLOOKUP($C435,instructions!$N$3:$O$5,2,false),"")</f>
        <v/>
      </c>
      <c r="F435" s="60" t="str">
        <f>IFERROR(VLOOKUP($D435,instructions!$N$3:$O$5,2,false),"")</f>
        <v/>
      </c>
      <c r="G435" s="60" t="str">
        <f t="array" ref="G435">IFERROR(INDEX('testmo-export-repository'!$B$2:$X$1000,MATCH($B435,'testmo-export-repository'!$A$2:$A$1000,false),MATCH(G$2,'testmo-export-repository'!$B$1:$X$1,false)),"")</f>
        <v/>
      </c>
      <c r="H435" s="60" t="str">
        <f t="array" ref="H435">IFERROR(INDEX('testmo-export-repository'!$B$2:$X$1000,MATCH($B435,'testmo-export-repository'!$A$2:$A$1000,false),MATCH(H$2,'testmo-export-repository'!$B$1:$X$1,false)),"")</f>
        <v/>
      </c>
      <c r="I435" s="60" t="str">
        <f t="array" ref="I435">IFERROR(INDEX('testmo-export-repository'!$B$2:$X$1000,MATCH($B435,'testmo-export-repository'!$A$2:$A$1000,false),MATCH(I$2,'testmo-export-repository'!$B$1:$X$1,false)),"")</f>
        <v/>
      </c>
      <c r="J435" s="60" t="str">
        <f t="array" ref="J435">IFERROR(INDEX('testmo-export-repository'!$B$2:$Y$1000,MATCH($B435,'testmo-export-repository'!$A$2:$A$1000,false),MATCH(J$2,'testmo-export-repository'!$B$1:$Y$1,false)),"")</f>
        <v/>
      </c>
      <c r="K435" s="60" t="str">
        <f t="array" ref="K435">IFERROR(INDEX('testmo-export-repository'!$B$2:$Y$1000,MATCH($B435,'testmo-export-repository'!$A$2:$A$1000,false),MATCH(K$2,'testmo-export-repository'!$B$1:$Y$1,false)),"")</f>
        <v/>
      </c>
    </row>
    <row r="436">
      <c r="B436" s="60" t="str">
        <f>'testmo-export-repository'!A435</f>
        <v/>
      </c>
      <c r="C436" s="60" t="str">
        <f t="array" ref="C436">IFERROR(INDEX('testmo-export-repository'!$B$2:$X$1000,MATCH($B436,'testmo-export-repository'!$A$2:$A$1000,false),MATCH(C$2,'testmo-export-repository'!$B$1:$X$1,false)),"")</f>
        <v/>
      </c>
      <c r="D436" s="60" t="str">
        <f t="array" ref="D436">IFERROR(INDEX('testmo-export-repository'!$B$2:$X$1000,MATCH($B436,'testmo-export-repository'!$A$2:$A$1000,false),MATCH(D$2,'testmo-export-repository'!$B$1:$X$1,false)),"")</f>
        <v/>
      </c>
      <c r="E436" s="60" t="str">
        <f>IFERROR(VLOOKUP($C436,instructions!$N$3:$O$5,2,false),"")</f>
        <v/>
      </c>
      <c r="F436" s="60" t="str">
        <f>IFERROR(VLOOKUP($D436,instructions!$N$3:$O$5,2,false),"")</f>
        <v/>
      </c>
      <c r="G436" s="60" t="str">
        <f t="array" ref="G436">IFERROR(INDEX('testmo-export-repository'!$B$2:$X$1000,MATCH($B436,'testmo-export-repository'!$A$2:$A$1000,false),MATCH(G$2,'testmo-export-repository'!$B$1:$X$1,false)),"")</f>
        <v/>
      </c>
      <c r="H436" s="60" t="str">
        <f t="array" ref="H436">IFERROR(INDEX('testmo-export-repository'!$B$2:$X$1000,MATCH($B436,'testmo-export-repository'!$A$2:$A$1000,false),MATCH(H$2,'testmo-export-repository'!$B$1:$X$1,false)),"")</f>
        <v/>
      </c>
      <c r="I436" s="60" t="str">
        <f t="array" ref="I436">IFERROR(INDEX('testmo-export-repository'!$B$2:$X$1000,MATCH($B436,'testmo-export-repository'!$A$2:$A$1000,false),MATCH(I$2,'testmo-export-repository'!$B$1:$X$1,false)),"")</f>
        <v/>
      </c>
      <c r="J436" s="60" t="str">
        <f t="array" ref="J436">IFERROR(INDEX('testmo-export-repository'!$B$2:$Y$1000,MATCH($B436,'testmo-export-repository'!$A$2:$A$1000,false),MATCH(J$2,'testmo-export-repository'!$B$1:$Y$1,false)),"")</f>
        <v/>
      </c>
      <c r="K436" s="60" t="str">
        <f t="array" ref="K436">IFERROR(INDEX('testmo-export-repository'!$B$2:$Y$1000,MATCH($B436,'testmo-export-repository'!$A$2:$A$1000,false),MATCH(K$2,'testmo-export-repository'!$B$1:$Y$1,false)),"")</f>
        <v/>
      </c>
    </row>
    <row r="437">
      <c r="B437" s="60" t="str">
        <f>'testmo-export-repository'!A436</f>
        <v/>
      </c>
      <c r="C437" s="60" t="str">
        <f t="array" ref="C437">IFERROR(INDEX('testmo-export-repository'!$B$2:$X$1000,MATCH($B437,'testmo-export-repository'!$A$2:$A$1000,false),MATCH(C$2,'testmo-export-repository'!$B$1:$X$1,false)),"")</f>
        <v/>
      </c>
      <c r="D437" s="60" t="str">
        <f t="array" ref="D437">IFERROR(INDEX('testmo-export-repository'!$B$2:$X$1000,MATCH($B437,'testmo-export-repository'!$A$2:$A$1000,false),MATCH(D$2,'testmo-export-repository'!$B$1:$X$1,false)),"")</f>
        <v/>
      </c>
      <c r="E437" s="60" t="str">
        <f>IFERROR(VLOOKUP($C437,instructions!$N$3:$O$5,2,false),"")</f>
        <v/>
      </c>
      <c r="F437" s="60" t="str">
        <f>IFERROR(VLOOKUP($D437,instructions!$N$3:$O$5,2,false),"")</f>
        <v/>
      </c>
      <c r="G437" s="60" t="str">
        <f t="array" ref="G437">IFERROR(INDEX('testmo-export-repository'!$B$2:$X$1000,MATCH($B437,'testmo-export-repository'!$A$2:$A$1000,false),MATCH(G$2,'testmo-export-repository'!$B$1:$X$1,false)),"")</f>
        <v/>
      </c>
      <c r="H437" s="60" t="str">
        <f t="array" ref="H437">IFERROR(INDEX('testmo-export-repository'!$B$2:$X$1000,MATCH($B437,'testmo-export-repository'!$A$2:$A$1000,false),MATCH(H$2,'testmo-export-repository'!$B$1:$X$1,false)),"")</f>
        <v/>
      </c>
      <c r="I437" s="60" t="str">
        <f t="array" ref="I437">IFERROR(INDEX('testmo-export-repository'!$B$2:$X$1000,MATCH($B437,'testmo-export-repository'!$A$2:$A$1000,false),MATCH(I$2,'testmo-export-repository'!$B$1:$X$1,false)),"")</f>
        <v/>
      </c>
      <c r="J437" s="60" t="str">
        <f t="array" ref="J437">IFERROR(INDEX('testmo-export-repository'!$B$2:$Y$1000,MATCH($B437,'testmo-export-repository'!$A$2:$A$1000,false),MATCH(J$2,'testmo-export-repository'!$B$1:$Y$1,false)),"")</f>
        <v/>
      </c>
      <c r="K437" s="60" t="str">
        <f t="array" ref="K437">IFERROR(INDEX('testmo-export-repository'!$B$2:$Y$1000,MATCH($B437,'testmo-export-repository'!$A$2:$A$1000,false),MATCH(K$2,'testmo-export-repository'!$B$1:$Y$1,false)),"")</f>
        <v/>
      </c>
    </row>
    <row r="438">
      <c r="B438" s="60" t="str">
        <f>'testmo-export-repository'!A437</f>
        <v/>
      </c>
      <c r="C438" s="60" t="str">
        <f t="array" ref="C438">IFERROR(INDEX('testmo-export-repository'!$B$2:$X$1000,MATCH($B438,'testmo-export-repository'!$A$2:$A$1000,false),MATCH(C$2,'testmo-export-repository'!$B$1:$X$1,false)),"")</f>
        <v/>
      </c>
      <c r="D438" s="60" t="str">
        <f t="array" ref="D438">IFERROR(INDEX('testmo-export-repository'!$B$2:$X$1000,MATCH($B438,'testmo-export-repository'!$A$2:$A$1000,false),MATCH(D$2,'testmo-export-repository'!$B$1:$X$1,false)),"")</f>
        <v/>
      </c>
      <c r="E438" s="60" t="str">
        <f>IFERROR(VLOOKUP($C438,instructions!$N$3:$O$5,2,false),"")</f>
        <v/>
      </c>
      <c r="F438" s="60" t="str">
        <f>IFERROR(VLOOKUP($D438,instructions!$N$3:$O$5,2,false),"")</f>
        <v/>
      </c>
      <c r="G438" s="60" t="str">
        <f t="array" ref="G438">IFERROR(INDEX('testmo-export-repository'!$B$2:$X$1000,MATCH($B438,'testmo-export-repository'!$A$2:$A$1000,false),MATCH(G$2,'testmo-export-repository'!$B$1:$X$1,false)),"")</f>
        <v/>
      </c>
      <c r="H438" s="60" t="str">
        <f t="array" ref="H438">IFERROR(INDEX('testmo-export-repository'!$B$2:$X$1000,MATCH($B438,'testmo-export-repository'!$A$2:$A$1000,false),MATCH(H$2,'testmo-export-repository'!$B$1:$X$1,false)),"")</f>
        <v/>
      </c>
      <c r="I438" s="60" t="str">
        <f t="array" ref="I438">IFERROR(INDEX('testmo-export-repository'!$B$2:$X$1000,MATCH($B438,'testmo-export-repository'!$A$2:$A$1000,false),MATCH(I$2,'testmo-export-repository'!$B$1:$X$1,false)),"")</f>
        <v/>
      </c>
      <c r="J438" s="60" t="str">
        <f t="array" ref="J438">IFERROR(INDEX('testmo-export-repository'!$B$2:$Y$1000,MATCH($B438,'testmo-export-repository'!$A$2:$A$1000,false),MATCH(J$2,'testmo-export-repository'!$B$1:$Y$1,false)),"")</f>
        <v/>
      </c>
      <c r="K438" s="60" t="str">
        <f t="array" ref="K438">IFERROR(INDEX('testmo-export-repository'!$B$2:$Y$1000,MATCH($B438,'testmo-export-repository'!$A$2:$A$1000,false),MATCH(K$2,'testmo-export-repository'!$B$1:$Y$1,false)),"")</f>
        <v/>
      </c>
    </row>
    <row r="439">
      <c r="B439" s="60" t="str">
        <f>'testmo-export-repository'!A438</f>
        <v/>
      </c>
      <c r="C439" s="60" t="str">
        <f t="array" ref="C439">IFERROR(INDEX('testmo-export-repository'!$B$2:$X$1000,MATCH($B439,'testmo-export-repository'!$A$2:$A$1000,false),MATCH(C$2,'testmo-export-repository'!$B$1:$X$1,false)),"")</f>
        <v/>
      </c>
      <c r="D439" s="60" t="str">
        <f t="array" ref="D439">IFERROR(INDEX('testmo-export-repository'!$B$2:$X$1000,MATCH($B439,'testmo-export-repository'!$A$2:$A$1000,false),MATCH(D$2,'testmo-export-repository'!$B$1:$X$1,false)),"")</f>
        <v/>
      </c>
      <c r="E439" s="60" t="str">
        <f>IFERROR(VLOOKUP($C439,instructions!$N$3:$O$5,2,false),"")</f>
        <v/>
      </c>
      <c r="F439" s="60" t="str">
        <f>IFERROR(VLOOKUP($D439,instructions!$N$3:$O$5,2,false),"")</f>
        <v/>
      </c>
      <c r="G439" s="60" t="str">
        <f t="array" ref="G439">IFERROR(INDEX('testmo-export-repository'!$B$2:$X$1000,MATCH($B439,'testmo-export-repository'!$A$2:$A$1000,false),MATCH(G$2,'testmo-export-repository'!$B$1:$X$1,false)),"")</f>
        <v/>
      </c>
      <c r="H439" s="60" t="str">
        <f t="array" ref="H439">IFERROR(INDEX('testmo-export-repository'!$B$2:$X$1000,MATCH($B439,'testmo-export-repository'!$A$2:$A$1000,false),MATCH(H$2,'testmo-export-repository'!$B$1:$X$1,false)),"")</f>
        <v/>
      </c>
      <c r="I439" s="60" t="str">
        <f t="array" ref="I439">IFERROR(INDEX('testmo-export-repository'!$B$2:$X$1000,MATCH($B439,'testmo-export-repository'!$A$2:$A$1000,false),MATCH(I$2,'testmo-export-repository'!$B$1:$X$1,false)),"")</f>
        <v/>
      </c>
      <c r="J439" s="60" t="str">
        <f t="array" ref="J439">IFERROR(INDEX('testmo-export-repository'!$B$2:$Y$1000,MATCH($B439,'testmo-export-repository'!$A$2:$A$1000,false),MATCH(J$2,'testmo-export-repository'!$B$1:$Y$1,false)),"")</f>
        <v/>
      </c>
      <c r="K439" s="60" t="str">
        <f t="array" ref="K439">IFERROR(INDEX('testmo-export-repository'!$B$2:$Y$1000,MATCH($B439,'testmo-export-repository'!$A$2:$A$1000,false),MATCH(K$2,'testmo-export-repository'!$B$1:$Y$1,false)),"")</f>
        <v/>
      </c>
    </row>
    <row r="440">
      <c r="B440" s="60" t="str">
        <f>'testmo-export-repository'!A439</f>
        <v/>
      </c>
      <c r="C440" s="60" t="str">
        <f t="array" ref="C440">IFERROR(INDEX('testmo-export-repository'!$B$2:$X$1000,MATCH($B440,'testmo-export-repository'!$A$2:$A$1000,false),MATCH(C$2,'testmo-export-repository'!$B$1:$X$1,false)),"")</f>
        <v/>
      </c>
      <c r="D440" s="60" t="str">
        <f t="array" ref="D440">IFERROR(INDEX('testmo-export-repository'!$B$2:$X$1000,MATCH($B440,'testmo-export-repository'!$A$2:$A$1000,false),MATCH(D$2,'testmo-export-repository'!$B$1:$X$1,false)),"")</f>
        <v/>
      </c>
      <c r="E440" s="60" t="str">
        <f>IFERROR(VLOOKUP($C440,instructions!$N$3:$O$5,2,false),"")</f>
        <v/>
      </c>
      <c r="F440" s="60" t="str">
        <f>IFERROR(VLOOKUP($D440,instructions!$N$3:$O$5,2,false),"")</f>
        <v/>
      </c>
      <c r="G440" s="60" t="str">
        <f t="array" ref="G440">IFERROR(INDEX('testmo-export-repository'!$B$2:$X$1000,MATCH($B440,'testmo-export-repository'!$A$2:$A$1000,false),MATCH(G$2,'testmo-export-repository'!$B$1:$X$1,false)),"")</f>
        <v/>
      </c>
      <c r="H440" s="60" t="str">
        <f t="array" ref="H440">IFERROR(INDEX('testmo-export-repository'!$B$2:$X$1000,MATCH($B440,'testmo-export-repository'!$A$2:$A$1000,false),MATCH(H$2,'testmo-export-repository'!$B$1:$X$1,false)),"")</f>
        <v/>
      </c>
      <c r="I440" s="60" t="str">
        <f t="array" ref="I440">IFERROR(INDEX('testmo-export-repository'!$B$2:$X$1000,MATCH($B440,'testmo-export-repository'!$A$2:$A$1000,false),MATCH(I$2,'testmo-export-repository'!$B$1:$X$1,false)),"")</f>
        <v/>
      </c>
      <c r="J440" s="60" t="str">
        <f t="array" ref="J440">IFERROR(INDEX('testmo-export-repository'!$B$2:$Y$1000,MATCH($B440,'testmo-export-repository'!$A$2:$A$1000,false),MATCH(J$2,'testmo-export-repository'!$B$1:$Y$1,false)),"")</f>
        <v/>
      </c>
      <c r="K440" s="60" t="str">
        <f t="array" ref="K440">IFERROR(INDEX('testmo-export-repository'!$B$2:$Y$1000,MATCH($B440,'testmo-export-repository'!$A$2:$A$1000,false),MATCH(K$2,'testmo-export-repository'!$B$1:$Y$1,false)),"")</f>
        <v/>
      </c>
    </row>
    <row r="441">
      <c r="B441" s="60" t="str">
        <f>'testmo-export-repository'!A440</f>
        <v/>
      </c>
      <c r="C441" s="60" t="str">
        <f t="array" ref="C441">IFERROR(INDEX('testmo-export-repository'!$B$2:$X$1000,MATCH($B441,'testmo-export-repository'!$A$2:$A$1000,false),MATCH(C$2,'testmo-export-repository'!$B$1:$X$1,false)),"")</f>
        <v/>
      </c>
      <c r="D441" s="60" t="str">
        <f t="array" ref="D441">IFERROR(INDEX('testmo-export-repository'!$B$2:$X$1000,MATCH($B441,'testmo-export-repository'!$A$2:$A$1000,false),MATCH(D$2,'testmo-export-repository'!$B$1:$X$1,false)),"")</f>
        <v/>
      </c>
      <c r="E441" s="60" t="str">
        <f>IFERROR(VLOOKUP($C441,instructions!$N$3:$O$5,2,false),"")</f>
        <v/>
      </c>
      <c r="F441" s="60" t="str">
        <f>IFERROR(VLOOKUP($D441,instructions!$N$3:$O$5,2,false),"")</f>
        <v/>
      </c>
      <c r="G441" s="60" t="str">
        <f t="array" ref="G441">IFERROR(INDEX('testmo-export-repository'!$B$2:$X$1000,MATCH($B441,'testmo-export-repository'!$A$2:$A$1000,false),MATCH(G$2,'testmo-export-repository'!$B$1:$X$1,false)),"")</f>
        <v/>
      </c>
      <c r="H441" s="60" t="str">
        <f t="array" ref="H441">IFERROR(INDEX('testmo-export-repository'!$B$2:$X$1000,MATCH($B441,'testmo-export-repository'!$A$2:$A$1000,false),MATCH(H$2,'testmo-export-repository'!$B$1:$X$1,false)),"")</f>
        <v/>
      </c>
      <c r="I441" s="60" t="str">
        <f t="array" ref="I441">IFERROR(INDEX('testmo-export-repository'!$B$2:$X$1000,MATCH($B441,'testmo-export-repository'!$A$2:$A$1000,false),MATCH(I$2,'testmo-export-repository'!$B$1:$X$1,false)),"")</f>
        <v/>
      </c>
      <c r="J441" s="60" t="str">
        <f t="array" ref="J441">IFERROR(INDEX('testmo-export-repository'!$B$2:$Y$1000,MATCH($B441,'testmo-export-repository'!$A$2:$A$1000,false),MATCH(J$2,'testmo-export-repository'!$B$1:$Y$1,false)),"")</f>
        <v/>
      </c>
      <c r="K441" s="60" t="str">
        <f t="array" ref="K441">IFERROR(INDEX('testmo-export-repository'!$B$2:$Y$1000,MATCH($B441,'testmo-export-repository'!$A$2:$A$1000,false),MATCH(K$2,'testmo-export-repository'!$B$1:$Y$1,false)),"")</f>
        <v/>
      </c>
    </row>
    <row r="442">
      <c r="B442" s="60" t="str">
        <f>'testmo-export-repository'!A441</f>
        <v/>
      </c>
      <c r="C442" s="60" t="str">
        <f t="array" ref="C442">IFERROR(INDEX('testmo-export-repository'!$B$2:$X$1000,MATCH($B442,'testmo-export-repository'!$A$2:$A$1000,false),MATCH(C$2,'testmo-export-repository'!$B$1:$X$1,false)),"")</f>
        <v/>
      </c>
      <c r="D442" s="60" t="str">
        <f t="array" ref="D442">IFERROR(INDEX('testmo-export-repository'!$B$2:$X$1000,MATCH($B442,'testmo-export-repository'!$A$2:$A$1000,false),MATCH(D$2,'testmo-export-repository'!$B$1:$X$1,false)),"")</f>
        <v/>
      </c>
      <c r="E442" s="60" t="str">
        <f>IFERROR(VLOOKUP($C442,instructions!$N$3:$O$5,2,false),"")</f>
        <v/>
      </c>
      <c r="F442" s="60" t="str">
        <f>IFERROR(VLOOKUP($D442,instructions!$N$3:$O$5,2,false),"")</f>
        <v/>
      </c>
      <c r="G442" s="60" t="str">
        <f t="array" ref="G442">IFERROR(INDEX('testmo-export-repository'!$B$2:$X$1000,MATCH($B442,'testmo-export-repository'!$A$2:$A$1000,false),MATCH(G$2,'testmo-export-repository'!$B$1:$X$1,false)),"")</f>
        <v/>
      </c>
      <c r="H442" s="60" t="str">
        <f t="array" ref="H442">IFERROR(INDEX('testmo-export-repository'!$B$2:$X$1000,MATCH($B442,'testmo-export-repository'!$A$2:$A$1000,false),MATCH(H$2,'testmo-export-repository'!$B$1:$X$1,false)),"")</f>
        <v/>
      </c>
      <c r="I442" s="60" t="str">
        <f t="array" ref="I442">IFERROR(INDEX('testmo-export-repository'!$B$2:$X$1000,MATCH($B442,'testmo-export-repository'!$A$2:$A$1000,false),MATCH(I$2,'testmo-export-repository'!$B$1:$X$1,false)),"")</f>
        <v/>
      </c>
      <c r="J442" s="60" t="str">
        <f t="array" ref="J442">IFERROR(INDEX('testmo-export-repository'!$B$2:$Y$1000,MATCH($B442,'testmo-export-repository'!$A$2:$A$1000,false),MATCH(J$2,'testmo-export-repository'!$B$1:$Y$1,false)),"")</f>
        <v/>
      </c>
      <c r="K442" s="60" t="str">
        <f t="array" ref="K442">IFERROR(INDEX('testmo-export-repository'!$B$2:$Y$1000,MATCH($B442,'testmo-export-repository'!$A$2:$A$1000,false),MATCH(K$2,'testmo-export-repository'!$B$1:$Y$1,false)),"")</f>
        <v/>
      </c>
    </row>
    <row r="443">
      <c r="B443" s="60" t="str">
        <f>'testmo-export-repository'!A442</f>
        <v/>
      </c>
      <c r="C443" s="60" t="str">
        <f t="array" ref="C443">IFERROR(INDEX('testmo-export-repository'!$B$2:$X$1000,MATCH($B443,'testmo-export-repository'!$A$2:$A$1000,false),MATCH(C$2,'testmo-export-repository'!$B$1:$X$1,false)),"")</f>
        <v/>
      </c>
      <c r="D443" s="60" t="str">
        <f t="array" ref="D443">IFERROR(INDEX('testmo-export-repository'!$B$2:$X$1000,MATCH($B443,'testmo-export-repository'!$A$2:$A$1000,false),MATCH(D$2,'testmo-export-repository'!$B$1:$X$1,false)),"")</f>
        <v/>
      </c>
      <c r="E443" s="60" t="str">
        <f>IFERROR(VLOOKUP($C443,instructions!$N$3:$O$5,2,false),"")</f>
        <v/>
      </c>
      <c r="F443" s="60" t="str">
        <f>IFERROR(VLOOKUP($D443,instructions!$N$3:$O$5,2,false),"")</f>
        <v/>
      </c>
      <c r="G443" s="60" t="str">
        <f t="array" ref="G443">IFERROR(INDEX('testmo-export-repository'!$B$2:$X$1000,MATCH($B443,'testmo-export-repository'!$A$2:$A$1000,false),MATCH(G$2,'testmo-export-repository'!$B$1:$X$1,false)),"")</f>
        <v/>
      </c>
      <c r="H443" s="60" t="str">
        <f t="array" ref="H443">IFERROR(INDEX('testmo-export-repository'!$B$2:$X$1000,MATCH($B443,'testmo-export-repository'!$A$2:$A$1000,false),MATCH(H$2,'testmo-export-repository'!$B$1:$X$1,false)),"")</f>
        <v/>
      </c>
      <c r="I443" s="60" t="str">
        <f t="array" ref="I443">IFERROR(INDEX('testmo-export-repository'!$B$2:$X$1000,MATCH($B443,'testmo-export-repository'!$A$2:$A$1000,false),MATCH(I$2,'testmo-export-repository'!$B$1:$X$1,false)),"")</f>
        <v/>
      </c>
      <c r="J443" s="60" t="str">
        <f t="array" ref="J443">IFERROR(INDEX('testmo-export-repository'!$B$2:$Y$1000,MATCH($B443,'testmo-export-repository'!$A$2:$A$1000,false),MATCH(J$2,'testmo-export-repository'!$B$1:$Y$1,false)),"")</f>
        <v/>
      </c>
      <c r="K443" s="60" t="str">
        <f t="array" ref="K443">IFERROR(INDEX('testmo-export-repository'!$B$2:$Y$1000,MATCH($B443,'testmo-export-repository'!$A$2:$A$1000,false),MATCH(K$2,'testmo-export-repository'!$B$1:$Y$1,false)),"")</f>
        <v/>
      </c>
    </row>
    <row r="444">
      <c r="B444" s="60" t="str">
        <f>'testmo-export-repository'!A443</f>
        <v/>
      </c>
      <c r="C444" s="60" t="str">
        <f t="array" ref="C444">IFERROR(INDEX('testmo-export-repository'!$B$2:$X$1000,MATCH($B444,'testmo-export-repository'!$A$2:$A$1000,false),MATCH(C$2,'testmo-export-repository'!$B$1:$X$1,false)),"")</f>
        <v/>
      </c>
      <c r="D444" s="60" t="str">
        <f t="array" ref="D444">IFERROR(INDEX('testmo-export-repository'!$B$2:$X$1000,MATCH($B444,'testmo-export-repository'!$A$2:$A$1000,false),MATCH(D$2,'testmo-export-repository'!$B$1:$X$1,false)),"")</f>
        <v/>
      </c>
      <c r="E444" s="60" t="str">
        <f>IFERROR(VLOOKUP($C444,instructions!$N$3:$O$5,2,false),"")</f>
        <v/>
      </c>
      <c r="F444" s="60" t="str">
        <f>IFERROR(VLOOKUP($D444,instructions!$N$3:$O$5,2,false),"")</f>
        <v/>
      </c>
      <c r="G444" s="60" t="str">
        <f t="array" ref="G444">IFERROR(INDEX('testmo-export-repository'!$B$2:$X$1000,MATCH($B444,'testmo-export-repository'!$A$2:$A$1000,false),MATCH(G$2,'testmo-export-repository'!$B$1:$X$1,false)),"")</f>
        <v/>
      </c>
      <c r="H444" s="60" t="str">
        <f t="array" ref="H444">IFERROR(INDEX('testmo-export-repository'!$B$2:$X$1000,MATCH($B444,'testmo-export-repository'!$A$2:$A$1000,false),MATCH(H$2,'testmo-export-repository'!$B$1:$X$1,false)),"")</f>
        <v/>
      </c>
      <c r="I444" s="60" t="str">
        <f t="array" ref="I444">IFERROR(INDEX('testmo-export-repository'!$B$2:$X$1000,MATCH($B444,'testmo-export-repository'!$A$2:$A$1000,false),MATCH(I$2,'testmo-export-repository'!$B$1:$X$1,false)),"")</f>
        <v/>
      </c>
      <c r="J444" s="60" t="str">
        <f t="array" ref="J444">IFERROR(INDEX('testmo-export-repository'!$B$2:$Y$1000,MATCH($B444,'testmo-export-repository'!$A$2:$A$1000,false),MATCH(J$2,'testmo-export-repository'!$B$1:$Y$1,false)),"")</f>
        <v/>
      </c>
      <c r="K444" s="60" t="str">
        <f t="array" ref="K444">IFERROR(INDEX('testmo-export-repository'!$B$2:$Y$1000,MATCH($B444,'testmo-export-repository'!$A$2:$A$1000,false),MATCH(K$2,'testmo-export-repository'!$B$1:$Y$1,false)),"")</f>
        <v/>
      </c>
    </row>
    <row r="445">
      <c r="B445" s="60" t="str">
        <f>'testmo-export-repository'!A444</f>
        <v/>
      </c>
      <c r="C445" s="60" t="str">
        <f t="array" ref="C445">IFERROR(INDEX('testmo-export-repository'!$B$2:$X$1000,MATCH($B445,'testmo-export-repository'!$A$2:$A$1000,false),MATCH(C$2,'testmo-export-repository'!$B$1:$X$1,false)),"")</f>
        <v/>
      </c>
      <c r="D445" s="60" t="str">
        <f t="array" ref="D445">IFERROR(INDEX('testmo-export-repository'!$B$2:$X$1000,MATCH($B445,'testmo-export-repository'!$A$2:$A$1000,false),MATCH(D$2,'testmo-export-repository'!$B$1:$X$1,false)),"")</f>
        <v/>
      </c>
      <c r="E445" s="60" t="str">
        <f>IFERROR(VLOOKUP($C445,instructions!$N$3:$O$5,2,false),"")</f>
        <v/>
      </c>
      <c r="F445" s="60" t="str">
        <f>IFERROR(VLOOKUP($D445,instructions!$N$3:$O$5,2,false),"")</f>
        <v/>
      </c>
      <c r="G445" s="60" t="str">
        <f t="array" ref="G445">IFERROR(INDEX('testmo-export-repository'!$B$2:$X$1000,MATCH($B445,'testmo-export-repository'!$A$2:$A$1000,false),MATCH(G$2,'testmo-export-repository'!$B$1:$X$1,false)),"")</f>
        <v/>
      </c>
      <c r="H445" s="60" t="str">
        <f t="array" ref="H445">IFERROR(INDEX('testmo-export-repository'!$B$2:$X$1000,MATCH($B445,'testmo-export-repository'!$A$2:$A$1000,false),MATCH(H$2,'testmo-export-repository'!$B$1:$X$1,false)),"")</f>
        <v/>
      </c>
      <c r="I445" s="60" t="str">
        <f t="array" ref="I445">IFERROR(INDEX('testmo-export-repository'!$B$2:$X$1000,MATCH($B445,'testmo-export-repository'!$A$2:$A$1000,false),MATCH(I$2,'testmo-export-repository'!$B$1:$X$1,false)),"")</f>
        <v/>
      </c>
      <c r="J445" s="60" t="str">
        <f t="array" ref="J445">IFERROR(INDEX('testmo-export-repository'!$B$2:$Y$1000,MATCH($B445,'testmo-export-repository'!$A$2:$A$1000,false),MATCH(J$2,'testmo-export-repository'!$B$1:$Y$1,false)),"")</f>
        <v/>
      </c>
      <c r="K445" s="60" t="str">
        <f t="array" ref="K445">IFERROR(INDEX('testmo-export-repository'!$B$2:$Y$1000,MATCH($B445,'testmo-export-repository'!$A$2:$A$1000,false),MATCH(K$2,'testmo-export-repository'!$B$1:$Y$1,false)),"")</f>
        <v/>
      </c>
    </row>
    <row r="446">
      <c r="B446" s="60" t="str">
        <f>'testmo-export-repository'!A445</f>
        <v/>
      </c>
      <c r="C446" s="60" t="str">
        <f t="array" ref="C446">IFERROR(INDEX('testmo-export-repository'!$B$2:$X$1000,MATCH($B446,'testmo-export-repository'!$A$2:$A$1000,false),MATCH(C$2,'testmo-export-repository'!$B$1:$X$1,false)),"")</f>
        <v/>
      </c>
      <c r="D446" s="60" t="str">
        <f t="array" ref="D446">IFERROR(INDEX('testmo-export-repository'!$B$2:$X$1000,MATCH($B446,'testmo-export-repository'!$A$2:$A$1000,false),MATCH(D$2,'testmo-export-repository'!$B$1:$X$1,false)),"")</f>
        <v/>
      </c>
      <c r="E446" s="60" t="str">
        <f>IFERROR(VLOOKUP($C446,instructions!$N$3:$O$5,2,false),"")</f>
        <v/>
      </c>
      <c r="F446" s="60" t="str">
        <f>IFERROR(VLOOKUP($D446,instructions!$N$3:$O$5,2,false),"")</f>
        <v/>
      </c>
      <c r="G446" s="60" t="str">
        <f t="array" ref="G446">IFERROR(INDEX('testmo-export-repository'!$B$2:$X$1000,MATCH($B446,'testmo-export-repository'!$A$2:$A$1000,false),MATCH(G$2,'testmo-export-repository'!$B$1:$X$1,false)),"")</f>
        <v/>
      </c>
      <c r="H446" s="60" t="str">
        <f t="array" ref="H446">IFERROR(INDEX('testmo-export-repository'!$B$2:$X$1000,MATCH($B446,'testmo-export-repository'!$A$2:$A$1000,false),MATCH(H$2,'testmo-export-repository'!$B$1:$X$1,false)),"")</f>
        <v/>
      </c>
      <c r="I446" s="60" t="str">
        <f t="array" ref="I446">IFERROR(INDEX('testmo-export-repository'!$B$2:$X$1000,MATCH($B446,'testmo-export-repository'!$A$2:$A$1000,false),MATCH(I$2,'testmo-export-repository'!$B$1:$X$1,false)),"")</f>
        <v/>
      </c>
      <c r="J446" s="60" t="str">
        <f t="array" ref="J446">IFERROR(INDEX('testmo-export-repository'!$B$2:$Y$1000,MATCH($B446,'testmo-export-repository'!$A$2:$A$1000,false),MATCH(J$2,'testmo-export-repository'!$B$1:$Y$1,false)),"")</f>
        <v/>
      </c>
      <c r="K446" s="60" t="str">
        <f t="array" ref="K446">IFERROR(INDEX('testmo-export-repository'!$B$2:$Y$1000,MATCH($B446,'testmo-export-repository'!$A$2:$A$1000,false),MATCH(K$2,'testmo-export-repository'!$B$1:$Y$1,false)),"")</f>
        <v/>
      </c>
    </row>
    <row r="447">
      <c r="B447" s="60" t="str">
        <f>'testmo-export-repository'!A446</f>
        <v/>
      </c>
      <c r="C447" s="60" t="str">
        <f t="array" ref="C447">IFERROR(INDEX('testmo-export-repository'!$B$2:$X$1000,MATCH($B447,'testmo-export-repository'!$A$2:$A$1000,false),MATCH(C$2,'testmo-export-repository'!$B$1:$X$1,false)),"")</f>
        <v/>
      </c>
      <c r="D447" s="60" t="str">
        <f t="array" ref="D447">IFERROR(INDEX('testmo-export-repository'!$B$2:$X$1000,MATCH($B447,'testmo-export-repository'!$A$2:$A$1000,false),MATCH(D$2,'testmo-export-repository'!$B$1:$X$1,false)),"")</f>
        <v/>
      </c>
      <c r="E447" s="60" t="str">
        <f>IFERROR(VLOOKUP($C447,instructions!$N$3:$O$5,2,false),"")</f>
        <v/>
      </c>
      <c r="F447" s="60" t="str">
        <f>IFERROR(VLOOKUP($D447,instructions!$N$3:$O$5,2,false),"")</f>
        <v/>
      </c>
      <c r="G447" s="60" t="str">
        <f t="array" ref="G447">IFERROR(INDEX('testmo-export-repository'!$B$2:$X$1000,MATCH($B447,'testmo-export-repository'!$A$2:$A$1000,false),MATCH(G$2,'testmo-export-repository'!$B$1:$X$1,false)),"")</f>
        <v/>
      </c>
      <c r="H447" s="60" t="str">
        <f t="array" ref="H447">IFERROR(INDEX('testmo-export-repository'!$B$2:$X$1000,MATCH($B447,'testmo-export-repository'!$A$2:$A$1000,false),MATCH(H$2,'testmo-export-repository'!$B$1:$X$1,false)),"")</f>
        <v/>
      </c>
      <c r="I447" s="60" t="str">
        <f t="array" ref="I447">IFERROR(INDEX('testmo-export-repository'!$B$2:$X$1000,MATCH($B447,'testmo-export-repository'!$A$2:$A$1000,false),MATCH(I$2,'testmo-export-repository'!$B$1:$X$1,false)),"")</f>
        <v/>
      </c>
      <c r="J447" s="60" t="str">
        <f t="array" ref="J447">IFERROR(INDEX('testmo-export-repository'!$B$2:$Y$1000,MATCH($B447,'testmo-export-repository'!$A$2:$A$1000,false),MATCH(J$2,'testmo-export-repository'!$B$1:$Y$1,false)),"")</f>
        <v/>
      </c>
      <c r="K447" s="60" t="str">
        <f t="array" ref="K447">IFERROR(INDEX('testmo-export-repository'!$B$2:$Y$1000,MATCH($B447,'testmo-export-repository'!$A$2:$A$1000,false),MATCH(K$2,'testmo-export-repository'!$B$1:$Y$1,false)),"")</f>
        <v/>
      </c>
    </row>
    <row r="448">
      <c r="B448" s="60" t="str">
        <f>'testmo-export-repository'!A447</f>
        <v/>
      </c>
      <c r="C448" s="60" t="str">
        <f t="array" ref="C448">IFERROR(INDEX('testmo-export-repository'!$B$2:$X$1000,MATCH($B448,'testmo-export-repository'!$A$2:$A$1000,false),MATCH(C$2,'testmo-export-repository'!$B$1:$X$1,false)),"")</f>
        <v/>
      </c>
      <c r="D448" s="60" t="str">
        <f t="array" ref="D448">IFERROR(INDEX('testmo-export-repository'!$B$2:$X$1000,MATCH($B448,'testmo-export-repository'!$A$2:$A$1000,false),MATCH(D$2,'testmo-export-repository'!$B$1:$X$1,false)),"")</f>
        <v/>
      </c>
      <c r="E448" s="60" t="str">
        <f>IFERROR(VLOOKUP($C448,instructions!$N$3:$O$5,2,false),"")</f>
        <v/>
      </c>
      <c r="F448" s="60" t="str">
        <f>IFERROR(VLOOKUP($D448,instructions!$N$3:$O$5,2,false),"")</f>
        <v/>
      </c>
      <c r="G448" s="60" t="str">
        <f t="array" ref="G448">IFERROR(INDEX('testmo-export-repository'!$B$2:$X$1000,MATCH($B448,'testmo-export-repository'!$A$2:$A$1000,false),MATCH(G$2,'testmo-export-repository'!$B$1:$X$1,false)),"")</f>
        <v/>
      </c>
      <c r="H448" s="60" t="str">
        <f t="array" ref="H448">IFERROR(INDEX('testmo-export-repository'!$B$2:$X$1000,MATCH($B448,'testmo-export-repository'!$A$2:$A$1000,false),MATCH(H$2,'testmo-export-repository'!$B$1:$X$1,false)),"")</f>
        <v/>
      </c>
      <c r="I448" s="60" t="str">
        <f t="array" ref="I448">IFERROR(INDEX('testmo-export-repository'!$B$2:$X$1000,MATCH($B448,'testmo-export-repository'!$A$2:$A$1000,false),MATCH(I$2,'testmo-export-repository'!$B$1:$X$1,false)),"")</f>
        <v/>
      </c>
      <c r="J448" s="60" t="str">
        <f t="array" ref="J448">IFERROR(INDEX('testmo-export-repository'!$B$2:$Y$1000,MATCH($B448,'testmo-export-repository'!$A$2:$A$1000,false),MATCH(J$2,'testmo-export-repository'!$B$1:$Y$1,false)),"")</f>
        <v/>
      </c>
      <c r="K448" s="60" t="str">
        <f t="array" ref="K448">IFERROR(INDEX('testmo-export-repository'!$B$2:$Y$1000,MATCH($B448,'testmo-export-repository'!$A$2:$A$1000,false),MATCH(K$2,'testmo-export-repository'!$B$1:$Y$1,false)),"")</f>
        <v/>
      </c>
    </row>
    <row r="449">
      <c r="B449" s="60" t="str">
        <f>'testmo-export-repository'!A448</f>
        <v/>
      </c>
      <c r="C449" s="60" t="str">
        <f t="array" ref="C449">IFERROR(INDEX('testmo-export-repository'!$B$2:$X$1000,MATCH($B449,'testmo-export-repository'!$A$2:$A$1000,false),MATCH(C$2,'testmo-export-repository'!$B$1:$X$1,false)),"")</f>
        <v/>
      </c>
      <c r="D449" s="60" t="str">
        <f t="array" ref="D449">IFERROR(INDEX('testmo-export-repository'!$B$2:$X$1000,MATCH($B449,'testmo-export-repository'!$A$2:$A$1000,false),MATCH(D$2,'testmo-export-repository'!$B$1:$X$1,false)),"")</f>
        <v/>
      </c>
      <c r="E449" s="60" t="str">
        <f>IFERROR(VLOOKUP($C449,instructions!$N$3:$O$5,2,false),"")</f>
        <v/>
      </c>
      <c r="F449" s="60" t="str">
        <f>IFERROR(VLOOKUP($D449,instructions!$N$3:$O$5,2,false),"")</f>
        <v/>
      </c>
      <c r="G449" s="60" t="str">
        <f t="array" ref="G449">IFERROR(INDEX('testmo-export-repository'!$B$2:$X$1000,MATCH($B449,'testmo-export-repository'!$A$2:$A$1000,false),MATCH(G$2,'testmo-export-repository'!$B$1:$X$1,false)),"")</f>
        <v/>
      </c>
      <c r="H449" s="60" t="str">
        <f t="array" ref="H449">IFERROR(INDEX('testmo-export-repository'!$B$2:$X$1000,MATCH($B449,'testmo-export-repository'!$A$2:$A$1000,false),MATCH(H$2,'testmo-export-repository'!$B$1:$X$1,false)),"")</f>
        <v/>
      </c>
      <c r="I449" s="60" t="str">
        <f t="array" ref="I449">IFERROR(INDEX('testmo-export-repository'!$B$2:$X$1000,MATCH($B449,'testmo-export-repository'!$A$2:$A$1000,false),MATCH(I$2,'testmo-export-repository'!$B$1:$X$1,false)),"")</f>
        <v/>
      </c>
      <c r="J449" s="60" t="str">
        <f t="array" ref="J449">IFERROR(INDEX('testmo-export-repository'!$B$2:$Y$1000,MATCH($B449,'testmo-export-repository'!$A$2:$A$1000,false),MATCH(J$2,'testmo-export-repository'!$B$1:$Y$1,false)),"")</f>
        <v/>
      </c>
      <c r="K449" s="60" t="str">
        <f t="array" ref="K449">IFERROR(INDEX('testmo-export-repository'!$B$2:$Y$1000,MATCH($B449,'testmo-export-repository'!$A$2:$A$1000,false),MATCH(K$2,'testmo-export-repository'!$B$1:$Y$1,false)),"")</f>
        <v/>
      </c>
    </row>
    <row r="450">
      <c r="B450" s="60" t="str">
        <f>'testmo-export-repository'!A449</f>
        <v/>
      </c>
      <c r="C450" s="60" t="str">
        <f t="array" ref="C450">IFERROR(INDEX('testmo-export-repository'!$B$2:$X$1000,MATCH($B450,'testmo-export-repository'!$A$2:$A$1000,false),MATCH(C$2,'testmo-export-repository'!$B$1:$X$1,false)),"")</f>
        <v/>
      </c>
      <c r="D450" s="60" t="str">
        <f t="array" ref="D450">IFERROR(INDEX('testmo-export-repository'!$B$2:$X$1000,MATCH($B450,'testmo-export-repository'!$A$2:$A$1000,false),MATCH(D$2,'testmo-export-repository'!$B$1:$X$1,false)),"")</f>
        <v/>
      </c>
      <c r="E450" s="60" t="str">
        <f>IFERROR(VLOOKUP($C450,instructions!$N$3:$O$5,2,false),"")</f>
        <v/>
      </c>
      <c r="F450" s="60" t="str">
        <f>IFERROR(VLOOKUP($D450,instructions!$N$3:$O$5,2,false),"")</f>
        <v/>
      </c>
      <c r="G450" s="60" t="str">
        <f t="array" ref="G450">IFERROR(INDEX('testmo-export-repository'!$B$2:$X$1000,MATCH($B450,'testmo-export-repository'!$A$2:$A$1000,false),MATCH(G$2,'testmo-export-repository'!$B$1:$X$1,false)),"")</f>
        <v/>
      </c>
      <c r="H450" s="60" t="str">
        <f t="array" ref="H450">IFERROR(INDEX('testmo-export-repository'!$B$2:$X$1000,MATCH($B450,'testmo-export-repository'!$A$2:$A$1000,false),MATCH(H$2,'testmo-export-repository'!$B$1:$X$1,false)),"")</f>
        <v/>
      </c>
      <c r="I450" s="60" t="str">
        <f t="array" ref="I450">IFERROR(INDEX('testmo-export-repository'!$B$2:$X$1000,MATCH($B450,'testmo-export-repository'!$A$2:$A$1000,false),MATCH(I$2,'testmo-export-repository'!$B$1:$X$1,false)),"")</f>
        <v/>
      </c>
      <c r="J450" s="60" t="str">
        <f t="array" ref="J450">IFERROR(INDEX('testmo-export-repository'!$B$2:$Y$1000,MATCH($B450,'testmo-export-repository'!$A$2:$A$1000,false),MATCH(J$2,'testmo-export-repository'!$B$1:$Y$1,false)),"")</f>
        <v/>
      </c>
      <c r="K450" s="60" t="str">
        <f t="array" ref="K450">IFERROR(INDEX('testmo-export-repository'!$B$2:$Y$1000,MATCH($B450,'testmo-export-repository'!$A$2:$A$1000,false),MATCH(K$2,'testmo-export-repository'!$B$1:$Y$1,false)),"")</f>
        <v/>
      </c>
    </row>
    <row r="451">
      <c r="B451" s="60" t="str">
        <f>'testmo-export-repository'!A450</f>
        <v/>
      </c>
      <c r="C451" s="60" t="str">
        <f t="array" ref="C451">IFERROR(INDEX('testmo-export-repository'!$B$2:$X$1000,MATCH($B451,'testmo-export-repository'!$A$2:$A$1000,false),MATCH(C$2,'testmo-export-repository'!$B$1:$X$1,false)),"")</f>
        <v/>
      </c>
      <c r="D451" s="60" t="str">
        <f t="array" ref="D451">IFERROR(INDEX('testmo-export-repository'!$B$2:$X$1000,MATCH($B451,'testmo-export-repository'!$A$2:$A$1000,false),MATCH(D$2,'testmo-export-repository'!$B$1:$X$1,false)),"")</f>
        <v/>
      </c>
      <c r="E451" s="60" t="str">
        <f>IFERROR(VLOOKUP($C451,instructions!$N$3:$O$5,2,false),"")</f>
        <v/>
      </c>
      <c r="F451" s="60" t="str">
        <f>IFERROR(VLOOKUP($D451,instructions!$N$3:$O$5,2,false),"")</f>
        <v/>
      </c>
      <c r="G451" s="60" t="str">
        <f t="array" ref="G451">IFERROR(INDEX('testmo-export-repository'!$B$2:$X$1000,MATCH($B451,'testmo-export-repository'!$A$2:$A$1000,false),MATCH(G$2,'testmo-export-repository'!$B$1:$X$1,false)),"")</f>
        <v/>
      </c>
      <c r="H451" s="60" t="str">
        <f t="array" ref="H451">IFERROR(INDEX('testmo-export-repository'!$B$2:$X$1000,MATCH($B451,'testmo-export-repository'!$A$2:$A$1000,false),MATCH(H$2,'testmo-export-repository'!$B$1:$X$1,false)),"")</f>
        <v/>
      </c>
      <c r="I451" s="60" t="str">
        <f t="array" ref="I451">IFERROR(INDEX('testmo-export-repository'!$B$2:$X$1000,MATCH($B451,'testmo-export-repository'!$A$2:$A$1000,false),MATCH(I$2,'testmo-export-repository'!$B$1:$X$1,false)),"")</f>
        <v/>
      </c>
      <c r="J451" s="60" t="str">
        <f t="array" ref="J451">IFERROR(INDEX('testmo-export-repository'!$B$2:$Y$1000,MATCH($B451,'testmo-export-repository'!$A$2:$A$1000,false),MATCH(J$2,'testmo-export-repository'!$B$1:$Y$1,false)),"")</f>
        <v/>
      </c>
      <c r="K451" s="60" t="str">
        <f t="array" ref="K451">IFERROR(INDEX('testmo-export-repository'!$B$2:$Y$1000,MATCH($B451,'testmo-export-repository'!$A$2:$A$1000,false),MATCH(K$2,'testmo-export-repository'!$B$1:$Y$1,false)),"")</f>
        <v/>
      </c>
    </row>
    <row r="452">
      <c r="B452" s="60" t="str">
        <f>'testmo-export-repository'!A451</f>
        <v/>
      </c>
      <c r="C452" s="60" t="str">
        <f t="array" ref="C452">IFERROR(INDEX('testmo-export-repository'!$B$2:$X$1000,MATCH($B452,'testmo-export-repository'!$A$2:$A$1000,false),MATCH(C$2,'testmo-export-repository'!$B$1:$X$1,false)),"")</f>
        <v/>
      </c>
      <c r="D452" s="60" t="str">
        <f t="array" ref="D452">IFERROR(INDEX('testmo-export-repository'!$B$2:$X$1000,MATCH($B452,'testmo-export-repository'!$A$2:$A$1000,false),MATCH(D$2,'testmo-export-repository'!$B$1:$X$1,false)),"")</f>
        <v/>
      </c>
      <c r="E452" s="60" t="str">
        <f>IFERROR(VLOOKUP($C452,instructions!$N$3:$O$5,2,false),"")</f>
        <v/>
      </c>
      <c r="F452" s="60" t="str">
        <f>IFERROR(VLOOKUP($D452,instructions!$N$3:$O$5,2,false),"")</f>
        <v/>
      </c>
      <c r="G452" s="60" t="str">
        <f t="array" ref="G452">IFERROR(INDEX('testmo-export-repository'!$B$2:$X$1000,MATCH($B452,'testmo-export-repository'!$A$2:$A$1000,false),MATCH(G$2,'testmo-export-repository'!$B$1:$X$1,false)),"")</f>
        <v/>
      </c>
      <c r="H452" s="60" t="str">
        <f t="array" ref="H452">IFERROR(INDEX('testmo-export-repository'!$B$2:$X$1000,MATCH($B452,'testmo-export-repository'!$A$2:$A$1000,false),MATCH(H$2,'testmo-export-repository'!$B$1:$X$1,false)),"")</f>
        <v/>
      </c>
      <c r="I452" s="60" t="str">
        <f t="array" ref="I452">IFERROR(INDEX('testmo-export-repository'!$B$2:$X$1000,MATCH($B452,'testmo-export-repository'!$A$2:$A$1000,false),MATCH(I$2,'testmo-export-repository'!$B$1:$X$1,false)),"")</f>
        <v/>
      </c>
      <c r="J452" s="60" t="str">
        <f t="array" ref="J452">IFERROR(INDEX('testmo-export-repository'!$B$2:$Y$1000,MATCH($B452,'testmo-export-repository'!$A$2:$A$1000,false),MATCH(J$2,'testmo-export-repository'!$B$1:$Y$1,false)),"")</f>
        <v/>
      </c>
      <c r="K452" s="60" t="str">
        <f t="array" ref="K452">IFERROR(INDEX('testmo-export-repository'!$B$2:$Y$1000,MATCH($B452,'testmo-export-repository'!$A$2:$A$1000,false),MATCH(K$2,'testmo-export-repository'!$B$1:$Y$1,false)),"")</f>
        <v/>
      </c>
    </row>
    <row r="453">
      <c r="B453" s="60" t="str">
        <f>'testmo-export-repository'!A452</f>
        <v/>
      </c>
      <c r="C453" s="60" t="str">
        <f t="array" ref="C453">IFERROR(INDEX('testmo-export-repository'!$B$2:$X$1000,MATCH($B453,'testmo-export-repository'!$A$2:$A$1000,false),MATCH(C$2,'testmo-export-repository'!$B$1:$X$1,false)),"")</f>
        <v/>
      </c>
      <c r="D453" s="60" t="str">
        <f t="array" ref="D453">IFERROR(INDEX('testmo-export-repository'!$B$2:$X$1000,MATCH($B453,'testmo-export-repository'!$A$2:$A$1000,false),MATCH(D$2,'testmo-export-repository'!$B$1:$X$1,false)),"")</f>
        <v/>
      </c>
      <c r="E453" s="60" t="str">
        <f>IFERROR(VLOOKUP($C453,instructions!$N$3:$O$5,2,false),"")</f>
        <v/>
      </c>
      <c r="F453" s="60" t="str">
        <f>IFERROR(VLOOKUP($D453,instructions!$N$3:$O$5,2,false),"")</f>
        <v/>
      </c>
      <c r="G453" s="60" t="str">
        <f t="array" ref="G453">IFERROR(INDEX('testmo-export-repository'!$B$2:$X$1000,MATCH($B453,'testmo-export-repository'!$A$2:$A$1000,false),MATCH(G$2,'testmo-export-repository'!$B$1:$X$1,false)),"")</f>
        <v/>
      </c>
      <c r="H453" s="60" t="str">
        <f t="array" ref="H453">IFERROR(INDEX('testmo-export-repository'!$B$2:$X$1000,MATCH($B453,'testmo-export-repository'!$A$2:$A$1000,false),MATCH(H$2,'testmo-export-repository'!$B$1:$X$1,false)),"")</f>
        <v/>
      </c>
      <c r="I453" s="60" t="str">
        <f t="array" ref="I453">IFERROR(INDEX('testmo-export-repository'!$B$2:$X$1000,MATCH($B453,'testmo-export-repository'!$A$2:$A$1000,false),MATCH(I$2,'testmo-export-repository'!$B$1:$X$1,false)),"")</f>
        <v/>
      </c>
      <c r="J453" s="60" t="str">
        <f t="array" ref="J453">IFERROR(INDEX('testmo-export-repository'!$B$2:$Y$1000,MATCH($B453,'testmo-export-repository'!$A$2:$A$1000,false),MATCH(J$2,'testmo-export-repository'!$B$1:$Y$1,false)),"")</f>
        <v/>
      </c>
      <c r="K453" s="60" t="str">
        <f t="array" ref="K453">IFERROR(INDEX('testmo-export-repository'!$B$2:$Y$1000,MATCH($B453,'testmo-export-repository'!$A$2:$A$1000,false),MATCH(K$2,'testmo-export-repository'!$B$1:$Y$1,false)),"")</f>
        <v/>
      </c>
    </row>
    <row r="454">
      <c r="B454" s="60" t="str">
        <f>'testmo-export-repository'!A453</f>
        <v/>
      </c>
      <c r="C454" s="60" t="str">
        <f t="array" ref="C454">IFERROR(INDEX('testmo-export-repository'!$B$2:$X$1000,MATCH($B454,'testmo-export-repository'!$A$2:$A$1000,false),MATCH(C$2,'testmo-export-repository'!$B$1:$X$1,false)),"")</f>
        <v/>
      </c>
      <c r="D454" s="60" t="str">
        <f t="array" ref="D454">IFERROR(INDEX('testmo-export-repository'!$B$2:$X$1000,MATCH($B454,'testmo-export-repository'!$A$2:$A$1000,false),MATCH(D$2,'testmo-export-repository'!$B$1:$X$1,false)),"")</f>
        <v/>
      </c>
      <c r="E454" s="60" t="str">
        <f>IFERROR(VLOOKUP($C454,instructions!$N$3:$O$5,2,false),"")</f>
        <v/>
      </c>
      <c r="F454" s="60" t="str">
        <f>IFERROR(VLOOKUP($D454,instructions!$N$3:$O$5,2,false),"")</f>
        <v/>
      </c>
      <c r="G454" s="60" t="str">
        <f t="array" ref="G454">IFERROR(INDEX('testmo-export-repository'!$B$2:$X$1000,MATCH($B454,'testmo-export-repository'!$A$2:$A$1000,false),MATCH(G$2,'testmo-export-repository'!$B$1:$X$1,false)),"")</f>
        <v/>
      </c>
      <c r="H454" s="60" t="str">
        <f t="array" ref="H454">IFERROR(INDEX('testmo-export-repository'!$B$2:$X$1000,MATCH($B454,'testmo-export-repository'!$A$2:$A$1000,false),MATCH(H$2,'testmo-export-repository'!$B$1:$X$1,false)),"")</f>
        <v/>
      </c>
      <c r="I454" s="60" t="str">
        <f t="array" ref="I454">IFERROR(INDEX('testmo-export-repository'!$B$2:$X$1000,MATCH($B454,'testmo-export-repository'!$A$2:$A$1000,false),MATCH(I$2,'testmo-export-repository'!$B$1:$X$1,false)),"")</f>
        <v/>
      </c>
      <c r="J454" s="60" t="str">
        <f t="array" ref="J454">IFERROR(INDEX('testmo-export-repository'!$B$2:$Y$1000,MATCH($B454,'testmo-export-repository'!$A$2:$A$1000,false),MATCH(J$2,'testmo-export-repository'!$B$1:$Y$1,false)),"")</f>
        <v/>
      </c>
      <c r="K454" s="60" t="str">
        <f t="array" ref="K454">IFERROR(INDEX('testmo-export-repository'!$B$2:$Y$1000,MATCH($B454,'testmo-export-repository'!$A$2:$A$1000,false),MATCH(K$2,'testmo-export-repository'!$B$1:$Y$1,false)),"")</f>
        <v/>
      </c>
    </row>
    <row r="455">
      <c r="B455" s="60" t="str">
        <f>'testmo-export-repository'!A454</f>
        <v/>
      </c>
      <c r="C455" s="60" t="str">
        <f t="array" ref="C455">IFERROR(INDEX('testmo-export-repository'!$B$2:$X$1000,MATCH($B455,'testmo-export-repository'!$A$2:$A$1000,false),MATCH(C$2,'testmo-export-repository'!$B$1:$X$1,false)),"")</f>
        <v/>
      </c>
      <c r="D455" s="60" t="str">
        <f t="array" ref="D455">IFERROR(INDEX('testmo-export-repository'!$B$2:$X$1000,MATCH($B455,'testmo-export-repository'!$A$2:$A$1000,false),MATCH(D$2,'testmo-export-repository'!$B$1:$X$1,false)),"")</f>
        <v/>
      </c>
      <c r="E455" s="60" t="str">
        <f>IFERROR(VLOOKUP($C455,instructions!$N$3:$O$5,2,false),"")</f>
        <v/>
      </c>
      <c r="F455" s="60" t="str">
        <f>IFERROR(VLOOKUP($D455,instructions!$N$3:$O$5,2,false),"")</f>
        <v/>
      </c>
      <c r="G455" s="60" t="str">
        <f t="array" ref="G455">IFERROR(INDEX('testmo-export-repository'!$B$2:$X$1000,MATCH($B455,'testmo-export-repository'!$A$2:$A$1000,false),MATCH(G$2,'testmo-export-repository'!$B$1:$X$1,false)),"")</f>
        <v/>
      </c>
      <c r="H455" s="60" t="str">
        <f t="array" ref="H455">IFERROR(INDEX('testmo-export-repository'!$B$2:$X$1000,MATCH($B455,'testmo-export-repository'!$A$2:$A$1000,false),MATCH(H$2,'testmo-export-repository'!$B$1:$X$1,false)),"")</f>
        <v/>
      </c>
      <c r="I455" s="60" t="str">
        <f t="array" ref="I455">IFERROR(INDEX('testmo-export-repository'!$B$2:$X$1000,MATCH($B455,'testmo-export-repository'!$A$2:$A$1000,false),MATCH(I$2,'testmo-export-repository'!$B$1:$X$1,false)),"")</f>
        <v/>
      </c>
      <c r="J455" s="60" t="str">
        <f t="array" ref="J455">IFERROR(INDEX('testmo-export-repository'!$B$2:$Y$1000,MATCH($B455,'testmo-export-repository'!$A$2:$A$1000,false),MATCH(J$2,'testmo-export-repository'!$B$1:$Y$1,false)),"")</f>
        <v/>
      </c>
      <c r="K455" s="60" t="str">
        <f t="array" ref="K455">IFERROR(INDEX('testmo-export-repository'!$B$2:$Y$1000,MATCH($B455,'testmo-export-repository'!$A$2:$A$1000,false),MATCH(K$2,'testmo-export-repository'!$B$1:$Y$1,false)),"")</f>
        <v/>
      </c>
    </row>
    <row r="456">
      <c r="B456" s="60" t="str">
        <f>'testmo-export-repository'!A455</f>
        <v/>
      </c>
      <c r="C456" s="60" t="str">
        <f t="array" ref="C456">IFERROR(INDEX('testmo-export-repository'!$B$2:$X$1000,MATCH($B456,'testmo-export-repository'!$A$2:$A$1000,false),MATCH(C$2,'testmo-export-repository'!$B$1:$X$1,false)),"")</f>
        <v/>
      </c>
      <c r="D456" s="60" t="str">
        <f t="array" ref="D456">IFERROR(INDEX('testmo-export-repository'!$B$2:$X$1000,MATCH($B456,'testmo-export-repository'!$A$2:$A$1000,false),MATCH(D$2,'testmo-export-repository'!$B$1:$X$1,false)),"")</f>
        <v/>
      </c>
      <c r="E456" s="60" t="str">
        <f>IFERROR(VLOOKUP($C456,instructions!$N$3:$O$5,2,false),"")</f>
        <v/>
      </c>
      <c r="F456" s="60" t="str">
        <f>IFERROR(VLOOKUP($D456,instructions!$N$3:$O$5,2,false),"")</f>
        <v/>
      </c>
      <c r="G456" s="60" t="str">
        <f t="array" ref="G456">IFERROR(INDEX('testmo-export-repository'!$B$2:$X$1000,MATCH($B456,'testmo-export-repository'!$A$2:$A$1000,false),MATCH(G$2,'testmo-export-repository'!$B$1:$X$1,false)),"")</f>
        <v/>
      </c>
      <c r="H456" s="60" t="str">
        <f t="array" ref="H456">IFERROR(INDEX('testmo-export-repository'!$B$2:$X$1000,MATCH($B456,'testmo-export-repository'!$A$2:$A$1000,false),MATCH(H$2,'testmo-export-repository'!$B$1:$X$1,false)),"")</f>
        <v/>
      </c>
      <c r="I456" s="60" t="str">
        <f t="array" ref="I456">IFERROR(INDEX('testmo-export-repository'!$B$2:$X$1000,MATCH($B456,'testmo-export-repository'!$A$2:$A$1000,false),MATCH(I$2,'testmo-export-repository'!$B$1:$X$1,false)),"")</f>
        <v/>
      </c>
      <c r="J456" s="60" t="str">
        <f t="array" ref="J456">IFERROR(INDEX('testmo-export-repository'!$B$2:$Y$1000,MATCH($B456,'testmo-export-repository'!$A$2:$A$1000,false),MATCH(J$2,'testmo-export-repository'!$B$1:$Y$1,false)),"")</f>
        <v/>
      </c>
      <c r="K456" s="60" t="str">
        <f t="array" ref="K456">IFERROR(INDEX('testmo-export-repository'!$B$2:$Y$1000,MATCH($B456,'testmo-export-repository'!$A$2:$A$1000,false),MATCH(K$2,'testmo-export-repository'!$B$1:$Y$1,false)),"")</f>
        <v/>
      </c>
    </row>
    <row r="457">
      <c r="B457" s="60" t="str">
        <f>'testmo-export-repository'!A456</f>
        <v/>
      </c>
      <c r="C457" s="60" t="str">
        <f t="array" ref="C457">IFERROR(INDEX('testmo-export-repository'!$B$2:$X$1000,MATCH($B457,'testmo-export-repository'!$A$2:$A$1000,false),MATCH(C$2,'testmo-export-repository'!$B$1:$X$1,false)),"")</f>
        <v/>
      </c>
      <c r="D457" s="60" t="str">
        <f t="array" ref="D457">IFERROR(INDEX('testmo-export-repository'!$B$2:$X$1000,MATCH($B457,'testmo-export-repository'!$A$2:$A$1000,false),MATCH(D$2,'testmo-export-repository'!$B$1:$X$1,false)),"")</f>
        <v/>
      </c>
      <c r="E457" s="60" t="str">
        <f>IFERROR(VLOOKUP($C457,instructions!$N$3:$O$5,2,false),"")</f>
        <v/>
      </c>
      <c r="F457" s="60" t="str">
        <f>IFERROR(VLOOKUP($D457,instructions!$N$3:$O$5,2,false),"")</f>
        <v/>
      </c>
      <c r="G457" s="60" t="str">
        <f t="array" ref="G457">IFERROR(INDEX('testmo-export-repository'!$B$2:$X$1000,MATCH($B457,'testmo-export-repository'!$A$2:$A$1000,false),MATCH(G$2,'testmo-export-repository'!$B$1:$X$1,false)),"")</f>
        <v/>
      </c>
      <c r="H457" s="60" t="str">
        <f t="array" ref="H457">IFERROR(INDEX('testmo-export-repository'!$B$2:$X$1000,MATCH($B457,'testmo-export-repository'!$A$2:$A$1000,false),MATCH(H$2,'testmo-export-repository'!$B$1:$X$1,false)),"")</f>
        <v/>
      </c>
      <c r="I457" s="60" t="str">
        <f t="array" ref="I457">IFERROR(INDEX('testmo-export-repository'!$B$2:$X$1000,MATCH($B457,'testmo-export-repository'!$A$2:$A$1000,false),MATCH(I$2,'testmo-export-repository'!$B$1:$X$1,false)),"")</f>
        <v/>
      </c>
      <c r="J457" s="60" t="str">
        <f t="array" ref="J457">IFERROR(INDEX('testmo-export-repository'!$B$2:$Y$1000,MATCH($B457,'testmo-export-repository'!$A$2:$A$1000,false),MATCH(J$2,'testmo-export-repository'!$B$1:$Y$1,false)),"")</f>
        <v/>
      </c>
      <c r="K457" s="60" t="str">
        <f t="array" ref="K457">IFERROR(INDEX('testmo-export-repository'!$B$2:$Y$1000,MATCH($B457,'testmo-export-repository'!$A$2:$A$1000,false),MATCH(K$2,'testmo-export-repository'!$B$1:$Y$1,false)),"")</f>
        <v/>
      </c>
    </row>
    <row r="458">
      <c r="B458" s="60" t="str">
        <f>'testmo-export-repository'!A457</f>
        <v/>
      </c>
      <c r="C458" s="60" t="str">
        <f t="array" ref="C458">IFERROR(INDEX('testmo-export-repository'!$B$2:$X$1000,MATCH($B458,'testmo-export-repository'!$A$2:$A$1000,false),MATCH(C$2,'testmo-export-repository'!$B$1:$X$1,false)),"")</f>
        <v/>
      </c>
      <c r="D458" s="60" t="str">
        <f t="array" ref="D458">IFERROR(INDEX('testmo-export-repository'!$B$2:$X$1000,MATCH($B458,'testmo-export-repository'!$A$2:$A$1000,false),MATCH(D$2,'testmo-export-repository'!$B$1:$X$1,false)),"")</f>
        <v/>
      </c>
      <c r="E458" s="60" t="str">
        <f>IFERROR(VLOOKUP($C458,instructions!$N$3:$O$5,2,false),"")</f>
        <v/>
      </c>
      <c r="F458" s="60" t="str">
        <f>IFERROR(VLOOKUP($D458,instructions!$N$3:$O$5,2,false),"")</f>
        <v/>
      </c>
      <c r="G458" s="60" t="str">
        <f t="array" ref="G458">IFERROR(INDEX('testmo-export-repository'!$B$2:$X$1000,MATCH($B458,'testmo-export-repository'!$A$2:$A$1000,false),MATCH(G$2,'testmo-export-repository'!$B$1:$X$1,false)),"")</f>
        <v/>
      </c>
      <c r="H458" s="60" t="str">
        <f t="array" ref="H458">IFERROR(INDEX('testmo-export-repository'!$B$2:$X$1000,MATCH($B458,'testmo-export-repository'!$A$2:$A$1000,false),MATCH(H$2,'testmo-export-repository'!$B$1:$X$1,false)),"")</f>
        <v/>
      </c>
      <c r="I458" s="60" t="str">
        <f t="array" ref="I458">IFERROR(INDEX('testmo-export-repository'!$B$2:$X$1000,MATCH($B458,'testmo-export-repository'!$A$2:$A$1000,false),MATCH(I$2,'testmo-export-repository'!$B$1:$X$1,false)),"")</f>
        <v/>
      </c>
      <c r="J458" s="60" t="str">
        <f t="array" ref="J458">IFERROR(INDEX('testmo-export-repository'!$B$2:$Y$1000,MATCH($B458,'testmo-export-repository'!$A$2:$A$1000,false),MATCH(J$2,'testmo-export-repository'!$B$1:$Y$1,false)),"")</f>
        <v/>
      </c>
      <c r="K458" s="60" t="str">
        <f t="array" ref="K458">IFERROR(INDEX('testmo-export-repository'!$B$2:$Y$1000,MATCH($B458,'testmo-export-repository'!$A$2:$A$1000,false),MATCH(K$2,'testmo-export-repository'!$B$1:$Y$1,false)),"")</f>
        <v/>
      </c>
    </row>
    <row r="459">
      <c r="B459" s="60" t="str">
        <f>'testmo-export-repository'!A458</f>
        <v/>
      </c>
      <c r="C459" s="60" t="str">
        <f t="array" ref="C459">IFERROR(INDEX('testmo-export-repository'!$B$2:$X$1000,MATCH($B459,'testmo-export-repository'!$A$2:$A$1000,false),MATCH(C$2,'testmo-export-repository'!$B$1:$X$1,false)),"")</f>
        <v/>
      </c>
      <c r="D459" s="60" t="str">
        <f t="array" ref="D459">IFERROR(INDEX('testmo-export-repository'!$B$2:$X$1000,MATCH($B459,'testmo-export-repository'!$A$2:$A$1000,false),MATCH(D$2,'testmo-export-repository'!$B$1:$X$1,false)),"")</f>
        <v/>
      </c>
      <c r="E459" s="60" t="str">
        <f>IFERROR(VLOOKUP($C459,instructions!$N$3:$O$5,2,false),"")</f>
        <v/>
      </c>
      <c r="F459" s="60" t="str">
        <f>IFERROR(VLOOKUP($D459,instructions!$N$3:$O$5,2,false),"")</f>
        <v/>
      </c>
      <c r="G459" s="60" t="str">
        <f t="array" ref="G459">IFERROR(INDEX('testmo-export-repository'!$B$2:$X$1000,MATCH($B459,'testmo-export-repository'!$A$2:$A$1000,false),MATCH(G$2,'testmo-export-repository'!$B$1:$X$1,false)),"")</f>
        <v/>
      </c>
      <c r="H459" s="60" t="str">
        <f t="array" ref="H459">IFERROR(INDEX('testmo-export-repository'!$B$2:$X$1000,MATCH($B459,'testmo-export-repository'!$A$2:$A$1000,false),MATCH(H$2,'testmo-export-repository'!$B$1:$X$1,false)),"")</f>
        <v/>
      </c>
      <c r="I459" s="60" t="str">
        <f t="array" ref="I459">IFERROR(INDEX('testmo-export-repository'!$B$2:$X$1000,MATCH($B459,'testmo-export-repository'!$A$2:$A$1000,false),MATCH(I$2,'testmo-export-repository'!$B$1:$X$1,false)),"")</f>
        <v/>
      </c>
      <c r="J459" s="60" t="str">
        <f t="array" ref="J459">IFERROR(INDEX('testmo-export-repository'!$B$2:$Y$1000,MATCH($B459,'testmo-export-repository'!$A$2:$A$1000,false),MATCH(J$2,'testmo-export-repository'!$B$1:$Y$1,false)),"")</f>
        <v/>
      </c>
      <c r="K459" s="60" t="str">
        <f t="array" ref="K459">IFERROR(INDEX('testmo-export-repository'!$B$2:$Y$1000,MATCH($B459,'testmo-export-repository'!$A$2:$A$1000,false),MATCH(K$2,'testmo-export-repository'!$B$1:$Y$1,false)),"")</f>
        <v/>
      </c>
    </row>
    <row r="460">
      <c r="B460" s="60" t="str">
        <f>'testmo-export-repository'!A459</f>
        <v/>
      </c>
      <c r="C460" s="60" t="str">
        <f t="array" ref="C460">IFERROR(INDEX('testmo-export-repository'!$B$2:$X$1000,MATCH($B460,'testmo-export-repository'!$A$2:$A$1000,false),MATCH(C$2,'testmo-export-repository'!$B$1:$X$1,false)),"")</f>
        <v/>
      </c>
      <c r="D460" s="60" t="str">
        <f t="array" ref="D460">IFERROR(INDEX('testmo-export-repository'!$B$2:$X$1000,MATCH($B460,'testmo-export-repository'!$A$2:$A$1000,false),MATCH(D$2,'testmo-export-repository'!$B$1:$X$1,false)),"")</f>
        <v/>
      </c>
      <c r="E460" s="60" t="str">
        <f>IFERROR(VLOOKUP($C460,instructions!$N$3:$O$5,2,false),"")</f>
        <v/>
      </c>
      <c r="F460" s="60" t="str">
        <f>IFERROR(VLOOKUP($D460,instructions!$N$3:$O$5,2,false),"")</f>
        <v/>
      </c>
      <c r="G460" s="60" t="str">
        <f t="array" ref="G460">IFERROR(INDEX('testmo-export-repository'!$B$2:$X$1000,MATCH($B460,'testmo-export-repository'!$A$2:$A$1000,false),MATCH(G$2,'testmo-export-repository'!$B$1:$X$1,false)),"")</f>
        <v/>
      </c>
      <c r="H460" s="60" t="str">
        <f t="array" ref="H460">IFERROR(INDEX('testmo-export-repository'!$B$2:$X$1000,MATCH($B460,'testmo-export-repository'!$A$2:$A$1000,false),MATCH(H$2,'testmo-export-repository'!$B$1:$X$1,false)),"")</f>
        <v/>
      </c>
      <c r="I460" s="60" t="str">
        <f t="array" ref="I460">IFERROR(INDEX('testmo-export-repository'!$B$2:$X$1000,MATCH($B460,'testmo-export-repository'!$A$2:$A$1000,false),MATCH(I$2,'testmo-export-repository'!$B$1:$X$1,false)),"")</f>
        <v/>
      </c>
      <c r="J460" s="60" t="str">
        <f t="array" ref="J460">IFERROR(INDEX('testmo-export-repository'!$B$2:$Y$1000,MATCH($B460,'testmo-export-repository'!$A$2:$A$1000,false),MATCH(J$2,'testmo-export-repository'!$B$1:$Y$1,false)),"")</f>
        <v/>
      </c>
      <c r="K460" s="60" t="str">
        <f t="array" ref="K460">IFERROR(INDEX('testmo-export-repository'!$B$2:$Y$1000,MATCH($B460,'testmo-export-repository'!$A$2:$A$1000,false),MATCH(K$2,'testmo-export-repository'!$B$1:$Y$1,false)),"")</f>
        <v/>
      </c>
    </row>
    <row r="461">
      <c r="B461" s="60" t="str">
        <f>'testmo-export-repository'!A460</f>
        <v/>
      </c>
      <c r="C461" s="60" t="str">
        <f t="array" ref="C461">IFERROR(INDEX('testmo-export-repository'!$B$2:$X$1000,MATCH($B461,'testmo-export-repository'!$A$2:$A$1000,false),MATCH(C$2,'testmo-export-repository'!$B$1:$X$1,false)),"")</f>
        <v/>
      </c>
      <c r="D461" s="60" t="str">
        <f t="array" ref="D461">IFERROR(INDEX('testmo-export-repository'!$B$2:$X$1000,MATCH($B461,'testmo-export-repository'!$A$2:$A$1000,false),MATCH(D$2,'testmo-export-repository'!$B$1:$X$1,false)),"")</f>
        <v/>
      </c>
      <c r="E461" s="60" t="str">
        <f>IFERROR(VLOOKUP($C461,instructions!$N$3:$O$5,2,false),"")</f>
        <v/>
      </c>
      <c r="F461" s="60" t="str">
        <f>IFERROR(VLOOKUP($D461,instructions!$N$3:$O$5,2,false),"")</f>
        <v/>
      </c>
      <c r="G461" s="60" t="str">
        <f t="array" ref="G461">IFERROR(INDEX('testmo-export-repository'!$B$2:$X$1000,MATCH($B461,'testmo-export-repository'!$A$2:$A$1000,false),MATCH(G$2,'testmo-export-repository'!$B$1:$X$1,false)),"")</f>
        <v/>
      </c>
      <c r="H461" s="60" t="str">
        <f t="array" ref="H461">IFERROR(INDEX('testmo-export-repository'!$B$2:$X$1000,MATCH($B461,'testmo-export-repository'!$A$2:$A$1000,false),MATCH(H$2,'testmo-export-repository'!$B$1:$X$1,false)),"")</f>
        <v/>
      </c>
      <c r="I461" s="60" t="str">
        <f t="array" ref="I461">IFERROR(INDEX('testmo-export-repository'!$B$2:$X$1000,MATCH($B461,'testmo-export-repository'!$A$2:$A$1000,false),MATCH(I$2,'testmo-export-repository'!$B$1:$X$1,false)),"")</f>
        <v/>
      </c>
      <c r="J461" s="60" t="str">
        <f t="array" ref="J461">IFERROR(INDEX('testmo-export-repository'!$B$2:$Y$1000,MATCH($B461,'testmo-export-repository'!$A$2:$A$1000,false),MATCH(J$2,'testmo-export-repository'!$B$1:$Y$1,false)),"")</f>
        <v/>
      </c>
      <c r="K461" s="60" t="str">
        <f t="array" ref="K461">IFERROR(INDEX('testmo-export-repository'!$B$2:$Y$1000,MATCH($B461,'testmo-export-repository'!$A$2:$A$1000,false),MATCH(K$2,'testmo-export-repository'!$B$1:$Y$1,false)),"")</f>
        <v/>
      </c>
    </row>
    <row r="462">
      <c r="B462" s="60" t="str">
        <f>'testmo-export-repository'!A461</f>
        <v/>
      </c>
      <c r="C462" s="60" t="str">
        <f t="array" ref="C462">IFERROR(INDEX('testmo-export-repository'!$B$2:$X$1000,MATCH($B462,'testmo-export-repository'!$A$2:$A$1000,false),MATCH(C$2,'testmo-export-repository'!$B$1:$X$1,false)),"")</f>
        <v/>
      </c>
      <c r="D462" s="60" t="str">
        <f t="array" ref="D462">IFERROR(INDEX('testmo-export-repository'!$B$2:$X$1000,MATCH($B462,'testmo-export-repository'!$A$2:$A$1000,false),MATCH(D$2,'testmo-export-repository'!$B$1:$X$1,false)),"")</f>
        <v/>
      </c>
      <c r="E462" s="60" t="str">
        <f>IFERROR(VLOOKUP($C462,instructions!$N$3:$O$5,2,false),"")</f>
        <v/>
      </c>
      <c r="F462" s="60" t="str">
        <f>IFERROR(VLOOKUP($D462,instructions!$N$3:$O$5,2,false),"")</f>
        <v/>
      </c>
      <c r="G462" s="60" t="str">
        <f t="array" ref="G462">IFERROR(INDEX('testmo-export-repository'!$B$2:$X$1000,MATCH($B462,'testmo-export-repository'!$A$2:$A$1000,false),MATCH(G$2,'testmo-export-repository'!$B$1:$X$1,false)),"")</f>
        <v/>
      </c>
      <c r="H462" s="60" t="str">
        <f t="array" ref="H462">IFERROR(INDEX('testmo-export-repository'!$B$2:$X$1000,MATCH($B462,'testmo-export-repository'!$A$2:$A$1000,false),MATCH(H$2,'testmo-export-repository'!$B$1:$X$1,false)),"")</f>
        <v/>
      </c>
      <c r="I462" s="60" t="str">
        <f t="array" ref="I462">IFERROR(INDEX('testmo-export-repository'!$B$2:$X$1000,MATCH($B462,'testmo-export-repository'!$A$2:$A$1000,false),MATCH(I$2,'testmo-export-repository'!$B$1:$X$1,false)),"")</f>
        <v/>
      </c>
      <c r="J462" s="60" t="str">
        <f t="array" ref="J462">IFERROR(INDEX('testmo-export-repository'!$B$2:$Y$1000,MATCH($B462,'testmo-export-repository'!$A$2:$A$1000,false),MATCH(J$2,'testmo-export-repository'!$B$1:$Y$1,false)),"")</f>
        <v/>
      </c>
      <c r="K462" s="60" t="str">
        <f t="array" ref="K462">IFERROR(INDEX('testmo-export-repository'!$B$2:$Y$1000,MATCH($B462,'testmo-export-repository'!$A$2:$A$1000,false),MATCH(K$2,'testmo-export-repository'!$B$1:$Y$1,false)),"")</f>
        <v/>
      </c>
    </row>
    <row r="463">
      <c r="B463" s="60" t="str">
        <f>'testmo-export-repository'!A462</f>
        <v/>
      </c>
      <c r="C463" s="60" t="str">
        <f t="array" ref="C463">IFERROR(INDEX('testmo-export-repository'!$B$2:$X$1000,MATCH($B463,'testmo-export-repository'!$A$2:$A$1000,false),MATCH(C$2,'testmo-export-repository'!$B$1:$X$1,false)),"")</f>
        <v/>
      </c>
      <c r="D463" s="60" t="str">
        <f t="array" ref="D463">IFERROR(INDEX('testmo-export-repository'!$B$2:$X$1000,MATCH($B463,'testmo-export-repository'!$A$2:$A$1000,false),MATCH(D$2,'testmo-export-repository'!$B$1:$X$1,false)),"")</f>
        <v/>
      </c>
      <c r="E463" s="60" t="str">
        <f>IFERROR(VLOOKUP($C463,instructions!$N$3:$O$5,2,false),"")</f>
        <v/>
      </c>
      <c r="F463" s="60" t="str">
        <f>IFERROR(VLOOKUP($D463,instructions!$N$3:$O$5,2,false),"")</f>
        <v/>
      </c>
      <c r="G463" s="60" t="str">
        <f t="array" ref="G463">IFERROR(INDEX('testmo-export-repository'!$B$2:$X$1000,MATCH($B463,'testmo-export-repository'!$A$2:$A$1000,false),MATCH(G$2,'testmo-export-repository'!$B$1:$X$1,false)),"")</f>
        <v/>
      </c>
      <c r="H463" s="60" t="str">
        <f t="array" ref="H463">IFERROR(INDEX('testmo-export-repository'!$B$2:$X$1000,MATCH($B463,'testmo-export-repository'!$A$2:$A$1000,false),MATCH(H$2,'testmo-export-repository'!$B$1:$X$1,false)),"")</f>
        <v/>
      </c>
      <c r="I463" s="60" t="str">
        <f t="array" ref="I463">IFERROR(INDEX('testmo-export-repository'!$B$2:$X$1000,MATCH($B463,'testmo-export-repository'!$A$2:$A$1000,false),MATCH(I$2,'testmo-export-repository'!$B$1:$X$1,false)),"")</f>
        <v/>
      </c>
      <c r="J463" s="60" t="str">
        <f t="array" ref="J463">IFERROR(INDEX('testmo-export-repository'!$B$2:$Y$1000,MATCH($B463,'testmo-export-repository'!$A$2:$A$1000,false),MATCH(J$2,'testmo-export-repository'!$B$1:$Y$1,false)),"")</f>
        <v/>
      </c>
      <c r="K463" s="60" t="str">
        <f t="array" ref="K463">IFERROR(INDEX('testmo-export-repository'!$B$2:$Y$1000,MATCH($B463,'testmo-export-repository'!$A$2:$A$1000,false),MATCH(K$2,'testmo-export-repository'!$B$1:$Y$1,false)),"")</f>
        <v/>
      </c>
    </row>
    <row r="464">
      <c r="B464" s="60" t="str">
        <f>'testmo-export-repository'!A463</f>
        <v/>
      </c>
      <c r="C464" s="60" t="str">
        <f t="array" ref="C464">IFERROR(INDEX('testmo-export-repository'!$B$2:$X$1000,MATCH($B464,'testmo-export-repository'!$A$2:$A$1000,false),MATCH(C$2,'testmo-export-repository'!$B$1:$X$1,false)),"")</f>
        <v/>
      </c>
      <c r="D464" s="60" t="str">
        <f t="array" ref="D464">IFERROR(INDEX('testmo-export-repository'!$B$2:$X$1000,MATCH($B464,'testmo-export-repository'!$A$2:$A$1000,false),MATCH(D$2,'testmo-export-repository'!$B$1:$X$1,false)),"")</f>
        <v/>
      </c>
      <c r="E464" s="60" t="str">
        <f>IFERROR(VLOOKUP($C464,instructions!$N$3:$O$5,2,false),"")</f>
        <v/>
      </c>
      <c r="F464" s="60" t="str">
        <f>IFERROR(VLOOKUP($D464,instructions!$N$3:$O$5,2,false),"")</f>
        <v/>
      </c>
      <c r="G464" s="60" t="str">
        <f t="array" ref="G464">IFERROR(INDEX('testmo-export-repository'!$B$2:$X$1000,MATCH($B464,'testmo-export-repository'!$A$2:$A$1000,false),MATCH(G$2,'testmo-export-repository'!$B$1:$X$1,false)),"")</f>
        <v/>
      </c>
      <c r="H464" s="60" t="str">
        <f t="array" ref="H464">IFERROR(INDEX('testmo-export-repository'!$B$2:$X$1000,MATCH($B464,'testmo-export-repository'!$A$2:$A$1000,false),MATCH(H$2,'testmo-export-repository'!$B$1:$X$1,false)),"")</f>
        <v/>
      </c>
      <c r="I464" s="60" t="str">
        <f t="array" ref="I464">IFERROR(INDEX('testmo-export-repository'!$B$2:$X$1000,MATCH($B464,'testmo-export-repository'!$A$2:$A$1000,false),MATCH(I$2,'testmo-export-repository'!$B$1:$X$1,false)),"")</f>
        <v/>
      </c>
      <c r="J464" s="60" t="str">
        <f t="array" ref="J464">IFERROR(INDEX('testmo-export-repository'!$B$2:$Y$1000,MATCH($B464,'testmo-export-repository'!$A$2:$A$1000,false),MATCH(J$2,'testmo-export-repository'!$B$1:$Y$1,false)),"")</f>
        <v/>
      </c>
      <c r="K464" s="60" t="str">
        <f t="array" ref="K464">IFERROR(INDEX('testmo-export-repository'!$B$2:$Y$1000,MATCH($B464,'testmo-export-repository'!$A$2:$A$1000,false),MATCH(K$2,'testmo-export-repository'!$B$1:$Y$1,false)),"")</f>
        <v/>
      </c>
    </row>
    <row r="465">
      <c r="B465" s="60" t="str">
        <f>'testmo-export-repository'!A464</f>
        <v/>
      </c>
      <c r="C465" s="60" t="str">
        <f t="array" ref="C465">IFERROR(INDEX('testmo-export-repository'!$B$2:$X$1000,MATCH($B465,'testmo-export-repository'!$A$2:$A$1000,false),MATCH(C$2,'testmo-export-repository'!$B$1:$X$1,false)),"")</f>
        <v/>
      </c>
      <c r="D465" s="60" t="str">
        <f t="array" ref="D465">IFERROR(INDEX('testmo-export-repository'!$B$2:$X$1000,MATCH($B465,'testmo-export-repository'!$A$2:$A$1000,false),MATCH(D$2,'testmo-export-repository'!$B$1:$X$1,false)),"")</f>
        <v/>
      </c>
      <c r="E465" s="60" t="str">
        <f>IFERROR(VLOOKUP($C465,instructions!$N$3:$O$5,2,false),"")</f>
        <v/>
      </c>
      <c r="F465" s="60" t="str">
        <f>IFERROR(VLOOKUP($D465,instructions!$N$3:$O$5,2,false),"")</f>
        <v/>
      </c>
      <c r="G465" s="60" t="str">
        <f t="array" ref="G465">IFERROR(INDEX('testmo-export-repository'!$B$2:$X$1000,MATCH($B465,'testmo-export-repository'!$A$2:$A$1000,false),MATCH(G$2,'testmo-export-repository'!$B$1:$X$1,false)),"")</f>
        <v/>
      </c>
      <c r="H465" s="60" t="str">
        <f t="array" ref="H465">IFERROR(INDEX('testmo-export-repository'!$B$2:$X$1000,MATCH($B465,'testmo-export-repository'!$A$2:$A$1000,false),MATCH(H$2,'testmo-export-repository'!$B$1:$X$1,false)),"")</f>
        <v/>
      </c>
      <c r="I465" s="60" t="str">
        <f t="array" ref="I465">IFERROR(INDEX('testmo-export-repository'!$B$2:$X$1000,MATCH($B465,'testmo-export-repository'!$A$2:$A$1000,false),MATCH(I$2,'testmo-export-repository'!$B$1:$X$1,false)),"")</f>
        <v/>
      </c>
      <c r="J465" s="60" t="str">
        <f t="array" ref="J465">IFERROR(INDEX('testmo-export-repository'!$B$2:$Y$1000,MATCH($B465,'testmo-export-repository'!$A$2:$A$1000,false),MATCH(J$2,'testmo-export-repository'!$B$1:$Y$1,false)),"")</f>
        <v/>
      </c>
      <c r="K465" s="60" t="str">
        <f t="array" ref="K465">IFERROR(INDEX('testmo-export-repository'!$B$2:$Y$1000,MATCH($B465,'testmo-export-repository'!$A$2:$A$1000,false),MATCH(K$2,'testmo-export-repository'!$B$1:$Y$1,false)),"")</f>
        <v/>
      </c>
    </row>
    <row r="466">
      <c r="B466" s="60" t="str">
        <f>'testmo-export-repository'!A465</f>
        <v/>
      </c>
      <c r="C466" s="60" t="str">
        <f t="array" ref="C466">IFERROR(INDEX('testmo-export-repository'!$B$2:$X$1000,MATCH($B466,'testmo-export-repository'!$A$2:$A$1000,false),MATCH(C$2,'testmo-export-repository'!$B$1:$X$1,false)),"")</f>
        <v/>
      </c>
      <c r="D466" s="60" t="str">
        <f t="array" ref="D466">IFERROR(INDEX('testmo-export-repository'!$B$2:$X$1000,MATCH($B466,'testmo-export-repository'!$A$2:$A$1000,false),MATCH(D$2,'testmo-export-repository'!$B$1:$X$1,false)),"")</f>
        <v/>
      </c>
      <c r="E466" s="60" t="str">
        <f>IFERROR(VLOOKUP($C466,instructions!$N$3:$O$5,2,false),"")</f>
        <v/>
      </c>
      <c r="F466" s="60" t="str">
        <f>IFERROR(VLOOKUP($D466,instructions!$N$3:$O$5,2,false),"")</f>
        <v/>
      </c>
      <c r="G466" s="60" t="str">
        <f t="array" ref="G466">IFERROR(INDEX('testmo-export-repository'!$B$2:$X$1000,MATCH($B466,'testmo-export-repository'!$A$2:$A$1000,false),MATCH(G$2,'testmo-export-repository'!$B$1:$X$1,false)),"")</f>
        <v/>
      </c>
      <c r="H466" s="60" t="str">
        <f t="array" ref="H466">IFERROR(INDEX('testmo-export-repository'!$B$2:$X$1000,MATCH($B466,'testmo-export-repository'!$A$2:$A$1000,false),MATCH(H$2,'testmo-export-repository'!$B$1:$X$1,false)),"")</f>
        <v/>
      </c>
      <c r="I466" s="60" t="str">
        <f t="array" ref="I466">IFERROR(INDEX('testmo-export-repository'!$B$2:$X$1000,MATCH($B466,'testmo-export-repository'!$A$2:$A$1000,false),MATCH(I$2,'testmo-export-repository'!$B$1:$X$1,false)),"")</f>
        <v/>
      </c>
      <c r="J466" s="60" t="str">
        <f t="array" ref="J466">IFERROR(INDEX('testmo-export-repository'!$B$2:$Y$1000,MATCH($B466,'testmo-export-repository'!$A$2:$A$1000,false),MATCH(J$2,'testmo-export-repository'!$B$1:$Y$1,false)),"")</f>
        <v/>
      </c>
      <c r="K466" s="60" t="str">
        <f t="array" ref="K466">IFERROR(INDEX('testmo-export-repository'!$B$2:$Y$1000,MATCH($B466,'testmo-export-repository'!$A$2:$A$1000,false),MATCH(K$2,'testmo-export-repository'!$B$1:$Y$1,false)),"")</f>
        <v/>
      </c>
    </row>
    <row r="467">
      <c r="B467" s="60" t="str">
        <f>'testmo-export-repository'!A466</f>
        <v/>
      </c>
      <c r="C467" s="60" t="str">
        <f t="array" ref="C467">IFERROR(INDEX('testmo-export-repository'!$B$2:$X$1000,MATCH($B467,'testmo-export-repository'!$A$2:$A$1000,false),MATCH(C$2,'testmo-export-repository'!$B$1:$X$1,false)),"")</f>
        <v/>
      </c>
      <c r="D467" s="60" t="str">
        <f t="array" ref="D467">IFERROR(INDEX('testmo-export-repository'!$B$2:$X$1000,MATCH($B467,'testmo-export-repository'!$A$2:$A$1000,false),MATCH(D$2,'testmo-export-repository'!$B$1:$X$1,false)),"")</f>
        <v/>
      </c>
      <c r="E467" s="60" t="str">
        <f>IFERROR(VLOOKUP($C467,instructions!$N$3:$O$5,2,false),"")</f>
        <v/>
      </c>
      <c r="F467" s="60" t="str">
        <f>IFERROR(VLOOKUP($D467,instructions!$N$3:$O$5,2,false),"")</f>
        <v/>
      </c>
      <c r="G467" s="60" t="str">
        <f t="array" ref="G467">IFERROR(INDEX('testmo-export-repository'!$B$2:$X$1000,MATCH($B467,'testmo-export-repository'!$A$2:$A$1000,false),MATCH(G$2,'testmo-export-repository'!$B$1:$X$1,false)),"")</f>
        <v/>
      </c>
      <c r="H467" s="60" t="str">
        <f t="array" ref="H467">IFERROR(INDEX('testmo-export-repository'!$B$2:$X$1000,MATCH($B467,'testmo-export-repository'!$A$2:$A$1000,false),MATCH(H$2,'testmo-export-repository'!$B$1:$X$1,false)),"")</f>
        <v/>
      </c>
      <c r="I467" s="60" t="str">
        <f t="array" ref="I467">IFERROR(INDEX('testmo-export-repository'!$B$2:$X$1000,MATCH($B467,'testmo-export-repository'!$A$2:$A$1000,false),MATCH(I$2,'testmo-export-repository'!$B$1:$X$1,false)),"")</f>
        <v/>
      </c>
      <c r="J467" s="60" t="str">
        <f t="array" ref="J467">IFERROR(INDEX('testmo-export-repository'!$B$2:$Y$1000,MATCH($B467,'testmo-export-repository'!$A$2:$A$1000,false),MATCH(J$2,'testmo-export-repository'!$B$1:$Y$1,false)),"")</f>
        <v/>
      </c>
      <c r="K467" s="60" t="str">
        <f t="array" ref="K467">IFERROR(INDEX('testmo-export-repository'!$B$2:$Y$1000,MATCH($B467,'testmo-export-repository'!$A$2:$A$1000,false),MATCH(K$2,'testmo-export-repository'!$B$1:$Y$1,false)),"")</f>
        <v/>
      </c>
    </row>
    <row r="468">
      <c r="B468" s="60" t="str">
        <f>'testmo-export-repository'!A467</f>
        <v/>
      </c>
      <c r="C468" s="60" t="str">
        <f t="array" ref="C468">IFERROR(INDEX('testmo-export-repository'!$B$2:$X$1000,MATCH($B468,'testmo-export-repository'!$A$2:$A$1000,false),MATCH(C$2,'testmo-export-repository'!$B$1:$X$1,false)),"")</f>
        <v/>
      </c>
      <c r="D468" s="60" t="str">
        <f t="array" ref="D468">IFERROR(INDEX('testmo-export-repository'!$B$2:$X$1000,MATCH($B468,'testmo-export-repository'!$A$2:$A$1000,false),MATCH(D$2,'testmo-export-repository'!$B$1:$X$1,false)),"")</f>
        <v/>
      </c>
      <c r="E468" s="60" t="str">
        <f>IFERROR(VLOOKUP($C468,instructions!$N$3:$O$5,2,false),"")</f>
        <v/>
      </c>
      <c r="F468" s="60" t="str">
        <f>IFERROR(VLOOKUP($D468,instructions!$N$3:$O$5,2,false),"")</f>
        <v/>
      </c>
      <c r="G468" s="60" t="str">
        <f t="array" ref="G468">IFERROR(INDEX('testmo-export-repository'!$B$2:$X$1000,MATCH($B468,'testmo-export-repository'!$A$2:$A$1000,false),MATCH(G$2,'testmo-export-repository'!$B$1:$X$1,false)),"")</f>
        <v/>
      </c>
      <c r="H468" s="60" t="str">
        <f t="array" ref="H468">IFERROR(INDEX('testmo-export-repository'!$B$2:$X$1000,MATCH($B468,'testmo-export-repository'!$A$2:$A$1000,false),MATCH(H$2,'testmo-export-repository'!$B$1:$X$1,false)),"")</f>
        <v/>
      </c>
      <c r="I468" s="60" t="str">
        <f t="array" ref="I468">IFERROR(INDEX('testmo-export-repository'!$B$2:$X$1000,MATCH($B468,'testmo-export-repository'!$A$2:$A$1000,false),MATCH(I$2,'testmo-export-repository'!$B$1:$X$1,false)),"")</f>
        <v/>
      </c>
      <c r="J468" s="60" t="str">
        <f t="array" ref="J468">IFERROR(INDEX('testmo-export-repository'!$B$2:$Y$1000,MATCH($B468,'testmo-export-repository'!$A$2:$A$1000,false),MATCH(J$2,'testmo-export-repository'!$B$1:$Y$1,false)),"")</f>
        <v/>
      </c>
      <c r="K468" s="60" t="str">
        <f t="array" ref="K468">IFERROR(INDEX('testmo-export-repository'!$B$2:$Y$1000,MATCH($B468,'testmo-export-repository'!$A$2:$A$1000,false),MATCH(K$2,'testmo-export-repository'!$B$1:$Y$1,false)),"")</f>
        <v/>
      </c>
    </row>
    <row r="469">
      <c r="B469" s="60" t="str">
        <f>'testmo-export-repository'!A468</f>
        <v/>
      </c>
      <c r="C469" s="60" t="str">
        <f t="array" ref="C469">IFERROR(INDEX('testmo-export-repository'!$B$2:$X$1000,MATCH($B469,'testmo-export-repository'!$A$2:$A$1000,false),MATCH(C$2,'testmo-export-repository'!$B$1:$X$1,false)),"")</f>
        <v/>
      </c>
      <c r="D469" s="60" t="str">
        <f t="array" ref="D469">IFERROR(INDEX('testmo-export-repository'!$B$2:$X$1000,MATCH($B469,'testmo-export-repository'!$A$2:$A$1000,false),MATCH(D$2,'testmo-export-repository'!$B$1:$X$1,false)),"")</f>
        <v/>
      </c>
      <c r="E469" s="60" t="str">
        <f>IFERROR(VLOOKUP($C469,instructions!$N$3:$O$5,2,false),"")</f>
        <v/>
      </c>
      <c r="F469" s="60" t="str">
        <f>IFERROR(VLOOKUP($D469,instructions!$N$3:$O$5,2,false),"")</f>
        <v/>
      </c>
      <c r="G469" s="60" t="str">
        <f t="array" ref="G469">IFERROR(INDEX('testmo-export-repository'!$B$2:$X$1000,MATCH($B469,'testmo-export-repository'!$A$2:$A$1000,false),MATCH(G$2,'testmo-export-repository'!$B$1:$X$1,false)),"")</f>
        <v/>
      </c>
      <c r="H469" s="60" t="str">
        <f t="array" ref="H469">IFERROR(INDEX('testmo-export-repository'!$B$2:$X$1000,MATCH($B469,'testmo-export-repository'!$A$2:$A$1000,false),MATCH(H$2,'testmo-export-repository'!$B$1:$X$1,false)),"")</f>
        <v/>
      </c>
      <c r="I469" s="60" t="str">
        <f t="array" ref="I469">IFERROR(INDEX('testmo-export-repository'!$B$2:$X$1000,MATCH($B469,'testmo-export-repository'!$A$2:$A$1000,false),MATCH(I$2,'testmo-export-repository'!$B$1:$X$1,false)),"")</f>
        <v/>
      </c>
      <c r="J469" s="60" t="str">
        <f t="array" ref="J469">IFERROR(INDEX('testmo-export-repository'!$B$2:$Y$1000,MATCH($B469,'testmo-export-repository'!$A$2:$A$1000,false),MATCH(J$2,'testmo-export-repository'!$B$1:$Y$1,false)),"")</f>
        <v/>
      </c>
      <c r="K469" s="60" t="str">
        <f t="array" ref="K469">IFERROR(INDEX('testmo-export-repository'!$B$2:$Y$1000,MATCH($B469,'testmo-export-repository'!$A$2:$A$1000,false),MATCH(K$2,'testmo-export-repository'!$B$1:$Y$1,false)),"")</f>
        <v/>
      </c>
    </row>
    <row r="470">
      <c r="B470" s="60" t="str">
        <f>'testmo-export-repository'!A469</f>
        <v/>
      </c>
      <c r="C470" s="60" t="str">
        <f t="array" ref="C470">IFERROR(INDEX('testmo-export-repository'!$B$2:$X$1000,MATCH($B470,'testmo-export-repository'!$A$2:$A$1000,false),MATCH(C$2,'testmo-export-repository'!$B$1:$X$1,false)),"")</f>
        <v/>
      </c>
      <c r="D470" s="60" t="str">
        <f t="array" ref="D470">IFERROR(INDEX('testmo-export-repository'!$B$2:$X$1000,MATCH($B470,'testmo-export-repository'!$A$2:$A$1000,false),MATCH(D$2,'testmo-export-repository'!$B$1:$X$1,false)),"")</f>
        <v/>
      </c>
      <c r="E470" s="60" t="str">
        <f>IFERROR(VLOOKUP($C470,instructions!$N$3:$O$5,2,false),"")</f>
        <v/>
      </c>
      <c r="F470" s="60" t="str">
        <f>IFERROR(VLOOKUP($D470,instructions!$N$3:$O$5,2,false),"")</f>
        <v/>
      </c>
      <c r="G470" s="60" t="str">
        <f t="array" ref="G470">IFERROR(INDEX('testmo-export-repository'!$B$2:$X$1000,MATCH($B470,'testmo-export-repository'!$A$2:$A$1000,false),MATCH(G$2,'testmo-export-repository'!$B$1:$X$1,false)),"")</f>
        <v/>
      </c>
      <c r="H470" s="60" t="str">
        <f t="array" ref="H470">IFERROR(INDEX('testmo-export-repository'!$B$2:$X$1000,MATCH($B470,'testmo-export-repository'!$A$2:$A$1000,false),MATCH(H$2,'testmo-export-repository'!$B$1:$X$1,false)),"")</f>
        <v/>
      </c>
      <c r="I470" s="60" t="str">
        <f t="array" ref="I470">IFERROR(INDEX('testmo-export-repository'!$B$2:$X$1000,MATCH($B470,'testmo-export-repository'!$A$2:$A$1000,false),MATCH(I$2,'testmo-export-repository'!$B$1:$X$1,false)),"")</f>
        <v/>
      </c>
      <c r="J470" s="60" t="str">
        <f t="array" ref="J470">IFERROR(INDEX('testmo-export-repository'!$B$2:$Y$1000,MATCH($B470,'testmo-export-repository'!$A$2:$A$1000,false),MATCH(J$2,'testmo-export-repository'!$B$1:$Y$1,false)),"")</f>
        <v/>
      </c>
      <c r="K470" s="60" t="str">
        <f t="array" ref="K470">IFERROR(INDEX('testmo-export-repository'!$B$2:$Y$1000,MATCH($B470,'testmo-export-repository'!$A$2:$A$1000,false),MATCH(K$2,'testmo-export-repository'!$B$1:$Y$1,false)),"")</f>
        <v/>
      </c>
    </row>
    <row r="471">
      <c r="B471" s="60" t="str">
        <f>'testmo-export-repository'!A470</f>
        <v/>
      </c>
      <c r="C471" s="60" t="str">
        <f t="array" ref="C471">IFERROR(INDEX('testmo-export-repository'!$B$2:$X$1000,MATCH($B471,'testmo-export-repository'!$A$2:$A$1000,false),MATCH(C$2,'testmo-export-repository'!$B$1:$X$1,false)),"")</f>
        <v/>
      </c>
      <c r="D471" s="60" t="str">
        <f t="array" ref="D471">IFERROR(INDEX('testmo-export-repository'!$B$2:$X$1000,MATCH($B471,'testmo-export-repository'!$A$2:$A$1000,false),MATCH(D$2,'testmo-export-repository'!$B$1:$X$1,false)),"")</f>
        <v/>
      </c>
      <c r="E471" s="60" t="str">
        <f>IFERROR(VLOOKUP($C471,instructions!$N$3:$O$5,2,false),"")</f>
        <v/>
      </c>
      <c r="F471" s="60" t="str">
        <f>IFERROR(VLOOKUP($D471,instructions!$N$3:$O$5,2,false),"")</f>
        <v/>
      </c>
      <c r="G471" s="60" t="str">
        <f t="array" ref="G471">IFERROR(INDEX('testmo-export-repository'!$B$2:$X$1000,MATCH($B471,'testmo-export-repository'!$A$2:$A$1000,false),MATCH(G$2,'testmo-export-repository'!$B$1:$X$1,false)),"")</f>
        <v/>
      </c>
      <c r="H471" s="60" t="str">
        <f t="array" ref="H471">IFERROR(INDEX('testmo-export-repository'!$B$2:$X$1000,MATCH($B471,'testmo-export-repository'!$A$2:$A$1000,false),MATCH(H$2,'testmo-export-repository'!$B$1:$X$1,false)),"")</f>
        <v/>
      </c>
      <c r="I471" s="60" t="str">
        <f t="array" ref="I471">IFERROR(INDEX('testmo-export-repository'!$B$2:$X$1000,MATCH($B471,'testmo-export-repository'!$A$2:$A$1000,false),MATCH(I$2,'testmo-export-repository'!$B$1:$X$1,false)),"")</f>
        <v/>
      </c>
      <c r="J471" s="60" t="str">
        <f t="array" ref="J471">IFERROR(INDEX('testmo-export-repository'!$B$2:$Y$1000,MATCH($B471,'testmo-export-repository'!$A$2:$A$1000,false),MATCH(J$2,'testmo-export-repository'!$B$1:$Y$1,false)),"")</f>
        <v/>
      </c>
      <c r="K471" s="60" t="str">
        <f t="array" ref="K471">IFERROR(INDEX('testmo-export-repository'!$B$2:$Y$1000,MATCH($B471,'testmo-export-repository'!$A$2:$A$1000,false),MATCH(K$2,'testmo-export-repository'!$B$1:$Y$1,false)),"")</f>
        <v/>
      </c>
    </row>
    <row r="472">
      <c r="B472" s="60" t="str">
        <f>'testmo-export-repository'!A471</f>
        <v/>
      </c>
      <c r="C472" s="60" t="str">
        <f t="array" ref="C472">IFERROR(INDEX('testmo-export-repository'!$B$2:$X$1000,MATCH($B472,'testmo-export-repository'!$A$2:$A$1000,false),MATCH(C$2,'testmo-export-repository'!$B$1:$X$1,false)),"")</f>
        <v/>
      </c>
      <c r="D472" s="60" t="str">
        <f t="array" ref="D472">IFERROR(INDEX('testmo-export-repository'!$B$2:$X$1000,MATCH($B472,'testmo-export-repository'!$A$2:$A$1000,false),MATCH(D$2,'testmo-export-repository'!$B$1:$X$1,false)),"")</f>
        <v/>
      </c>
      <c r="E472" s="60" t="str">
        <f>IFERROR(VLOOKUP($C472,instructions!$N$3:$O$5,2,false),"")</f>
        <v/>
      </c>
      <c r="F472" s="60" t="str">
        <f>IFERROR(VLOOKUP($D472,instructions!$N$3:$O$5,2,false),"")</f>
        <v/>
      </c>
      <c r="G472" s="60" t="str">
        <f t="array" ref="G472">IFERROR(INDEX('testmo-export-repository'!$B$2:$X$1000,MATCH($B472,'testmo-export-repository'!$A$2:$A$1000,false),MATCH(G$2,'testmo-export-repository'!$B$1:$X$1,false)),"")</f>
        <v/>
      </c>
      <c r="H472" s="60" t="str">
        <f t="array" ref="H472">IFERROR(INDEX('testmo-export-repository'!$B$2:$X$1000,MATCH($B472,'testmo-export-repository'!$A$2:$A$1000,false),MATCH(H$2,'testmo-export-repository'!$B$1:$X$1,false)),"")</f>
        <v/>
      </c>
      <c r="I472" s="60" t="str">
        <f t="array" ref="I472">IFERROR(INDEX('testmo-export-repository'!$B$2:$X$1000,MATCH($B472,'testmo-export-repository'!$A$2:$A$1000,false),MATCH(I$2,'testmo-export-repository'!$B$1:$X$1,false)),"")</f>
        <v/>
      </c>
      <c r="J472" s="60" t="str">
        <f t="array" ref="J472">IFERROR(INDEX('testmo-export-repository'!$B$2:$Y$1000,MATCH($B472,'testmo-export-repository'!$A$2:$A$1000,false),MATCH(J$2,'testmo-export-repository'!$B$1:$Y$1,false)),"")</f>
        <v/>
      </c>
      <c r="K472" s="60" t="str">
        <f t="array" ref="K472">IFERROR(INDEX('testmo-export-repository'!$B$2:$Y$1000,MATCH($B472,'testmo-export-repository'!$A$2:$A$1000,false),MATCH(K$2,'testmo-export-repository'!$B$1:$Y$1,false)),"")</f>
        <v/>
      </c>
    </row>
    <row r="473">
      <c r="B473" s="60" t="str">
        <f>'testmo-export-repository'!A472</f>
        <v/>
      </c>
      <c r="C473" s="60" t="str">
        <f t="array" ref="C473">IFERROR(INDEX('testmo-export-repository'!$B$2:$X$1000,MATCH($B473,'testmo-export-repository'!$A$2:$A$1000,false),MATCH(C$2,'testmo-export-repository'!$B$1:$X$1,false)),"")</f>
        <v/>
      </c>
      <c r="D473" s="60" t="str">
        <f t="array" ref="D473">IFERROR(INDEX('testmo-export-repository'!$B$2:$X$1000,MATCH($B473,'testmo-export-repository'!$A$2:$A$1000,false),MATCH(D$2,'testmo-export-repository'!$B$1:$X$1,false)),"")</f>
        <v/>
      </c>
      <c r="E473" s="60" t="str">
        <f>IFERROR(VLOOKUP($C473,instructions!$N$3:$O$5,2,false),"")</f>
        <v/>
      </c>
      <c r="F473" s="60" t="str">
        <f>IFERROR(VLOOKUP($D473,instructions!$N$3:$O$5,2,false),"")</f>
        <v/>
      </c>
      <c r="G473" s="60" t="str">
        <f t="array" ref="G473">IFERROR(INDEX('testmo-export-repository'!$B$2:$X$1000,MATCH($B473,'testmo-export-repository'!$A$2:$A$1000,false),MATCH(G$2,'testmo-export-repository'!$B$1:$X$1,false)),"")</f>
        <v/>
      </c>
      <c r="H473" s="60" t="str">
        <f t="array" ref="H473">IFERROR(INDEX('testmo-export-repository'!$B$2:$X$1000,MATCH($B473,'testmo-export-repository'!$A$2:$A$1000,false),MATCH(H$2,'testmo-export-repository'!$B$1:$X$1,false)),"")</f>
        <v/>
      </c>
      <c r="I473" s="60" t="str">
        <f t="array" ref="I473">IFERROR(INDEX('testmo-export-repository'!$B$2:$X$1000,MATCH($B473,'testmo-export-repository'!$A$2:$A$1000,false),MATCH(I$2,'testmo-export-repository'!$B$1:$X$1,false)),"")</f>
        <v/>
      </c>
      <c r="J473" s="60" t="str">
        <f t="array" ref="J473">IFERROR(INDEX('testmo-export-repository'!$B$2:$Y$1000,MATCH($B473,'testmo-export-repository'!$A$2:$A$1000,false),MATCH(J$2,'testmo-export-repository'!$B$1:$Y$1,false)),"")</f>
        <v/>
      </c>
      <c r="K473" s="60" t="str">
        <f t="array" ref="K473">IFERROR(INDEX('testmo-export-repository'!$B$2:$Y$1000,MATCH($B473,'testmo-export-repository'!$A$2:$A$1000,false),MATCH(K$2,'testmo-export-repository'!$B$1:$Y$1,false)),"")</f>
        <v/>
      </c>
    </row>
    <row r="474">
      <c r="B474" s="60" t="str">
        <f>'testmo-export-repository'!A473</f>
        <v/>
      </c>
      <c r="C474" s="60" t="str">
        <f t="array" ref="C474">IFERROR(INDEX('testmo-export-repository'!$B$2:$X$1000,MATCH($B474,'testmo-export-repository'!$A$2:$A$1000,false),MATCH(C$2,'testmo-export-repository'!$B$1:$X$1,false)),"")</f>
        <v/>
      </c>
      <c r="D474" s="60" t="str">
        <f t="array" ref="D474">IFERROR(INDEX('testmo-export-repository'!$B$2:$X$1000,MATCH($B474,'testmo-export-repository'!$A$2:$A$1000,false),MATCH(D$2,'testmo-export-repository'!$B$1:$X$1,false)),"")</f>
        <v/>
      </c>
      <c r="E474" s="60" t="str">
        <f>IFERROR(VLOOKUP($C474,instructions!$N$3:$O$5,2,false),"")</f>
        <v/>
      </c>
      <c r="F474" s="60" t="str">
        <f>IFERROR(VLOOKUP($D474,instructions!$N$3:$O$5,2,false),"")</f>
        <v/>
      </c>
      <c r="G474" s="60" t="str">
        <f t="array" ref="G474">IFERROR(INDEX('testmo-export-repository'!$B$2:$X$1000,MATCH($B474,'testmo-export-repository'!$A$2:$A$1000,false),MATCH(G$2,'testmo-export-repository'!$B$1:$X$1,false)),"")</f>
        <v/>
      </c>
      <c r="H474" s="60" t="str">
        <f t="array" ref="H474">IFERROR(INDEX('testmo-export-repository'!$B$2:$X$1000,MATCH($B474,'testmo-export-repository'!$A$2:$A$1000,false),MATCH(H$2,'testmo-export-repository'!$B$1:$X$1,false)),"")</f>
        <v/>
      </c>
      <c r="I474" s="60" t="str">
        <f t="array" ref="I474">IFERROR(INDEX('testmo-export-repository'!$B$2:$X$1000,MATCH($B474,'testmo-export-repository'!$A$2:$A$1000,false),MATCH(I$2,'testmo-export-repository'!$B$1:$X$1,false)),"")</f>
        <v/>
      </c>
      <c r="J474" s="60" t="str">
        <f t="array" ref="J474">IFERROR(INDEX('testmo-export-repository'!$B$2:$Y$1000,MATCH($B474,'testmo-export-repository'!$A$2:$A$1000,false),MATCH(J$2,'testmo-export-repository'!$B$1:$Y$1,false)),"")</f>
        <v/>
      </c>
      <c r="K474" s="60" t="str">
        <f t="array" ref="K474">IFERROR(INDEX('testmo-export-repository'!$B$2:$Y$1000,MATCH($B474,'testmo-export-repository'!$A$2:$A$1000,false),MATCH(K$2,'testmo-export-repository'!$B$1:$Y$1,false)),"")</f>
        <v/>
      </c>
    </row>
    <row r="475">
      <c r="B475" s="60" t="str">
        <f>'testmo-export-repository'!A474</f>
        <v/>
      </c>
      <c r="C475" s="60" t="str">
        <f t="array" ref="C475">IFERROR(INDEX('testmo-export-repository'!$B$2:$X$1000,MATCH($B475,'testmo-export-repository'!$A$2:$A$1000,false),MATCH(C$2,'testmo-export-repository'!$B$1:$X$1,false)),"")</f>
        <v/>
      </c>
      <c r="D475" s="60" t="str">
        <f t="array" ref="D475">IFERROR(INDEX('testmo-export-repository'!$B$2:$X$1000,MATCH($B475,'testmo-export-repository'!$A$2:$A$1000,false),MATCH(D$2,'testmo-export-repository'!$B$1:$X$1,false)),"")</f>
        <v/>
      </c>
      <c r="E475" s="60" t="str">
        <f>IFERROR(VLOOKUP($C475,instructions!$N$3:$O$5,2,false),"")</f>
        <v/>
      </c>
      <c r="F475" s="60" t="str">
        <f>IFERROR(VLOOKUP($D475,instructions!$N$3:$O$5,2,false),"")</f>
        <v/>
      </c>
      <c r="G475" s="60" t="str">
        <f t="array" ref="G475">IFERROR(INDEX('testmo-export-repository'!$B$2:$X$1000,MATCH($B475,'testmo-export-repository'!$A$2:$A$1000,false),MATCH(G$2,'testmo-export-repository'!$B$1:$X$1,false)),"")</f>
        <v/>
      </c>
      <c r="H475" s="60" t="str">
        <f t="array" ref="H475">IFERROR(INDEX('testmo-export-repository'!$B$2:$X$1000,MATCH($B475,'testmo-export-repository'!$A$2:$A$1000,false),MATCH(H$2,'testmo-export-repository'!$B$1:$X$1,false)),"")</f>
        <v/>
      </c>
      <c r="I475" s="60" t="str">
        <f t="array" ref="I475">IFERROR(INDEX('testmo-export-repository'!$B$2:$X$1000,MATCH($B475,'testmo-export-repository'!$A$2:$A$1000,false),MATCH(I$2,'testmo-export-repository'!$B$1:$X$1,false)),"")</f>
        <v/>
      </c>
      <c r="J475" s="60" t="str">
        <f t="array" ref="J475">IFERROR(INDEX('testmo-export-repository'!$B$2:$Y$1000,MATCH($B475,'testmo-export-repository'!$A$2:$A$1000,false),MATCH(J$2,'testmo-export-repository'!$B$1:$Y$1,false)),"")</f>
        <v/>
      </c>
      <c r="K475" s="60" t="str">
        <f t="array" ref="K475">IFERROR(INDEX('testmo-export-repository'!$B$2:$Y$1000,MATCH($B475,'testmo-export-repository'!$A$2:$A$1000,false),MATCH(K$2,'testmo-export-repository'!$B$1:$Y$1,false)),"")</f>
        <v/>
      </c>
    </row>
    <row r="476">
      <c r="B476" s="60" t="str">
        <f>'testmo-export-repository'!A475</f>
        <v/>
      </c>
      <c r="C476" s="60" t="str">
        <f t="array" ref="C476">IFERROR(INDEX('testmo-export-repository'!$B$2:$X$1000,MATCH($B476,'testmo-export-repository'!$A$2:$A$1000,false),MATCH(C$2,'testmo-export-repository'!$B$1:$X$1,false)),"")</f>
        <v/>
      </c>
      <c r="D476" s="60" t="str">
        <f t="array" ref="D476">IFERROR(INDEX('testmo-export-repository'!$B$2:$X$1000,MATCH($B476,'testmo-export-repository'!$A$2:$A$1000,false),MATCH(D$2,'testmo-export-repository'!$B$1:$X$1,false)),"")</f>
        <v/>
      </c>
      <c r="E476" s="60" t="str">
        <f>IFERROR(VLOOKUP($C476,instructions!$N$3:$O$5,2,false),"")</f>
        <v/>
      </c>
      <c r="F476" s="60" t="str">
        <f>IFERROR(VLOOKUP($D476,instructions!$N$3:$O$5,2,false),"")</f>
        <v/>
      </c>
      <c r="G476" s="60" t="str">
        <f t="array" ref="G476">IFERROR(INDEX('testmo-export-repository'!$B$2:$X$1000,MATCH($B476,'testmo-export-repository'!$A$2:$A$1000,false),MATCH(G$2,'testmo-export-repository'!$B$1:$X$1,false)),"")</f>
        <v/>
      </c>
      <c r="H476" s="60" t="str">
        <f t="array" ref="H476">IFERROR(INDEX('testmo-export-repository'!$B$2:$X$1000,MATCH($B476,'testmo-export-repository'!$A$2:$A$1000,false),MATCH(H$2,'testmo-export-repository'!$B$1:$X$1,false)),"")</f>
        <v/>
      </c>
      <c r="I476" s="60" t="str">
        <f t="array" ref="I476">IFERROR(INDEX('testmo-export-repository'!$B$2:$X$1000,MATCH($B476,'testmo-export-repository'!$A$2:$A$1000,false),MATCH(I$2,'testmo-export-repository'!$B$1:$X$1,false)),"")</f>
        <v/>
      </c>
      <c r="J476" s="60" t="str">
        <f t="array" ref="J476">IFERROR(INDEX('testmo-export-repository'!$B$2:$Y$1000,MATCH($B476,'testmo-export-repository'!$A$2:$A$1000,false),MATCH(J$2,'testmo-export-repository'!$B$1:$Y$1,false)),"")</f>
        <v/>
      </c>
      <c r="K476" s="60" t="str">
        <f t="array" ref="K476">IFERROR(INDEX('testmo-export-repository'!$B$2:$Y$1000,MATCH($B476,'testmo-export-repository'!$A$2:$A$1000,false),MATCH(K$2,'testmo-export-repository'!$B$1:$Y$1,false)),"")</f>
        <v/>
      </c>
    </row>
    <row r="477">
      <c r="B477" s="60" t="str">
        <f>'testmo-export-repository'!A476</f>
        <v/>
      </c>
      <c r="C477" s="60" t="str">
        <f t="array" ref="C477">IFERROR(INDEX('testmo-export-repository'!$B$2:$X$1000,MATCH($B477,'testmo-export-repository'!$A$2:$A$1000,false),MATCH(C$2,'testmo-export-repository'!$B$1:$X$1,false)),"")</f>
        <v/>
      </c>
      <c r="D477" s="60" t="str">
        <f t="array" ref="D477">IFERROR(INDEX('testmo-export-repository'!$B$2:$X$1000,MATCH($B477,'testmo-export-repository'!$A$2:$A$1000,false),MATCH(D$2,'testmo-export-repository'!$B$1:$X$1,false)),"")</f>
        <v/>
      </c>
      <c r="E477" s="60" t="str">
        <f>IFERROR(VLOOKUP($C477,instructions!$N$3:$O$5,2,false),"")</f>
        <v/>
      </c>
      <c r="F477" s="60" t="str">
        <f>IFERROR(VLOOKUP($D477,instructions!$N$3:$O$5,2,false),"")</f>
        <v/>
      </c>
      <c r="G477" s="60" t="str">
        <f t="array" ref="G477">IFERROR(INDEX('testmo-export-repository'!$B$2:$X$1000,MATCH($B477,'testmo-export-repository'!$A$2:$A$1000,false),MATCH(G$2,'testmo-export-repository'!$B$1:$X$1,false)),"")</f>
        <v/>
      </c>
      <c r="H477" s="60" t="str">
        <f t="array" ref="H477">IFERROR(INDEX('testmo-export-repository'!$B$2:$X$1000,MATCH($B477,'testmo-export-repository'!$A$2:$A$1000,false),MATCH(H$2,'testmo-export-repository'!$B$1:$X$1,false)),"")</f>
        <v/>
      </c>
      <c r="I477" s="60" t="str">
        <f t="array" ref="I477">IFERROR(INDEX('testmo-export-repository'!$B$2:$X$1000,MATCH($B477,'testmo-export-repository'!$A$2:$A$1000,false),MATCH(I$2,'testmo-export-repository'!$B$1:$X$1,false)),"")</f>
        <v/>
      </c>
      <c r="J477" s="60" t="str">
        <f t="array" ref="J477">IFERROR(INDEX('testmo-export-repository'!$B$2:$Y$1000,MATCH($B477,'testmo-export-repository'!$A$2:$A$1000,false),MATCH(J$2,'testmo-export-repository'!$B$1:$Y$1,false)),"")</f>
        <v/>
      </c>
      <c r="K477" s="60" t="str">
        <f t="array" ref="K477">IFERROR(INDEX('testmo-export-repository'!$B$2:$Y$1000,MATCH($B477,'testmo-export-repository'!$A$2:$A$1000,false),MATCH(K$2,'testmo-export-repository'!$B$1:$Y$1,false)),"")</f>
        <v/>
      </c>
    </row>
    <row r="478">
      <c r="B478" s="60" t="str">
        <f>'testmo-export-repository'!A477</f>
        <v/>
      </c>
      <c r="C478" s="60" t="str">
        <f t="array" ref="C478">IFERROR(INDEX('testmo-export-repository'!$B$2:$X$1000,MATCH($B478,'testmo-export-repository'!$A$2:$A$1000,false),MATCH(C$2,'testmo-export-repository'!$B$1:$X$1,false)),"")</f>
        <v/>
      </c>
      <c r="D478" s="60" t="str">
        <f t="array" ref="D478">IFERROR(INDEX('testmo-export-repository'!$B$2:$X$1000,MATCH($B478,'testmo-export-repository'!$A$2:$A$1000,false),MATCH(D$2,'testmo-export-repository'!$B$1:$X$1,false)),"")</f>
        <v/>
      </c>
      <c r="E478" s="60" t="str">
        <f>IFERROR(VLOOKUP($C478,instructions!$N$3:$O$5,2,false),"")</f>
        <v/>
      </c>
      <c r="F478" s="60" t="str">
        <f>IFERROR(VLOOKUP($D478,instructions!$N$3:$O$5,2,false),"")</f>
        <v/>
      </c>
      <c r="G478" s="60" t="str">
        <f t="array" ref="G478">IFERROR(INDEX('testmo-export-repository'!$B$2:$X$1000,MATCH($B478,'testmo-export-repository'!$A$2:$A$1000,false),MATCH(G$2,'testmo-export-repository'!$B$1:$X$1,false)),"")</f>
        <v/>
      </c>
      <c r="H478" s="60" t="str">
        <f t="array" ref="H478">IFERROR(INDEX('testmo-export-repository'!$B$2:$X$1000,MATCH($B478,'testmo-export-repository'!$A$2:$A$1000,false),MATCH(H$2,'testmo-export-repository'!$B$1:$X$1,false)),"")</f>
        <v/>
      </c>
      <c r="I478" s="60" t="str">
        <f t="array" ref="I478">IFERROR(INDEX('testmo-export-repository'!$B$2:$X$1000,MATCH($B478,'testmo-export-repository'!$A$2:$A$1000,false),MATCH(I$2,'testmo-export-repository'!$B$1:$X$1,false)),"")</f>
        <v/>
      </c>
      <c r="J478" s="60" t="str">
        <f t="array" ref="J478">IFERROR(INDEX('testmo-export-repository'!$B$2:$Y$1000,MATCH($B478,'testmo-export-repository'!$A$2:$A$1000,false),MATCH(J$2,'testmo-export-repository'!$B$1:$Y$1,false)),"")</f>
        <v/>
      </c>
      <c r="K478" s="60" t="str">
        <f t="array" ref="K478">IFERROR(INDEX('testmo-export-repository'!$B$2:$Y$1000,MATCH($B478,'testmo-export-repository'!$A$2:$A$1000,false),MATCH(K$2,'testmo-export-repository'!$B$1:$Y$1,false)),"")</f>
        <v/>
      </c>
    </row>
    <row r="479">
      <c r="B479" s="60" t="str">
        <f>'testmo-export-repository'!A478</f>
        <v/>
      </c>
      <c r="C479" s="60" t="str">
        <f t="array" ref="C479">IFERROR(INDEX('testmo-export-repository'!$B$2:$X$1000,MATCH($B479,'testmo-export-repository'!$A$2:$A$1000,false),MATCH(C$2,'testmo-export-repository'!$B$1:$X$1,false)),"")</f>
        <v/>
      </c>
      <c r="D479" s="60" t="str">
        <f t="array" ref="D479">IFERROR(INDEX('testmo-export-repository'!$B$2:$X$1000,MATCH($B479,'testmo-export-repository'!$A$2:$A$1000,false),MATCH(D$2,'testmo-export-repository'!$B$1:$X$1,false)),"")</f>
        <v/>
      </c>
      <c r="E479" s="60" t="str">
        <f>IFERROR(VLOOKUP($C479,instructions!$N$3:$O$5,2,false),"")</f>
        <v/>
      </c>
      <c r="F479" s="60" t="str">
        <f>IFERROR(VLOOKUP($D479,instructions!$N$3:$O$5,2,false),"")</f>
        <v/>
      </c>
      <c r="G479" s="60" t="str">
        <f t="array" ref="G479">IFERROR(INDEX('testmo-export-repository'!$B$2:$X$1000,MATCH($B479,'testmo-export-repository'!$A$2:$A$1000,false),MATCH(G$2,'testmo-export-repository'!$B$1:$X$1,false)),"")</f>
        <v/>
      </c>
      <c r="H479" s="60" t="str">
        <f t="array" ref="H479">IFERROR(INDEX('testmo-export-repository'!$B$2:$X$1000,MATCH($B479,'testmo-export-repository'!$A$2:$A$1000,false),MATCH(H$2,'testmo-export-repository'!$B$1:$X$1,false)),"")</f>
        <v/>
      </c>
      <c r="I479" s="60" t="str">
        <f t="array" ref="I479">IFERROR(INDEX('testmo-export-repository'!$B$2:$X$1000,MATCH($B479,'testmo-export-repository'!$A$2:$A$1000,false),MATCH(I$2,'testmo-export-repository'!$B$1:$X$1,false)),"")</f>
        <v/>
      </c>
      <c r="J479" s="60" t="str">
        <f t="array" ref="J479">IFERROR(INDEX('testmo-export-repository'!$B$2:$Y$1000,MATCH($B479,'testmo-export-repository'!$A$2:$A$1000,false),MATCH(J$2,'testmo-export-repository'!$B$1:$Y$1,false)),"")</f>
        <v/>
      </c>
      <c r="K479" s="60" t="str">
        <f t="array" ref="K479">IFERROR(INDEX('testmo-export-repository'!$B$2:$Y$1000,MATCH($B479,'testmo-export-repository'!$A$2:$A$1000,false),MATCH(K$2,'testmo-export-repository'!$B$1:$Y$1,false)),"")</f>
        <v/>
      </c>
    </row>
    <row r="480">
      <c r="B480" s="60" t="str">
        <f>'testmo-export-repository'!A479</f>
        <v/>
      </c>
      <c r="C480" s="60" t="str">
        <f t="array" ref="C480">IFERROR(INDEX('testmo-export-repository'!$B$2:$X$1000,MATCH($B480,'testmo-export-repository'!$A$2:$A$1000,false),MATCH(C$2,'testmo-export-repository'!$B$1:$X$1,false)),"")</f>
        <v/>
      </c>
      <c r="D480" s="60" t="str">
        <f t="array" ref="D480">IFERROR(INDEX('testmo-export-repository'!$B$2:$X$1000,MATCH($B480,'testmo-export-repository'!$A$2:$A$1000,false),MATCH(D$2,'testmo-export-repository'!$B$1:$X$1,false)),"")</f>
        <v/>
      </c>
      <c r="E480" s="60" t="str">
        <f>IFERROR(VLOOKUP($C480,instructions!$N$3:$O$5,2,false),"")</f>
        <v/>
      </c>
      <c r="F480" s="60" t="str">
        <f>IFERROR(VLOOKUP($D480,instructions!$N$3:$O$5,2,false),"")</f>
        <v/>
      </c>
      <c r="G480" s="60" t="str">
        <f t="array" ref="G480">IFERROR(INDEX('testmo-export-repository'!$B$2:$X$1000,MATCH($B480,'testmo-export-repository'!$A$2:$A$1000,false),MATCH(G$2,'testmo-export-repository'!$B$1:$X$1,false)),"")</f>
        <v/>
      </c>
      <c r="H480" s="60" t="str">
        <f t="array" ref="H480">IFERROR(INDEX('testmo-export-repository'!$B$2:$X$1000,MATCH($B480,'testmo-export-repository'!$A$2:$A$1000,false),MATCH(H$2,'testmo-export-repository'!$B$1:$X$1,false)),"")</f>
        <v/>
      </c>
      <c r="I480" s="60" t="str">
        <f t="array" ref="I480">IFERROR(INDEX('testmo-export-repository'!$B$2:$X$1000,MATCH($B480,'testmo-export-repository'!$A$2:$A$1000,false),MATCH(I$2,'testmo-export-repository'!$B$1:$X$1,false)),"")</f>
        <v/>
      </c>
      <c r="J480" s="60" t="str">
        <f t="array" ref="J480">IFERROR(INDEX('testmo-export-repository'!$B$2:$Y$1000,MATCH($B480,'testmo-export-repository'!$A$2:$A$1000,false),MATCH(J$2,'testmo-export-repository'!$B$1:$Y$1,false)),"")</f>
        <v/>
      </c>
      <c r="K480" s="60" t="str">
        <f t="array" ref="K480">IFERROR(INDEX('testmo-export-repository'!$B$2:$Y$1000,MATCH($B480,'testmo-export-repository'!$A$2:$A$1000,false),MATCH(K$2,'testmo-export-repository'!$B$1:$Y$1,false)),"")</f>
        <v/>
      </c>
    </row>
    <row r="481">
      <c r="B481" s="60" t="str">
        <f>'testmo-export-repository'!A480</f>
        <v/>
      </c>
      <c r="C481" s="60" t="str">
        <f t="array" ref="C481">IFERROR(INDEX('testmo-export-repository'!$B$2:$X$1000,MATCH($B481,'testmo-export-repository'!$A$2:$A$1000,false),MATCH(C$2,'testmo-export-repository'!$B$1:$X$1,false)),"")</f>
        <v/>
      </c>
      <c r="D481" s="60" t="str">
        <f t="array" ref="D481">IFERROR(INDEX('testmo-export-repository'!$B$2:$X$1000,MATCH($B481,'testmo-export-repository'!$A$2:$A$1000,false),MATCH(D$2,'testmo-export-repository'!$B$1:$X$1,false)),"")</f>
        <v/>
      </c>
      <c r="E481" s="60" t="str">
        <f>IFERROR(VLOOKUP($C481,instructions!$N$3:$O$5,2,false),"")</f>
        <v/>
      </c>
      <c r="F481" s="60" t="str">
        <f>IFERROR(VLOOKUP($D481,instructions!$N$3:$O$5,2,false),"")</f>
        <v/>
      </c>
      <c r="G481" s="60" t="str">
        <f t="array" ref="G481">IFERROR(INDEX('testmo-export-repository'!$B$2:$X$1000,MATCH($B481,'testmo-export-repository'!$A$2:$A$1000,false),MATCH(G$2,'testmo-export-repository'!$B$1:$X$1,false)),"")</f>
        <v/>
      </c>
      <c r="H481" s="60" t="str">
        <f t="array" ref="H481">IFERROR(INDEX('testmo-export-repository'!$B$2:$X$1000,MATCH($B481,'testmo-export-repository'!$A$2:$A$1000,false),MATCH(H$2,'testmo-export-repository'!$B$1:$X$1,false)),"")</f>
        <v/>
      </c>
      <c r="I481" s="60" t="str">
        <f t="array" ref="I481">IFERROR(INDEX('testmo-export-repository'!$B$2:$X$1000,MATCH($B481,'testmo-export-repository'!$A$2:$A$1000,false),MATCH(I$2,'testmo-export-repository'!$B$1:$X$1,false)),"")</f>
        <v/>
      </c>
      <c r="J481" s="60" t="str">
        <f t="array" ref="J481">IFERROR(INDEX('testmo-export-repository'!$B$2:$Y$1000,MATCH($B481,'testmo-export-repository'!$A$2:$A$1000,false),MATCH(J$2,'testmo-export-repository'!$B$1:$Y$1,false)),"")</f>
        <v/>
      </c>
      <c r="K481" s="60" t="str">
        <f t="array" ref="K481">IFERROR(INDEX('testmo-export-repository'!$B$2:$Y$1000,MATCH($B481,'testmo-export-repository'!$A$2:$A$1000,false),MATCH(K$2,'testmo-export-repository'!$B$1:$Y$1,false)),"")</f>
        <v/>
      </c>
    </row>
    <row r="482">
      <c r="B482" s="60" t="str">
        <f>'testmo-export-repository'!A481</f>
        <v/>
      </c>
      <c r="C482" s="60" t="str">
        <f t="array" ref="C482">IFERROR(INDEX('testmo-export-repository'!$B$2:$X$1000,MATCH($B482,'testmo-export-repository'!$A$2:$A$1000,false),MATCH(C$2,'testmo-export-repository'!$B$1:$X$1,false)),"")</f>
        <v/>
      </c>
      <c r="D482" s="60" t="str">
        <f t="array" ref="D482">IFERROR(INDEX('testmo-export-repository'!$B$2:$X$1000,MATCH($B482,'testmo-export-repository'!$A$2:$A$1000,false),MATCH(D$2,'testmo-export-repository'!$B$1:$X$1,false)),"")</f>
        <v/>
      </c>
      <c r="E482" s="60" t="str">
        <f>IFERROR(VLOOKUP($C482,instructions!$N$3:$O$5,2,false),"")</f>
        <v/>
      </c>
      <c r="F482" s="60" t="str">
        <f>IFERROR(VLOOKUP($D482,instructions!$N$3:$O$5,2,false),"")</f>
        <v/>
      </c>
      <c r="G482" s="60" t="str">
        <f t="array" ref="G482">IFERROR(INDEX('testmo-export-repository'!$B$2:$X$1000,MATCH($B482,'testmo-export-repository'!$A$2:$A$1000,false),MATCH(G$2,'testmo-export-repository'!$B$1:$X$1,false)),"")</f>
        <v/>
      </c>
      <c r="H482" s="60" t="str">
        <f t="array" ref="H482">IFERROR(INDEX('testmo-export-repository'!$B$2:$X$1000,MATCH($B482,'testmo-export-repository'!$A$2:$A$1000,false),MATCH(H$2,'testmo-export-repository'!$B$1:$X$1,false)),"")</f>
        <v/>
      </c>
      <c r="I482" s="60" t="str">
        <f t="array" ref="I482">IFERROR(INDEX('testmo-export-repository'!$B$2:$X$1000,MATCH($B482,'testmo-export-repository'!$A$2:$A$1000,false),MATCH(I$2,'testmo-export-repository'!$B$1:$X$1,false)),"")</f>
        <v/>
      </c>
      <c r="J482" s="60" t="str">
        <f t="array" ref="J482">IFERROR(INDEX('testmo-export-repository'!$B$2:$Y$1000,MATCH($B482,'testmo-export-repository'!$A$2:$A$1000,false),MATCH(J$2,'testmo-export-repository'!$B$1:$Y$1,false)),"")</f>
        <v/>
      </c>
      <c r="K482" s="60" t="str">
        <f t="array" ref="K482">IFERROR(INDEX('testmo-export-repository'!$B$2:$Y$1000,MATCH($B482,'testmo-export-repository'!$A$2:$A$1000,false),MATCH(K$2,'testmo-export-repository'!$B$1:$Y$1,false)),"")</f>
        <v/>
      </c>
    </row>
    <row r="483">
      <c r="B483" s="60" t="str">
        <f>'testmo-export-repository'!A482</f>
        <v/>
      </c>
      <c r="C483" s="60" t="str">
        <f t="array" ref="C483">IFERROR(INDEX('testmo-export-repository'!$B$2:$X$1000,MATCH($B483,'testmo-export-repository'!$A$2:$A$1000,false),MATCH(C$2,'testmo-export-repository'!$B$1:$X$1,false)),"")</f>
        <v/>
      </c>
      <c r="D483" s="60" t="str">
        <f t="array" ref="D483">IFERROR(INDEX('testmo-export-repository'!$B$2:$X$1000,MATCH($B483,'testmo-export-repository'!$A$2:$A$1000,false),MATCH(D$2,'testmo-export-repository'!$B$1:$X$1,false)),"")</f>
        <v/>
      </c>
      <c r="E483" s="60" t="str">
        <f>IFERROR(VLOOKUP($C483,instructions!$N$3:$O$5,2,false),"")</f>
        <v/>
      </c>
      <c r="F483" s="60" t="str">
        <f>IFERROR(VLOOKUP($D483,instructions!$N$3:$O$5,2,false),"")</f>
        <v/>
      </c>
      <c r="G483" s="60" t="str">
        <f t="array" ref="G483">IFERROR(INDEX('testmo-export-repository'!$B$2:$X$1000,MATCH($B483,'testmo-export-repository'!$A$2:$A$1000,false),MATCH(G$2,'testmo-export-repository'!$B$1:$X$1,false)),"")</f>
        <v/>
      </c>
      <c r="H483" s="60" t="str">
        <f t="array" ref="H483">IFERROR(INDEX('testmo-export-repository'!$B$2:$X$1000,MATCH($B483,'testmo-export-repository'!$A$2:$A$1000,false),MATCH(H$2,'testmo-export-repository'!$B$1:$X$1,false)),"")</f>
        <v/>
      </c>
      <c r="I483" s="60" t="str">
        <f t="array" ref="I483">IFERROR(INDEX('testmo-export-repository'!$B$2:$X$1000,MATCH($B483,'testmo-export-repository'!$A$2:$A$1000,false),MATCH(I$2,'testmo-export-repository'!$B$1:$X$1,false)),"")</f>
        <v/>
      </c>
      <c r="J483" s="60" t="str">
        <f t="array" ref="J483">IFERROR(INDEX('testmo-export-repository'!$B$2:$Y$1000,MATCH($B483,'testmo-export-repository'!$A$2:$A$1000,false),MATCH(J$2,'testmo-export-repository'!$B$1:$Y$1,false)),"")</f>
        <v/>
      </c>
      <c r="K483" s="60" t="str">
        <f t="array" ref="K483">IFERROR(INDEX('testmo-export-repository'!$B$2:$Y$1000,MATCH($B483,'testmo-export-repository'!$A$2:$A$1000,false),MATCH(K$2,'testmo-export-repository'!$B$1:$Y$1,false)),"")</f>
        <v/>
      </c>
    </row>
    <row r="484">
      <c r="B484" s="60" t="str">
        <f>'testmo-export-repository'!A483</f>
        <v/>
      </c>
      <c r="C484" s="60" t="str">
        <f t="array" ref="C484">IFERROR(INDEX('testmo-export-repository'!$B$2:$X$1000,MATCH($B484,'testmo-export-repository'!$A$2:$A$1000,false),MATCH(C$2,'testmo-export-repository'!$B$1:$X$1,false)),"")</f>
        <v/>
      </c>
      <c r="D484" s="60" t="str">
        <f t="array" ref="D484">IFERROR(INDEX('testmo-export-repository'!$B$2:$X$1000,MATCH($B484,'testmo-export-repository'!$A$2:$A$1000,false),MATCH(D$2,'testmo-export-repository'!$B$1:$X$1,false)),"")</f>
        <v/>
      </c>
      <c r="E484" s="60" t="str">
        <f>IFERROR(VLOOKUP($C484,instructions!$N$3:$O$5,2,false),"")</f>
        <v/>
      </c>
      <c r="F484" s="60" t="str">
        <f>IFERROR(VLOOKUP($D484,instructions!$N$3:$O$5,2,false),"")</f>
        <v/>
      </c>
      <c r="G484" s="60" t="str">
        <f t="array" ref="G484">IFERROR(INDEX('testmo-export-repository'!$B$2:$X$1000,MATCH($B484,'testmo-export-repository'!$A$2:$A$1000,false),MATCH(G$2,'testmo-export-repository'!$B$1:$X$1,false)),"")</f>
        <v/>
      </c>
      <c r="H484" s="60" t="str">
        <f t="array" ref="H484">IFERROR(INDEX('testmo-export-repository'!$B$2:$X$1000,MATCH($B484,'testmo-export-repository'!$A$2:$A$1000,false),MATCH(H$2,'testmo-export-repository'!$B$1:$X$1,false)),"")</f>
        <v/>
      </c>
      <c r="I484" s="60" t="str">
        <f t="array" ref="I484">IFERROR(INDEX('testmo-export-repository'!$B$2:$X$1000,MATCH($B484,'testmo-export-repository'!$A$2:$A$1000,false),MATCH(I$2,'testmo-export-repository'!$B$1:$X$1,false)),"")</f>
        <v/>
      </c>
      <c r="J484" s="60" t="str">
        <f t="array" ref="J484">IFERROR(INDEX('testmo-export-repository'!$B$2:$Y$1000,MATCH($B484,'testmo-export-repository'!$A$2:$A$1000,false),MATCH(J$2,'testmo-export-repository'!$B$1:$Y$1,false)),"")</f>
        <v/>
      </c>
      <c r="K484" s="60" t="str">
        <f t="array" ref="K484">IFERROR(INDEX('testmo-export-repository'!$B$2:$Y$1000,MATCH($B484,'testmo-export-repository'!$A$2:$A$1000,false),MATCH(K$2,'testmo-export-repository'!$B$1:$Y$1,false)),"")</f>
        <v/>
      </c>
    </row>
    <row r="485">
      <c r="B485" s="60" t="str">
        <f>'testmo-export-repository'!A484</f>
        <v/>
      </c>
      <c r="C485" s="60" t="str">
        <f t="array" ref="C485">IFERROR(INDEX('testmo-export-repository'!$B$2:$X$1000,MATCH($B485,'testmo-export-repository'!$A$2:$A$1000,false),MATCH(C$2,'testmo-export-repository'!$B$1:$X$1,false)),"")</f>
        <v/>
      </c>
      <c r="D485" s="60" t="str">
        <f t="array" ref="D485">IFERROR(INDEX('testmo-export-repository'!$B$2:$X$1000,MATCH($B485,'testmo-export-repository'!$A$2:$A$1000,false),MATCH(D$2,'testmo-export-repository'!$B$1:$X$1,false)),"")</f>
        <v/>
      </c>
      <c r="E485" s="60" t="str">
        <f>IFERROR(VLOOKUP($C485,instructions!$N$3:$O$5,2,false),"")</f>
        <v/>
      </c>
      <c r="F485" s="60" t="str">
        <f>IFERROR(VLOOKUP($D485,instructions!$N$3:$O$5,2,false),"")</f>
        <v/>
      </c>
      <c r="G485" s="60" t="str">
        <f t="array" ref="G485">IFERROR(INDEX('testmo-export-repository'!$B$2:$X$1000,MATCH($B485,'testmo-export-repository'!$A$2:$A$1000,false),MATCH(G$2,'testmo-export-repository'!$B$1:$X$1,false)),"")</f>
        <v/>
      </c>
      <c r="H485" s="60" t="str">
        <f t="array" ref="H485">IFERROR(INDEX('testmo-export-repository'!$B$2:$X$1000,MATCH($B485,'testmo-export-repository'!$A$2:$A$1000,false),MATCH(H$2,'testmo-export-repository'!$B$1:$X$1,false)),"")</f>
        <v/>
      </c>
      <c r="I485" s="60" t="str">
        <f t="array" ref="I485">IFERROR(INDEX('testmo-export-repository'!$B$2:$X$1000,MATCH($B485,'testmo-export-repository'!$A$2:$A$1000,false),MATCH(I$2,'testmo-export-repository'!$B$1:$X$1,false)),"")</f>
        <v/>
      </c>
      <c r="J485" s="60" t="str">
        <f t="array" ref="J485">IFERROR(INDEX('testmo-export-repository'!$B$2:$Y$1000,MATCH($B485,'testmo-export-repository'!$A$2:$A$1000,false),MATCH(J$2,'testmo-export-repository'!$B$1:$Y$1,false)),"")</f>
        <v/>
      </c>
      <c r="K485" s="60" t="str">
        <f t="array" ref="K485">IFERROR(INDEX('testmo-export-repository'!$B$2:$Y$1000,MATCH($B485,'testmo-export-repository'!$A$2:$A$1000,false),MATCH(K$2,'testmo-export-repository'!$B$1:$Y$1,false)),"")</f>
        <v/>
      </c>
    </row>
    <row r="486">
      <c r="B486" s="60" t="str">
        <f>'testmo-export-repository'!A485</f>
        <v/>
      </c>
      <c r="C486" s="60" t="str">
        <f t="array" ref="C486">IFERROR(INDEX('testmo-export-repository'!$B$2:$X$1000,MATCH($B486,'testmo-export-repository'!$A$2:$A$1000,false),MATCH(C$2,'testmo-export-repository'!$B$1:$X$1,false)),"")</f>
        <v/>
      </c>
      <c r="D486" s="60" t="str">
        <f t="array" ref="D486">IFERROR(INDEX('testmo-export-repository'!$B$2:$X$1000,MATCH($B486,'testmo-export-repository'!$A$2:$A$1000,false),MATCH(D$2,'testmo-export-repository'!$B$1:$X$1,false)),"")</f>
        <v/>
      </c>
      <c r="E486" s="60" t="str">
        <f>IFERROR(VLOOKUP($C486,instructions!$N$3:$O$5,2,false),"")</f>
        <v/>
      </c>
      <c r="F486" s="60" t="str">
        <f>IFERROR(VLOOKUP($D486,instructions!$N$3:$O$5,2,false),"")</f>
        <v/>
      </c>
      <c r="G486" s="60" t="str">
        <f t="array" ref="G486">IFERROR(INDEX('testmo-export-repository'!$B$2:$X$1000,MATCH($B486,'testmo-export-repository'!$A$2:$A$1000,false),MATCH(G$2,'testmo-export-repository'!$B$1:$X$1,false)),"")</f>
        <v/>
      </c>
      <c r="H486" s="60" t="str">
        <f t="array" ref="H486">IFERROR(INDEX('testmo-export-repository'!$B$2:$X$1000,MATCH($B486,'testmo-export-repository'!$A$2:$A$1000,false),MATCH(H$2,'testmo-export-repository'!$B$1:$X$1,false)),"")</f>
        <v/>
      </c>
      <c r="I486" s="60" t="str">
        <f t="array" ref="I486">IFERROR(INDEX('testmo-export-repository'!$B$2:$X$1000,MATCH($B486,'testmo-export-repository'!$A$2:$A$1000,false),MATCH(I$2,'testmo-export-repository'!$B$1:$X$1,false)),"")</f>
        <v/>
      </c>
      <c r="J486" s="60" t="str">
        <f t="array" ref="J486">IFERROR(INDEX('testmo-export-repository'!$B$2:$Y$1000,MATCH($B486,'testmo-export-repository'!$A$2:$A$1000,false),MATCH(J$2,'testmo-export-repository'!$B$1:$Y$1,false)),"")</f>
        <v/>
      </c>
      <c r="K486" s="60" t="str">
        <f t="array" ref="K486">IFERROR(INDEX('testmo-export-repository'!$B$2:$Y$1000,MATCH($B486,'testmo-export-repository'!$A$2:$A$1000,false),MATCH(K$2,'testmo-export-repository'!$B$1:$Y$1,false)),"")</f>
        <v/>
      </c>
    </row>
    <row r="487">
      <c r="B487" s="60" t="str">
        <f>'testmo-export-repository'!A486</f>
        <v/>
      </c>
      <c r="C487" s="60" t="str">
        <f t="array" ref="C487">IFERROR(INDEX('testmo-export-repository'!$B$2:$X$1000,MATCH($B487,'testmo-export-repository'!$A$2:$A$1000,false),MATCH(C$2,'testmo-export-repository'!$B$1:$X$1,false)),"")</f>
        <v/>
      </c>
      <c r="D487" s="60" t="str">
        <f t="array" ref="D487">IFERROR(INDEX('testmo-export-repository'!$B$2:$X$1000,MATCH($B487,'testmo-export-repository'!$A$2:$A$1000,false),MATCH(D$2,'testmo-export-repository'!$B$1:$X$1,false)),"")</f>
        <v/>
      </c>
      <c r="E487" s="60" t="str">
        <f>IFERROR(VLOOKUP($C487,instructions!$N$3:$O$5,2,false),"")</f>
        <v/>
      </c>
      <c r="F487" s="60" t="str">
        <f>IFERROR(VLOOKUP($D487,instructions!$N$3:$O$5,2,false),"")</f>
        <v/>
      </c>
      <c r="G487" s="60" t="str">
        <f t="array" ref="G487">IFERROR(INDEX('testmo-export-repository'!$B$2:$X$1000,MATCH($B487,'testmo-export-repository'!$A$2:$A$1000,false),MATCH(G$2,'testmo-export-repository'!$B$1:$X$1,false)),"")</f>
        <v/>
      </c>
      <c r="H487" s="60" t="str">
        <f t="array" ref="H487">IFERROR(INDEX('testmo-export-repository'!$B$2:$X$1000,MATCH($B487,'testmo-export-repository'!$A$2:$A$1000,false),MATCH(H$2,'testmo-export-repository'!$B$1:$X$1,false)),"")</f>
        <v/>
      </c>
      <c r="I487" s="60" t="str">
        <f t="array" ref="I487">IFERROR(INDEX('testmo-export-repository'!$B$2:$X$1000,MATCH($B487,'testmo-export-repository'!$A$2:$A$1000,false),MATCH(I$2,'testmo-export-repository'!$B$1:$X$1,false)),"")</f>
        <v/>
      </c>
      <c r="J487" s="60" t="str">
        <f t="array" ref="J487">IFERROR(INDEX('testmo-export-repository'!$B$2:$Y$1000,MATCH($B487,'testmo-export-repository'!$A$2:$A$1000,false),MATCH(J$2,'testmo-export-repository'!$B$1:$Y$1,false)),"")</f>
        <v/>
      </c>
      <c r="K487" s="60" t="str">
        <f t="array" ref="K487">IFERROR(INDEX('testmo-export-repository'!$B$2:$Y$1000,MATCH($B487,'testmo-export-repository'!$A$2:$A$1000,false),MATCH(K$2,'testmo-export-repository'!$B$1:$Y$1,false)),"")</f>
        <v/>
      </c>
    </row>
    <row r="488">
      <c r="B488" s="60" t="str">
        <f>'testmo-export-repository'!A487</f>
        <v/>
      </c>
      <c r="C488" s="60" t="str">
        <f t="array" ref="C488">IFERROR(INDEX('testmo-export-repository'!$B$2:$X$1000,MATCH($B488,'testmo-export-repository'!$A$2:$A$1000,false),MATCH(C$2,'testmo-export-repository'!$B$1:$X$1,false)),"")</f>
        <v/>
      </c>
      <c r="D488" s="60" t="str">
        <f t="array" ref="D488">IFERROR(INDEX('testmo-export-repository'!$B$2:$X$1000,MATCH($B488,'testmo-export-repository'!$A$2:$A$1000,false),MATCH(D$2,'testmo-export-repository'!$B$1:$X$1,false)),"")</f>
        <v/>
      </c>
      <c r="E488" s="60" t="str">
        <f>IFERROR(VLOOKUP($C488,instructions!$N$3:$O$5,2,false),"")</f>
        <v/>
      </c>
      <c r="F488" s="60" t="str">
        <f>IFERROR(VLOOKUP($D488,instructions!$N$3:$O$5,2,false),"")</f>
        <v/>
      </c>
      <c r="G488" s="60" t="str">
        <f t="array" ref="G488">IFERROR(INDEX('testmo-export-repository'!$B$2:$X$1000,MATCH($B488,'testmo-export-repository'!$A$2:$A$1000,false),MATCH(G$2,'testmo-export-repository'!$B$1:$X$1,false)),"")</f>
        <v/>
      </c>
      <c r="H488" s="60" t="str">
        <f t="array" ref="H488">IFERROR(INDEX('testmo-export-repository'!$B$2:$X$1000,MATCH($B488,'testmo-export-repository'!$A$2:$A$1000,false),MATCH(H$2,'testmo-export-repository'!$B$1:$X$1,false)),"")</f>
        <v/>
      </c>
      <c r="I488" s="60" t="str">
        <f t="array" ref="I488">IFERROR(INDEX('testmo-export-repository'!$B$2:$X$1000,MATCH($B488,'testmo-export-repository'!$A$2:$A$1000,false),MATCH(I$2,'testmo-export-repository'!$B$1:$X$1,false)),"")</f>
        <v/>
      </c>
      <c r="J488" s="60" t="str">
        <f t="array" ref="J488">IFERROR(INDEX('testmo-export-repository'!$B$2:$Y$1000,MATCH($B488,'testmo-export-repository'!$A$2:$A$1000,false),MATCH(J$2,'testmo-export-repository'!$B$1:$Y$1,false)),"")</f>
        <v/>
      </c>
      <c r="K488" s="60" t="str">
        <f t="array" ref="K488">IFERROR(INDEX('testmo-export-repository'!$B$2:$Y$1000,MATCH($B488,'testmo-export-repository'!$A$2:$A$1000,false),MATCH(K$2,'testmo-export-repository'!$B$1:$Y$1,false)),"")</f>
        <v/>
      </c>
    </row>
    <row r="489">
      <c r="B489" s="60" t="str">
        <f>'testmo-export-repository'!A488</f>
        <v/>
      </c>
      <c r="C489" s="60" t="str">
        <f t="array" ref="C489">IFERROR(INDEX('testmo-export-repository'!$B$2:$X$1000,MATCH($B489,'testmo-export-repository'!$A$2:$A$1000,false),MATCH(C$2,'testmo-export-repository'!$B$1:$X$1,false)),"")</f>
        <v/>
      </c>
      <c r="D489" s="60" t="str">
        <f t="array" ref="D489">IFERROR(INDEX('testmo-export-repository'!$B$2:$X$1000,MATCH($B489,'testmo-export-repository'!$A$2:$A$1000,false),MATCH(D$2,'testmo-export-repository'!$B$1:$X$1,false)),"")</f>
        <v/>
      </c>
      <c r="E489" s="60" t="str">
        <f>IFERROR(VLOOKUP($C489,instructions!$N$3:$O$5,2,false),"")</f>
        <v/>
      </c>
      <c r="F489" s="60" t="str">
        <f>IFERROR(VLOOKUP($D489,instructions!$N$3:$O$5,2,false),"")</f>
        <v/>
      </c>
      <c r="G489" s="60" t="str">
        <f t="array" ref="G489">IFERROR(INDEX('testmo-export-repository'!$B$2:$X$1000,MATCH($B489,'testmo-export-repository'!$A$2:$A$1000,false),MATCH(G$2,'testmo-export-repository'!$B$1:$X$1,false)),"")</f>
        <v/>
      </c>
      <c r="H489" s="60" t="str">
        <f t="array" ref="H489">IFERROR(INDEX('testmo-export-repository'!$B$2:$X$1000,MATCH($B489,'testmo-export-repository'!$A$2:$A$1000,false),MATCH(H$2,'testmo-export-repository'!$B$1:$X$1,false)),"")</f>
        <v/>
      </c>
      <c r="I489" s="60" t="str">
        <f t="array" ref="I489">IFERROR(INDEX('testmo-export-repository'!$B$2:$X$1000,MATCH($B489,'testmo-export-repository'!$A$2:$A$1000,false),MATCH(I$2,'testmo-export-repository'!$B$1:$X$1,false)),"")</f>
        <v/>
      </c>
      <c r="J489" s="60" t="str">
        <f t="array" ref="J489">IFERROR(INDEX('testmo-export-repository'!$B$2:$Y$1000,MATCH($B489,'testmo-export-repository'!$A$2:$A$1000,false),MATCH(J$2,'testmo-export-repository'!$B$1:$Y$1,false)),"")</f>
        <v/>
      </c>
      <c r="K489" s="60" t="str">
        <f t="array" ref="K489">IFERROR(INDEX('testmo-export-repository'!$B$2:$Y$1000,MATCH($B489,'testmo-export-repository'!$A$2:$A$1000,false),MATCH(K$2,'testmo-export-repository'!$B$1:$Y$1,false)),"")</f>
        <v/>
      </c>
    </row>
    <row r="490">
      <c r="B490" s="60" t="str">
        <f>'testmo-export-repository'!A489</f>
        <v/>
      </c>
      <c r="C490" s="60" t="str">
        <f t="array" ref="C490">IFERROR(INDEX('testmo-export-repository'!$B$2:$X$1000,MATCH($B490,'testmo-export-repository'!$A$2:$A$1000,false),MATCH(C$2,'testmo-export-repository'!$B$1:$X$1,false)),"")</f>
        <v/>
      </c>
      <c r="D490" s="60" t="str">
        <f t="array" ref="D490">IFERROR(INDEX('testmo-export-repository'!$B$2:$X$1000,MATCH($B490,'testmo-export-repository'!$A$2:$A$1000,false),MATCH(D$2,'testmo-export-repository'!$B$1:$X$1,false)),"")</f>
        <v/>
      </c>
      <c r="E490" s="60" t="str">
        <f>IFERROR(VLOOKUP($C490,instructions!$N$3:$O$5,2,false),"")</f>
        <v/>
      </c>
      <c r="F490" s="60" t="str">
        <f>IFERROR(VLOOKUP($D490,instructions!$N$3:$O$5,2,false),"")</f>
        <v/>
      </c>
      <c r="G490" s="60" t="str">
        <f t="array" ref="G490">IFERROR(INDEX('testmo-export-repository'!$B$2:$X$1000,MATCH($B490,'testmo-export-repository'!$A$2:$A$1000,false),MATCH(G$2,'testmo-export-repository'!$B$1:$X$1,false)),"")</f>
        <v/>
      </c>
      <c r="H490" s="60" t="str">
        <f t="array" ref="H490">IFERROR(INDEX('testmo-export-repository'!$B$2:$X$1000,MATCH($B490,'testmo-export-repository'!$A$2:$A$1000,false),MATCH(H$2,'testmo-export-repository'!$B$1:$X$1,false)),"")</f>
        <v/>
      </c>
      <c r="I490" s="60" t="str">
        <f t="array" ref="I490">IFERROR(INDEX('testmo-export-repository'!$B$2:$X$1000,MATCH($B490,'testmo-export-repository'!$A$2:$A$1000,false),MATCH(I$2,'testmo-export-repository'!$B$1:$X$1,false)),"")</f>
        <v/>
      </c>
      <c r="J490" s="60" t="str">
        <f t="array" ref="J490">IFERROR(INDEX('testmo-export-repository'!$B$2:$Y$1000,MATCH($B490,'testmo-export-repository'!$A$2:$A$1000,false),MATCH(J$2,'testmo-export-repository'!$B$1:$Y$1,false)),"")</f>
        <v/>
      </c>
      <c r="K490" s="60" t="str">
        <f t="array" ref="K490">IFERROR(INDEX('testmo-export-repository'!$B$2:$Y$1000,MATCH($B490,'testmo-export-repository'!$A$2:$A$1000,false),MATCH(K$2,'testmo-export-repository'!$B$1:$Y$1,false)),"")</f>
        <v/>
      </c>
    </row>
    <row r="491">
      <c r="B491" s="60" t="str">
        <f>'testmo-export-repository'!A490</f>
        <v/>
      </c>
      <c r="C491" s="60" t="str">
        <f t="array" ref="C491">IFERROR(INDEX('testmo-export-repository'!$B$2:$X$1000,MATCH($B491,'testmo-export-repository'!$A$2:$A$1000,false),MATCH(C$2,'testmo-export-repository'!$B$1:$X$1,false)),"")</f>
        <v/>
      </c>
      <c r="D491" s="60" t="str">
        <f t="array" ref="D491">IFERROR(INDEX('testmo-export-repository'!$B$2:$X$1000,MATCH($B491,'testmo-export-repository'!$A$2:$A$1000,false),MATCH(D$2,'testmo-export-repository'!$B$1:$X$1,false)),"")</f>
        <v/>
      </c>
      <c r="E491" s="60" t="str">
        <f>IFERROR(VLOOKUP($C491,instructions!$N$3:$O$5,2,false),"")</f>
        <v/>
      </c>
      <c r="F491" s="60" t="str">
        <f>IFERROR(VLOOKUP($D491,instructions!$N$3:$O$5,2,false),"")</f>
        <v/>
      </c>
      <c r="G491" s="60" t="str">
        <f t="array" ref="G491">IFERROR(INDEX('testmo-export-repository'!$B$2:$X$1000,MATCH($B491,'testmo-export-repository'!$A$2:$A$1000,false),MATCH(G$2,'testmo-export-repository'!$B$1:$X$1,false)),"")</f>
        <v/>
      </c>
      <c r="H491" s="60" t="str">
        <f t="array" ref="H491">IFERROR(INDEX('testmo-export-repository'!$B$2:$X$1000,MATCH($B491,'testmo-export-repository'!$A$2:$A$1000,false),MATCH(H$2,'testmo-export-repository'!$B$1:$X$1,false)),"")</f>
        <v/>
      </c>
      <c r="I491" s="60" t="str">
        <f t="array" ref="I491">IFERROR(INDEX('testmo-export-repository'!$B$2:$X$1000,MATCH($B491,'testmo-export-repository'!$A$2:$A$1000,false),MATCH(I$2,'testmo-export-repository'!$B$1:$X$1,false)),"")</f>
        <v/>
      </c>
      <c r="J491" s="60" t="str">
        <f t="array" ref="J491">IFERROR(INDEX('testmo-export-repository'!$B$2:$Y$1000,MATCH($B491,'testmo-export-repository'!$A$2:$A$1000,false),MATCH(J$2,'testmo-export-repository'!$B$1:$Y$1,false)),"")</f>
        <v/>
      </c>
      <c r="K491" s="60" t="str">
        <f t="array" ref="K491">IFERROR(INDEX('testmo-export-repository'!$B$2:$Y$1000,MATCH($B491,'testmo-export-repository'!$A$2:$A$1000,false),MATCH(K$2,'testmo-export-repository'!$B$1:$Y$1,false)),"")</f>
        <v/>
      </c>
    </row>
    <row r="492">
      <c r="B492" s="60" t="str">
        <f>'testmo-export-repository'!A491</f>
        <v/>
      </c>
      <c r="C492" s="60" t="str">
        <f t="array" ref="C492">IFERROR(INDEX('testmo-export-repository'!$B$2:$X$1000,MATCH($B492,'testmo-export-repository'!$A$2:$A$1000,false),MATCH(C$2,'testmo-export-repository'!$B$1:$X$1,false)),"")</f>
        <v/>
      </c>
      <c r="D492" s="60" t="str">
        <f t="array" ref="D492">IFERROR(INDEX('testmo-export-repository'!$B$2:$X$1000,MATCH($B492,'testmo-export-repository'!$A$2:$A$1000,false),MATCH(D$2,'testmo-export-repository'!$B$1:$X$1,false)),"")</f>
        <v/>
      </c>
      <c r="E492" s="60" t="str">
        <f>IFERROR(VLOOKUP($C492,instructions!$N$3:$O$5,2,false),"")</f>
        <v/>
      </c>
      <c r="F492" s="60" t="str">
        <f>IFERROR(VLOOKUP($D492,instructions!$N$3:$O$5,2,false),"")</f>
        <v/>
      </c>
      <c r="G492" s="60" t="str">
        <f t="array" ref="G492">IFERROR(INDEX('testmo-export-repository'!$B$2:$X$1000,MATCH($B492,'testmo-export-repository'!$A$2:$A$1000,false),MATCH(G$2,'testmo-export-repository'!$B$1:$X$1,false)),"")</f>
        <v/>
      </c>
      <c r="H492" s="60" t="str">
        <f t="array" ref="H492">IFERROR(INDEX('testmo-export-repository'!$B$2:$X$1000,MATCH($B492,'testmo-export-repository'!$A$2:$A$1000,false),MATCH(H$2,'testmo-export-repository'!$B$1:$X$1,false)),"")</f>
        <v/>
      </c>
      <c r="I492" s="60" t="str">
        <f t="array" ref="I492">IFERROR(INDEX('testmo-export-repository'!$B$2:$X$1000,MATCH($B492,'testmo-export-repository'!$A$2:$A$1000,false),MATCH(I$2,'testmo-export-repository'!$B$1:$X$1,false)),"")</f>
        <v/>
      </c>
      <c r="J492" s="60" t="str">
        <f t="array" ref="J492">IFERROR(INDEX('testmo-export-repository'!$B$2:$Y$1000,MATCH($B492,'testmo-export-repository'!$A$2:$A$1000,false),MATCH(J$2,'testmo-export-repository'!$B$1:$Y$1,false)),"")</f>
        <v/>
      </c>
      <c r="K492" s="60" t="str">
        <f t="array" ref="K492">IFERROR(INDEX('testmo-export-repository'!$B$2:$Y$1000,MATCH($B492,'testmo-export-repository'!$A$2:$A$1000,false),MATCH(K$2,'testmo-export-repository'!$B$1:$Y$1,false)),"")</f>
        <v/>
      </c>
    </row>
    <row r="493">
      <c r="B493" s="60" t="str">
        <f>'testmo-export-repository'!A492</f>
        <v/>
      </c>
      <c r="C493" s="60" t="str">
        <f t="array" ref="C493">IFERROR(INDEX('testmo-export-repository'!$B$2:$X$1000,MATCH($B493,'testmo-export-repository'!$A$2:$A$1000,false),MATCH(C$2,'testmo-export-repository'!$B$1:$X$1,false)),"")</f>
        <v/>
      </c>
      <c r="D493" s="60" t="str">
        <f t="array" ref="D493">IFERROR(INDEX('testmo-export-repository'!$B$2:$X$1000,MATCH($B493,'testmo-export-repository'!$A$2:$A$1000,false),MATCH(D$2,'testmo-export-repository'!$B$1:$X$1,false)),"")</f>
        <v/>
      </c>
      <c r="E493" s="60" t="str">
        <f>IFERROR(VLOOKUP($C493,instructions!$N$3:$O$5,2,false),"")</f>
        <v/>
      </c>
      <c r="F493" s="60" t="str">
        <f>IFERROR(VLOOKUP($D493,instructions!$N$3:$O$5,2,false),"")</f>
        <v/>
      </c>
      <c r="G493" s="60" t="str">
        <f t="array" ref="G493">IFERROR(INDEX('testmo-export-repository'!$B$2:$X$1000,MATCH($B493,'testmo-export-repository'!$A$2:$A$1000,false),MATCH(G$2,'testmo-export-repository'!$B$1:$X$1,false)),"")</f>
        <v/>
      </c>
      <c r="H493" s="60" t="str">
        <f t="array" ref="H493">IFERROR(INDEX('testmo-export-repository'!$B$2:$X$1000,MATCH($B493,'testmo-export-repository'!$A$2:$A$1000,false),MATCH(H$2,'testmo-export-repository'!$B$1:$X$1,false)),"")</f>
        <v/>
      </c>
      <c r="I493" s="60" t="str">
        <f t="array" ref="I493">IFERROR(INDEX('testmo-export-repository'!$B$2:$X$1000,MATCH($B493,'testmo-export-repository'!$A$2:$A$1000,false),MATCH(I$2,'testmo-export-repository'!$B$1:$X$1,false)),"")</f>
        <v/>
      </c>
      <c r="J493" s="60" t="str">
        <f t="array" ref="J493">IFERROR(INDEX('testmo-export-repository'!$B$2:$Y$1000,MATCH($B493,'testmo-export-repository'!$A$2:$A$1000,false),MATCH(J$2,'testmo-export-repository'!$B$1:$Y$1,false)),"")</f>
        <v/>
      </c>
      <c r="K493" s="60" t="str">
        <f t="array" ref="K493">IFERROR(INDEX('testmo-export-repository'!$B$2:$Y$1000,MATCH($B493,'testmo-export-repository'!$A$2:$A$1000,false),MATCH(K$2,'testmo-export-repository'!$B$1:$Y$1,false)),"")</f>
        <v/>
      </c>
    </row>
    <row r="494">
      <c r="B494" s="60" t="str">
        <f>'testmo-export-repository'!A493</f>
        <v/>
      </c>
      <c r="C494" s="60" t="str">
        <f t="array" ref="C494">IFERROR(INDEX('testmo-export-repository'!$B$2:$X$1000,MATCH($B494,'testmo-export-repository'!$A$2:$A$1000,false),MATCH(C$2,'testmo-export-repository'!$B$1:$X$1,false)),"")</f>
        <v/>
      </c>
      <c r="D494" s="60" t="str">
        <f t="array" ref="D494">IFERROR(INDEX('testmo-export-repository'!$B$2:$X$1000,MATCH($B494,'testmo-export-repository'!$A$2:$A$1000,false),MATCH(D$2,'testmo-export-repository'!$B$1:$X$1,false)),"")</f>
        <v/>
      </c>
      <c r="E494" s="60" t="str">
        <f>IFERROR(VLOOKUP($C494,instructions!$N$3:$O$5,2,false),"")</f>
        <v/>
      </c>
      <c r="F494" s="60" t="str">
        <f>IFERROR(VLOOKUP($D494,instructions!$N$3:$O$5,2,false),"")</f>
        <v/>
      </c>
      <c r="G494" s="60" t="str">
        <f t="array" ref="G494">IFERROR(INDEX('testmo-export-repository'!$B$2:$X$1000,MATCH($B494,'testmo-export-repository'!$A$2:$A$1000,false),MATCH(G$2,'testmo-export-repository'!$B$1:$X$1,false)),"")</f>
        <v/>
      </c>
      <c r="H494" s="60" t="str">
        <f t="array" ref="H494">IFERROR(INDEX('testmo-export-repository'!$B$2:$X$1000,MATCH($B494,'testmo-export-repository'!$A$2:$A$1000,false),MATCH(H$2,'testmo-export-repository'!$B$1:$X$1,false)),"")</f>
        <v/>
      </c>
      <c r="I494" s="60" t="str">
        <f t="array" ref="I494">IFERROR(INDEX('testmo-export-repository'!$B$2:$X$1000,MATCH($B494,'testmo-export-repository'!$A$2:$A$1000,false),MATCH(I$2,'testmo-export-repository'!$B$1:$X$1,false)),"")</f>
        <v/>
      </c>
      <c r="J494" s="60" t="str">
        <f t="array" ref="J494">IFERROR(INDEX('testmo-export-repository'!$B$2:$Y$1000,MATCH($B494,'testmo-export-repository'!$A$2:$A$1000,false),MATCH(J$2,'testmo-export-repository'!$B$1:$Y$1,false)),"")</f>
        <v/>
      </c>
      <c r="K494" s="60" t="str">
        <f t="array" ref="K494">IFERROR(INDEX('testmo-export-repository'!$B$2:$Y$1000,MATCH($B494,'testmo-export-repository'!$A$2:$A$1000,false),MATCH(K$2,'testmo-export-repository'!$B$1:$Y$1,false)),"")</f>
        <v/>
      </c>
    </row>
    <row r="495">
      <c r="B495" s="60" t="str">
        <f>'testmo-export-repository'!A494</f>
        <v/>
      </c>
      <c r="C495" s="60" t="str">
        <f t="array" ref="C495">IFERROR(INDEX('testmo-export-repository'!$B$2:$X$1000,MATCH($B495,'testmo-export-repository'!$A$2:$A$1000,false),MATCH(C$2,'testmo-export-repository'!$B$1:$X$1,false)),"")</f>
        <v/>
      </c>
      <c r="D495" s="60" t="str">
        <f t="array" ref="D495">IFERROR(INDEX('testmo-export-repository'!$B$2:$X$1000,MATCH($B495,'testmo-export-repository'!$A$2:$A$1000,false),MATCH(D$2,'testmo-export-repository'!$B$1:$X$1,false)),"")</f>
        <v/>
      </c>
      <c r="E495" s="60" t="str">
        <f>IFERROR(VLOOKUP($C495,instructions!$N$3:$O$5,2,false),"")</f>
        <v/>
      </c>
      <c r="F495" s="60" t="str">
        <f>IFERROR(VLOOKUP($D495,instructions!$N$3:$O$5,2,false),"")</f>
        <v/>
      </c>
      <c r="G495" s="60" t="str">
        <f t="array" ref="G495">IFERROR(INDEX('testmo-export-repository'!$B$2:$X$1000,MATCH($B495,'testmo-export-repository'!$A$2:$A$1000,false),MATCH(G$2,'testmo-export-repository'!$B$1:$X$1,false)),"")</f>
        <v/>
      </c>
      <c r="H495" s="60" t="str">
        <f t="array" ref="H495">IFERROR(INDEX('testmo-export-repository'!$B$2:$X$1000,MATCH($B495,'testmo-export-repository'!$A$2:$A$1000,false),MATCH(H$2,'testmo-export-repository'!$B$1:$X$1,false)),"")</f>
        <v/>
      </c>
      <c r="I495" s="60" t="str">
        <f t="array" ref="I495">IFERROR(INDEX('testmo-export-repository'!$B$2:$X$1000,MATCH($B495,'testmo-export-repository'!$A$2:$A$1000,false),MATCH(I$2,'testmo-export-repository'!$B$1:$X$1,false)),"")</f>
        <v/>
      </c>
      <c r="J495" s="60" t="str">
        <f t="array" ref="J495">IFERROR(INDEX('testmo-export-repository'!$B$2:$Y$1000,MATCH($B495,'testmo-export-repository'!$A$2:$A$1000,false),MATCH(J$2,'testmo-export-repository'!$B$1:$Y$1,false)),"")</f>
        <v/>
      </c>
      <c r="K495" s="60" t="str">
        <f t="array" ref="K495">IFERROR(INDEX('testmo-export-repository'!$B$2:$Y$1000,MATCH($B495,'testmo-export-repository'!$A$2:$A$1000,false),MATCH(K$2,'testmo-export-repository'!$B$1:$Y$1,false)),"")</f>
        <v/>
      </c>
    </row>
    <row r="496">
      <c r="B496" s="60" t="str">
        <f>'testmo-export-repository'!A495</f>
        <v/>
      </c>
      <c r="C496" s="60" t="str">
        <f t="array" ref="C496">IFERROR(INDEX('testmo-export-repository'!$B$2:$X$1000,MATCH($B496,'testmo-export-repository'!$A$2:$A$1000,false),MATCH(C$2,'testmo-export-repository'!$B$1:$X$1,false)),"")</f>
        <v/>
      </c>
      <c r="D496" s="60" t="str">
        <f t="array" ref="D496">IFERROR(INDEX('testmo-export-repository'!$B$2:$X$1000,MATCH($B496,'testmo-export-repository'!$A$2:$A$1000,false),MATCH(D$2,'testmo-export-repository'!$B$1:$X$1,false)),"")</f>
        <v/>
      </c>
      <c r="E496" s="60" t="str">
        <f>IFERROR(VLOOKUP($C496,instructions!$N$3:$O$5,2,false),"")</f>
        <v/>
      </c>
      <c r="F496" s="60" t="str">
        <f>IFERROR(VLOOKUP($D496,instructions!$N$3:$O$5,2,false),"")</f>
        <v/>
      </c>
      <c r="G496" s="60" t="str">
        <f t="array" ref="G496">IFERROR(INDEX('testmo-export-repository'!$B$2:$X$1000,MATCH($B496,'testmo-export-repository'!$A$2:$A$1000,false),MATCH(G$2,'testmo-export-repository'!$B$1:$X$1,false)),"")</f>
        <v/>
      </c>
      <c r="H496" s="60" t="str">
        <f t="array" ref="H496">IFERROR(INDEX('testmo-export-repository'!$B$2:$X$1000,MATCH($B496,'testmo-export-repository'!$A$2:$A$1000,false),MATCH(H$2,'testmo-export-repository'!$B$1:$X$1,false)),"")</f>
        <v/>
      </c>
      <c r="I496" s="60" t="str">
        <f t="array" ref="I496">IFERROR(INDEX('testmo-export-repository'!$B$2:$X$1000,MATCH($B496,'testmo-export-repository'!$A$2:$A$1000,false),MATCH(I$2,'testmo-export-repository'!$B$1:$X$1,false)),"")</f>
        <v/>
      </c>
      <c r="J496" s="60" t="str">
        <f t="array" ref="J496">IFERROR(INDEX('testmo-export-repository'!$B$2:$Y$1000,MATCH($B496,'testmo-export-repository'!$A$2:$A$1000,false),MATCH(J$2,'testmo-export-repository'!$B$1:$Y$1,false)),"")</f>
        <v/>
      </c>
      <c r="K496" s="60" t="str">
        <f t="array" ref="K496">IFERROR(INDEX('testmo-export-repository'!$B$2:$Y$1000,MATCH($B496,'testmo-export-repository'!$A$2:$A$1000,false),MATCH(K$2,'testmo-export-repository'!$B$1:$Y$1,false)),"")</f>
        <v/>
      </c>
    </row>
    <row r="497">
      <c r="B497" s="60" t="str">
        <f>'testmo-export-repository'!A496</f>
        <v/>
      </c>
      <c r="C497" s="60" t="str">
        <f t="array" ref="C497">IFERROR(INDEX('testmo-export-repository'!$B$2:$X$1000,MATCH($B497,'testmo-export-repository'!$A$2:$A$1000,false),MATCH(C$2,'testmo-export-repository'!$B$1:$X$1,false)),"")</f>
        <v/>
      </c>
      <c r="D497" s="60" t="str">
        <f t="array" ref="D497">IFERROR(INDEX('testmo-export-repository'!$B$2:$X$1000,MATCH($B497,'testmo-export-repository'!$A$2:$A$1000,false),MATCH(D$2,'testmo-export-repository'!$B$1:$X$1,false)),"")</f>
        <v/>
      </c>
      <c r="E497" s="60" t="str">
        <f>IFERROR(VLOOKUP($C497,instructions!$N$3:$O$5,2,false),"")</f>
        <v/>
      </c>
      <c r="F497" s="60" t="str">
        <f>IFERROR(VLOOKUP($D497,instructions!$N$3:$O$5,2,false),"")</f>
        <v/>
      </c>
      <c r="G497" s="60" t="str">
        <f t="array" ref="G497">IFERROR(INDEX('testmo-export-repository'!$B$2:$X$1000,MATCH($B497,'testmo-export-repository'!$A$2:$A$1000,false),MATCH(G$2,'testmo-export-repository'!$B$1:$X$1,false)),"")</f>
        <v/>
      </c>
      <c r="H497" s="60" t="str">
        <f t="array" ref="H497">IFERROR(INDEX('testmo-export-repository'!$B$2:$X$1000,MATCH($B497,'testmo-export-repository'!$A$2:$A$1000,false),MATCH(H$2,'testmo-export-repository'!$B$1:$X$1,false)),"")</f>
        <v/>
      </c>
      <c r="I497" s="60" t="str">
        <f t="array" ref="I497">IFERROR(INDEX('testmo-export-repository'!$B$2:$X$1000,MATCH($B497,'testmo-export-repository'!$A$2:$A$1000,false),MATCH(I$2,'testmo-export-repository'!$B$1:$X$1,false)),"")</f>
        <v/>
      </c>
      <c r="J497" s="60" t="str">
        <f t="array" ref="J497">IFERROR(INDEX('testmo-export-repository'!$B$2:$Y$1000,MATCH($B497,'testmo-export-repository'!$A$2:$A$1000,false),MATCH(J$2,'testmo-export-repository'!$B$1:$Y$1,false)),"")</f>
        <v/>
      </c>
      <c r="K497" s="60" t="str">
        <f t="array" ref="K497">IFERROR(INDEX('testmo-export-repository'!$B$2:$Y$1000,MATCH($B497,'testmo-export-repository'!$A$2:$A$1000,false),MATCH(K$2,'testmo-export-repository'!$B$1:$Y$1,false)),"")</f>
        <v/>
      </c>
    </row>
    <row r="498">
      <c r="B498" s="60" t="str">
        <f>'testmo-export-repository'!A497</f>
        <v/>
      </c>
      <c r="C498" s="60" t="str">
        <f t="array" ref="C498">IFERROR(INDEX('testmo-export-repository'!$B$2:$X$1000,MATCH($B498,'testmo-export-repository'!$A$2:$A$1000,false),MATCH(C$2,'testmo-export-repository'!$B$1:$X$1,false)),"")</f>
        <v/>
      </c>
      <c r="D498" s="60" t="str">
        <f t="array" ref="D498">IFERROR(INDEX('testmo-export-repository'!$B$2:$X$1000,MATCH($B498,'testmo-export-repository'!$A$2:$A$1000,false),MATCH(D$2,'testmo-export-repository'!$B$1:$X$1,false)),"")</f>
        <v/>
      </c>
      <c r="E498" s="60" t="str">
        <f>IFERROR(VLOOKUP($C498,instructions!$N$3:$O$5,2,false),"")</f>
        <v/>
      </c>
      <c r="F498" s="60" t="str">
        <f>IFERROR(VLOOKUP($D498,instructions!$N$3:$O$5,2,false),"")</f>
        <v/>
      </c>
      <c r="G498" s="60" t="str">
        <f t="array" ref="G498">IFERROR(INDEX('testmo-export-repository'!$B$2:$X$1000,MATCH($B498,'testmo-export-repository'!$A$2:$A$1000,false),MATCH(G$2,'testmo-export-repository'!$B$1:$X$1,false)),"")</f>
        <v/>
      </c>
      <c r="H498" s="60" t="str">
        <f t="array" ref="H498">IFERROR(INDEX('testmo-export-repository'!$B$2:$X$1000,MATCH($B498,'testmo-export-repository'!$A$2:$A$1000,false),MATCH(H$2,'testmo-export-repository'!$B$1:$X$1,false)),"")</f>
        <v/>
      </c>
      <c r="I498" s="60" t="str">
        <f t="array" ref="I498">IFERROR(INDEX('testmo-export-repository'!$B$2:$X$1000,MATCH($B498,'testmo-export-repository'!$A$2:$A$1000,false),MATCH(I$2,'testmo-export-repository'!$B$1:$X$1,false)),"")</f>
        <v/>
      </c>
      <c r="J498" s="60" t="str">
        <f t="array" ref="J498">IFERROR(INDEX('testmo-export-repository'!$B$2:$Y$1000,MATCH($B498,'testmo-export-repository'!$A$2:$A$1000,false),MATCH(J$2,'testmo-export-repository'!$B$1:$Y$1,false)),"")</f>
        <v/>
      </c>
      <c r="K498" s="60" t="str">
        <f t="array" ref="K498">IFERROR(INDEX('testmo-export-repository'!$B$2:$Y$1000,MATCH($B498,'testmo-export-repository'!$A$2:$A$1000,false),MATCH(K$2,'testmo-export-repository'!$B$1:$Y$1,false)),"")</f>
        <v/>
      </c>
    </row>
    <row r="499">
      <c r="B499" s="60" t="str">
        <f>'testmo-export-repository'!A498</f>
        <v/>
      </c>
      <c r="C499" s="60" t="str">
        <f t="array" ref="C499">IFERROR(INDEX('testmo-export-repository'!$B$2:$X$1000,MATCH($B499,'testmo-export-repository'!$A$2:$A$1000,false),MATCH(C$2,'testmo-export-repository'!$B$1:$X$1,false)),"")</f>
        <v/>
      </c>
      <c r="D499" s="60" t="str">
        <f t="array" ref="D499">IFERROR(INDEX('testmo-export-repository'!$B$2:$X$1000,MATCH($B499,'testmo-export-repository'!$A$2:$A$1000,false),MATCH(D$2,'testmo-export-repository'!$B$1:$X$1,false)),"")</f>
        <v/>
      </c>
      <c r="E499" s="60" t="str">
        <f>IFERROR(VLOOKUP($C499,instructions!$N$3:$O$5,2,false),"")</f>
        <v/>
      </c>
      <c r="F499" s="60" t="str">
        <f>IFERROR(VLOOKUP($D499,instructions!$N$3:$O$5,2,false),"")</f>
        <v/>
      </c>
      <c r="G499" s="60" t="str">
        <f t="array" ref="G499">IFERROR(INDEX('testmo-export-repository'!$B$2:$X$1000,MATCH($B499,'testmo-export-repository'!$A$2:$A$1000,false),MATCH(G$2,'testmo-export-repository'!$B$1:$X$1,false)),"")</f>
        <v/>
      </c>
      <c r="H499" s="60" t="str">
        <f t="array" ref="H499">IFERROR(INDEX('testmo-export-repository'!$B$2:$X$1000,MATCH($B499,'testmo-export-repository'!$A$2:$A$1000,false),MATCH(H$2,'testmo-export-repository'!$B$1:$X$1,false)),"")</f>
        <v/>
      </c>
      <c r="I499" s="60" t="str">
        <f t="array" ref="I499">IFERROR(INDEX('testmo-export-repository'!$B$2:$X$1000,MATCH($B499,'testmo-export-repository'!$A$2:$A$1000,false),MATCH(I$2,'testmo-export-repository'!$B$1:$X$1,false)),"")</f>
        <v/>
      </c>
      <c r="J499" s="60" t="str">
        <f t="array" ref="J499">IFERROR(INDEX('testmo-export-repository'!$B$2:$Y$1000,MATCH($B499,'testmo-export-repository'!$A$2:$A$1000,false),MATCH(J$2,'testmo-export-repository'!$B$1:$Y$1,false)),"")</f>
        <v/>
      </c>
      <c r="K499" s="60" t="str">
        <f t="array" ref="K499">IFERROR(INDEX('testmo-export-repository'!$B$2:$Y$1000,MATCH($B499,'testmo-export-repository'!$A$2:$A$1000,false),MATCH(K$2,'testmo-export-repository'!$B$1:$Y$1,false)),"")</f>
        <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32"/>
      <c r="C3" s="33" t="s">
        <v>219</v>
      </c>
      <c r="D3" s="33" t="s">
        <v>220</v>
      </c>
      <c r="E3" s="34" t="s">
        <v>221</v>
      </c>
      <c r="F3" s="50"/>
      <c r="G3" s="32"/>
      <c r="H3" s="33" t="s">
        <v>219</v>
      </c>
      <c r="I3" s="33" t="s">
        <v>220</v>
      </c>
      <c r="J3" s="34" t="s">
        <v>221</v>
      </c>
      <c r="N3" s="21" t="s">
        <v>264</v>
      </c>
      <c r="O3" s="21">
        <v>1.0</v>
      </c>
    </row>
    <row r="4">
      <c r="B4" s="36" t="s">
        <v>224</v>
      </c>
      <c r="C4" s="66">
        <v>0.15</v>
      </c>
      <c r="D4" s="67">
        <v>0.5</v>
      </c>
      <c r="E4" s="68">
        <v>1.0</v>
      </c>
      <c r="F4" s="69"/>
      <c r="G4" s="36" t="s">
        <v>224</v>
      </c>
      <c r="H4" s="66">
        <v>0.1</v>
      </c>
      <c r="I4" s="67">
        <v>0.25</v>
      </c>
      <c r="J4" s="68">
        <v>0.9</v>
      </c>
      <c r="N4" s="21" t="s">
        <v>279</v>
      </c>
      <c r="O4" s="21">
        <v>2.0</v>
      </c>
    </row>
    <row r="5">
      <c r="B5" s="36" t="s">
        <v>225</v>
      </c>
      <c r="C5" s="70">
        <v>0.0</v>
      </c>
      <c r="D5" s="66">
        <v>0.25</v>
      </c>
      <c r="E5" s="71">
        <v>0.75</v>
      </c>
      <c r="F5" s="69"/>
      <c r="G5" s="36" t="s">
        <v>225</v>
      </c>
      <c r="H5" s="70">
        <v>0.0</v>
      </c>
      <c r="I5" s="66">
        <v>0.15</v>
      </c>
      <c r="J5" s="71">
        <v>0.5</v>
      </c>
      <c r="N5" s="21" t="s">
        <v>272</v>
      </c>
      <c r="O5" s="21">
        <v>3.0</v>
      </c>
    </row>
    <row r="6">
      <c r="B6" s="43" t="s">
        <v>226</v>
      </c>
      <c r="C6" s="70">
        <v>0.0</v>
      </c>
      <c r="D6" s="70">
        <v>0.0</v>
      </c>
      <c r="E6" s="67">
        <v>0.5</v>
      </c>
      <c r="F6" s="69"/>
      <c r="G6" s="43" t="s">
        <v>226</v>
      </c>
      <c r="H6" s="70">
        <v>0.0</v>
      </c>
      <c r="I6" s="70">
        <v>0.0</v>
      </c>
      <c r="J6" s="67">
        <v>0.25</v>
      </c>
    </row>
    <row r="7">
      <c r="B7" s="56"/>
      <c r="C7" s="72"/>
      <c r="D7" s="72"/>
      <c r="E7" s="72"/>
      <c r="F7" s="72"/>
    </row>
    <row r="10">
      <c r="B10" s="73" t="s">
        <v>4787</v>
      </c>
    </row>
  </sheetData>
  <mergeCells count="1">
    <mergeCell ref="B10:L24"/>
  </mergeCells>
  <drawing r:id="rId1"/>
</worksheet>
</file>